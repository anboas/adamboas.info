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hyseaman\Box\2400TimberMgmt_Lolo\2470 Silv Practices\EastZone\Reforestation\FY 26\Stocking\Contract\"/>
    </mc:Choice>
  </mc:AlternateContent>
  <xr:revisionPtr revIDLastSave="0" documentId="13_ncr:1_{DB5EDC66-151B-44A6-BD7A-7E279D4865BF}" xr6:coauthVersionLast="47" xr6:coauthVersionMax="47" xr10:uidLastSave="{00000000-0000-0000-0000-000000000000}"/>
  <bookViews>
    <workbookView xWindow="-110" yWindow="-110" windowWidth="19420" windowHeight="10300" xr2:uid="{586C6EA8-8F24-4569-B108-A522B75079F7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F50" i="1"/>
  <c r="G18" i="1"/>
  <c r="F18" i="1"/>
  <c r="G16" i="1"/>
  <c r="F16" i="1"/>
  <c r="G6" i="1"/>
  <c r="F6" i="1"/>
  <c r="G52" i="1" l="1"/>
  <c r="G53" i="1"/>
  <c r="F53" i="1"/>
  <c r="F52" i="1"/>
  <c r="G11" i="1" l="1"/>
  <c r="G13" i="1"/>
  <c r="G14" i="1"/>
  <c r="G15" i="1"/>
  <c r="G25" i="1"/>
  <c r="G47" i="1"/>
  <c r="G44" i="1"/>
  <c r="G43" i="1"/>
  <c r="G42" i="1"/>
  <c r="G40" i="1"/>
  <c r="G35" i="1"/>
  <c r="G34" i="1"/>
  <c r="G28" i="1"/>
  <c r="G27" i="1"/>
  <c r="G2" i="1"/>
</calcChain>
</file>

<file path=xl/sharedStrings.xml><?xml version="1.0" encoding="utf-8"?>
<sst xmlns="http://schemas.openxmlformats.org/spreadsheetml/2006/main" count="355" uniqueCount="166">
  <si>
    <t>Block</t>
  </si>
  <si>
    <t>District</t>
  </si>
  <si>
    <t>Polygon</t>
  </si>
  <si>
    <t>Unit Name</t>
  </si>
  <si>
    <t>Bid Status</t>
  </si>
  <si>
    <t>Acres</t>
  </si>
  <si>
    <t xml:space="preserve"> # Plots </t>
  </si>
  <si>
    <t>Plant vs. NRG</t>
  </si>
  <si>
    <t>Planted TPA</t>
  </si>
  <si>
    <t>Cert Standards</t>
  </si>
  <si>
    <t xml:space="preserve">Access  Notes </t>
  </si>
  <si>
    <t>Unit-Specific Performance Period</t>
  </si>
  <si>
    <t>Missoula</t>
  </si>
  <si>
    <t>NRG</t>
  </si>
  <si>
    <t>150 TPA/70% stocked, 1' HT</t>
  </si>
  <si>
    <t>Seeley</t>
  </si>
  <si>
    <t>200 TPA/70% stocked,                 75% WL/PP, 1' HT</t>
  </si>
  <si>
    <t>Optional</t>
  </si>
  <si>
    <t>7/15-11/1</t>
  </si>
  <si>
    <t>150 TPA/70% stocked,                          70% PP/WL, 1'HT</t>
  </si>
  <si>
    <t>Block 3 - Total - Mandatory</t>
  </si>
  <si>
    <t>011603A080701001000</t>
  </si>
  <si>
    <t>011603RA20170003000</t>
  </si>
  <si>
    <t>011603RA20170108000</t>
  </si>
  <si>
    <t>011606A070101003000</t>
  </si>
  <si>
    <t>011606A070101006002</t>
  </si>
  <si>
    <t>011606A070101007002</t>
  </si>
  <si>
    <t>011606A120301003000</t>
  </si>
  <si>
    <t>011606A120301004000</t>
  </si>
  <si>
    <t>011606A120301008000</t>
  </si>
  <si>
    <t>011606A230301004000</t>
  </si>
  <si>
    <t>011606A230301006000</t>
  </si>
  <si>
    <t>011606A250200105000</t>
  </si>
  <si>
    <t>011606A250201008000</t>
  </si>
  <si>
    <t>011606A250401004000</t>
  </si>
  <si>
    <t>011606A270201021000</t>
  </si>
  <si>
    <t>011606A270401000000</t>
  </si>
  <si>
    <t>011606A280101012000</t>
  </si>
  <si>
    <t>011606A290100009005</t>
  </si>
  <si>
    <t>011606A290100010001</t>
  </si>
  <si>
    <t>011606A290101002000</t>
  </si>
  <si>
    <t>011606A290101007000</t>
  </si>
  <si>
    <t>011606A290101010000</t>
  </si>
  <si>
    <t>011606A290201007000</t>
  </si>
  <si>
    <t>011606A290201008000</t>
  </si>
  <si>
    <t>011606A290201010002</t>
  </si>
  <si>
    <t>011606A290201014000</t>
  </si>
  <si>
    <t>011606A290201017000</t>
  </si>
  <si>
    <t>011606A290201018000</t>
  </si>
  <si>
    <t>011606A290201020001</t>
  </si>
  <si>
    <t>011606A310201001001</t>
  </si>
  <si>
    <t>011606A310401007002</t>
  </si>
  <si>
    <t>011606A310401008000</t>
  </si>
  <si>
    <t>011606A310401016001</t>
  </si>
  <si>
    <t>011606A320201000000</t>
  </si>
  <si>
    <t>011606A320201001000</t>
  </si>
  <si>
    <t>011606A320201002000</t>
  </si>
  <si>
    <t>011606A320301000000</t>
  </si>
  <si>
    <t>011606RA2017LI08000</t>
  </si>
  <si>
    <t>011606RA2017LI14000</t>
  </si>
  <si>
    <t>011606RA2017LI16000</t>
  </si>
  <si>
    <t>011606RA2017LI29001</t>
  </si>
  <si>
    <t>Plant</t>
  </si>
  <si>
    <t>2019 Plant</t>
  </si>
  <si>
    <t>2022 Plant, 2023 Replant</t>
  </si>
  <si>
    <t>213 PP, 8 WL</t>
  </si>
  <si>
    <t>2023 Plant, 2025 Replant</t>
  </si>
  <si>
    <t>251 WL; Replant  261 WL</t>
  </si>
  <si>
    <t>2023 Plant, 2024 Replant</t>
  </si>
  <si>
    <t>Replant 251 WL</t>
  </si>
  <si>
    <t>2019 Plant, 2023 Replant</t>
  </si>
  <si>
    <t>209 PP, Replant 60 PP</t>
  </si>
  <si>
    <t>2023 Plant</t>
  </si>
  <si>
    <t>197 WL, 27 PP</t>
  </si>
  <si>
    <t>2024 Plant</t>
  </si>
  <si>
    <t>188 PP</t>
  </si>
  <si>
    <t>2022 Plant</t>
  </si>
  <si>
    <t xml:space="preserve">96 PP </t>
  </si>
  <si>
    <t>2022 Plant, 2024 Replant</t>
  </si>
  <si>
    <t>Plant 2022, Replant 2024</t>
  </si>
  <si>
    <t>293 PP; Replant 233 WL</t>
  </si>
  <si>
    <t>176WL and 128 PP; Replant 141 PP</t>
  </si>
  <si>
    <t>195 WL and 36 PP; 256 PP</t>
  </si>
  <si>
    <t>96 PP; Replant  311 PP</t>
  </si>
  <si>
    <t>83PP;Replant  268 PP</t>
  </si>
  <si>
    <t>100 PP and 200WL; Replant 100 WL and 150 PP</t>
  </si>
  <si>
    <t>100 WL and 170 PP;Replant 150 WL</t>
  </si>
  <si>
    <t>218 PP and 73 WL; Replant 245 PP</t>
  </si>
  <si>
    <t>140 PP</t>
  </si>
  <si>
    <t>176 PP</t>
  </si>
  <si>
    <t>293 PP; Replant  150 PP</t>
  </si>
  <si>
    <t>199 PP and 144 WL; Replant 150 PP</t>
  </si>
  <si>
    <t>LEFT MULE UNIT 31A</t>
  </si>
  <si>
    <t>LEFT MULE UNIT 31B</t>
  </si>
  <si>
    <t>LEFT MULE UNIT 31C</t>
  </si>
  <si>
    <t>349 PP</t>
  </si>
  <si>
    <t>78 PP AND 163 WL</t>
  </si>
  <si>
    <t>Plant 2022</t>
  </si>
  <si>
    <t>280 PP</t>
  </si>
  <si>
    <t>176 PP;Replant 24 PP</t>
  </si>
  <si>
    <t>249 PP</t>
  </si>
  <si>
    <t>DARK HORSE UNIT 19B</t>
  </si>
  <si>
    <t>LEFT MULE UNIT 46A</t>
  </si>
  <si>
    <t>LEFT MULE UNIT 46</t>
  </si>
  <si>
    <t>LEFT MULE UNIT 42</t>
  </si>
  <si>
    <t>LEFT MULE UNIT 42E</t>
  </si>
  <si>
    <t>LEFT MULE UNIT 61</t>
  </si>
  <si>
    <t>RICE RIDGE 2</t>
  </si>
  <si>
    <t>LIBERTY 2 UNIT 13A</t>
  </si>
  <si>
    <t>LIBERTY 2 UNIT 12</t>
  </si>
  <si>
    <t>LIBERTY NEPA UNIT 3</t>
  </si>
  <si>
    <t>S FORK LOLO 6</t>
  </si>
  <si>
    <t>150tpa/70% stocked, 60% WL/LP/ES/PP, 2' HT</t>
  </si>
  <si>
    <t>150 TPA/70% stocked, 80% WL/LP/PP, 2' HT</t>
  </si>
  <si>
    <t>150 TPA/70% stocked, PP/WL, 2' HT</t>
  </si>
  <si>
    <t>150 TPA/70% stocked, PP/WL/DF/LP, 2' HT</t>
  </si>
  <si>
    <t>100 TPA/70% stocked, PP/WL, 2' HT</t>
  </si>
  <si>
    <t>150 TPA/70% stocked, &gt;50% WL/LP/aspen, 2' HT</t>
  </si>
  <si>
    <t>RICE RIDGE 1A</t>
  </si>
  <si>
    <t>RICE RIDGE 1B</t>
  </si>
  <si>
    <t>150 TPA/70% stocked, &gt;50% PP/WL/LP, 2' HT</t>
  </si>
  <si>
    <t>Block 1 - Total -Mandatory</t>
  </si>
  <si>
    <t>Block 2 - Total -Mandatory</t>
  </si>
  <si>
    <t>Mandatory</t>
  </si>
  <si>
    <t>RICE CRISPY NEPA UNIT 176</t>
  </si>
  <si>
    <t>RICE CRISPY NEPA UNIT 165</t>
  </si>
  <si>
    <t>RICE RIDGE NEPA UNIT 707</t>
  </si>
  <si>
    <t>RICE CRISPY NEPA UNIT 75</t>
  </si>
  <si>
    <t>RICE CRISPY NEPA UNIT 175</t>
  </si>
  <si>
    <t>RICE CRISPY NEPA UNIT 185</t>
  </si>
  <si>
    <t>LEFT MULE NEPA UNIT 35</t>
  </si>
  <si>
    <t>LEFT MULE NEPA UNIT 32</t>
  </si>
  <si>
    <t>LEFT MULE NEPA UNIT 31</t>
  </si>
  <si>
    <t>LEFT MULE NEPA UNIT 215</t>
  </si>
  <si>
    <t>LEFT MULE NEPA UNIT 33</t>
  </si>
  <si>
    <t>DARK HORSE NEPA UNIT 24</t>
  </si>
  <si>
    <t>DARK HORSE NEPA UNIT 23</t>
  </si>
  <si>
    <t>DARK HORSE NEPA UNIT 27E</t>
  </si>
  <si>
    <t>DARK HORSE NEPA UNIT 22</t>
  </si>
  <si>
    <t>RICE RIDGE NEPA UNIT 19</t>
  </si>
  <si>
    <t>DARK HORSE NEPA UNIT 19</t>
  </si>
  <si>
    <t>DARK HORSE NEPA UNIT 17</t>
  </si>
  <si>
    <t>150 TPA/70% stocked, 80%WL/LP, 2' HT</t>
  </si>
  <si>
    <t>150 TPA/70% stocked, &gt;75%WL, 2' HT</t>
  </si>
  <si>
    <t>150 TPA/70% stocked, 80%WL/PP, 2' HT</t>
  </si>
  <si>
    <t>LIBERTY 8</t>
  </si>
  <si>
    <t>LIBERTY 14</t>
  </si>
  <si>
    <t>LIBERTY 16</t>
  </si>
  <si>
    <t>LIBERTY 29</t>
  </si>
  <si>
    <t>LOLO PEAK 3</t>
  </si>
  <si>
    <t>LOLO PEAK 5</t>
  </si>
  <si>
    <t>LOLO PEAK 108</t>
  </si>
  <si>
    <t>Block 1 - Optional</t>
  </si>
  <si>
    <t>011603RA20170058000</t>
  </si>
  <si>
    <t>LOLO PEAK 58</t>
  </si>
  <si>
    <t>Block 2 - Optional</t>
  </si>
  <si>
    <t>011603RA2017LI07001</t>
  </si>
  <si>
    <t>LIBERTY 7</t>
  </si>
  <si>
    <t>011603RA20170050002</t>
  </si>
  <si>
    <t>LEFT MULE NEPA UNIT  61</t>
  </si>
  <si>
    <t>Total - Mandatory</t>
  </si>
  <si>
    <t>Total - Optional</t>
  </si>
  <si>
    <t>Washout on Mormon Crk, access only from NW corner</t>
  </si>
  <si>
    <t>Washout on Mormon Crk, walk in from NW corner of Lolo Pk 3</t>
  </si>
  <si>
    <t>Access from South unlikely; probably walk-in from Gold Peak</t>
  </si>
  <si>
    <t>6/15-11/1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</si>
</sst>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F6D8-CBB0-48BA-91D2-1362BB604B98}">
  <dimension ref="A1:L53"/>
  <sheetViews>
    <sheetView tabSelected="1" zoomScale="78" workbookViewId="0">
      <selection activeCell="L9" sqref="L9"/>
    </sheetView>
  </sheetViews>
  <sheetFormatPr defaultRowHeight="14.5" x14ac:dyDescent="0.35"/>
  <cols>
    <col min="2" max="2" width="16.7265625" customWidth="1"/>
    <col min="3" max="3" width="28.1796875" customWidth="1"/>
    <col min="4" max="4" width="24.26953125" customWidth="1"/>
    <col min="5" max="5" width="18" customWidth="1"/>
    <col min="8" max="8" width="17.54296875" customWidth="1"/>
    <col min="9" max="9" width="14.26953125" customWidth="1"/>
    <col min="10" max="10" width="12" customWidth="1"/>
    <col min="11" max="11" width="21.81640625" customWidth="1"/>
    <col min="12" max="12" width="26.81640625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 ht="58" x14ac:dyDescent="0.35">
      <c r="A2" s="4">
        <v>1</v>
      </c>
      <c r="B2" s="4" t="s">
        <v>12</v>
      </c>
      <c r="C2" s="4" t="s">
        <v>21</v>
      </c>
      <c r="D2" s="5" t="s">
        <v>111</v>
      </c>
      <c r="E2" s="4" t="s">
        <v>123</v>
      </c>
      <c r="F2" s="4">
        <v>38</v>
      </c>
      <c r="G2" s="4">
        <f>F2/2</f>
        <v>19</v>
      </c>
      <c r="H2" s="5" t="s">
        <v>63</v>
      </c>
      <c r="I2" s="6" t="s">
        <v>65</v>
      </c>
      <c r="J2" s="6" t="s">
        <v>144</v>
      </c>
      <c r="K2" s="8"/>
      <c r="L2" s="5" t="s">
        <v>165</v>
      </c>
    </row>
    <row r="3" spans="1:12" ht="43.5" x14ac:dyDescent="0.35">
      <c r="A3" s="4">
        <v>1</v>
      </c>
      <c r="B3" s="4" t="s">
        <v>12</v>
      </c>
      <c r="C3" s="4" t="s">
        <v>22</v>
      </c>
      <c r="D3" s="5" t="s">
        <v>149</v>
      </c>
      <c r="E3" s="4" t="s">
        <v>123</v>
      </c>
      <c r="F3" s="4">
        <v>226</v>
      </c>
      <c r="G3" s="4">
        <v>226</v>
      </c>
      <c r="H3" s="5" t="s">
        <v>13</v>
      </c>
      <c r="I3" s="6"/>
      <c r="J3" s="7" t="s">
        <v>14</v>
      </c>
      <c r="K3" s="8" t="s">
        <v>162</v>
      </c>
      <c r="L3" s="5" t="s">
        <v>165</v>
      </c>
    </row>
    <row r="4" spans="1:12" ht="43.5" x14ac:dyDescent="0.35">
      <c r="A4" s="4">
        <v>1</v>
      </c>
      <c r="B4" s="4" t="s">
        <v>12</v>
      </c>
      <c r="C4" s="9" t="s">
        <v>158</v>
      </c>
      <c r="D4" s="5" t="s">
        <v>150</v>
      </c>
      <c r="E4" s="4" t="s">
        <v>123</v>
      </c>
      <c r="F4" s="4">
        <v>300</v>
      </c>
      <c r="G4" s="4">
        <v>150</v>
      </c>
      <c r="H4" s="5" t="s">
        <v>13</v>
      </c>
      <c r="I4" s="6"/>
      <c r="J4" s="7" t="s">
        <v>14</v>
      </c>
      <c r="K4" s="8"/>
      <c r="L4" s="5" t="s">
        <v>165</v>
      </c>
    </row>
    <row r="5" spans="1:12" ht="43.5" x14ac:dyDescent="0.35">
      <c r="A5" s="4">
        <v>1</v>
      </c>
      <c r="B5" s="4" t="s">
        <v>12</v>
      </c>
      <c r="C5" s="9" t="s">
        <v>23</v>
      </c>
      <c r="D5" s="5" t="s">
        <v>151</v>
      </c>
      <c r="E5" s="4" t="s">
        <v>123</v>
      </c>
      <c r="F5" s="4">
        <v>43</v>
      </c>
      <c r="G5" s="4">
        <v>43</v>
      </c>
      <c r="H5" s="5" t="s">
        <v>13</v>
      </c>
      <c r="I5" s="6"/>
      <c r="J5" s="7" t="s">
        <v>14</v>
      </c>
      <c r="K5" s="8" t="s">
        <v>163</v>
      </c>
      <c r="L5" s="5" t="s">
        <v>165</v>
      </c>
    </row>
    <row r="6" spans="1:12" x14ac:dyDescent="0.35">
      <c r="A6" s="10" t="s">
        <v>121</v>
      </c>
      <c r="B6" s="4"/>
      <c r="C6" s="9"/>
      <c r="D6" s="5"/>
      <c r="E6" s="4"/>
      <c r="F6" s="11">
        <f>SUM(F2:F5)</f>
        <v>607</v>
      </c>
      <c r="G6" s="11">
        <f>SUM(G2:G5)</f>
        <v>438</v>
      </c>
      <c r="H6" s="5"/>
      <c r="I6" s="6"/>
      <c r="J6" s="6"/>
      <c r="K6" s="8"/>
      <c r="L6" s="5"/>
    </row>
    <row r="7" spans="1:12" ht="43.5" x14ac:dyDescent="0.35">
      <c r="A7" s="4">
        <v>1</v>
      </c>
      <c r="B7" s="4" t="s">
        <v>12</v>
      </c>
      <c r="C7" s="9" t="s">
        <v>153</v>
      </c>
      <c r="D7" s="5" t="s">
        <v>154</v>
      </c>
      <c r="E7" s="4" t="s">
        <v>17</v>
      </c>
      <c r="F7" s="4">
        <v>88</v>
      </c>
      <c r="G7" s="4">
        <v>88</v>
      </c>
      <c r="H7" s="5" t="s">
        <v>13</v>
      </c>
      <c r="I7" s="6"/>
      <c r="J7" s="7" t="s">
        <v>14</v>
      </c>
      <c r="K7" s="8"/>
      <c r="L7" s="5" t="s">
        <v>165</v>
      </c>
    </row>
    <row r="8" spans="1:12" x14ac:dyDescent="0.35">
      <c r="A8" s="10" t="s">
        <v>152</v>
      </c>
      <c r="B8" s="4"/>
      <c r="C8" s="9"/>
      <c r="D8" s="5"/>
      <c r="E8" s="4"/>
      <c r="F8" s="11">
        <v>88</v>
      </c>
      <c r="G8" s="11">
        <v>88</v>
      </c>
      <c r="H8" s="5"/>
      <c r="I8" s="6"/>
      <c r="J8" s="6"/>
      <c r="K8" s="8"/>
      <c r="L8" s="5"/>
    </row>
    <row r="9" spans="1:12" ht="58" x14ac:dyDescent="0.35">
      <c r="A9" s="4">
        <v>2</v>
      </c>
      <c r="B9" s="4" t="s">
        <v>15</v>
      </c>
      <c r="C9" s="9" t="s">
        <v>24</v>
      </c>
      <c r="D9" s="5" t="s">
        <v>110</v>
      </c>
      <c r="E9" s="4" t="s">
        <v>123</v>
      </c>
      <c r="F9" s="4">
        <v>66</v>
      </c>
      <c r="G9" s="4">
        <v>66</v>
      </c>
      <c r="H9" s="7" t="s">
        <v>13</v>
      </c>
      <c r="I9" s="6"/>
      <c r="J9" s="6" t="s">
        <v>112</v>
      </c>
      <c r="K9" s="6"/>
      <c r="L9" s="5" t="s">
        <v>18</v>
      </c>
    </row>
    <row r="10" spans="1:12" ht="58" x14ac:dyDescent="0.35">
      <c r="A10" s="4">
        <v>2</v>
      </c>
      <c r="B10" s="4" t="s">
        <v>15</v>
      </c>
      <c r="C10" s="9" t="s">
        <v>25</v>
      </c>
      <c r="D10" s="5" t="s">
        <v>109</v>
      </c>
      <c r="E10" s="4" t="s">
        <v>123</v>
      </c>
      <c r="F10" s="4">
        <v>33</v>
      </c>
      <c r="G10" s="4">
        <v>17</v>
      </c>
      <c r="H10" s="5" t="s">
        <v>66</v>
      </c>
      <c r="I10" s="6" t="s">
        <v>67</v>
      </c>
      <c r="J10" s="6" t="s">
        <v>16</v>
      </c>
      <c r="K10" s="8"/>
      <c r="L10" s="5" t="s">
        <v>18</v>
      </c>
    </row>
    <row r="11" spans="1:12" ht="58" x14ac:dyDescent="0.35">
      <c r="A11" s="4">
        <v>2</v>
      </c>
      <c r="B11" s="4" t="s">
        <v>15</v>
      </c>
      <c r="C11" s="9" t="s">
        <v>26</v>
      </c>
      <c r="D11" s="5" t="s">
        <v>108</v>
      </c>
      <c r="E11" s="4" t="s">
        <v>123</v>
      </c>
      <c r="F11" s="4">
        <v>28</v>
      </c>
      <c r="G11" s="4">
        <f t="shared" ref="G11:G47" si="0">F11/2</f>
        <v>14</v>
      </c>
      <c r="H11" s="5" t="s">
        <v>68</v>
      </c>
      <c r="I11" s="6" t="s">
        <v>69</v>
      </c>
      <c r="J11" s="6" t="s">
        <v>16</v>
      </c>
      <c r="K11" s="8"/>
      <c r="L11" s="5" t="s">
        <v>18</v>
      </c>
    </row>
    <row r="12" spans="1:12" ht="43.5" x14ac:dyDescent="0.35">
      <c r="A12" s="4">
        <v>2</v>
      </c>
      <c r="B12" s="4" t="s">
        <v>15</v>
      </c>
      <c r="C12" s="4" t="s">
        <v>58</v>
      </c>
      <c r="D12" s="5" t="s">
        <v>145</v>
      </c>
      <c r="E12" s="4" t="s">
        <v>123</v>
      </c>
      <c r="F12" s="4">
        <v>29</v>
      </c>
      <c r="G12" s="4">
        <v>15</v>
      </c>
      <c r="H12" s="5" t="s">
        <v>13</v>
      </c>
      <c r="I12" s="8"/>
      <c r="J12" s="5" t="s">
        <v>14</v>
      </c>
      <c r="K12" s="8"/>
      <c r="L12" s="5" t="s">
        <v>18</v>
      </c>
    </row>
    <row r="13" spans="1:12" ht="43.5" x14ac:dyDescent="0.35">
      <c r="A13" s="4">
        <v>2</v>
      </c>
      <c r="B13" s="4" t="s">
        <v>15</v>
      </c>
      <c r="C13" s="4" t="s">
        <v>59</v>
      </c>
      <c r="D13" s="5" t="s">
        <v>146</v>
      </c>
      <c r="E13" s="4" t="s">
        <v>123</v>
      </c>
      <c r="F13" s="4">
        <v>124</v>
      </c>
      <c r="G13" s="4">
        <f t="shared" si="0"/>
        <v>62</v>
      </c>
      <c r="H13" s="7" t="s">
        <v>13</v>
      </c>
      <c r="I13" s="6"/>
      <c r="J13" s="7" t="s">
        <v>14</v>
      </c>
      <c r="K13" s="8"/>
      <c r="L13" s="5" t="s">
        <v>18</v>
      </c>
    </row>
    <row r="14" spans="1:12" ht="43.5" x14ac:dyDescent="0.35">
      <c r="A14" s="4">
        <v>2</v>
      </c>
      <c r="B14" s="4" t="s">
        <v>15</v>
      </c>
      <c r="C14" s="4" t="s">
        <v>60</v>
      </c>
      <c r="D14" s="5" t="s">
        <v>147</v>
      </c>
      <c r="E14" s="4" t="s">
        <v>123</v>
      </c>
      <c r="F14" s="4">
        <v>32</v>
      </c>
      <c r="G14" s="4">
        <f t="shared" si="0"/>
        <v>16</v>
      </c>
      <c r="H14" s="7" t="s">
        <v>13</v>
      </c>
      <c r="I14" s="6"/>
      <c r="J14" s="7" t="s">
        <v>14</v>
      </c>
      <c r="K14" s="8"/>
      <c r="L14" s="5" t="s">
        <v>18</v>
      </c>
    </row>
    <row r="15" spans="1:12" ht="43.5" x14ac:dyDescent="0.35">
      <c r="A15" s="4">
        <v>2</v>
      </c>
      <c r="B15" s="4" t="s">
        <v>15</v>
      </c>
      <c r="C15" s="4" t="s">
        <v>61</v>
      </c>
      <c r="D15" s="5" t="s">
        <v>148</v>
      </c>
      <c r="E15" s="4" t="s">
        <v>123</v>
      </c>
      <c r="F15" s="4">
        <v>122</v>
      </c>
      <c r="G15" s="4">
        <f t="shared" si="0"/>
        <v>61</v>
      </c>
      <c r="H15" s="7" t="s">
        <v>13</v>
      </c>
      <c r="I15" s="6"/>
      <c r="J15" s="7" t="s">
        <v>14</v>
      </c>
      <c r="K15" s="8"/>
      <c r="L15" s="5" t="s">
        <v>18</v>
      </c>
    </row>
    <row r="16" spans="1:12" x14ac:dyDescent="0.35">
      <c r="A16" s="10" t="s">
        <v>122</v>
      </c>
      <c r="B16" s="4"/>
      <c r="C16" s="9"/>
      <c r="D16" s="5"/>
      <c r="E16" s="4"/>
      <c r="F16" s="11">
        <f>SUM(F9:F15)</f>
        <v>434</v>
      </c>
      <c r="G16" s="11">
        <f>SUM(G9:G15)</f>
        <v>251</v>
      </c>
      <c r="H16" s="5"/>
      <c r="I16" s="6"/>
      <c r="J16" s="6"/>
      <c r="K16" s="8"/>
      <c r="L16" s="5"/>
    </row>
    <row r="17" spans="1:12" ht="43.5" x14ac:dyDescent="0.35">
      <c r="A17" s="4">
        <v>2</v>
      </c>
      <c r="B17" s="4" t="s">
        <v>12</v>
      </c>
      <c r="C17" s="9" t="s">
        <v>156</v>
      </c>
      <c r="D17" s="5" t="s">
        <v>157</v>
      </c>
      <c r="E17" s="4" t="s">
        <v>17</v>
      </c>
      <c r="F17" s="4">
        <v>414</v>
      </c>
      <c r="G17" s="4">
        <v>207</v>
      </c>
      <c r="H17" s="5" t="s">
        <v>13</v>
      </c>
      <c r="I17" s="6"/>
      <c r="J17" s="7" t="s">
        <v>14</v>
      </c>
      <c r="K17" s="8" t="s">
        <v>164</v>
      </c>
      <c r="L17" s="5" t="s">
        <v>165</v>
      </c>
    </row>
    <row r="18" spans="1:12" x14ac:dyDescent="0.35">
      <c r="A18" s="10" t="s">
        <v>155</v>
      </c>
      <c r="B18" s="4"/>
      <c r="C18" s="9"/>
      <c r="D18" s="5"/>
      <c r="E18" s="4"/>
      <c r="F18" s="11">
        <f>SUM(F17)</f>
        <v>414</v>
      </c>
      <c r="G18" s="11">
        <f>SUM(G17)</f>
        <v>207</v>
      </c>
      <c r="H18" s="5"/>
      <c r="I18" s="6"/>
      <c r="J18" s="6"/>
      <c r="K18" s="8"/>
      <c r="L18" s="5"/>
    </row>
    <row r="19" spans="1:12" ht="58" x14ac:dyDescent="0.35">
      <c r="A19" s="4">
        <v>3</v>
      </c>
      <c r="B19" s="4" t="s">
        <v>15</v>
      </c>
      <c r="C19" s="9" t="s">
        <v>27</v>
      </c>
      <c r="D19" s="5" t="s">
        <v>124</v>
      </c>
      <c r="E19" s="4" t="s">
        <v>123</v>
      </c>
      <c r="F19" s="4">
        <v>9</v>
      </c>
      <c r="G19" s="4">
        <v>5</v>
      </c>
      <c r="H19" s="5" t="s">
        <v>13</v>
      </c>
      <c r="I19" s="6"/>
      <c r="J19" s="6" t="s">
        <v>113</v>
      </c>
      <c r="K19" s="8"/>
      <c r="L19" s="5" t="s">
        <v>18</v>
      </c>
    </row>
    <row r="20" spans="1:12" ht="58" x14ac:dyDescent="0.35">
      <c r="A20" s="4">
        <v>3</v>
      </c>
      <c r="B20" s="4" t="s">
        <v>15</v>
      </c>
      <c r="C20" s="9" t="s">
        <v>28</v>
      </c>
      <c r="D20" s="5" t="s">
        <v>125</v>
      </c>
      <c r="E20" s="4" t="s">
        <v>123</v>
      </c>
      <c r="F20" s="4">
        <v>4</v>
      </c>
      <c r="G20" s="4">
        <v>4</v>
      </c>
      <c r="H20" s="5" t="s">
        <v>13</v>
      </c>
      <c r="I20" s="6"/>
      <c r="J20" s="6" t="s">
        <v>142</v>
      </c>
      <c r="K20" s="8"/>
      <c r="L20" s="5" t="s">
        <v>18</v>
      </c>
    </row>
    <row r="21" spans="1:12" ht="58" x14ac:dyDescent="0.35">
      <c r="A21" s="4">
        <v>3</v>
      </c>
      <c r="B21" s="4" t="s">
        <v>15</v>
      </c>
      <c r="C21" s="9" t="s">
        <v>29</v>
      </c>
      <c r="D21" s="5" t="s">
        <v>126</v>
      </c>
      <c r="E21" s="4" t="s">
        <v>123</v>
      </c>
      <c r="F21" s="4">
        <v>65</v>
      </c>
      <c r="G21" s="4">
        <v>33</v>
      </c>
      <c r="H21" s="5" t="s">
        <v>13</v>
      </c>
      <c r="I21" s="6"/>
      <c r="J21" s="6" t="s">
        <v>143</v>
      </c>
      <c r="K21" s="8"/>
      <c r="L21" s="5" t="s">
        <v>18</v>
      </c>
    </row>
    <row r="22" spans="1:12" ht="58" x14ac:dyDescent="0.35">
      <c r="A22" s="4">
        <v>3</v>
      </c>
      <c r="B22" s="4" t="s">
        <v>15</v>
      </c>
      <c r="C22" s="9" t="s">
        <v>30</v>
      </c>
      <c r="D22" s="5" t="s">
        <v>127</v>
      </c>
      <c r="E22" s="4" t="s">
        <v>123</v>
      </c>
      <c r="F22" s="4">
        <v>16</v>
      </c>
      <c r="G22" s="4">
        <v>8</v>
      </c>
      <c r="H22" s="5" t="s">
        <v>13</v>
      </c>
      <c r="I22" s="6"/>
      <c r="J22" s="6" t="s">
        <v>142</v>
      </c>
      <c r="K22" s="8"/>
      <c r="L22" s="5" t="s">
        <v>18</v>
      </c>
    </row>
    <row r="23" spans="1:12" ht="58" x14ac:dyDescent="0.35">
      <c r="A23" s="4">
        <v>3</v>
      </c>
      <c r="B23" s="4" t="s">
        <v>15</v>
      </c>
      <c r="C23" s="9" t="s">
        <v>31</v>
      </c>
      <c r="D23" s="5" t="s">
        <v>128</v>
      </c>
      <c r="E23" s="4" t="s">
        <v>123</v>
      </c>
      <c r="F23" s="4">
        <v>18</v>
      </c>
      <c r="G23" s="4">
        <v>9</v>
      </c>
      <c r="H23" s="5" t="s">
        <v>13</v>
      </c>
      <c r="I23" s="6"/>
      <c r="J23" s="6" t="s">
        <v>113</v>
      </c>
      <c r="K23" s="8"/>
      <c r="L23" s="5" t="s">
        <v>18</v>
      </c>
    </row>
    <row r="24" spans="1:12" ht="58" x14ac:dyDescent="0.35">
      <c r="A24" s="4">
        <v>3</v>
      </c>
      <c r="B24" s="4" t="s">
        <v>15</v>
      </c>
      <c r="C24" s="4" t="s">
        <v>32</v>
      </c>
      <c r="D24" s="5" t="s">
        <v>129</v>
      </c>
      <c r="E24" s="4" t="s">
        <v>123</v>
      </c>
      <c r="F24" s="4">
        <v>22</v>
      </c>
      <c r="G24" s="9">
        <v>22</v>
      </c>
      <c r="H24" s="5" t="s">
        <v>70</v>
      </c>
      <c r="I24" s="6" t="s">
        <v>71</v>
      </c>
      <c r="J24" s="6" t="s">
        <v>113</v>
      </c>
      <c r="K24" s="8"/>
      <c r="L24" s="5" t="s">
        <v>18</v>
      </c>
    </row>
    <row r="25" spans="1:12" ht="72.5" x14ac:dyDescent="0.35">
      <c r="A25" s="4">
        <v>3</v>
      </c>
      <c r="B25" s="4" t="s">
        <v>15</v>
      </c>
      <c r="C25" s="4" t="s">
        <v>33</v>
      </c>
      <c r="D25" s="5" t="s">
        <v>118</v>
      </c>
      <c r="E25" s="4" t="s">
        <v>123</v>
      </c>
      <c r="F25" s="4">
        <v>18</v>
      </c>
      <c r="G25" s="9">
        <f t="shared" si="0"/>
        <v>9</v>
      </c>
      <c r="H25" s="5" t="s">
        <v>72</v>
      </c>
      <c r="I25" s="6" t="s">
        <v>73</v>
      </c>
      <c r="J25" s="7" t="s">
        <v>117</v>
      </c>
      <c r="K25" s="8"/>
      <c r="L25" s="5" t="s">
        <v>18</v>
      </c>
    </row>
    <row r="26" spans="1:12" ht="72.5" x14ac:dyDescent="0.35">
      <c r="A26" s="4">
        <v>3</v>
      </c>
      <c r="B26" s="4" t="s">
        <v>15</v>
      </c>
      <c r="C26" s="4" t="s">
        <v>34</v>
      </c>
      <c r="D26" s="5" t="s">
        <v>119</v>
      </c>
      <c r="E26" s="4" t="s">
        <v>123</v>
      </c>
      <c r="F26" s="4">
        <v>15</v>
      </c>
      <c r="G26" s="4">
        <v>8</v>
      </c>
      <c r="H26" s="5" t="s">
        <v>74</v>
      </c>
      <c r="I26" s="6" t="s">
        <v>73</v>
      </c>
      <c r="J26" s="7" t="s">
        <v>117</v>
      </c>
      <c r="K26" s="8"/>
      <c r="L26" s="5" t="s">
        <v>18</v>
      </c>
    </row>
    <row r="27" spans="1:12" ht="72.5" x14ac:dyDescent="0.35">
      <c r="A27" s="4">
        <v>3</v>
      </c>
      <c r="B27" s="4" t="s">
        <v>15</v>
      </c>
      <c r="C27" s="4" t="s">
        <v>35</v>
      </c>
      <c r="D27" s="5" t="s">
        <v>107</v>
      </c>
      <c r="E27" s="4" t="s">
        <v>123</v>
      </c>
      <c r="F27" s="4">
        <v>16</v>
      </c>
      <c r="G27" s="4">
        <f t="shared" si="0"/>
        <v>8</v>
      </c>
      <c r="H27" s="5" t="s">
        <v>74</v>
      </c>
      <c r="I27" s="6" t="s">
        <v>75</v>
      </c>
      <c r="J27" s="7" t="s">
        <v>120</v>
      </c>
      <c r="K27" s="8"/>
      <c r="L27" s="5" t="s">
        <v>18</v>
      </c>
    </row>
    <row r="28" spans="1:12" ht="58" x14ac:dyDescent="0.35">
      <c r="A28" s="4">
        <v>3</v>
      </c>
      <c r="B28" s="4" t="s">
        <v>15</v>
      </c>
      <c r="C28" s="9" t="s">
        <v>36</v>
      </c>
      <c r="D28" s="5" t="s">
        <v>159</v>
      </c>
      <c r="E28" s="4" t="s">
        <v>123</v>
      </c>
      <c r="F28" s="9">
        <v>18</v>
      </c>
      <c r="G28" s="9">
        <f t="shared" si="0"/>
        <v>9</v>
      </c>
      <c r="H28" s="5" t="s">
        <v>64</v>
      </c>
      <c r="I28" s="6" t="s">
        <v>83</v>
      </c>
      <c r="J28" s="6" t="s">
        <v>19</v>
      </c>
      <c r="K28" s="5"/>
      <c r="L28" s="5" t="s">
        <v>18</v>
      </c>
    </row>
    <row r="29" spans="1:12" ht="58" x14ac:dyDescent="0.35">
      <c r="A29" s="4">
        <v>3</v>
      </c>
      <c r="B29" s="4" t="s">
        <v>15</v>
      </c>
      <c r="C29" s="9" t="s">
        <v>37</v>
      </c>
      <c r="D29" s="5" t="s">
        <v>106</v>
      </c>
      <c r="E29" s="4" t="s">
        <v>123</v>
      </c>
      <c r="F29" s="9">
        <v>13</v>
      </c>
      <c r="G29" s="9">
        <v>7</v>
      </c>
      <c r="H29" s="7" t="s">
        <v>76</v>
      </c>
      <c r="I29" s="6" t="s">
        <v>77</v>
      </c>
      <c r="J29" s="6" t="s">
        <v>19</v>
      </c>
      <c r="K29" s="8"/>
      <c r="L29" s="5" t="s">
        <v>18</v>
      </c>
    </row>
    <row r="30" spans="1:12" ht="58" x14ac:dyDescent="0.35">
      <c r="A30" s="4">
        <v>3</v>
      </c>
      <c r="B30" s="4" t="s">
        <v>15</v>
      </c>
      <c r="C30" s="9" t="s">
        <v>38</v>
      </c>
      <c r="D30" s="5" t="s">
        <v>130</v>
      </c>
      <c r="E30" s="4" t="s">
        <v>123</v>
      </c>
      <c r="F30" s="9">
        <v>22</v>
      </c>
      <c r="G30" s="9">
        <v>22</v>
      </c>
      <c r="H30" s="7" t="s">
        <v>78</v>
      </c>
      <c r="I30" s="6" t="s">
        <v>82</v>
      </c>
      <c r="J30" s="6" t="s">
        <v>19</v>
      </c>
      <c r="K30" s="8"/>
      <c r="L30" s="5" t="s">
        <v>18</v>
      </c>
    </row>
    <row r="31" spans="1:12" ht="58" x14ac:dyDescent="0.35">
      <c r="A31" s="4">
        <v>3</v>
      </c>
      <c r="B31" s="4" t="s">
        <v>15</v>
      </c>
      <c r="C31" s="9" t="s">
        <v>39</v>
      </c>
      <c r="D31" s="5" t="s">
        <v>105</v>
      </c>
      <c r="E31" s="4" t="s">
        <v>123</v>
      </c>
      <c r="F31" s="9">
        <v>28</v>
      </c>
      <c r="G31" s="9">
        <v>28</v>
      </c>
      <c r="H31" s="7" t="s">
        <v>79</v>
      </c>
      <c r="I31" s="6" t="s">
        <v>84</v>
      </c>
      <c r="J31" s="6" t="s">
        <v>19</v>
      </c>
      <c r="K31" s="8"/>
      <c r="L31" s="5" t="s">
        <v>18</v>
      </c>
    </row>
    <row r="32" spans="1:12" ht="58" x14ac:dyDescent="0.35">
      <c r="A32" s="4">
        <v>3</v>
      </c>
      <c r="B32" s="4" t="s">
        <v>15</v>
      </c>
      <c r="C32" s="9" t="s">
        <v>40</v>
      </c>
      <c r="D32" s="5" t="s">
        <v>104</v>
      </c>
      <c r="E32" s="4" t="s">
        <v>123</v>
      </c>
      <c r="F32" s="9">
        <v>9</v>
      </c>
      <c r="G32" s="9">
        <v>5</v>
      </c>
      <c r="H32" s="7" t="s">
        <v>79</v>
      </c>
      <c r="I32" s="6" t="s">
        <v>80</v>
      </c>
      <c r="J32" s="6" t="s">
        <v>19</v>
      </c>
      <c r="K32" s="8"/>
      <c r="L32" s="5" t="s">
        <v>18</v>
      </c>
    </row>
    <row r="33" spans="1:12" ht="58" x14ac:dyDescent="0.35">
      <c r="A33" s="4">
        <v>3</v>
      </c>
      <c r="B33" s="4" t="s">
        <v>15</v>
      </c>
      <c r="C33" s="9" t="s">
        <v>41</v>
      </c>
      <c r="D33" s="5" t="s">
        <v>103</v>
      </c>
      <c r="E33" s="4" t="s">
        <v>123</v>
      </c>
      <c r="F33" s="9">
        <v>25</v>
      </c>
      <c r="G33" s="9">
        <v>13</v>
      </c>
      <c r="H33" s="7" t="s">
        <v>79</v>
      </c>
      <c r="I33" s="6" t="s">
        <v>81</v>
      </c>
      <c r="J33" s="6" t="s">
        <v>19</v>
      </c>
      <c r="K33" s="8"/>
      <c r="L33" s="5" t="s">
        <v>18</v>
      </c>
    </row>
    <row r="34" spans="1:12" ht="58" x14ac:dyDescent="0.35">
      <c r="A34" s="4">
        <v>3</v>
      </c>
      <c r="B34" s="4" t="s">
        <v>15</v>
      </c>
      <c r="C34" s="9" t="s">
        <v>42</v>
      </c>
      <c r="D34" s="5" t="s">
        <v>102</v>
      </c>
      <c r="E34" s="4" t="s">
        <v>123</v>
      </c>
      <c r="F34" s="9">
        <v>12</v>
      </c>
      <c r="G34" s="9">
        <f t="shared" si="0"/>
        <v>6</v>
      </c>
      <c r="H34" s="7" t="s">
        <v>79</v>
      </c>
      <c r="I34" s="6" t="s">
        <v>85</v>
      </c>
      <c r="J34" s="6" t="s">
        <v>19</v>
      </c>
      <c r="K34" s="8"/>
      <c r="L34" s="5" t="s">
        <v>18</v>
      </c>
    </row>
    <row r="35" spans="1:12" ht="58" x14ac:dyDescent="0.35">
      <c r="A35" s="4">
        <v>3</v>
      </c>
      <c r="B35" s="4" t="s">
        <v>15</v>
      </c>
      <c r="C35" s="9" t="s">
        <v>43</v>
      </c>
      <c r="D35" s="5" t="s">
        <v>131</v>
      </c>
      <c r="E35" s="4" t="s">
        <v>123</v>
      </c>
      <c r="F35" s="9">
        <v>36</v>
      </c>
      <c r="G35" s="9">
        <f t="shared" si="0"/>
        <v>18</v>
      </c>
      <c r="H35" s="7" t="s">
        <v>79</v>
      </c>
      <c r="I35" s="6" t="s">
        <v>86</v>
      </c>
      <c r="J35" s="6" t="s">
        <v>19</v>
      </c>
      <c r="K35" s="8"/>
      <c r="L35" s="5" t="s">
        <v>18</v>
      </c>
    </row>
    <row r="36" spans="1:12" ht="58" x14ac:dyDescent="0.35">
      <c r="A36" s="4">
        <v>3</v>
      </c>
      <c r="B36" s="4" t="s">
        <v>15</v>
      </c>
      <c r="C36" s="9" t="s">
        <v>44</v>
      </c>
      <c r="D36" s="5" t="s">
        <v>132</v>
      </c>
      <c r="E36" s="4" t="s">
        <v>123</v>
      </c>
      <c r="F36" s="9">
        <v>11</v>
      </c>
      <c r="G36" s="9">
        <v>6</v>
      </c>
      <c r="H36" s="7" t="s">
        <v>79</v>
      </c>
      <c r="I36" s="6" t="s">
        <v>87</v>
      </c>
      <c r="J36" s="6" t="s">
        <v>19</v>
      </c>
      <c r="K36" s="8"/>
      <c r="L36" s="5" t="s">
        <v>18</v>
      </c>
    </row>
    <row r="37" spans="1:12" ht="58" x14ac:dyDescent="0.35">
      <c r="A37" s="4">
        <v>3</v>
      </c>
      <c r="B37" s="4" t="s">
        <v>15</v>
      </c>
      <c r="C37" s="9" t="s">
        <v>45</v>
      </c>
      <c r="D37" s="5" t="s">
        <v>133</v>
      </c>
      <c r="E37" s="4" t="s">
        <v>123</v>
      </c>
      <c r="F37" s="9">
        <v>3</v>
      </c>
      <c r="G37" s="9">
        <v>4</v>
      </c>
      <c r="H37" s="7" t="s">
        <v>76</v>
      </c>
      <c r="I37" s="6" t="s">
        <v>88</v>
      </c>
      <c r="J37" s="6" t="s">
        <v>19</v>
      </c>
      <c r="K37" s="8"/>
      <c r="L37" s="5" t="s">
        <v>18</v>
      </c>
    </row>
    <row r="38" spans="1:12" ht="58" x14ac:dyDescent="0.35">
      <c r="A38" s="4">
        <v>3</v>
      </c>
      <c r="B38" s="4" t="s">
        <v>15</v>
      </c>
      <c r="C38" s="9" t="s">
        <v>46</v>
      </c>
      <c r="D38" s="5" t="s">
        <v>134</v>
      </c>
      <c r="E38" s="4" t="s">
        <v>123</v>
      </c>
      <c r="F38" s="9">
        <v>33</v>
      </c>
      <c r="G38" s="9">
        <v>17</v>
      </c>
      <c r="H38" s="7" t="s">
        <v>74</v>
      </c>
      <c r="I38" s="6" t="s">
        <v>89</v>
      </c>
      <c r="J38" s="6" t="s">
        <v>19</v>
      </c>
      <c r="K38" s="8"/>
      <c r="L38" s="5" t="s">
        <v>18</v>
      </c>
    </row>
    <row r="39" spans="1:12" ht="58" x14ac:dyDescent="0.35">
      <c r="A39" s="4">
        <v>3</v>
      </c>
      <c r="B39" s="4" t="s">
        <v>15</v>
      </c>
      <c r="C39" s="9" t="s">
        <v>47</v>
      </c>
      <c r="D39" s="5" t="s">
        <v>92</v>
      </c>
      <c r="E39" s="4" t="s">
        <v>123</v>
      </c>
      <c r="F39" s="9">
        <v>13</v>
      </c>
      <c r="G39" s="9">
        <v>7</v>
      </c>
      <c r="H39" s="7" t="s">
        <v>79</v>
      </c>
      <c r="I39" s="6" t="s">
        <v>90</v>
      </c>
      <c r="J39" s="6" t="s">
        <v>19</v>
      </c>
      <c r="K39" s="8"/>
      <c r="L39" s="5" t="s">
        <v>18</v>
      </c>
    </row>
    <row r="40" spans="1:12" ht="58" x14ac:dyDescent="0.35">
      <c r="A40" s="4">
        <v>3</v>
      </c>
      <c r="B40" s="4" t="s">
        <v>15</v>
      </c>
      <c r="C40" s="9" t="s">
        <v>48</v>
      </c>
      <c r="D40" s="5" t="s">
        <v>93</v>
      </c>
      <c r="E40" s="4" t="s">
        <v>123</v>
      </c>
      <c r="F40" s="9">
        <v>18</v>
      </c>
      <c r="G40" s="9">
        <f t="shared" si="0"/>
        <v>9</v>
      </c>
      <c r="H40" s="7" t="s">
        <v>79</v>
      </c>
      <c r="I40" s="6" t="s">
        <v>91</v>
      </c>
      <c r="J40" s="6" t="s">
        <v>19</v>
      </c>
      <c r="K40" s="8"/>
      <c r="L40" s="5" t="s">
        <v>18</v>
      </c>
    </row>
    <row r="41" spans="1:12" ht="58" x14ac:dyDescent="0.35">
      <c r="A41" s="4">
        <v>3</v>
      </c>
      <c r="B41" s="4" t="s">
        <v>15</v>
      </c>
      <c r="C41" s="9" t="s">
        <v>49</v>
      </c>
      <c r="D41" s="5" t="s">
        <v>94</v>
      </c>
      <c r="E41" s="4" t="s">
        <v>123</v>
      </c>
      <c r="F41" s="9">
        <v>11</v>
      </c>
      <c r="G41" s="9">
        <v>6</v>
      </c>
      <c r="H41" s="7" t="s">
        <v>79</v>
      </c>
      <c r="I41" s="6" t="s">
        <v>95</v>
      </c>
      <c r="J41" s="6" t="s">
        <v>19</v>
      </c>
      <c r="K41" s="8"/>
      <c r="L41" s="5" t="s">
        <v>18</v>
      </c>
    </row>
    <row r="42" spans="1:12" ht="43.5" x14ac:dyDescent="0.35">
      <c r="A42" s="4">
        <v>3</v>
      </c>
      <c r="B42" s="4" t="s">
        <v>15</v>
      </c>
      <c r="C42" s="9" t="s">
        <v>50</v>
      </c>
      <c r="D42" s="5" t="s">
        <v>135</v>
      </c>
      <c r="E42" s="4" t="s">
        <v>123</v>
      </c>
      <c r="F42" s="9">
        <v>36</v>
      </c>
      <c r="G42" s="9">
        <f t="shared" si="0"/>
        <v>18</v>
      </c>
      <c r="H42" s="7" t="s">
        <v>97</v>
      </c>
      <c r="I42" s="6" t="s">
        <v>96</v>
      </c>
      <c r="J42" s="13" t="s">
        <v>114</v>
      </c>
      <c r="K42" s="8"/>
      <c r="L42" s="5" t="s">
        <v>18</v>
      </c>
    </row>
    <row r="43" spans="1:12" ht="43.5" x14ac:dyDescent="0.35">
      <c r="A43" s="4">
        <v>3</v>
      </c>
      <c r="B43" s="4" t="s">
        <v>15</v>
      </c>
      <c r="C43" s="9" t="s">
        <v>51</v>
      </c>
      <c r="D43" s="5" t="s">
        <v>136</v>
      </c>
      <c r="E43" s="4" t="s">
        <v>123</v>
      </c>
      <c r="F43" s="9">
        <v>16</v>
      </c>
      <c r="G43" s="9">
        <f t="shared" si="0"/>
        <v>8</v>
      </c>
      <c r="H43" s="7" t="s">
        <v>62</v>
      </c>
      <c r="I43" s="12" t="s">
        <v>98</v>
      </c>
      <c r="J43" s="13" t="s">
        <v>114</v>
      </c>
      <c r="K43" s="8"/>
      <c r="L43" s="5" t="s">
        <v>18</v>
      </c>
    </row>
    <row r="44" spans="1:12" ht="58" x14ac:dyDescent="0.35">
      <c r="A44" s="4">
        <v>3</v>
      </c>
      <c r="B44" s="4" t="s">
        <v>15</v>
      </c>
      <c r="C44" s="9" t="s">
        <v>52</v>
      </c>
      <c r="D44" s="5" t="s">
        <v>137</v>
      </c>
      <c r="E44" s="4" t="s">
        <v>123</v>
      </c>
      <c r="F44" s="9">
        <v>50</v>
      </c>
      <c r="G44" s="9">
        <f t="shared" si="0"/>
        <v>25</v>
      </c>
      <c r="H44" s="7" t="s">
        <v>79</v>
      </c>
      <c r="I44" s="13" t="s">
        <v>99</v>
      </c>
      <c r="J44" s="13" t="s">
        <v>115</v>
      </c>
      <c r="K44" s="8"/>
      <c r="L44" s="5" t="s">
        <v>18</v>
      </c>
    </row>
    <row r="45" spans="1:12" ht="43.5" x14ac:dyDescent="0.35">
      <c r="A45" s="4">
        <v>3</v>
      </c>
      <c r="B45" s="4" t="s">
        <v>15</v>
      </c>
      <c r="C45" s="9" t="s">
        <v>53</v>
      </c>
      <c r="D45" s="5" t="s">
        <v>138</v>
      </c>
      <c r="E45" s="4" t="s">
        <v>123</v>
      </c>
      <c r="F45" s="9">
        <v>9</v>
      </c>
      <c r="G45" s="9">
        <v>5</v>
      </c>
      <c r="H45" s="7" t="s">
        <v>76</v>
      </c>
      <c r="I45" s="6" t="s">
        <v>100</v>
      </c>
      <c r="J45" s="13" t="s">
        <v>116</v>
      </c>
      <c r="K45" s="8"/>
      <c r="L45" s="5" t="s">
        <v>18</v>
      </c>
    </row>
    <row r="46" spans="1:12" ht="72.5" x14ac:dyDescent="0.35">
      <c r="A46" s="4">
        <v>3</v>
      </c>
      <c r="B46" s="4" t="s">
        <v>15</v>
      </c>
      <c r="C46" s="9" t="s">
        <v>54</v>
      </c>
      <c r="D46" s="5" t="s">
        <v>139</v>
      </c>
      <c r="E46" s="4" t="s">
        <v>123</v>
      </c>
      <c r="F46" s="9">
        <v>8</v>
      </c>
      <c r="G46" s="9">
        <v>5</v>
      </c>
      <c r="H46" s="7" t="s">
        <v>13</v>
      </c>
      <c r="I46" s="6"/>
      <c r="J46" s="7" t="s">
        <v>120</v>
      </c>
      <c r="K46" s="8"/>
      <c r="L46" s="5" t="s">
        <v>18</v>
      </c>
    </row>
    <row r="47" spans="1:12" ht="58" x14ac:dyDescent="0.35">
      <c r="A47" s="4">
        <v>3</v>
      </c>
      <c r="B47" s="4" t="s">
        <v>15</v>
      </c>
      <c r="C47" s="9" t="s">
        <v>55</v>
      </c>
      <c r="D47" s="5" t="s">
        <v>140</v>
      </c>
      <c r="E47" s="4" t="s">
        <v>123</v>
      </c>
      <c r="F47" s="9">
        <v>10</v>
      </c>
      <c r="G47" s="9">
        <f t="shared" si="0"/>
        <v>5</v>
      </c>
      <c r="H47" s="7" t="s">
        <v>13</v>
      </c>
      <c r="I47" s="6"/>
      <c r="J47" s="13" t="s">
        <v>115</v>
      </c>
      <c r="K47" s="8"/>
      <c r="L47" s="5" t="s">
        <v>18</v>
      </c>
    </row>
    <row r="48" spans="1:12" ht="58" x14ac:dyDescent="0.35">
      <c r="A48" s="4">
        <v>3</v>
      </c>
      <c r="B48" s="4" t="s">
        <v>15</v>
      </c>
      <c r="C48" s="9" t="s">
        <v>56</v>
      </c>
      <c r="D48" s="5" t="s">
        <v>141</v>
      </c>
      <c r="E48" s="4" t="s">
        <v>123</v>
      </c>
      <c r="F48" s="9">
        <v>25</v>
      </c>
      <c r="G48" s="9">
        <v>13</v>
      </c>
      <c r="H48" s="7" t="s">
        <v>13</v>
      </c>
      <c r="I48" s="6"/>
      <c r="J48" s="13" t="s">
        <v>115</v>
      </c>
      <c r="K48" s="8"/>
      <c r="L48" s="5" t="s">
        <v>18</v>
      </c>
    </row>
    <row r="49" spans="1:12" ht="58" x14ac:dyDescent="0.35">
      <c r="A49" s="4">
        <v>3</v>
      </c>
      <c r="B49" s="4" t="s">
        <v>15</v>
      </c>
      <c r="C49" s="4" t="s">
        <v>57</v>
      </c>
      <c r="D49" s="5" t="s">
        <v>101</v>
      </c>
      <c r="E49" s="4" t="s">
        <v>123</v>
      </c>
      <c r="F49" s="4">
        <v>6</v>
      </c>
      <c r="G49" s="4">
        <v>5</v>
      </c>
      <c r="H49" s="7" t="s">
        <v>13</v>
      </c>
      <c r="I49" s="6"/>
      <c r="J49" s="13" t="s">
        <v>115</v>
      </c>
      <c r="K49" s="8"/>
      <c r="L49" s="5" t="s">
        <v>18</v>
      </c>
    </row>
    <row r="50" spans="1:12" x14ac:dyDescent="0.35">
      <c r="A50" s="10" t="s">
        <v>20</v>
      </c>
      <c r="B50" s="4"/>
      <c r="C50" s="9"/>
      <c r="D50" s="5"/>
      <c r="E50" s="4"/>
      <c r="F50" s="11">
        <f>SUM(F19:F49)</f>
        <v>595</v>
      </c>
      <c r="G50" s="11">
        <f>SUM(G19:G49)</f>
        <v>347</v>
      </c>
      <c r="H50" s="5"/>
      <c r="I50" s="6"/>
      <c r="J50" s="6"/>
      <c r="K50" s="8"/>
      <c r="L50" s="5"/>
    </row>
    <row r="51" spans="1:12" x14ac:dyDescent="0.35">
      <c r="A51" s="9"/>
      <c r="B51" s="9"/>
      <c r="C51" s="9"/>
      <c r="D51" s="7"/>
      <c r="E51" s="4"/>
      <c r="F51" s="9"/>
      <c r="G51" s="9"/>
      <c r="H51" s="7"/>
      <c r="I51" s="6"/>
      <c r="J51" s="7"/>
      <c r="K51" s="6"/>
      <c r="L51" s="5"/>
    </row>
    <row r="52" spans="1:12" x14ac:dyDescent="0.35">
      <c r="A52" s="14" t="s">
        <v>160</v>
      </c>
      <c r="B52" s="9"/>
      <c r="C52" s="9"/>
      <c r="D52" s="7"/>
      <c r="E52" s="4"/>
      <c r="F52" s="15">
        <f>F50+F16+F6</f>
        <v>1636</v>
      </c>
      <c r="G52" s="15">
        <f>G50+G16+G6</f>
        <v>1036</v>
      </c>
      <c r="H52" s="7"/>
      <c r="I52" s="6"/>
      <c r="J52" s="7"/>
      <c r="K52" s="6"/>
      <c r="L52" s="5"/>
    </row>
    <row r="53" spans="1:12" x14ac:dyDescent="0.35">
      <c r="A53" s="10" t="s">
        <v>161</v>
      </c>
      <c r="B53" s="4"/>
      <c r="C53" s="4"/>
      <c r="D53" s="5"/>
      <c r="E53" s="4"/>
      <c r="F53" s="11">
        <f>F18+F8</f>
        <v>502</v>
      </c>
      <c r="G53" s="11">
        <f>G18+G8</f>
        <v>295</v>
      </c>
      <c r="H53" s="5"/>
      <c r="I53" s="6"/>
      <c r="J53" s="7"/>
      <c r="K53" s="8"/>
      <c r="L53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Stokley, Savanah - FS, MT</dc:creator>
  <cp:lastModifiedBy>Seaman, Timothy - FS, MT</cp:lastModifiedBy>
  <dcterms:created xsi:type="dcterms:W3CDTF">2026-02-03T17:44:58Z</dcterms:created>
  <dcterms:modified xsi:type="dcterms:W3CDTF">2026-02-09T21:37:41Z</dcterms:modified>
</cp:coreProperties>
</file>