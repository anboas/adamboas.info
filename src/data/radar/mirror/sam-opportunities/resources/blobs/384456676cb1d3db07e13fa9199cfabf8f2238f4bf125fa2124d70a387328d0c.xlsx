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NATIONAL CONTRACTS\1. SODA BAG-IN-BOX\15-Month Soda IDTC Contracts\2026 Soda IDTC\Sec 1-Acq Plan\Tab 7- Market Research\Sources Sought Notice\"/>
    </mc:Choice>
  </mc:AlternateContent>
  <xr:revisionPtr revIDLastSave="0" documentId="13_ncr:1_{E0F84128-10D5-4F23-9662-85E51C07B890}" xr6:coauthVersionLast="47" xr6:coauthVersionMax="47" xr10:uidLastSave="{00000000-0000-0000-0000-000000000000}"/>
  <bookViews>
    <workbookView xWindow="-120" yWindow="90" windowWidth="29040" windowHeight="15510" activeTab="2" xr2:uid="{8E14E7C2-145A-4B1F-881A-E0E7FD86E5BE}"/>
  </bookViews>
  <sheets>
    <sheet name="Instructions" sheetId="4" r:id="rId1"/>
    <sheet name="Company Information" sheetId="3" r:id="rId2"/>
    <sheet name="Bag-In-Box Schedule of Items" sheetId="5" r:id="rId3"/>
    <sheet name="Flavors-Category Description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5" l="1"/>
  <c r="H3" i="5"/>
  <c r="H15" i="5"/>
  <c r="H8" i="5"/>
  <c r="G4" i="5"/>
  <c r="H4" i="5" s="1"/>
  <c r="G5" i="5"/>
  <c r="H5" i="5" s="1"/>
  <c r="G6" i="5"/>
  <c r="G9" i="5"/>
  <c r="G10" i="5"/>
  <c r="G11" i="5"/>
  <c r="G12" i="5"/>
  <c r="H12" i="5" s="1"/>
  <c r="H20" i="5" l="1"/>
  <c r="H19" i="5"/>
  <c r="H18" i="5"/>
  <c r="H14" i="5"/>
  <c r="H13" i="5"/>
  <c r="F12" i="5"/>
  <c r="F11" i="5"/>
  <c r="H11" i="5"/>
  <c r="F10" i="5"/>
  <c r="H10" i="5"/>
  <c r="H9" i="5"/>
  <c r="F9" i="5"/>
  <c r="F7" i="5"/>
  <c r="H7" i="5"/>
  <c r="F6" i="5"/>
  <c r="H6" i="5"/>
  <c r="F5" i="5"/>
  <c r="F4" i="5"/>
  <c r="F3" i="5"/>
</calcChain>
</file>

<file path=xl/sharedStrings.xml><?xml version="1.0" encoding="utf-8"?>
<sst xmlns="http://schemas.openxmlformats.org/spreadsheetml/2006/main" count="131" uniqueCount="101">
  <si>
    <t xml:space="preserve">SCHEDULE OF ITEMS </t>
  </si>
  <si>
    <t xml:space="preserve">CATEGORY # </t>
  </si>
  <si>
    <t>CATEGORY DESCRIPTION</t>
  </si>
  <si>
    <t>LINE ITEM</t>
  </si>
  <si>
    <t>CUSTOMERS</t>
  </si>
  <si>
    <t>UNIT</t>
  </si>
  <si>
    <t>0001</t>
  </si>
  <si>
    <t>CONUS LAND:  Army, Air Force, Marines, Coast Guard land, Navy land, and other DoD customers</t>
  </si>
  <si>
    <t>0002</t>
  </si>
  <si>
    <t>CONUS SHIPS:  Coast Guard Cutters and Naval Ships</t>
  </si>
  <si>
    <t>0003</t>
  </si>
  <si>
    <t>Alaska customers</t>
  </si>
  <si>
    <t>0004</t>
  </si>
  <si>
    <t>Hawaii</t>
  </si>
  <si>
    <t>0005</t>
  </si>
  <si>
    <t>Guam</t>
  </si>
  <si>
    <t>0006</t>
  </si>
  <si>
    <t>Touch Screen/Touchless Dispenser</t>
  </si>
  <si>
    <t>0007</t>
  </si>
  <si>
    <t>CONUS:  Army, Air Force, Marines, Coast Guard land, Navy land, and other DoD customers</t>
  </si>
  <si>
    <t>0008</t>
  </si>
  <si>
    <t>0009</t>
  </si>
  <si>
    <t>0010</t>
  </si>
  <si>
    <t>GL</t>
  </si>
  <si>
    <t>0011</t>
  </si>
  <si>
    <t>0012</t>
  </si>
  <si>
    <t>customers</t>
  </si>
  <si>
    <t>ABSTRACT OF OFFERORS</t>
  </si>
  <si>
    <t>ITEMS: CARBONATED AND NON-CARBONATED BAG-IN-BOX BEVERAGE PRODUCTS</t>
  </si>
  <si>
    <t>DLA TROOP SUPPORT</t>
  </si>
  <si>
    <t>DIRECTORATE OF SUBSISTENCE - BUILDING 6B</t>
  </si>
  <si>
    <t>700 ROBBINS AVENUE</t>
  </si>
  <si>
    <t>PHILADELPHIA, PA 19111</t>
  </si>
  <si>
    <t>OFFEROR</t>
  </si>
  <si>
    <t>Company Name:</t>
  </si>
  <si>
    <t>Address:</t>
  </si>
  <si>
    <r>
      <rPr>
        <b/>
        <sz val="12"/>
        <color theme="1"/>
        <rFont val="Times New Roman"/>
        <family val="1"/>
      </rPr>
      <t>Cage Code:</t>
    </r>
    <r>
      <rPr>
        <sz val="12"/>
        <color theme="1"/>
        <rFont val="Times New Roman"/>
        <family val="1"/>
      </rPr>
      <t xml:space="preserve"> </t>
    </r>
  </si>
  <si>
    <t>DUNS Number:</t>
  </si>
  <si>
    <r>
      <rPr>
        <b/>
        <sz val="12"/>
        <color theme="1"/>
        <rFont val="Times New Roman"/>
        <family val="1"/>
      </rPr>
      <t xml:space="preserve">POC: </t>
    </r>
    <r>
      <rPr>
        <sz val="12"/>
        <color theme="1"/>
        <rFont val="Times New Roman"/>
        <family val="1"/>
      </rPr>
      <t xml:space="preserve"> </t>
    </r>
  </si>
  <si>
    <r>
      <rPr>
        <b/>
        <sz val="12"/>
        <color theme="1"/>
        <rFont val="Times New Roman"/>
        <family val="1"/>
      </rPr>
      <t xml:space="preserve">Phone: </t>
    </r>
    <r>
      <rPr>
        <sz val="12"/>
        <color theme="1"/>
        <rFont val="Times New Roman"/>
        <family val="1"/>
      </rPr>
      <t xml:space="preserve"> </t>
    </r>
  </si>
  <si>
    <r>
      <rPr>
        <b/>
        <sz val="12"/>
        <color theme="1"/>
        <rFont val="Times New Roman"/>
        <family val="1"/>
      </rPr>
      <t>Email:</t>
    </r>
    <r>
      <rPr>
        <sz val="12"/>
        <color theme="1"/>
        <rFont val="Times New Roman"/>
        <family val="1"/>
      </rPr>
      <t xml:space="preserve"> </t>
    </r>
  </si>
  <si>
    <t>Fax Number:</t>
  </si>
  <si>
    <r>
      <rPr>
        <b/>
        <sz val="12"/>
        <color theme="1"/>
        <rFont val="Times New Roman"/>
        <family val="1"/>
      </rPr>
      <t>POC#2:</t>
    </r>
    <r>
      <rPr>
        <sz val="12"/>
        <color theme="1"/>
        <rFont val="Times New Roman"/>
        <family val="1"/>
      </rPr>
      <t xml:space="preserve"> </t>
    </r>
  </si>
  <si>
    <r>
      <rPr>
        <b/>
        <sz val="12"/>
        <color theme="1"/>
        <rFont val="Times New Roman"/>
        <family val="1"/>
      </rPr>
      <t>Phone:</t>
    </r>
    <r>
      <rPr>
        <sz val="12"/>
        <color theme="1"/>
        <rFont val="Times New Roman"/>
        <family val="1"/>
      </rPr>
      <t xml:space="preserve"> </t>
    </r>
  </si>
  <si>
    <t>Offerors shall provide the name of at least one dedicated customer service representative and their back-up.  The representative shall be available to handle emergency service requirements, product quality complaints, shipping discrepancies.</t>
  </si>
  <si>
    <t>Customer Service Point of Contact:</t>
  </si>
  <si>
    <t>Phone Number:</t>
  </si>
  <si>
    <t>Email:</t>
  </si>
  <si>
    <t>Customer Service Point of Contact #2:</t>
  </si>
  <si>
    <t>***OFFERORS ARE REQUIRED TO SUBMIT A LOCAL BOTTLER CONTACT LIST WITH THEIR OFFER***</t>
  </si>
  <si>
    <r>
      <rPr>
        <b/>
        <sz val="12"/>
        <color theme="1"/>
        <rFont val="Times New Roman"/>
        <family val="1"/>
      </rPr>
      <t>Is your company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EDI capable?</t>
    </r>
    <r>
      <rPr>
        <sz val="12"/>
        <color theme="1"/>
        <rFont val="Times New Roman"/>
        <family val="1"/>
      </rPr>
      <t xml:space="preserve"> (Please HIGHLIGHT a response in yellow)</t>
    </r>
  </si>
  <si>
    <t>YES</t>
  </si>
  <si>
    <t>NO</t>
  </si>
  <si>
    <t>EDI Code (if applicable):</t>
  </si>
  <si>
    <t>If not EDI capable, provide FAX number for orders :</t>
  </si>
  <si>
    <t>Note: All Troop Support customers are currently processing orders and receipts through EBS. Provide the following information for ordering, invoicing and payment purpose:</t>
  </si>
  <si>
    <t>Point(s) of Contact for ORDERING:</t>
  </si>
  <si>
    <t>Point(s) of Contact for INVOICING &amp; PAYMENT:</t>
  </si>
  <si>
    <t>***OFFERORS ARE REQUIRED TO SUBMIT A COPY OF THEIR CURRENT WHOLESALE PRICE LIST OR OTHER DOCUMENTS CONTAINING COMMERCIAL PRICING INFORMATION WITH THEIR OFFER***</t>
  </si>
  <si>
    <t>Additional Information Section if needed:</t>
  </si>
  <si>
    <t>Instructions:</t>
  </si>
  <si>
    <t>Provide your Company name and address.</t>
  </si>
  <si>
    <t>Provide your Company's Cage Code &amp; Duns Number.</t>
  </si>
  <si>
    <t>Provide your Company's authorized negotiator and title of the authorized negotiator under POC and POC #2.</t>
  </si>
  <si>
    <t>Provide phone number, e-mail and fax number for each authorized negotiator.</t>
  </si>
  <si>
    <t>Customer Service Point of Contact: Provide the name of at least one dedicated customer service representative and their back-up.  The representative shall be available to handle emergency service requirements, product quality complaints, shipping discrepancies.</t>
  </si>
  <si>
    <t>Provide your Company's Ordering method (Indicate EDI or FAX and provide the EDI or FAX number for orders).</t>
  </si>
  <si>
    <t>Provide Point of Contact information for Ordering, Invoicing &amp; Payment.</t>
  </si>
  <si>
    <t>Proposed Prices Shall Be FOB Destination Only.</t>
  </si>
  <si>
    <t>*Full Item Description for each item (BEV BASE, COLA, ________ (Brand) name of the product, 5 GAL BIB)</t>
  </si>
  <si>
    <t>*Product Code for each item</t>
  </si>
  <si>
    <t>*Unit Price, which is the price per gallon (TWO decimal places only)</t>
  </si>
  <si>
    <t>Offerors containing a unit price of more than two decimal places shall be rounded off to two decimal places, as follows:</t>
  </si>
  <si>
    <t>$0.01 to $0.104 = $0.10</t>
  </si>
  <si>
    <t>$0.105 to $0.109 = $0.11</t>
  </si>
  <si>
    <t>$0.111 to $0.114 = $0.11</t>
  </si>
  <si>
    <t>$0.115 to $0.119 = $0.12, etc.</t>
  </si>
  <si>
    <t>Provide full item description and product code in the format requested (Tab titled Flavors-Category Description)</t>
  </si>
  <si>
    <t>Provide a copy of your company's current Wholesale Price list or other documents containing Commercial Pricing information. (NOT in this Excel spreadsheet BUT as an attachment to your offer).</t>
  </si>
  <si>
    <r>
      <t xml:space="preserve">Carbonated Bag-In-Box Beverage Products - </t>
    </r>
    <r>
      <rPr>
        <sz val="11"/>
        <color theme="1"/>
        <rFont val="Times New Roman"/>
        <family val="1"/>
      </rPr>
      <t xml:space="preserve">Any Carbonated Products such as Cola, Diet Cola, Lemon-Lime Soda, etc.         </t>
    </r>
  </si>
  <si>
    <t>*Offeror will type in its available flavors and product codes in the tab titled FLAVORS/CATEGORY DESCRIPTION</t>
  </si>
  <si>
    <t>COMPANY INFORMATION TAB:</t>
  </si>
  <si>
    <t>FLAVORS-CATEGORY DESCRIPTION TAB (For filling in your company's Flavors-Category Description):</t>
  </si>
  <si>
    <t>BAG-IN-BOX SCHEDULE OF ITEMS TAB (For filling in your company's Bag-in Box offer pricing):</t>
  </si>
  <si>
    <t>NOTE: FAILURE TO CORRECTLY AND COMPLETELY PROVIDE THE INFORMATION ABOVE COULD LEAD TO YOUR COMPANY’S BID BEING CONSIDERED NON-RESPONSIVE AND WILL NOT BE EVALUATED FOR AWARD.  PROVIDING THIS INFORMATION IS NOT OPTIONAL, IT IS REQUIRED</t>
  </si>
  <si>
    <r>
      <rPr>
        <b/>
        <sz val="11"/>
        <color theme="1"/>
        <rFont val="Times New Roman"/>
        <family val="1"/>
      </rPr>
      <t xml:space="preserve">Carbonated Bag-In-Box Beverage Products - Any Carbonated Products such as Cola, Diet Cola, Lemon-Lime Soda, etc.  </t>
    </r>
    <r>
      <rPr>
        <sz val="11"/>
        <color theme="1"/>
        <rFont val="Times New Roman"/>
        <family val="1"/>
      </rPr>
      <t xml:space="preserve">Offeror will type in its available flavors and product codes in the following format: </t>
    </r>
    <r>
      <rPr>
        <sz val="11"/>
        <color rgb="FFFF0000"/>
        <rFont val="Times New Roman"/>
        <family val="1"/>
      </rPr>
      <t>BEV BASE, COLA, ________ (Brand) name of the product, 5 GAL BIB - PRODUCT CODE</t>
    </r>
  </si>
  <si>
    <t>0013</t>
  </si>
  <si>
    <r>
      <rPr>
        <b/>
        <sz val="11"/>
        <color theme="1"/>
        <rFont val="Times New Roman"/>
        <family val="1"/>
      </rPr>
      <t xml:space="preserve">Flavor Shots as per 21 CFR Part 101.30.  </t>
    </r>
    <r>
      <rPr>
        <sz val="11"/>
        <color theme="1"/>
        <rFont val="Times New Roman"/>
        <family val="1"/>
      </rPr>
      <t xml:space="preserve">Offeror will type in its available flavors and product codes in the following format: </t>
    </r>
    <r>
      <rPr>
        <sz val="11"/>
        <color rgb="FFFF0000"/>
        <rFont val="Times New Roman"/>
        <family val="1"/>
      </rPr>
      <t xml:space="preserve"> BEV BASE, FLAVOR, ________ (Brand) name of the product, 5 GAL BIB - PRODUCT CODE</t>
    </r>
  </si>
  <si>
    <r>
      <t xml:space="preserve">FLAVOR SHOTS:                                                                                               </t>
    </r>
    <r>
      <rPr>
        <b/>
        <sz val="11"/>
        <rFont val="Times New Roman"/>
        <family val="1"/>
      </rPr>
      <t>*Offeror will type in its available flavors and product codes in the tab titled FLAVORS/CATEGORY DESCRIPTION</t>
    </r>
  </si>
  <si>
    <r>
      <rPr>
        <b/>
        <sz val="11"/>
        <color theme="1"/>
        <rFont val="Times New Roman"/>
        <family val="1"/>
      </rPr>
      <t xml:space="preserve">Non-Carbonated Bag-In-Box Beverage Products - Any Non-Carbonated products such as Iced Tea, Sports Drinks, Flavored Waters, Juice Beverages that contain less than 100% Fruit Juice, with the exception of Cranberry Juice Cocktail or Cranberry blend Juice Cocktail which can contain a minimum of 20% Fruit Juice as per 21 CFR Part 101.30.  </t>
    </r>
    <r>
      <rPr>
        <sz val="11"/>
        <color theme="1"/>
        <rFont val="Times New Roman"/>
        <family val="1"/>
      </rPr>
      <t xml:space="preserve">Offeror will type in its available flavors and product codes in the following format: </t>
    </r>
    <r>
      <rPr>
        <sz val="11"/>
        <color rgb="FFFF0000"/>
        <rFont val="Times New Roman"/>
        <family val="1"/>
      </rPr>
      <t xml:space="preserve"> BEV BASE, FLAVOR, ________ (Brand) name of the product, 5 GAL BIB - PRODUCT CODE</t>
    </r>
  </si>
  <si>
    <r>
      <rPr>
        <b/>
        <sz val="11"/>
        <rFont val="Times New Roman"/>
        <family val="1"/>
      </rPr>
      <t>Non-Carbonated Bag-In-Box Beverage Products</t>
    </r>
    <r>
      <rPr>
        <sz val="11"/>
        <rFont val="Times New Roman"/>
        <family val="1"/>
      </rPr>
      <t xml:space="preserve">: Any Non-Carbonated products such as Iced Tea, Sports Drinks, Flavored Waters, Juice Beverages that contain less than 100% Fruit Juice, with the exception of Cranberry Juice Cocktail or Cranberry blend Juice Cocktail which can contain a maximum of 20% Fruit Juice as per 21 CFR Part 101.30.   </t>
    </r>
  </si>
  <si>
    <t>Provide the  Local Bottler  Contact information to include Name and Region, address, phone #, fax number to receive orders,  with your offer.</t>
  </si>
  <si>
    <t>SOLICITATION#: SPE300-26-R-XXXX</t>
  </si>
  <si>
    <t>ESTIMATED ANNUAL  QUANTITY</t>
  </si>
  <si>
    <t>Only complete sections that are highlighted in RED in the Schedule of Items, Company Information, and Category Description tabs.</t>
  </si>
  <si>
    <r>
      <t>Offerors must submit pricing on at least</t>
    </r>
    <r>
      <rPr>
        <b/>
        <sz val="12"/>
        <color rgb="FFFF0000"/>
        <rFont val="Times New Roman"/>
        <family val="1"/>
      </rPr>
      <t xml:space="preserve"> one category and must be all items in that </t>
    </r>
    <r>
      <rPr>
        <b/>
        <sz val="12"/>
        <color theme="1"/>
        <rFont val="Times New Roman"/>
        <family val="1"/>
      </rPr>
      <t>category (Tab titled BAG IN BOX - SCHEDULE OF ITEMS).</t>
    </r>
  </si>
  <si>
    <t xml:space="preserve"> EVALUATED                AGGREGATE PRICE</t>
  </si>
  <si>
    <r>
      <t xml:space="preserve">You MUST provide the following information for  </t>
    </r>
    <r>
      <rPr>
        <b/>
        <u/>
        <sz val="12"/>
        <color rgb="FFFF0000"/>
        <rFont val="Times New Roman"/>
        <family val="1"/>
      </rPr>
      <t>12</t>
    </r>
    <r>
      <rPr>
        <b/>
        <u/>
        <sz val="12"/>
        <color theme="1"/>
        <rFont val="Times New Roman"/>
        <family val="1"/>
      </rPr>
      <t xml:space="preserve"> months</t>
    </r>
  </si>
  <si>
    <t xml:space="preserve">OPEN DATE: 4/1/2026 </t>
  </si>
  <si>
    <t>CLOSING DATE: 5/1/2026</t>
  </si>
  <si>
    <t>12 Months PROPOSED UNIT PRICE                         (PER GALLON)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</si>
</sst>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b/>
      <u/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u/>
      <sz val="11"/>
      <name val="Times New Roman"/>
      <family val="1"/>
    </font>
    <font>
      <b/>
      <u/>
      <sz val="11"/>
      <name val="Calibri"/>
      <family val="2"/>
      <scheme val="minor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color theme="1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color theme="0" tint="-4.9989318521683403E-2"/>
      <name val="Times New Roman"/>
      <family val="1"/>
    </font>
    <font>
      <b/>
      <u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u/>
      <sz val="20"/>
      <color theme="0"/>
      <name val="Times New Roman"/>
      <family val="1"/>
    </font>
    <font>
      <sz val="11"/>
      <color rgb="FFFF0000"/>
      <name val="Times New Roman"/>
      <family val="1"/>
    </font>
    <font>
      <b/>
      <sz val="24"/>
      <name val="Times New Roman"/>
      <family val="1"/>
    </font>
    <font>
      <b/>
      <sz val="1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9" tint="0.59999389629810485"/>
      <name val="Times New Roman"/>
      <family val="1"/>
    </font>
    <font>
      <b/>
      <sz val="12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b/>
      <u/>
      <sz val="12"/>
      <color theme="0"/>
      <name val="Times New Roman"/>
      <family val="1"/>
    </font>
    <font>
      <sz val="12"/>
      <color theme="0"/>
      <name val="Times New Roman"/>
      <family val="1"/>
    </font>
    <font>
      <b/>
      <u/>
      <sz val="22"/>
      <name val="Times New Roman"/>
      <family val="1"/>
    </font>
    <font>
      <b/>
      <u/>
      <sz val="20"/>
      <name val="Times New Roman"/>
      <family val="1"/>
    </font>
    <font>
      <b/>
      <sz val="12"/>
      <color theme="0" tint="-4.9989318521683403E-2"/>
      <name val="Times New Roman"/>
      <family val="1"/>
    </font>
    <font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</cellStyleXfs>
  <cellXfs count="164">
    <xf numFmtId="0" fontId="0" fillId="0" borderId="0" xfId="0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vertical="center"/>
    </xf>
    <xf numFmtId="0" fontId="8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6" fillId="0" borderId="0" xfId="0" applyFont="1"/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19" fillId="0" borderId="0" xfId="0" applyFont="1"/>
    <xf numFmtId="0" fontId="9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8" fillId="4" borderId="4" xfId="0" applyFont="1" applyFill="1" applyBorder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Fill="1"/>
    <xf numFmtId="0" fontId="8" fillId="0" borderId="0" xfId="0" applyFont="1" applyFill="1"/>
    <xf numFmtId="0" fontId="0" fillId="0" borderId="0" xfId="0" applyFill="1"/>
    <xf numFmtId="0" fontId="22" fillId="0" borderId="0" xfId="0" applyFont="1" applyFill="1" applyAlignment="1"/>
    <xf numFmtId="0" fontId="23" fillId="0" borderId="0" xfId="0" applyFont="1" applyFill="1"/>
    <xf numFmtId="0" fontId="24" fillId="0" borderId="0" xfId="0" applyFont="1" applyFill="1"/>
    <xf numFmtId="0" fontId="25" fillId="0" borderId="0" xfId="0" applyFont="1" applyFill="1"/>
    <xf numFmtId="0" fontId="26" fillId="0" borderId="0" xfId="0" applyFont="1" applyFill="1"/>
    <xf numFmtId="0" fontId="22" fillId="0" borderId="0" xfId="0" applyFont="1" applyFill="1" applyAlignment="1">
      <alignment vertical="center"/>
    </xf>
    <xf numFmtId="0" fontId="15" fillId="0" borderId="0" xfId="0" applyFont="1" applyFill="1" applyAlignment="1">
      <alignment horizontal="left" vertical="center"/>
    </xf>
    <xf numFmtId="0" fontId="16" fillId="0" borderId="0" xfId="0" applyFont="1" applyFill="1"/>
    <xf numFmtId="0" fontId="27" fillId="0" borderId="0" xfId="0" applyFont="1" applyFill="1" applyAlignment="1"/>
    <xf numFmtId="0" fontId="9" fillId="0" borderId="0" xfId="0" applyFont="1" applyFill="1" applyAlignment="1"/>
    <xf numFmtId="0" fontId="21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Protection="1">
      <protection locked="0"/>
    </xf>
    <xf numFmtId="0" fontId="17" fillId="4" borderId="0" xfId="0" applyFont="1" applyFill="1"/>
    <xf numFmtId="164" fontId="8" fillId="3" borderId="4" xfId="0" applyNumberFormat="1" applyFont="1" applyFill="1" applyBorder="1" applyProtection="1">
      <protection locked="0"/>
    </xf>
    <xf numFmtId="164" fontId="8" fillId="0" borderId="0" xfId="0" applyNumberFormat="1" applyFont="1"/>
    <xf numFmtId="0" fontId="28" fillId="0" borderId="0" xfId="0" applyFont="1"/>
    <xf numFmtId="0" fontId="8" fillId="0" borderId="6" xfId="0" applyFont="1" applyBorder="1"/>
    <xf numFmtId="49" fontId="8" fillId="0" borderId="0" xfId="0" applyNumberFormat="1" applyFont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left" wrapText="1"/>
    </xf>
    <xf numFmtId="3" fontId="11" fillId="6" borderId="2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 wrapText="1"/>
    </xf>
    <xf numFmtId="0" fontId="8" fillId="6" borderId="3" xfId="0" applyFont="1" applyFill="1" applyBorder="1" applyAlignment="1">
      <alignment vertical="top" wrapText="1"/>
    </xf>
    <xf numFmtId="0" fontId="17" fillId="6" borderId="2" xfId="0" applyFont="1" applyFill="1" applyBorder="1" applyAlignment="1">
      <alignment horizontal="left" wrapText="1"/>
    </xf>
    <xf numFmtId="0" fontId="9" fillId="6" borderId="3" xfId="0" applyFont="1" applyFill="1" applyBorder="1" applyAlignment="1">
      <alignment vertical="top" wrapText="1"/>
    </xf>
    <xf numFmtId="49" fontId="8" fillId="6" borderId="4" xfId="0" applyNumberFormat="1" applyFont="1" applyFill="1" applyBorder="1" applyAlignment="1">
      <alignment horizontal="center"/>
    </xf>
    <xf numFmtId="0" fontId="8" fillId="6" borderId="4" xfId="0" applyFont="1" applyFill="1" applyBorder="1" applyAlignment="1">
      <alignment horizontal="left" wrapText="1"/>
    </xf>
    <xf numFmtId="3" fontId="11" fillId="6" borderId="4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 wrapText="1"/>
    </xf>
    <xf numFmtId="0" fontId="17" fillId="6" borderId="3" xfId="0" applyFont="1" applyFill="1" applyBorder="1" applyAlignment="1">
      <alignment vertical="top" wrapText="1"/>
    </xf>
    <xf numFmtId="0" fontId="8" fillId="6" borderId="0" xfId="0" applyFont="1" applyFill="1" applyAlignment="1">
      <alignment horizontal="center" wrapText="1"/>
    </xf>
    <xf numFmtId="49" fontId="17" fillId="6" borderId="4" xfId="2" applyNumberFormat="1" applyFont="1" applyFill="1" applyBorder="1" applyAlignment="1">
      <alignment horizontal="center"/>
    </xf>
    <xf numFmtId="0" fontId="17" fillId="6" borderId="4" xfId="0" applyFont="1" applyFill="1" applyBorder="1" applyAlignment="1">
      <alignment horizontal="left" wrapText="1"/>
    </xf>
    <xf numFmtId="0" fontId="8" fillId="6" borderId="4" xfId="0" applyFont="1" applyFill="1" applyBorder="1" applyAlignment="1">
      <alignment horizontal="center" wrapText="1"/>
    </xf>
    <xf numFmtId="0" fontId="8" fillId="6" borderId="4" xfId="0" applyFont="1" applyFill="1" applyBorder="1"/>
    <xf numFmtId="3" fontId="8" fillId="6" borderId="4" xfId="0" applyNumberFormat="1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left" vertical="center" wrapText="1"/>
    </xf>
    <xf numFmtId="38" fontId="17" fillId="6" borderId="4" xfId="0" applyNumberFormat="1" applyFont="1" applyFill="1" applyBorder="1" applyAlignment="1">
      <alignment horizontal="center"/>
    </xf>
    <xf numFmtId="164" fontId="17" fillId="6" borderId="4" xfId="1" applyNumberFormat="1" applyFont="1" applyFill="1" applyBorder="1" applyAlignment="1" applyProtection="1">
      <alignment horizontal="center"/>
    </xf>
    <xf numFmtId="0" fontId="8" fillId="6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vertical="center"/>
    </xf>
    <xf numFmtId="7" fontId="8" fillId="3" borderId="4" xfId="1" applyNumberFormat="1" applyFont="1" applyFill="1" applyBorder="1" applyAlignment="1" applyProtection="1"/>
    <xf numFmtId="7" fontId="8" fillId="3" borderId="4" xfId="1" applyNumberFormat="1" applyFont="1" applyFill="1" applyBorder="1" applyAlignment="1" applyProtection="1">
      <alignment vertical="center"/>
    </xf>
    <xf numFmtId="164" fontId="8" fillId="3" borderId="4" xfId="1" applyNumberFormat="1" applyFont="1" applyFill="1" applyBorder="1" applyProtection="1"/>
    <xf numFmtId="0" fontId="20" fillId="8" borderId="4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49" fontId="8" fillId="8" borderId="5" xfId="0" applyNumberFormat="1" applyFont="1" applyFill="1" applyBorder="1" applyAlignment="1">
      <alignment horizontal="center"/>
    </xf>
    <xf numFmtId="0" fontId="8" fillId="8" borderId="4" xfId="0" applyFont="1" applyFill="1" applyBorder="1" applyAlignment="1">
      <alignment horizontal="left" wrapText="1"/>
    </xf>
    <xf numFmtId="2" fontId="8" fillId="8" borderId="4" xfId="0" applyNumberFormat="1" applyFont="1" applyFill="1" applyBorder="1" applyAlignment="1">
      <alignment horizontal="left"/>
    </xf>
    <xf numFmtId="3" fontId="8" fillId="8" borderId="4" xfId="0" applyNumberFormat="1" applyFont="1" applyFill="1" applyBorder="1" applyAlignment="1">
      <alignment horizontal="center" wrapText="1"/>
    </xf>
    <xf numFmtId="3" fontId="8" fillId="8" borderId="4" xfId="0" applyNumberFormat="1" applyFont="1" applyFill="1" applyBorder="1"/>
    <xf numFmtId="164" fontId="17" fillId="8" borderId="2" xfId="0" applyNumberFormat="1" applyFont="1" applyFill="1" applyBorder="1" applyProtection="1">
      <protection locked="0"/>
    </xf>
    <xf numFmtId="0" fontId="8" fillId="8" borderId="0" xfId="0" applyFont="1" applyFill="1" applyAlignment="1">
      <alignment horizontal="center" vertical="center"/>
    </xf>
    <xf numFmtId="0" fontId="8" fillId="8" borderId="4" xfId="0" applyFont="1" applyFill="1" applyBorder="1" applyAlignment="1">
      <alignment horizontal="center" wrapText="1"/>
    </xf>
    <xf numFmtId="0" fontId="8" fillId="8" borderId="4" xfId="0" applyFont="1" applyFill="1" applyBorder="1"/>
    <xf numFmtId="0" fontId="8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5" fillId="3" borderId="0" xfId="0" applyFont="1" applyFill="1"/>
    <xf numFmtId="0" fontId="5" fillId="3" borderId="8" xfId="0" applyFont="1" applyFill="1" applyBorder="1" applyAlignment="1">
      <alignment vertical="top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4" xfId="0" applyFont="1" applyFill="1" applyBorder="1" applyAlignment="1" applyProtection="1">
      <alignment vertical="center"/>
      <protection locked="0"/>
    </xf>
    <xf numFmtId="0" fontId="7" fillId="3" borderId="4" xfId="0" applyFont="1" applyFill="1" applyBorder="1" applyAlignment="1" applyProtection="1">
      <alignment horizontal="left" vertical="center"/>
      <protection locked="0"/>
    </xf>
    <xf numFmtId="0" fontId="7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/>
    </xf>
    <xf numFmtId="0" fontId="7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left" vertical="top"/>
    </xf>
    <xf numFmtId="0" fontId="20" fillId="7" borderId="0" xfId="3" applyFont="1" applyFill="1" applyAlignment="1">
      <alignment horizontal="left"/>
    </xf>
    <xf numFmtId="0" fontId="35" fillId="7" borderId="0" xfId="3" applyFont="1" applyFill="1" applyAlignment="1">
      <alignment horizontal="center"/>
    </xf>
    <xf numFmtId="0" fontId="36" fillId="7" borderId="0" xfId="3" applyFont="1" applyFill="1"/>
    <xf numFmtId="0" fontId="36" fillId="7" borderId="0" xfId="0" applyFont="1" applyFill="1"/>
    <xf numFmtId="0" fontId="20" fillId="7" borderId="0" xfId="3" applyFont="1" applyFill="1" applyAlignment="1">
      <alignment horizontal="center"/>
    </xf>
    <xf numFmtId="0" fontId="20" fillId="7" borderId="0" xfId="3" applyFont="1" applyFill="1" applyAlignment="1"/>
    <xf numFmtId="0" fontId="20" fillId="7" borderId="0" xfId="3" applyFont="1" applyFill="1"/>
    <xf numFmtId="0" fontId="20" fillId="7" borderId="0" xfId="4" applyFont="1" applyFill="1"/>
    <xf numFmtId="0" fontId="36" fillId="7" borderId="0" xfId="5" applyFont="1" applyFill="1"/>
    <xf numFmtId="0" fontId="38" fillId="2" borderId="0" xfId="0" applyFont="1" applyFill="1" applyAlignment="1"/>
    <xf numFmtId="0" fontId="20" fillId="7" borderId="0" xfId="0" applyFont="1" applyFill="1" applyAlignment="1"/>
    <xf numFmtId="0" fontId="39" fillId="7" borderId="0" xfId="0" applyFont="1" applyFill="1" applyAlignment="1">
      <alignment horizontal="left"/>
    </xf>
    <xf numFmtId="0" fontId="5" fillId="0" borderId="0" xfId="0" applyFont="1" applyAlignment="1">
      <alignment vertical="center" wrapText="1"/>
    </xf>
    <xf numFmtId="0" fontId="3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9" fillId="7" borderId="0" xfId="0" applyFont="1" applyFill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32" fillId="3" borderId="3" xfId="0" applyFont="1" applyFill="1" applyBorder="1" applyAlignment="1" applyProtection="1">
      <alignment horizontal="left" vertical="top" wrapText="1"/>
      <protection locked="0"/>
    </xf>
    <xf numFmtId="0" fontId="32" fillId="3" borderId="2" xfId="0" applyFont="1" applyFill="1" applyBorder="1" applyAlignment="1" applyProtection="1">
      <alignment horizontal="left" vertical="top" wrapText="1"/>
      <protection locked="0"/>
    </xf>
    <xf numFmtId="0" fontId="8" fillId="3" borderId="3" xfId="0" applyFont="1" applyFill="1" applyBorder="1" applyAlignment="1" applyProtection="1">
      <alignment horizontal="left" vertical="top" wrapText="1"/>
      <protection locked="0"/>
    </xf>
    <xf numFmtId="0" fontId="8" fillId="3" borderId="2" xfId="0" applyFont="1" applyFill="1" applyBorder="1" applyAlignment="1" applyProtection="1">
      <alignment horizontal="left" vertical="top" wrapText="1"/>
      <protection locked="0"/>
    </xf>
    <xf numFmtId="0" fontId="21" fillId="2" borderId="11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left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2" xfId="0" applyFont="1" applyFill="1" applyBorder="1" applyAlignment="1">
      <alignment horizontal="left" vertical="center"/>
    </xf>
    <xf numFmtId="0" fontId="20" fillId="7" borderId="10" xfId="0" applyFont="1" applyFill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 applyProtection="1">
      <alignment horizontal="left" vertical="top" wrapText="1"/>
      <protection locked="0"/>
    </xf>
    <xf numFmtId="0" fontId="20" fillId="7" borderId="0" xfId="3" applyFont="1" applyFill="1"/>
    <xf numFmtId="0" fontId="4" fillId="3" borderId="0" xfId="5" applyFont="1" applyFill="1" applyAlignment="1">
      <alignment horizontal="left" vertical="center"/>
    </xf>
    <xf numFmtId="0" fontId="5" fillId="3" borderId="6" xfId="0" applyFont="1" applyFill="1" applyBorder="1" applyAlignment="1" applyProtection="1">
      <alignment horizontal="left"/>
      <protection locked="0"/>
    </xf>
    <xf numFmtId="0" fontId="5" fillId="3" borderId="7" xfId="0" applyFont="1" applyFill="1" applyBorder="1" applyAlignment="1" applyProtection="1">
      <alignment horizontal="left" vertical="top"/>
      <protection locked="0"/>
    </xf>
    <xf numFmtId="0" fontId="7" fillId="3" borderId="7" xfId="0" applyFont="1" applyFill="1" applyBorder="1" applyAlignment="1" applyProtection="1">
      <alignment horizontal="left" vertical="top"/>
      <protection locked="0"/>
    </xf>
    <xf numFmtId="0" fontId="7" fillId="3" borderId="8" xfId="0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Alignment="1">
      <alignment horizontal="left" vertical="center" wrapText="1"/>
    </xf>
    <xf numFmtId="0" fontId="5" fillId="3" borderId="6" xfId="0" applyFont="1" applyFill="1" applyBorder="1" applyAlignment="1" applyProtection="1">
      <alignment horizontal="left" vertical="top" wrapText="1"/>
      <protection locked="0"/>
    </xf>
    <xf numFmtId="0" fontId="7" fillId="3" borderId="0" xfId="0" applyFont="1" applyFill="1" applyAlignment="1">
      <alignment horizontal="left" vertical="top" wrapText="1"/>
    </xf>
    <xf numFmtId="0" fontId="5" fillId="3" borderId="8" xfId="0" applyFont="1" applyFill="1" applyBorder="1" applyAlignment="1" applyProtection="1">
      <alignment horizontal="left" vertical="top"/>
      <protection locked="0"/>
    </xf>
    <xf numFmtId="0" fontId="7" fillId="3" borderId="0" xfId="0" applyFont="1" applyFill="1" applyAlignment="1" applyProtection="1">
      <alignment horizontal="left" vertical="top" wrapText="1"/>
      <protection locked="0"/>
    </xf>
    <xf numFmtId="0" fontId="5" fillId="3" borderId="6" xfId="0" applyFont="1" applyFill="1" applyBorder="1" applyAlignment="1" applyProtection="1">
      <alignment horizontal="left" vertical="top"/>
      <protection locked="0"/>
    </xf>
    <xf numFmtId="0" fontId="5" fillId="3" borderId="0" xfId="0" applyFont="1" applyFill="1" applyAlignment="1">
      <alignment horizontal="left" vertical="center"/>
    </xf>
    <xf numFmtId="0" fontId="37" fillId="2" borderId="0" xfId="3" applyFont="1" applyFill="1" applyAlignment="1">
      <alignment horizontal="center" vertical="center"/>
    </xf>
    <xf numFmtId="0" fontId="5" fillId="3" borderId="8" xfId="0" applyFont="1" applyFill="1" applyBorder="1" applyAlignment="1">
      <alignment horizontal="left" vertical="top"/>
    </xf>
    <xf numFmtId="0" fontId="7" fillId="3" borderId="0" xfId="0" applyFont="1" applyFill="1" applyAlignment="1">
      <alignment horizontal="left" vertical="center"/>
    </xf>
    <xf numFmtId="0" fontId="5" fillId="3" borderId="6" xfId="0" applyFont="1" applyFill="1" applyBorder="1" applyAlignment="1">
      <alignment horizontal="left" vertical="top"/>
    </xf>
    <xf numFmtId="0" fontId="7" fillId="3" borderId="0" xfId="0" applyFont="1" applyFill="1" applyAlignment="1">
      <alignment horizontal="center" vertical="top" wrapText="1"/>
    </xf>
    <xf numFmtId="0" fontId="7" fillId="3" borderId="8" xfId="0" applyFont="1" applyFill="1" applyBorder="1" applyAlignment="1" applyProtection="1">
      <alignment horizontal="left" vertical="top" wrapText="1"/>
      <protection locked="0"/>
    </xf>
    <xf numFmtId="0" fontId="29" fillId="2" borderId="14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 wrapText="1"/>
    </xf>
    <xf numFmtId="49" fontId="17" fillId="6" borderId="4" xfId="0" applyNumberFormat="1" applyFont="1" applyFill="1" applyBorder="1" applyAlignment="1">
      <alignment horizontal="center" vertical="center"/>
    </xf>
  </cellXfs>
  <cellStyles count="6">
    <cellStyle name="Currency" xfId="1" builtinId="4"/>
    <cellStyle name="Good" xfId="2" builtinId="26"/>
    <cellStyle name="Normal" xfId="0" builtinId="0"/>
    <cellStyle name="Normal 12" xfId="3" xr:uid="{2A8FC17D-3787-4C1F-BB7B-D971AB8E9DFF}"/>
    <cellStyle name="Normal 13" xfId="4" xr:uid="{2AFAEFC1-6AF4-49C3-A248-A08CE30DF5AD}"/>
    <cellStyle name="Normal 2" xfId="5" xr:uid="{6A0465DA-9927-41AE-AB8D-02C6D5A29E0E}"/>
  </cellStyles>
  <dxfs count="0"/>
  <tableStyles count="0" defaultTableStyle="TableStyleMedium2" defaultPivotStyle="PivotStyleLight16"/>
  <colors>
    <mruColors>
      <color rgb="FF489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0744\AppData\Local\Microsoft\Windows\INetCache\Content.Outlook\UP8BSTDA\Schedule%20of%20Items%20w%20Alaska%20HI%20Guam%206-5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mpany Information"/>
      <sheetName val="BAG-IN-BOX SCHEDULE OF ITEMS"/>
      <sheetName val="Flavors-Category Description"/>
    </sheetNames>
    <sheetDataSet>
      <sheetData sheetId="0" refreshError="1"/>
      <sheetData sheetId="1" refreshError="1"/>
      <sheetData sheetId="2" refreshError="1">
        <row r="5">
          <cell r="E5">
            <v>149912</v>
          </cell>
          <cell r="F5" t="str">
            <v>GL</v>
          </cell>
        </row>
        <row r="6">
          <cell r="F6" t="str">
            <v>GL</v>
          </cell>
          <cell r="G6"/>
        </row>
        <row r="7">
          <cell r="F7" t="str">
            <v>GL</v>
          </cell>
          <cell r="G7"/>
        </row>
        <row r="8">
          <cell r="F8" t="str">
            <v>GL</v>
          </cell>
          <cell r="G8"/>
        </row>
        <row r="9">
          <cell r="F9" t="str">
            <v>GL</v>
          </cell>
        </row>
        <row r="12">
          <cell r="F12" t="str">
            <v>GL</v>
          </cell>
          <cell r="G12"/>
          <cell r="H12">
            <v>0</v>
          </cell>
        </row>
        <row r="13">
          <cell r="F13" t="str">
            <v>GL</v>
          </cell>
          <cell r="G13"/>
        </row>
        <row r="14">
          <cell r="F14" t="str">
            <v>GL</v>
          </cell>
          <cell r="G14"/>
        </row>
        <row r="15">
          <cell r="F15" t="str">
            <v>GL</v>
          </cell>
          <cell r="G15"/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B4D9-0F47-49BF-9F48-E47639B46824}">
  <dimension ref="A1:Q51"/>
  <sheetViews>
    <sheetView zoomScale="132" zoomScaleNormal="132" workbookViewId="0">
      <selection activeCell="A17" sqref="A17"/>
    </sheetView>
  </sheetViews>
  <sheetFormatPr defaultColWidth="9.140625" defaultRowHeight="15" x14ac:dyDescent="0.25"/>
  <cols>
    <col min="1" max="1" width="129.85546875" customWidth="1"/>
    <col min="2" max="2" width="185.28515625" customWidth="1"/>
    <col min="3" max="3" width="12.5703125" customWidth="1"/>
    <col min="4" max="4" width="48.7109375" customWidth="1"/>
    <col min="5" max="5" width="16.28515625" customWidth="1"/>
    <col min="6" max="6" width="5.85546875" customWidth="1"/>
    <col min="7" max="7" width="11.42578125" customWidth="1"/>
    <col min="8" max="8" width="11.85546875" customWidth="1"/>
    <col min="9" max="9" width="12.42578125" customWidth="1"/>
    <col min="10" max="10" width="12.140625" customWidth="1"/>
    <col min="11" max="11" width="12.7109375" customWidth="1"/>
  </cols>
  <sheetData>
    <row r="1" spans="1:9" s="26" customFormat="1" ht="25.5" x14ac:dyDescent="0.35">
      <c r="A1" s="113" t="s">
        <v>60</v>
      </c>
      <c r="B1" s="35"/>
      <c r="C1" s="25"/>
      <c r="D1" s="25"/>
      <c r="E1" s="25"/>
      <c r="F1" s="25"/>
      <c r="G1" s="25"/>
      <c r="H1" s="25"/>
    </row>
    <row r="2" spans="1:9" s="26" customFormat="1" ht="16.5" customHeight="1" x14ac:dyDescent="0.25">
      <c r="A2" s="114" t="s">
        <v>94</v>
      </c>
      <c r="B2" s="36"/>
      <c r="C2" s="25"/>
      <c r="D2" s="25"/>
      <c r="E2" s="25"/>
      <c r="F2" s="25"/>
      <c r="G2" s="25"/>
      <c r="H2" s="25"/>
    </row>
    <row r="3" spans="1:9" s="26" customFormat="1" ht="18.75" x14ac:dyDescent="0.3">
      <c r="A3" s="115" t="s">
        <v>81</v>
      </c>
      <c r="B3" s="27"/>
      <c r="C3" s="24"/>
      <c r="D3" s="25"/>
      <c r="E3" s="25"/>
      <c r="F3" s="25"/>
      <c r="G3" s="25"/>
      <c r="H3" s="25"/>
    </row>
    <row r="4" spans="1:9" ht="15.75" x14ac:dyDescent="0.25">
      <c r="A4" s="1" t="s">
        <v>61</v>
      </c>
      <c r="B4" s="4"/>
      <c r="C4" s="4"/>
      <c r="D4" s="4"/>
      <c r="E4" s="4"/>
      <c r="F4" s="4"/>
      <c r="G4" s="4"/>
      <c r="H4" s="4"/>
    </row>
    <row r="5" spans="1:9" ht="15.75" x14ac:dyDescent="0.25">
      <c r="A5" s="1" t="s">
        <v>62</v>
      </c>
      <c r="B5" s="4"/>
      <c r="C5" s="4"/>
      <c r="D5" s="4"/>
      <c r="E5" s="4"/>
      <c r="F5" s="4"/>
      <c r="G5" s="4"/>
      <c r="H5" s="4"/>
    </row>
    <row r="6" spans="1:9" ht="15.75" x14ac:dyDescent="0.25">
      <c r="A6" s="1" t="s">
        <v>63</v>
      </c>
      <c r="B6" s="4"/>
      <c r="C6" s="4"/>
      <c r="D6" s="4"/>
      <c r="E6" s="4"/>
      <c r="F6" s="4"/>
      <c r="G6" s="4"/>
      <c r="H6" s="4"/>
    </row>
    <row r="7" spans="1:9" ht="15.75" x14ac:dyDescent="0.25">
      <c r="A7" s="1" t="s">
        <v>64</v>
      </c>
      <c r="B7" s="4"/>
      <c r="C7" s="4"/>
      <c r="D7" s="4"/>
      <c r="E7" s="4"/>
      <c r="F7" s="4"/>
      <c r="G7" s="4"/>
      <c r="H7" s="4"/>
    </row>
    <row r="8" spans="1:9" ht="35.25" customHeight="1" x14ac:dyDescent="0.25">
      <c r="A8" s="116" t="s">
        <v>65</v>
      </c>
      <c r="B8" s="4"/>
      <c r="C8" s="4"/>
      <c r="D8" s="5"/>
      <c r="E8" s="4"/>
      <c r="F8" s="4"/>
      <c r="G8" s="4"/>
      <c r="H8" s="4"/>
    </row>
    <row r="9" spans="1:9" ht="15.75" x14ac:dyDescent="0.25">
      <c r="A9" s="1" t="s">
        <v>66</v>
      </c>
      <c r="B9" s="4"/>
      <c r="C9" s="4"/>
      <c r="D9" s="5"/>
      <c r="E9" s="4"/>
      <c r="F9" s="4"/>
      <c r="G9" s="4"/>
      <c r="H9" s="4"/>
    </row>
    <row r="10" spans="1:9" ht="15.75" x14ac:dyDescent="0.25">
      <c r="A10" s="16" t="s">
        <v>67</v>
      </c>
      <c r="B10" s="17"/>
      <c r="C10" s="17"/>
      <c r="D10" s="18"/>
      <c r="E10" s="17"/>
      <c r="F10" s="4"/>
      <c r="G10" s="4"/>
      <c r="H10" s="4"/>
    </row>
    <row r="11" spans="1:9" s="8" customFormat="1" ht="31.5" x14ac:dyDescent="0.25">
      <c r="A11" s="117" t="s">
        <v>91</v>
      </c>
      <c r="B11" s="6"/>
      <c r="C11" s="6"/>
      <c r="D11" s="6"/>
      <c r="E11" s="7"/>
      <c r="F11" s="7"/>
      <c r="G11" s="7"/>
      <c r="H11" s="7"/>
      <c r="I11" s="7"/>
    </row>
    <row r="12" spans="1:9" ht="31.5" x14ac:dyDescent="0.25">
      <c r="A12" s="118" t="s">
        <v>78</v>
      </c>
      <c r="B12" s="19"/>
      <c r="C12" s="19"/>
      <c r="D12" s="19"/>
      <c r="E12" s="20"/>
      <c r="F12" s="9"/>
      <c r="G12" s="9"/>
      <c r="H12" s="9"/>
      <c r="I12" s="9"/>
    </row>
    <row r="13" spans="1:9" s="31" customFormat="1" ht="24.75" customHeight="1" x14ac:dyDescent="0.3">
      <c r="A13" s="115" t="s">
        <v>83</v>
      </c>
      <c r="B13" s="27"/>
      <c r="C13" s="28"/>
      <c r="D13" s="28"/>
      <c r="E13" s="28"/>
      <c r="F13" s="29"/>
      <c r="G13" s="30"/>
      <c r="H13" s="30"/>
    </row>
    <row r="14" spans="1:9" ht="35.25" customHeight="1" x14ac:dyDescent="0.25">
      <c r="A14" s="119" t="s">
        <v>95</v>
      </c>
      <c r="B14" s="17"/>
      <c r="C14" s="17"/>
      <c r="D14" s="17"/>
      <c r="E14" s="17"/>
      <c r="F14" s="4"/>
      <c r="G14" s="4"/>
      <c r="H14" s="4"/>
    </row>
    <row r="15" spans="1:9" ht="24" customHeight="1" x14ac:dyDescent="0.25">
      <c r="A15" s="16" t="s">
        <v>68</v>
      </c>
      <c r="B15" s="17"/>
      <c r="C15" s="17"/>
      <c r="D15" s="17"/>
      <c r="E15" s="17"/>
      <c r="F15" s="4"/>
      <c r="G15" s="4"/>
      <c r="H15" s="4"/>
    </row>
    <row r="16" spans="1:9" ht="15.75" x14ac:dyDescent="0.25">
      <c r="A16" s="120" t="s">
        <v>97</v>
      </c>
      <c r="B16" s="17"/>
      <c r="C16" s="17"/>
      <c r="D16" s="17"/>
      <c r="E16" s="17"/>
      <c r="F16" s="4"/>
      <c r="G16" s="4"/>
      <c r="H16" s="4"/>
    </row>
    <row r="17" spans="1:14" ht="15.75" x14ac:dyDescent="0.25">
      <c r="A17" s="16" t="s">
        <v>69</v>
      </c>
      <c r="B17" s="17"/>
      <c r="C17" s="17"/>
      <c r="D17" s="17"/>
      <c r="E17" s="17"/>
      <c r="F17" s="4"/>
      <c r="G17" s="4"/>
      <c r="H17" s="4"/>
    </row>
    <row r="18" spans="1:14" ht="15.75" x14ac:dyDescent="0.25">
      <c r="A18" s="3" t="s">
        <v>70</v>
      </c>
      <c r="B18" s="4"/>
      <c r="C18" s="4"/>
      <c r="D18" s="4"/>
      <c r="E18" s="4"/>
      <c r="F18" s="4"/>
      <c r="G18" s="4"/>
      <c r="H18" s="4"/>
    </row>
    <row r="19" spans="1:14" ht="15.75" x14ac:dyDescent="0.25">
      <c r="A19" s="3" t="s">
        <v>71</v>
      </c>
      <c r="B19" s="4"/>
      <c r="C19" s="4"/>
      <c r="D19" s="4"/>
      <c r="E19" s="4"/>
      <c r="F19" s="4"/>
      <c r="G19" s="4"/>
      <c r="H19" s="4"/>
    </row>
    <row r="20" spans="1:14" ht="15.75" x14ac:dyDescent="0.25">
      <c r="A20" s="3" t="s">
        <v>72</v>
      </c>
      <c r="B20" s="4"/>
      <c r="C20" s="4"/>
      <c r="D20" s="4"/>
      <c r="E20" s="4"/>
      <c r="F20" s="4"/>
      <c r="G20" s="4"/>
      <c r="H20" s="4"/>
    </row>
    <row r="21" spans="1:14" ht="15.75" x14ac:dyDescent="0.25">
      <c r="A21" s="3" t="s">
        <v>73</v>
      </c>
      <c r="B21" s="4"/>
      <c r="C21" s="4"/>
      <c r="D21" s="4"/>
      <c r="E21" s="4"/>
      <c r="F21" s="4"/>
      <c r="G21" s="4"/>
      <c r="H21" s="4"/>
    </row>
    <row r="22" spans="1:14" ht="15.75" x14ac:dyDescent="0.25">
      <c r="A22" s="3" t="s">
        <v>74</v>
      </c>
      <c r="B22" s="4"/>
      <c r="C22" s="4"/>
      <c r="D22" s="4"/>
      <c r="E22" s="4"/>
      <c r="F22" s="4"/>
      <c r="G22" s="4"/>
      <c r="H22" s="4"/>
    </row>
    <row r="23" spans="1:14" ht="15.75" x14ac:dyDescent="0.25">
      <c r="A23" s="3" t="s">
        <v>75</v>
      </c>
      <c r="B23" s="4"/>
      <c r="C23" s="4"/>
      <c r="D23" s="4"/>
      <c r="E23" s="4"/>
      <c r="F23" s="4"/>
      <c r="G23" s="4"/>
      <c r="H23" s="4"/>
    </row>
    <row r="24" spans="1:14" ht="15.75" x14ac:dyDescent="0.25">
      <c r="A24" s="3" t="s">
        <v>76</v>
      </c>
      <c r="B24" s="4"/>
      <c r="C24" s="4"/>
      <c r="D24" s="4"/>
      <c r="E24" s="4"/>
      <c r="F24" s="4"/>
      <c r="G24" s="4"/>
      <c r="H24" s="4"/>
    </row>
    <row r="25" spans="1:14" s="34" customFormat="1" ht="18.75" x14ac:dyDescent="0.25">
      <c r="A25" s="121" t="s">
        <v>82</v>
      </c>
      <c r="B25" s="32"/>
      <c r="C25" s="33"/>
      <c r="D25" s="33"/>
      <c r="E25" s="33"/>
      <c r="F25" s="33"/>
      <c r="G25" s="33"/>
      <c r="H25" s="33"/>
    </row>
    <row r="26" spans="1:14" s="10" customFormat="1" ht="15.75" x14ac:dyDescent="0.25">
      <c r="A26" s="122" t="s">
        <v>77</v>
      </c>
      <c r="B26" s="11"/>
      <c r="C26" s="11"/>
      <c r="D26" s="11"/>
      <c r="E26" s="11"/>
      <c r="F26" s="11"/>
      <c r="G26" s="11"/>
      <c r="H26" s="11"/>
    </row>
    <row r="27" spans="1:14" ht="61.5" customHeight="1" x14ac:dyDescent="0.25">
      <c r="A27" s="38" t="s">
        <v>84</v>
      </c>
      <c r="B27" s="37"/>
      <c r="C27" s="37"/>
      <c r="D27" s="37"/>
      <c r="E27" s="37"/>
      <c r="F27" s="37"/>
      <c r="G27" s="37"/>
      <c r="H27" s="37"/>
      <c r="I27" s="37"/>
      <c r="J27" s="12"/>
      <c r="K27" s="12"/>
      <c r="L27" s="12"/>
      <c r="M27" s="12"/>
    </row>
    <row r="28" spans="1:14" ht="20.2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13"/>
      <c r="K28" s="13"/>
    </row>
    <row r="29" spans="1:14" ht="20.2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13"/>
      <c r="K29" s="13"/>
      <c r="L29" s="13"/>
      <c r="M29" s="13"/>
      <c r="N29" s="13"/>
    </row>
    <row r="30" spans="1:14" ht="20.25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ht="1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L31" s="13"/>
      <c r="M31" s="13"/>
      <c r="N31" s="13"/>
    </row>
    <row r="32" spans="1:14" ht="1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L32" s="13"/>
      <c r="M32" s="13"/>
      <c r="N32" s="13"/>
    </row>
    <row r="33" spans="1:17" ht="15" customHeight="1" x14ac:dyDescent="0.25">
      <c r="L33" s="13"/>
      <c r="M33" s="13"/>
      <c r="N33" s="13"/>
    </row>
    <row r="35" spans="1:17" x14ac:dyDescent="0.25">
      <c r="H35" s="12"/>
      <c r="I35" s="12"/>
    </row>
    <row r="36" spans="1:17" ht="15" customHeight="1" x14ac:dyDescent="0.25">
      <c r="G36" s="12"/>
      <c r="H36" s="12"/>
      <c r="I36" s="12"/>
      <c r="L36" s="12"/>
      <c r="M36" s="12"/>
    </row>
    <row r="37" spans="1:17" x14ac:dyDescent="0.25">
      <c r="G37" s="12"/>
      <c r="H37" s="12"/>
      <c r="I37" s="12"/>
      <c r="L37" s="12"/>
      <c r="M37" s="12"/>
    </row>
    <row r="38" spans="1:17" ht="15.75" x14ac:dyDescent="0.25">
      <c r="J38" s="3"/>
      <c r="K38" s="3"/>
      <c r="L38" s="12"/>
      <c r="M38" s="12"/>
    </row>
    <row r="39" spans="1:17" ht="15.75" x14ac:dyDescent="0.25">
      <c r="J39" s="3"/>
      <c r="K39" s="3"/>
    </row>
    <row r="41" spans="1:17" x14ac:dyDescent="0.25">
      <c r="A41" s="14"/>
    </row>
    <row r="42" spans="1:17" x14ac:dyDescent="0.25">
      <c r="A42" s="14"/>
    </row>
    <row r="43" spans="1:17" x14ac:dyDescent="0.25">
      <c r="A43" s="14"/>
    </row>
    <row r="44" spans="1:17" x14ac:dyDescent="0.25">
      <c r="A44" s="14"/>
    </row>
    <row r="45" spans="1:17" x14ac:dyDescent="0.25">
      <c r="A45" s="14"/>
    </row>
    <row r="46" spans="1:17" x14ac:dyDescent="0.25">
      <c r="A46" s="14"/>
    </row>
    <row r="47" spans="1:17" ht="15.75" x14ac:dyDescent="0.25">
      <c r="A47" s="15"/>
      <c r="B47" s="3"/>
      <c r="C47" s="3"/>
      <c r="D47" s="3"/>
      <c r="E47" s="3"/>
      <c r="F47" s="3"/>
      <c r="G47" s="3"/>
      <c r="H47" s="3"/>
      <c r="I47" s="3"/>
    </row>
    <row r="48" spans="1:17" ht="15.75" x14ac:dyDescent="0.25">
      <c r="A48" s="16"/>
      <c r="B48" s="3"/>
      <c r="C48" s="3"/>
      <c r="D48" s="3"/>
      <c r="E48" s="3"/>
      <c r="F48" s="3"/>
      <c r="G48" s="3"/>
      <c r="H48" s="3"/>
      <c r="I48" s="3"/>
      <c r="L48" s="3"/>
      <c r="M48" s="3"/>
      <c r="N48" s="3"/>
      <c r="O48" s="3"/>
      <c r="P48" s="3"/>
      <c r="Q48" s="3"/>
    </row>
    <row r="49" spans="1:17" ht="15.75" x14ac:dyDescent="0.25">
      <c r="A49" s="14"/>
      <c r="B49" s="14"/>
      <c r="L49" s="3"/>
      <c r="M49" s="3"/>
      <c r="N49" s="3"/>
      <c r="O49" s="3"/>
      <c r="P49" s="3"/>
      <c r="Q49" s="3"/>
    </row>
    <row r="50" spans="1:17" x14ac:dyDescent="0.25">
      <c r="A50" s="14"/>
    </row>
    <row r="51" spans="1:17" x14ac:dyDescent="0.25">
      <c r="A51" s="14"/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5B41-6554-452C-BE54-EA950278F1BE}">
  <dimension ref="A1:Q90"/>
  <sheetViews>
    <sheetView workbookViewId="0">
      <selection activeCell="A5" sqref="A5"/>
    </sheetView>
  </sheetViews>
  <sheetFormatPr defaultColWidth="9.140625" defaultRowHeight="15.75" x14ac:dyDescent="0.25"/>
  <cols>
    <col min="1" max="1" width="30.42578125" style="1" customWidth="1"/>
    <col min="2" max="3" width="9.140625" style="1"/>
    <col min="4" max="4" width="50.42578125" style="1" customWidth="1"/>
    <col min="5" max="5" width="11.7109375" style="1" customWidth="1"/>
    <col min="6" max="6" width="11.85546875" style="1" customWidth="1"/>
    <col min="7" max="16" width="9.140625" style="1"/>
    <col min="17" max="17" width="29.42578125" style="1" customWidth="1"/>
    <col min="18" max="16384" width="9.140625" style="1"/>
  </cols>
  <sheetData>
    <row r="1" spans="1:17" ht="29.25" customHeight="1" x14ac:dyDescent="0.25">
      <c r="A1" s="150" t="s">
        <v>27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</row>
    <row r="2" spans="1:17" x14ac:dyDescent="0.25">
      <c r="A2" s="104" t="s">
        <v>92</v>
      </c>
      <c r="B2" s="105"/>
      <c r="C2" s="105"/>
      <c r="D2" s="105"/>
      <c r="E2" s="105"/>
      <c r="F2" s="105"/>
      <c r="G2" s="105"/>
      <c r="H2" s="105"/>
      <c r="I2" s="106"/>
      <c r="J2" s="106"/>
      <c r="K2" s="106"/>
      <c r="L2" s="107"/>
      <c r="M2" s="107"/>
      <c r="N2" s="107"/>
      <c r="O2" s="107"/>
      <c r="P2" s="107"/>
      <c r="Q2" s="107"/>
    </row>
    <row r="3" spans="1:17" x14ac:dyDescent="0.25">
      <c r="A3" s="104" t="s">
        <v>98</v>
      </c>
      <c r="B3" s="108"/>
      <c r="C3" s="108"/>
      <c r="D3" s="105"/>
      <c r="E3" s="105"/>
      <c r="F3" s="105"/>
      <c r="G3" s="105"/>
      <c r="H3" s="105"/>
      <c r="I3" s="106"/>
      <c r="J3" s="106"/>
      <c r="K3" s="106"/>
      <c r="L3" s="107"/>
      <c r="M3" s="107"/>
      <c r="N3" s="107"/>
      <c r="O3" s="107"/>
      <c r="P3" s="107"/>
      <c r="Q3" s="107"/>
    </row>
    <row r="4" spans="1:17" x14ac:dyDescent="0.25">
      <c r="A4" s="109" t="s">
        <v>99</v>
      </c>
      <c r="B4" s="108"/>
      <c r="C4" s="108"/>
      <c r="D4" s="105"/>
      <c r="E4" s="105"/>
      <c r="F4" s="105"/>
      <c r="G4" s="105"/>
      <c r="H4" s="105"/>
      <c r="I4" s="106"/>
      <c r="J4" s="106"/>
      <c r="K4" s="106"/>
      <c r="L4" s="107"/>
      <c r="M4" s="107"/>
      <c r="N4" s="107"/>
      <c r="O4" s="107"/>
      <c r="P4" s="107"/>
      <c r="Q4" s="107"/>
    </row>
    <row r="5" spans="1:17" x14ac:dyDescent="0.25">
      <c r="A5" s="108"/>
      <c r="B5" s="108"/>
      <c r="C5" s="108"/>
      <c r="D5" s="105"/>
      <c r="E5" s="105"/>
      <c r="F5" s="105"/>
      <c r="G5" s="105"/>
      <c r="H5" s="105"/>
      <c r="I5" s="106"/>
      <c r="J5" s="106"/>
      <c r="K5" s="106"/>
      <c r="L5" s="107"/>
      <c r="M5" s="107"/>
      <c r="N5" s="107"/>
      <c r="O5" s="107"/>
      <c r="P5" s="107"/>
      <c r="Q5" s="107"/>
    </row>
    <row r="6" spans="1:17" x14ac:dyDescent="0.25">
      <c r="A6" s="137" t="s">
        <v>28</v>
      </c>
      <c r="B6" s="137"/>
      <c r="C6" s="137"/>
      <c r="D6" s="137"/>
      <c r="E6" s="105"/>
      <c r="F6" s="105"/>
      <c r="G6" s="105"/>
      <c r="H6" s="105"/>
      <c r="I6" s="106"/>
      <c r="J6" s="106"/>
      <c r="K6" s="106"/>
      <c r="L6" s="107"/>
      <c r="M6" s="107"/>
      <c r="N6" s="107"/>
      <c r="O6" s="107"/>
      <c r="P6" s="107"/>
      <c r="Q6" s="107"/>
    </row>
    <row r="7" spans="1:17" x14ac:dyDescent="0.25">
      <c r="A7" s="105"/>
      <c r="B7" s="105"/>
      <c r="C7" s="105"/>
      <c r="D7" s="105"/>
      <c r="E7" s="105"/>
      <c r="F7" s="105"/>
      <c r="G7" s="105"/>
      <c r="H7" s="105"/>
      <c r="I7" s="106"/>
      <c r="J7" s="106"/>
      <c r="K7" s="106"/>
      <c r="L7" s="107"/>
      <c r="M7" s="107"/>
      <c r="N7" s="107"/>
      <c r="O7" s="107"/>
      <c r="P7" s="107"/>
      <c r="Q7" s="107"/>
    </row>
    <row r="8" spans="1:17" x14ac:dyDescent="0.25">
      <c r="A8" s="137" t="s">
        <v>29</v>
      </c>
      <c r="B8" s="137"/>
      <c r="C8" s="137"/>
      <c r="D8" s="137"/>
      <c r="E8" s="105"/>
      <c r="F8" s="105"/>
      <c r="G8" s="105"/>
      <c r="H8" s="105"/>
      <c r="I8" s="106"/>
      <c r="J8" s="106"/>
      <c r="K8" s="106"/>
      <c r="L8" s="107"/>
      <c r="M8" s="107"/>
      <c r="N8" s="107"/>
      <c r="O8" s="107"/>
      <c r="P8" s="107"/>
      <c r="Q8" s="107"/>
    </row>
    <row r="9" spans="1:17" x14ac:dyDescent="0.25">
      <c r="A9" s="137" t="s">
        <v>30</v>
      </c>
      <c r="B9" s="137"/>
      <c r="C9" s="137"/>
      <c r="D9" s="137"/>
      <c r="E9" s="105"/>
      <c r="F9" s="105"/>
      <c r="G9" s="105"/>
      <c r="H9" s="105"/>
      <c r="I9" s="106"/>
      <c r="J9" s="106"/>
      <c r="K9" s="106"/>
      <c r="L9" s="107"/>
      <c r="M9" s="107"/>
      <c r="N9" s="107"/>
      <c r="O9" s="107"/>
      <c r="P9" s="107"/>
      <c r="Q9" s="107"/>
    </row>
    <row r="10" spans="1:17" x14ac:dyDescent="0.25">
      <c r="A10" s="137" t="s">
        <v>31</v>
      </c>
      <c r="B10" s="137"/>
      <c r="C10" s="137"/>
      <c r="D10" s="110"/>
      <c r="E10" s="105"/>
      <c r="F10" s="105"/>
      <c r="G10" s="105"/>
      <c r="H10" s="105"/>
      <c r="I10" s="106"/>
      <c r="J10" s="106"/>
      <c r="K10" s="106"/>
      <c r="L10" s="107"/>
      <c r="M10" s="107"/>
      <c r="N10" s="107"/>
      <c r="O10" s="107"/>
      <c r="P10" s="107"/>
      <c r="Q10" s="107"/>
    </row>
    <row r="11" spans="1:17" x14ac:dyDescent="0.25">
      <c r="A11" s="137" t="s">
        <v>32</v>
      </c>
      <c r="B11" s="137"/>
      <c r="C11" s="137"/>
      <c r="D11" s="110"/>
      <c r="E11" s="105"/>
      <c r="F11" s="105"/>
      <c r="G11" s="105"/>
      <c r="H11" s="105"/>
      <c r="I11" s="106"/>
      <c r="J11" s="106"/>
      <c r="K11" s="106"/>
      <c r="L11" s="107"/>
      <c r="M11" s="107"/>
      <c r="N11" s="107"/>
      <c r="O11" s="107"/>
      <c r="P11" s="107"/>
      <c r="Q11" s="107"/>
    </row>
    <row r="12" spans="1:17" x14ac:dyDescent="0.25">
      <c r="A12" s="111"/>
      <c r="B12" s="111"/>
      <c r="C12" s="111"/>
      <c r="D12" s="111"/>
      <c r="E12" s="111"/>
      <c r="F12" s="112"/>
      <c r="G12" s="112"/>
      <c r="H12" s="112"/>
      <c r="I12" s="112"/>
      <c r="J12" s="112"/>
      <c r="K12" s="112"/>
      <c r="L12" s="107"/>
      <c r="M12" s="107"/>
      <c r="N12" s="107"/>
      <c r="O12" s="107"/>
      <c r="P12" s="107"/>
      <c r="Q12" s="107"/>
    </row>
    <row r="13" spans="1:17" x14ac:dyDescent="0.25">
      <c r="A13" s="138" t="s">
        <v>33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</row>
    <row r="14" spans="1:17" x14ac:dyDescent="0.25">
      <c r="A14" s="89" t="s">
        <v>34</v>
      </c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</row>
    <row r="15" spans="1:17" x14ac:dyDescent="0.25">
      <c r="A15" s="89" t="s">
        <v>35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</row>
    <row r="16" spans="1:17" x14ac:dyDescent="0.25">
      <c r="A16" s="90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</row>
    <row r="17" spans="1:17" x14ac:dyDescent="0.25">
      <c r="A17" s="90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</row>
    <row r="18" spans="1:17" x14ac:dyDescent="0.25">
      <c r="A18" s="91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</row>
    <row r="19" spans="1:17" x14ac:dyDescent="0.25">
      <c r="A19" s="92" t="s">
        <v>36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</row>
    <row r="20" spans="1:17" x14ac:dyDescent="0.25">
      <c r="A20" s="93" t="s">
        <v>37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</row>
    <row r="21" spans="1:17" x14ac:dyDescent="0.25">
      <c r="A21" s="94" t="s">
        <v>38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</row>
    <row r="22" spans="1:17" x14ac:dyDescent="0.25">
      <c r="A22" s="94" t="s">
        <v>39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</row>
    <row r="23" spans="1:17" x14ac:dyDescent="0.25">
      <c r="A23" s="94" t="s">
        <v>40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</row>
    <row r="24" spans="1:17" x14ac:dyDescent="0.25">
      <c r="A24" s="89" t="s">
        <v>41</v>
      </c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</row>
    <row r="25" spans="1:17" x14ac:dyDescent="0.25">
      <c r="A25" s="94" t="s">
        <v>42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  <row r="26" spans="1:17" x14ac:dyDescent="0.25">
      <c r="A26" s="94" t="s">
        <v>43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</row>
    <row r="27" spans="1:17" x14ac:dyDescent="0.25">
      <c r="A27" s="94" t="s">
        <v>40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</row>
    <row r="28" spans="1:17" x14ac:dyDescent="0.25">
      <c r="A28" s="145" t="s">
        <v>41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</row>
    <row r="29" spans="1:17" x14ac:dyDescent="0.25">
      <c r="A29" s="14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</row>
    <row r="30" spans="1:17" ht="29.25" customHeight="1" x14ac:dyDescent="0.25">
      <c r="A30" s="143" t="s">
        <v>44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</row>
    <row r="31" spans="1:17" ht="31.5" x14ac:dyDescent="0.25">
      <c r="A31" s="96" t="s">
        <v>45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</row>
    <row r="32" spans="1:17" x14ac:dyDescent="0.25">
      <c r="A32" s="97" t="s">
        <v>46</v>
      </c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</row>
    <row r="33" spans="1:17" x14ac:dyDescent="0.25">
      <c r="A33" s="97" t="s">
        <v>47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</row>
    <row r="34" spans="1:17" x14ac:dyDescent="0.25">
      <c r="A34" s="97" t="s">
        <v>41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</row>
    <row r="35" spans="1:17" x14ac:dyDescent="0.25">
      <c r="A35" s="97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</row>
    <row r="36" spans="1:17" ht="31.5" x14ac:dyDescent="0.25">
      <c r="A36" s="96" t="s">
        <v>48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</row>
    <row r="37" spans="1:17" x14ac:dyDescent="0.25">
      <c r="A37" s="97" t="s">
        <v>46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</row>
    <row r="38" spans="1:17" x14ac:dyDescent="0.25">
      <c r="A38" s="97" t="s">
        <v>47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</row>
    <row r="39" spans="1:17" x14ac:dyDescent="0.25">
      <c r="A39" s="97" t="s">
        <v>41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</row>
    <row r="40" spans="1:17" x14ac:dyDescent="0.25">
      <c r="A40" s="9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</row>
    <row r="41" spans="1:17" x14ac:dyDescent="0.25">
      <c r="A41" s="152" t="s">
        <v>49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</row>
    <row r="42" spans="1:17" ht="2.25" customHeight="1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</row>
    <row r="43" spans="1:17" x14ac:dyDescent="0.25">
      <c r="A43" s="149" t="s">
        <v>50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</row>
    <row r="44" spans="1:17" x14ac:dyDescent="0.25">
      <c r="A44" s="94"/>
      <c r="B44" s="98" t="s">
        <v>51</v>
      </c>
      <c r="C44" s="99" t="s">
        <v>52</v>
      </c>
      <c r="D44" s="100"/>
      <c r="E44" s="100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</row>
    <row r="45" spans="1:17" x14ac:dyDescent="0.25">
      <c r="A45" s="97" t="s">
        <v>53</v>
      </c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</row>
    <row r="46" spans="1:17" s="2" customFormat="1" ht="15.75" customHeight="1" x14ac:dyDescent="0.25">
      <c r="A46" s="154" t="s">
        <v>54</v>
      </c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</row>
    <row r="47" spans="1:17" x14ac:dyDescent="0.25">
      <c r="A47" s="154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</row>
    <row r="48" spans="1:17" x14ac:dyDescent="0.25">
      <c r="A48" s="102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</row>
    <row r="49" spans="1:17" x14ac:dyDescent="0.25">
      <c r="A49" s="102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</row>
    <row r="50" spans="1:17" x14ac:dyDescent="0.25">
      <c r="A50" s="102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</row>
    <row r="51" spans="1:17" x14ac:dyDescent="0.25">
      <c r="A51" s="102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</row>
    <row r="52" spans="1:17" x14ac:dyDescent="0.25">
      <c r="A52" s="102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</row>
    <row r="53" spans="1:17" x14ac:dyDescent="0.25">
      <c r="A53" s="102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</row>
    <row r="54" spans="1:17" x14ac:dyDescent="0.25">
      <c r="A54" s="102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</row>
    <row r="55" spans="1:17" x14ac:dyDescent="0.25">
      <c r="A55" s="102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x14ac:dyDescent="0.25">
      <c r="A56" s="102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</row>
    <row r="57" spans="1:17" x14ac:dyDescent="0.25">
      <c r="A57" s="102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</row>
    <row r="58" spans="1:17" x14ac:dyDescent="0.25">
      <c r="A58" s="102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</row>
    <row r="59" spans="1:17" x14ac:dyDescent="0.25">
      <c r="A59" s="102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</row>
    <row r="60" spans="1:17" x14ac:dyDescent="0.25">
      <c r="A60" s="102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</row>
    <row r="61" spans="1:17" s="2" customFormat="1" ht="31.5" customHeight="1" x14ac:dyDescent="0.25">
      <c r="A61" s="143" t="s">
        <v>55</v>
      </c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</row>
    <row r="62" spans="1:17" ht="31.5" x14ac:dyDescent="0.25">
      <c r="A62" s="96" t="s">
        <v>56</v>
      </c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</row>
    <row r="63" spans="1:17" x14ac:dyDescent="0.25">
      <c r="A63" s="97" t="s">
        <v>46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</row>
    <row r="64" spans="1:17" x14ac:dyDescent="0.25">
      <c r="A64" s="97" t="s">
        <v>47</v>
      </c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</row>
    <row r="65" spans="1:17" x14ac:dyDescent="0.25">
      <c r="A65" s="97" t="s">
        <v>41</v>
      </c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</row>
    <row r="66" spans="1:17" x14ac:dyDescent="0.25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</row>
    <row r="67" spans="1:17" ht="31.5" x14ac:dyDescent="0.25">
      <c r="A67" s="96" t="s">
        <v>57</v>
      </c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</row>
    <row r="68" spans="1:17" x14ac:dyDescent="0.25">
      <c r="A68" s="97" t="s">
        <v>46</v>
      </c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</row>
    <row r="69" spans="1:17" x14ac:dyDescent="0.25">
      <c r="A69" s="97" t="s">
        <v>47</v>
      </c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</row>
    <row r="70" spans="1:17" x14ac:dyDescent="0.25">
      <c r="A70" s="97" t="s">
        <v>41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</row>
    <row r="71" spans="1:17" x14ac:dyDescent="0.25">
      <c r="A71" s="97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</row>
    <row r="72" spans="1:17" s="3" customFormat="1" ht="19.5" customHeight="1" x14ac:dyDescent="0.25">
      <c r="A72" s="143" t="s">
        <v>58</v>
      </c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</row>
    <row r="73" spans="1:17" s="3" customFormat="1" x14ac:dyDescent="0.25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</row>
    <row r="74" spans="1:17" x14ac:dyDescent="0.25">
      <c r="A74" s="147" t="s">
        <v>59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25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</row>
    <row r="76" spans="1:17" x14ac:dyDescent="0.25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</row>
    <row r="77" spans="1:17" x14ac:dyDescent="0.25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</row>
    <row r="78" spans="1:17" x14ac:dyDescent="0.25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</row>
    <row r="79" spans="1:17" x14ac:dyDescent="0.25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</row>
    <row r="80" spans="1:17" x14ac:dyDescent="0.25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</row>
    <row r="81" spans="1:17" x14ac:dyDescent="0.25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</row>
    <row r="82" spans="1:17" x14ac:dyDescent="0.25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</row>
    <row r="83" spans="1:17" x14ac:dyDescent="0.25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</row>
    <row r="84" spans="1:17" x14ac:dyDescent="0.25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</row>
    <row r="85" spans="1:17" x14ac:dyDescent="0.25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</row>
    <row r="86" spans="1:17" x14ac:dyDescent="0.25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</row>
    <row r="87" spans="1:17" x14ac:dyDescent="0.25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</row>
    <row r="88" spans="1:17" x14ac:dyDescent="0.25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</row>
    <row r="89" spans="1:17" x14ac:dyDescent="0.25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</row>
    <row r="90" spans="1:17" x14ac:dyDescent="0.25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</row>
  </sheetData>
  <mergeCells count="51">
    <mergeCell ref="A1:Q1"/>
    <mergeCell ref="B69:Q69"/>
    <mergeCell ref="B62:Q62"/>
    <mergeCell ref="B36:Q36"/>
    <mergeCell ref="B37:Q37"/>
    <mergeCell ref="B38:Q38"/>
    <mergeCell ref="B39:Q39"/>
    <mergeCell ref="B40:Q40"/>
    <mergeCell ref="A41:Q42"/>
    <mergeCell ref="A43:Q43"/>
    <mergeCell ref="B45:Q45"/>
    <mergeCell ref="A46:A47"/>
    <mergeCell ref="B46:Q60"/>
    <mergeCell ref="A61:Q61"/>
    <mergeCell ref="B20:Q20"/>
    <mergeCell ref="B21:Q21"/>
    <mergeCell ref="B70:Q70"/>
    <mergeCell ref="A72:Q73"/>
    <mergeCell ref="A74:Q90"/>
    <mergeCell ref="B63:Q63"/>
    <mergeCell ref="B64:Q64"/>
    <mergeCell ref="B65:Q65"/>
    <mergeCell ref="A66:Q66"/>
    <mergeCell ref="B67:Q67"/>
    <mergeCell ref="B68:Q68"/>
    <mergeCell ref="B35:Q35"/>
    <mergeCell ref="B23:Q23"/>
    <mergeCell ref="B24:Q24"/>
    <mergeCell ref="B25:Q25"/>
    <mergeCell ref="B26:Q26"/>
    <mergeCell ref="B27:Q27"/>
    <mergeCell ref="A30:Q30"/>
    <mergeCell ref="B31:Q31"/>
    <mergeCell ref="B32:Q32"/>
    <mergeCell ref="B33:Q33"/>
    <mergeCell ref="B34:Q34"/>
    <mergeCell ref="A28:A29"/>
    <mergeCell ref="B28:Q28"/>
    <mergeCell ref="B22:Q22"/>
    <mergeCell ref="B17:Q17"/>
    <mergeCell ref="B18:Q18"/>
    <mergeCell ref="B19:Q19"/>
    <mergeCell ref="B16:Q16"/>
    <mergeCell ref="A6:D6"/>
    <mergeCell ref="A13:Q13"/>
    <mergeCell ref="B14:Q14"/>
    <mergeCell ref="B15:Q15"/>
    <mergeCell ref="A8:D8"/>
    <mergeCell ref="A9:D9"/>
    <mergeCell ref="A10:C10"/>
    <mergeCell ref="A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EA5C-7B70-4B87-A978-82B7D55C1AAE}">
  <dimension ref="A1:Q33"/>
  <sheetViews>
    <sheetView tabSelected="1" topLeftCell="A6" workbookViewId="0">
      <selection activeCell="E18" sqref="E18"/>
    </sheetView>
  </sheetViews>
  <sheetFormatPr defaultColWidth="8" defaultRowHeight="15" x14ac:dyDescent="0.25"/>
  <cols>
    <col min="1" max="1" width="16.85546875" style="4" customWidth="1"/>
    <col min="2" max="2" width="34.42578125" style="22" customWidth="1"/>
    <col min="3" max="3" width="10.85546875" style="23" customWidth="1"/>
    <col min="4" max="4" width="31.85546875" style="22" customWidth="1"/>
    <col min="5" max="5" width="15.5703125" style="23" customWidth="1"/>
    <col min="6" max="6" width="9.42578125" style="23" customWidth="1"/>
    <col min="7" max="7" width="18.42578125" style="4" customWidth="1"/>
    <col min="8" max="8" width="21.7109375" style="4" customWidth="1"/>
    <col min="9" max="9" width="12" style="4" hidden="1" customWidth="1"/>
    <col min="10" max="10" width="1.140625" style="4" hidden="1" customWidth="1"/>
    <col min="11" max="11" width="9.7109375" style="4" hidden="1" customWidth="1"/>
    <col min="12" max="12" width="1.42578125" style="4" hidden="1" customWidth="1"/>
    <col min="13" max="15" width="0" style="4" hidden="1" customWidth="1"/>
    <col min="16" max="16" width="16.140625" style="4" customWidth="1"/>
    <col min="17" max="16384" width="8" style="4"/>
  </cols>
  <sheetData>
    <row r="1" spans="1:17" ht="30" x14ac:dyDescent="0.25">
      <c r="A1" s="156" t="s">
        <v>0</v>
      </c>
      <c r="B1" s="157"/>
      <c r="C1" s="157"/>
      <c r="D1" s="157"/>
      <c r="E1" s="157"/>
      <c r="F1" s="157"/>
      <c r="G1" s="157"/>
      <c r="H1" s="158"/>
    </row>
    <row r="2" spans="1:17" ht="91.5" customHeight="1" x14ac:dyDescent="0.25">
      <c r="A2" s="76" t="s">
        <v>1</v>
      </c>
      <c r="B2" s="76" t="s">
        <v>2</v>
      </c>
      <c r="C2" s="76" t="s">
        <v>3</v>
      </c>
      <c r="D2" s="76" t="s">
        <v>4</v>
      </c>
      <c r="E2" s="76" t="s">
        <v>93</v>
      </c>
      <c r="F2" s="76" t="s">
        <v>5</v>
      </c>
      <c r="G2" s="76" t="s">
        <v>100</v>
      </c>
      <c r="H2" s="76" t="s">
        <v>96</v>
      </c>
    </row>
    <row r="3" spans="1:17" ht="59.25" x14ac:dyDescent="0.25">
      <c r="A3" s="159">
        <v>1</v>
      </c>
      <c r="B3" s="54" t="s">
        <v>79</v>
      </c>
      <c r="C3" s="48" t="s">
        <v>6</v>
      </c>
      <c r="D3" s="49" t="s">
        <v>7</v>
      </c>
      <c r="E3" s="50">
        <v>255412</v>
      </c>
      <c r="F3" s="51" t="str">
        <f>'[1]BAG-IN-BOX SCHEDULE OF ITEMS'!F5</f>
        <v>GL</v>
      </c>
      <c r="G3" s="41">
        <v>0</v>
      </c>
      <c r="H3" s="41">
        <f>SUM(E3*G3)</f>
        <v>0</v>
      </c>
      <c r="I3" s="41"/>
      <c r="J3" s="42"/>
    </row>
    <row r="4" spans="1:17" ht="30" x14ac:dyDescent="0.25">
      <c r="A4" s="159"/>
      <c r="B4" s="52"/>
      <c r="C4" s="48" t="s">
        <v>8</v>
      </c>
      <c r="D4" s="53" t="s">
        <v>9</v>
      </c>
      <c r="E4" s="50">
        <v>33993</v>
      </c>
      <c r="F4" s="51" t="str">
        <f>'[1]BAG-IN-BOX SCHEDULE OF ITEMS'!F6</f>
        <v>GL</v>
      </c>
      <c r="G4" s="41">
        <f>'[1]BAG-IN-BOX SCHEDULE OF ITEMS'!G6</f>
        <v>0</v>
      </c>
      <c r="H4" s="41">
        <f>SUM(E4*G4)</f>
        <v>0</v>
      </c>
      <c r="I4" s="41"/>
      <c r="J4" s="42"/>
    </row>
    <row r="5" spans="1:17" ht="57" x14ac:dyDescent="0.25">
      <c r="A5" s="159"/>
      <c r="B5" s="54" t="s">
        <v>80</v>
      </c>
      <c r="C5" s="55" t="s">
        <v>10</v>
      </c>
      <c r="D5" s="56" t="s">
        <v>11</v>
      </c>
      <c r="E5" s="57">
        <v>1389</v>
      </c>
      <c r="F5" s="51" t="str">
        <f>'[1]BAG-IN-BOX SCHEDULE OF ITEMS'!F7</f>
        <v>GL</v>
      </c>
      <c r="G5" s="41">
        <f>'[1]BAG-IN-BOX SCHEDULE OF ITEMS'!G7</f>
        <v>0</v>
      </c>
      <c r="H5" s="41">
        <f>SUM(E5*G5)</f>
        <v>0</v>
      </c>
      <c r="I5" s="43"/>
      <c r="J5" s="42"/>
    </row>
    <row r="6" spans="1:17" x14ac:dyDescent="0.25">
      <c r="A6" s="159"/>
      <c r="B6" s="52"/>
      <c r="C6" s="55" t="s">
        <v>12</v>
      </c>
      <c r="D6" s="56" t="s">
        <v>13</v>
      </c>
      <c r="E6" s="57">
        <v>7961</v>
      </c>
      <c r="F6" s="51" t="str">
        <f>'[1]BAG-IN-BOX SCHEDULE OF ITEMS'!F8</f>
        <v>GL</v>
      </c>
      <c r="G6" s="41">
        <f>'[1]BAG-IN-BOX SCHEDULE OF ITEMS'!G8</f>
        <v>0</v>
      </c>
      <c r="H6" s="41">
        <f t="shared" ref="H6" si="0">SUM(E6*G6)</f>
        <v>0</v>
      </c>
      <c r="I6" s="43"/>
      <c r="J6" s="42"/>
    </row>
    <row r="7" spans="1:17" x14ac:dyDescent="0.25">
      <c r="A7" s="159"/>
      <c r="B7" s="52"/>
      <c r="C7" s="55" t="s">
        <v>14</v>
      </c>
      <c r="D7" s="56" t="s">
        <v>15</v>
      </c>
      <c r="E7" s="57">
        <v>6369</v>
      </c>
      <c r="F7" s="51" t="str">
        <f>'[1]BAG-IN-BOX SCHEDULE OF ITEMS'!F9</f>
        <v>GL</v>
      </c>
      <c r="G7" s="41">
        <v>0</v>
      </c>
      <c r="H7" s="41">
        <f>SUM(E7*G7)</f>
        <v>0</v>
      </c>
      <c r="I7" s="43"/>
      <c r="J7" s="42"/>
    </row>
    <row r="8" spans="1:17" x14ac:dyDescent="0.25">
      <c r="A8" s="159"/>
      <c r="B8" s="52"/>
      <c r="C8" s="55" t="s">
        <v>16</v>
      </c>
      <c r="D8" s="56" t="s">
        <v>17</v>
      </c>
      <c r="E8" s="57"/>
      <c r="F8" s="58"/>
      <c r="G8" s="43">
        <v>0</v>
      </c>
      <c r="H8" s="41">
        <f>SUM(E8*G8)</f>
        <v>0</v>
      </c>
      <c r="I8" s="43"/>
      <c r="J8" s="42"/>
      <c r="M8" s="44"/>
    </row>
    <row r="9" spans="1:17" x14ac:dyDescent="0.25">
      <c r="A9" s="77"/>
      <c r="B9" s="77"/>
      <c r="C9" s="78"/>
      <c r="D9" s="79"/>
      <c r="E9" s="80"/>
      <c r="F9" s="81" t="str">
        <f>'[1]BAG-IN-BOX SCHEDULE OF ITEMS'!F12</f>
        <v>GL</v>
      </c>
      <c r="G9" s="82">
        <f>'[1]BAG-IN-BOX SCHEDULE OF ITEMS'!G12</f>
        <v>0</v>
      </c>
      <c r="H9" s="83">
        <f>'[1]BAG-IN-BOX SCHEDULE OF ITEMS'!H12</f>
        <v>0</v>
      </c>
      <c r="I9" s="21"/>
      <c r="J9" s="42"/>
      <c r="K9" s="45"/>
      <c r="L9" s="45"/>
      <c r="M9" s="45"/>
      <c r="N9" s="45"/>
      <c r="O9" s="45"/>
      <c r="P9" s="45"/>
      <c r="Q9" s="45"/>
    </row>
    <row r="10" spans="1:17" ht="173.25" customHeight="1" x14ac:dyDescent="0.25">
      <c r="A10" s="160">
        <v>2</v>
      </c>
      <c r="B10" s="59" t="s">
        <v>90</v>
      </c>
      <c r="C10" s="55" t="s">
        <v>18</v>
      </c>
      <c r="D10" s="56" t="s">
        <v>19</v>
      </c>
      <c r="E10" s="57">
        <v>481674</v>
      </c>
      <c r="F10" s="58" t="str">
        <f>'[1]BAG-IN-BOX SCHEDULE OF ITEMS'!F13</f>
        <v>GL</v>
      </c>
      <c r="G10" s="43">
        <f>'[1]BAG-IN-BOX SCHEDULE OF ITEMS'!G13</f>
        <v>0</v>
      </c>
      <c r="H10" s="41">
        <f>SUM(E10*G10)</f>
        <v>0</v>
      </c>
      <c r="I10" s="43"/>
      <c r="J10" s="42"/>
    </row>
    <row r="11" spans="1:17" ht="30" x14ac:dyDescent="0.25">
      <c r="A11" s="160"/>
      <c r="B11" s="60"/>
      <c r="C11" s="61" t="s">
        <v>20</v>
      </c>
      <c r="D11" s="62" t="s">
        <v>9</v>
      </c>
      <c r="E11" s="57">
        <v>11644</v>
      </c>
      <c r="F11" s="58" t="str">
        <f>'[1]BAG-IN-BOX SCHEDULE OF ITEMS'!F14</f>
        <v>GL</v>
      </c>
      <c r="G11" s="43">
        <f>'[1]BAG-IN-BOX SCHEDULE OF ITEMS'!G14</f>
        <v>0</v>
      </c>
      <c r="H11" s="41">
        <f t="shared" ref="H11:H14" si="1">SUM(E11*G11)</f>
        <v>0</v>
      </c>
      <c r="I11" s="43"/>
      <c r="J11" s="42"/>
    </row>
    <row r="12" spans="1:17" ht="57" x14ac:dyDescent="0.25">
      <c r="A12" s="160"/>
      <c r="B12" s="54" t="s">
        <v>80</v>
      </c>
      <c r="C12" s="55" t="s">
        <v>21</v>
      </c>
      <c r="D12" s="56" t="s">
        <v>11</v>
      </c>
      <c r="E12" s="57">
        <v>416</v>
      </c>
      <c r="F12" s="58" t="str">
        <f>'[1]BAG-IN-BOX SCHEDULE OF ITEMS'!F15</f>
        <v>GL</v>
      </c>
      <c r="G12" s="43">
        <f>'[1]BAG-IN-BOX SCHEDULE OF ITEMS'!G15</f>
        <v>0</v>
      </c>
      <c r="H12" s="41">
        <f>SUM(E12*G12)</f>
        <v>0</v>
      </c>
      <c r="I12" s="43"/>
      <c r="J12" s="42"/>
    </row>
    <row r="13" spans="1:17" x14ac:dyDescent="0.25">
      <c r="A13" s="160"/>
      <c r="B13" s="52"/>
      <c r="C13" s="55" t="s">
        <v>22</v>
      </c>
      <c r="D13" s="62" t="s">
        <v>13</v>
      </c>
      <c r="E13" s="57">
        <v>7780</v>
      </c>
      <c r="F13" s="63" t="s">
        <v>23</v>
      </c>
      <c r="G13" s="43">
        <v>0</v>
      </c>
      <c r="H13" s="41">
        <f t="shared" si="1"/>
        <v>0</v>
      </c>
      <c r="I13" s="43"/>
      <c r="J13" s="42"/>
    </row>
    <row r="14" spans="1:17" x14ac:dyDescent="0.25">
      <c r="A14" s="160"/>
      <c r="B14" s="52"/>
      <c r="C14" s="55" t="s">
        <v>24</v>
      </c>
      <c r="D14" s="64" t="s">
        <v>15</v>
      </c>
      <c r="E14" s="65">
        <v>3088</v>
      </c>
      <c r="F14" s="66" t="s">
        <v>23</v>
      </c>
      <c r="G14" s="75">
        <v>0</v>
      </c>
      <c r="H14" s="41">
        <f t="shared" si="1"/>
        <v>0</v>
      </c>
      <c r="I14" s="43"/>
      <c r="J14" s="42"/>
    </row>
    <row r="15" spans="1:17" x14ac:dyDescent="0.25">
      <c r="A15" s="160"/>
      <c r="B15" s="52"/>
      <c r="C15" s="55" t="s">
        <v>25</v>
      </c>
      <c r="D15" s="56" t="s">
        <v>17</v>
      </c>
      <c r="E15" s="57"/>
      <c r="F15" s="63"/>
      <c r="G15" s="43">
        <v>0</v>
      </c>
      <c r="H15" s="41">
        <f>SUM(E15*G15)</f>
        <v>0</v>
      </c>
      <c r="I15" s="43"/>
      <c r="J15" s="42"/>
    </row>
    <row r="16" spans="1:17" x14ac:dyDescent="0.25">
      <c r="A16" s="84"/>
      <c r="B16" s="77"/>
      <c r="C16" s="78"/>
      <c r="D16" s="79" t="s">
        <v>26</v>
      </c>
      <c r="E16" s="80"/>
      <c r="F16" s="85"/>
      <c r="G16" s="86"/>
      <c r="H16" s="86"/>
      <c r="I16" s="21"/>
      <c r="J16" s="42"/>
    </row>
    <row r="17" spans="1:13" ht="45" x14ac:dyDescent="0.25">
      <c r="A17" s="161">
        <v>3</v>
      </c>
      <c r="B17" s="162" t="s">
        <v>88</v>
      </c>
      <c r="C17" s="163" t="s">
        <v>86</v>
      </c>
      <c r="D17" s="67" t="s">
        <v>19</v>
      </c>
      <c r="E17" s="68">
        <v>191</v>
      </c>
      <c r="F17" s="69" t="s">
        <v>23</v>
      </c>
      <c r="G17" s="73">
        <v>0</v>
      </c>
      <c r="H17" s="41">
        <f>SUM(E17*G17)</f>
        <v>0</v>
      </c>
    </row>
    <row r="18" spans="1:13" x14ac:dyDescent="0.25">
      <c r="A18" s="161"/>
      <c r="B18" s="162"/>
      <c r="C18" s="163"/>
      <c r="D18" s="56" t="s">
        <v>11</v>
      </c>
      <c r="E18" s="66">
        <v>0</v>
      </c>
      <c r="F18" s="70" t="s">
        <v>23</v>
      </c>
      <c r="G18" s="74">
        <v>0</v>
      </c>
      <c r="H18" s="41">
        <f t="shared" ref="H18:H20" si="2">SUM(E18*G18)</f>
        <v>0</v>
      </c>
      <c r="M18" s="46"/>
    </row>
    <row r="19" spans="1:13" x14ac:dyDescent="0.25">
      <c r="A19" s="161"/>
      <c r="B19" s="162"/>
      <c r="C19" s="163"/>
      <c r="D19" s="71" t="s">
        <v>13</v>
      </c>
      <c r="E19" s="66">
        <v>0</v>
      </c>
      <c r="F19" s="70" t="s">
        <v>23</v>
      </c>
      <c r="G19" s="74">
        <v>0</v>
      </c>
      <c r="H19" s="41">
        <f t="shared" si="2"/>
        <v>0</v>
      </c>
    </row>
    <row r="20" spans="1:13" x14ac:dyDescent="0.25">
      <c r="A20" s="161"/>
      <c r="B20" s="162"/>
      <c r="C20" s="163"/>
      <c r="D20" s="72" t="s">
        <v>15</v>
      </c>
      <c r="E20" s="66">
        <v>0</v>
      </c>
      <c r="F20" s="70" t="s">
        <v>23</v>
      </c>
      <c r="G20" s="74">
        <v>0</v>
      </c>
      <c r="H20" s="41">
        <f t="shared" si="2"/>
        <v>0</v>
      </c>
    </row>
    <row r="21" spans="1:13" x14ac:dyDescent="0.25">
      <c r="C21" s="47"/>
    </row>
    <row r="22" spans="1:13" x14ac:dyDescent="0.25">
      <c r="C22" s="47"/>
    </row>
    <row r="23" spans="1:13" x14ac:dyDescent="0.25">
      <c r="C23" s="47"/>
    </row>
    <row r="24" spans="1:13" x14ac:dyDescent="0.25">
      <c r="C24" s="47"/>
    </row>
    <row r="25" spans="1:13" x14ac:dyDescent="0.25">
      <c r="C25" s="47"/>
    </row>
    <row r="26" spans="1:13" x14ac:dyDescent="0.25">
      <c r="C26" s="47"/>
    </row>
    <row r="27" spans="1:13" x14ac:dyDescent="0.25">
      <c r="C27" s="47"/>
    </row>
    <row r="28" spans="1:13" x14ac:dyDescent="0.25">
      <c r="C28" s="47"/>
    </row>
    <row r="29" spans="1:13" x14ac:dyDescent="0.25">
      <c r="C29" s="47"/>
    </row>
    <row r="30" spans="1:13" x14ac:dyDescent="0.25">
      <c r="C30" s="47"/>
    </row>
    <row r="31" spans="1:13" x14ac:dyDescent="0.25">
      <c r="C31" s="47"/>
    </row>
    <row r="32" spans="1:13" x14ac:dyDescent="0.25">
      <c r="C32" s="47"/>
    </row>
    <row r="33" spans="3:3" x14ac:dyDescent="0.25">
      <c r="C33" s="47"/>
    </row>
  </sheetData>
  <mergeCells count="6">
    <mergeCell ref="A1:H1"/>
    <mergeCell ref="A3:A8"/>
    <mergeCell ref="A10:A15"/>
    <mergeCell ref="A17:A20"/>
    <mergeCell ref="B17:B20"/>
    <mergeCell ref="C17:C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B51F-9CD7-4541-BB7B-B3900EAAAC22}">
  <dimension ref="A1:B68"/>
  <sheetViews>
    <sheetView zoomScale="120" zoomScaleNormal="120" workbookViewId="0">
      <selection activeCell="A5" sqref="A5:A19"/>
    </sheetView>
  </sheetViews>
  <sheetFormatPr defaultColWidth="9.140625" defaultRowHeight="15" x14ac:dyDescent="0.25"/>
  <cols>
    <col min="1" max="1" width="15.7109375" style="4" customWidth="1"/>
    <col min="2" max="2" width="135.42578125" style="4" customWidth="1"/>
    <col min="3" max="16384" width="9.140625" style="4"/>
  </cols>
  <sheetData>
    <row r="1" spans="1:2" ht="21" customHeight="1" x14ac:dyDescent="0.25">
      <c r="A1" s="128" t="s">
        <v>0</v>
      </c>
      <c r="B1" s="129"/>
    </row>
    <row r="2" spans="1:2" ht="12" customHeight="1" x14ac:dyDescent="0.25">
      <c r="A2" s="130"/>
      <c r="B2" s="131"/>
    </row>
    <row r="3" spans="1:2" x14ac:dyDescent="0.25">
      <c r="A3" s="132" t="s">
        <v>1</v>
      </c>
      <c r="B3" s="133" t="s">
        <v>2</v>
      </c>
    </row>
    <row r="4" spans="1:2" ht="15.75" thickBot="1" x14ac:dyDescent="0.3">
      <c r="A4" s="132"/>
      <c r="B4" s="134"/>
    </row>
    <row r="5" spans="1:2" ht="36" customHeight="1" x14ac:dyDescent="0.25">
      <c r="A5" s="135">
        <v>1</v>
      </c>
      <c r="B5" s="39" t="s">
        <v>85</v>
      </c>
    </row>
    <row r="6" spans="1:2" x14ac:dyDescent="0.25">
      <c r="A6" s="135"/>
      <c r="B6" s="136"/>
    </row>
    <row r="7" spans="1:2" x14ac:dyDescent="0.25">
      <c r="A7" s="135"/>
      <c r="B7" s="136"/>
    </row>
    <row r="8" spans="1:2" x14ac:dyDescent="0.25">
      <c r="A8" s="135"/>
      <c r="B8" s="136"/>
    </row>
    <row r="9" spans="1:2" x14ac:dyDescent="0.25">
      <c r="A9" s="135"/>
      <c r="B9" s="136"/>
    </row>
    <row r="10" spans="1:2" x14ac:dyDescent="0.25">
      <c r="A10" s="135"/>
      <c r="B10" s="136"/>
    </row>
    <row r="11" spans="1:2" x14ac:dyDescent="0.25">
      <c r="A11" s="135"/>
      <c r="B11" s="136"/>
    </row>
    <row r="12" spans="1:2" x14ac:dyDescent="0.25">
      <c r="A12" s="135"/>
      <c r="B12" s="136"/>
    </row>
    <row r="13" spans="1:2" x14ac:dyDescent="0.25">
      <c r="A13" s="135"/>
      <c r="B13" s="136"/>
    </row>
    <row r="14" spans="1:2" x14ac:dyDescent="0.25">
      <c r="A14" s="135"/>
      <c r="B14" s="136"/>
    </row>
    <row r="15" spans="1:2" x14ac:dyDescent="0.25">
      <c r="A15" s="135"/>
      <c r="B15" s="136"/>
    </row>
    <row r="16" spans="1:2" x14ac:dyDescent="0.25">
      <c r="A16" s="135"/>
      <c r="B16" s="136"/>
    </row>
    <row r="17" spans="1:2" x14ac:dyDescent="0.25">
      <c r="A17" s="135"/>
      <c r="B17" s="136"/>
    </row>
    <row r="18" spans="1:2" x14ac:dyDescent="0.25">
      <c r="A18" s="135"/>
      <c r="B18" s="136"/>
    </row>
    <row r="19" spans="1:2" x14ac:dyDescent="0.25">
      <c r="A19" s="135"/>
      <c r="B19" s="136"/>
    </row>
    <row r="20" spans="1:2" ht="9" customHeight="1" x14ac:dyDescent="0.25">
      <c r="A20" s="87"/>
      <c r="B20" s="87"/>
    </row>
    <row r="21" spans="1:2" ht="58.5" x14ac:dyDescent="0.25">
      <c r="A21" s="123">
        <v>2</v>
      </c>
      <c r="B21" s="40" t="s">
        <v>89</v>
      </c>
    </row>
    <row r="22" spans="1:2" x14ac:dyDescent="0.25">
      <c r="A22" s="123"/>
      <c r="B22" s="126"/>
    </row>
    <row r="23" spans="1:2" x14ac:dyDescent="0.25">
      <c r="A23" s="123"/>
      <c r="B23" s="126"/>
    </row>
    <row r="24" spans="1:2" x14ac:dyDescent="0.25">
      <c r="A24" s="123"/>
      <c r="B24" s="126"/>
    </row>
    <row r="25" spans="1:2" x14ac:dyDescent="0.25">
      <c r="A25" s="123"/>
      <c r="B25" s="126"/>
    </row>
    <row r="26" spans="1:2" x14ac:dyDescent="0.25">
      <c r="A26" s="123"/>
      <c r="B26" s="126"/>
    </row>
    <row r="27" spans="1:2" x14ac:dyDescent="0.25">
      <c r="A27" s="123"/>
      <c r="B27" s="126"/>
    </row>
    <row r="28" spans="1:2" x14ac:dyDescent="0.25">
      <c r="A28" s="123"/>
      <c r="B28" s="126"/>
    </row>
    <row r="29" spans="1:2" x14ac:dyDescent="0.25">
      <c r="A29" s="123"/>
      <c r="B29" s="126"/>
    </row>
    <row r="30" spans="1:2" x14ac:dyDescent="0.25">
      <c r="A30" s="123"/>
      <c r="B30" s="126"/>
    </row>
    <row r="31" spans="1:2" x14ac:dyDescent="0.25">
      <c r="A31" s="123"/>
      <c r="B31" s="126"/>
    </row>
    <row r="32" spans="1:2" x14ac:dyDescent="0.25">
      <c r="A32" s="123"/>
      <c r="B32" s="126"/>
    </row>
    <row r="33" spans="1:2" x14ac:dyDescent="0.25">
      <c r="A33" s="123"/>
      <c r="B33" s="126"/>
    </row>
    <row r="34" spans="1:2" x14ac:dyDescent="0.25">
      <c r="A34" s="123"/>
      <c r="B34" s="126"/>
    </row>
    <row r="35" spans="1:2" x14ac:dyDescent="0.25">
      <c r="A35" s="123"/>
      <c r="B35" s="127"/>
    </row>
    <row r="36" spans="1:2" ht="8.25" customHeight="1" x14ac:dyDescent="0.25">
      <c r="A36" s="88"/>
      <c r="B36" s="87"/>
    </row>
    <row r="37" spans="1:2" ht="69" customHeight="1" x14ac:dyDescent="0.25">
      <c r="A37" s="123">
        <v>3</v>
      </c>
      <c r="B37" s="40" t="s">
        <v>87</v>
      </c>
    </row>
    <row r="38" spans="1:2" x14ac:dyDescent="0.25">
      <c r="A38" s="123"/>
      <c r="B38" s="124"/>
    </row>
    <row r="39" spans="1:2" x14ac:dyDescent="0.25">
      <c r="A39" s="123"/>
      <c r="B39" s="124"/>
    </row>
    <row r="40" spans="1:2" x14ac:dyDescent="0.25">
      <c r="A40" s="123"/>
      <c r="B40" s="124"/>
    </row>
    <row r="41" spans="1:2" x14ac:dyDescent="0.25">
      <c r="A41" s="123"/>
      <c r="B41" s="124"/>
    </row>
    <row r="42" spans="1:2" x14ac:dyDescent="0.25">
      <c r="A42" s="123"/>
      <c r="B42" s="124"/>
    </row>
    <row r="43" spans="1:2" x14ac:dyDescent="0.25">
      <c r="A43" s="123"/>
      <c r="B43" s="124"/>
    </row>
    <row r="44" spans="1:2" x14ac:dyDescent="0.25">
      <c r="A44" s="123"/>
      <c r="B44" s="124"/>
    </row>
    <row r="45" spans="1:2" x14ac:dyDescent="0.25">
      <c r="A45" s="123"/>
      <c r="B45" s="124"/>
    </row>
    <row r="46" spans="1:2" x14ac:dyDescent="0.25">
      <c r="A46" s="123"/>
      <c r="B46" s="124"/>
    </row>
    <row r="47" spans="1:2" x14ac:dyDescent="0.25">
      <c r="A47" s="123"/>
      <c r="B47" s="124"/>
    </row>
    <row r="48" spans="1:2" x14ac:dyDescent="0.25">
      <c r="A48" s="123"/>
      <c r="B48" s="124"/>
    </row>
    <row r="49" spans="1:2" ht="23.25" customHeight="1" x14ac:dyDescent="0.25">
      <c r="A49" s="123"/>
      <c r="B49" s="124"/>
    </row>
    <row r="50" spans="1:2" ht="19.5" customHeight="1" x14ac:dyDescent="0.25">
      <c r="A50" s="123"/>
      <c r="B50" s="124"/>
    </row>
    <row r="51" spans="1:2" x14ac:dyDescent="0.25">
      <c r="A51" s="123"/>
      <c r="B51" s="125"/>
    </row>
    <row r="52" spans="1:2" ht="28.5" customHeight="1" x14ac:dyDescent="0.25"/>
    <row r="53" spans="1:2" ht="33.75" customHeight="1" x14ac:dyDescent="0.25"/>
    <row r="65" s="4" customFormat="1" x14ac:dyDescent="0.25"/>
    <row r="66" s="4" customFormat="1" x14ac:dyDescent="0.25"/>
    <row r="67" s="4" customFormat="1" x14ac:dyDescent="0.25"/>
    <row r="68" s="4" customFormat="1" ht="9" customHeight="1" x14ac:dyDescent="0.25"/>
  </sheetData>
  <mergeCells count="9">
    <mergeCell ref="A37:A51"/>
    <mergeCell ref="B38:B51"/>
    <mergeCell ref="A21:A35"/>
    <mergeCell ref="B22:B35"/>
    <mergeCell ref="A1:B2"/>
    <mergeCell ref="A3:A4"/>
    <mergeCell ref="B3:B4"/>
    <mergeCell ref="A5:A19"/>
    <mergeCell ref="B6:B19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Company Information</vt:lpstr>
      <vt:lpstr>Bag-In-Box Schedule of Items</vt:lpstr>
      <vt:lpstr>Flavors-Category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Marley, Alyssa E CIV DLA TROOP SUPPORT (USA)</dc:creator>
  <cp:lastModifiedBy>Brown, Justin S CIV DLA TROOP SUPPORT (USA)</cp:lastModifiedBy>
  <cp:lastPrinted>2024-11-06T15:36:31Z</cp:lastPrinted>
  <dcterms:created xsi:type="dcterms:W3CDTF">2023-06-23T19:40:24Z</dcterms:created>
  <dcterms:modified xsi:type="dcterms:W3CDTF">2026-03-09T18:01:10Z</dcterms:modified>
</cp:coreProperties>
</file>