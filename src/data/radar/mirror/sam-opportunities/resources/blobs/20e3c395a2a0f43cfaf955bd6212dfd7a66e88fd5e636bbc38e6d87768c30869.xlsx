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tinker-2K\dfs1\OCALC-PK\Group_Files\Pkc\Source Selection\Dee\25-ZBB-xx KC-135 CCR\Pricing Matrix\"/>
    </mc:Choice>
  </mc:AlternateContent>
  <xr:revisionPtr revIDLastSave="0" documentId="13_ncr:101_{5A2EB20A-980C-4CD9-801F-7BA15F123255}" xr6:coauthVersionLast="47" xr6:coauthVersionMax="47" xr10:uidLastSave="{00000000-0000-0000-0000-000000000000}"/>
  <bookViews>
    <workbookView xWindow="-120" yWindow="90" windowWidth="29040" windowHeight="15510" firstSheet="12" activeTab="13" xr2:uid="{6CFCB136-28A5-4A7F-A3FF-A503CD19E615}"/>
    <workbookView xWindow="-120" yWindow="90" windowWidth="29040" windowHeight="15510" firstSheet="10" activeTab="11" xr2:uid="{0AAD7F5B-CDF0-4192-B514-D1B17E16453A}"/>
  </bookViews>
  <sheets>
    <sheet name="INSTRUCTIONS" sheetId="4" r:id="rId1"/>
    <sheet name="CALCULATION METHODOLOGY" sheetId="3" r:id="rId2"/>
    <sheet name="SUMMARY" sheetId="1" r:id="rId3"/>
    <sheet name="TOTAL EVALUATED PRICE ROLLUP" sheetId="2" r:id="rId4"/>
    <sheet name="FFP CLINs X007-X021" sheetId="9" r:id="rId5"/>
    <sheet name="SPARES-FFP CLIN X021 INPUTS" sheetId="45" r:id="rId6"/>
    <sheet name="PRIME CPIF RATES (ALL)" sheetId="17" r:id="rId7"/>
    <sheet name="PRIME CPIF RATE DESC (ALL)" sheetId="11" r:id="rId8"/>
    <sheet name="PRIME CPIF LABOR by TASK" sheetId="44" r:id="rId9"/>
    <sheet name="PRIME CPIF LABOR INPUTS" sheetId="41" r:id="rId10"/>
    <sheet name="PRIME CPIF TOTAL MATERIAL" sheetId="53" r:id="rId11"/>
    <sheet name="PRIME CPIF TOTAL SUB" sheetId="10" r:id="rId12"/>
    <sheet name="PRIME CPIF TOTAL ODC" sheetId="42" r:id="rId13"/>
    <sheet name="CPIF CLIN 0001 SUMMARY" sheetId="52" r:id="rId14"/>
    <sheet name="CPIF CLIN 0001-TASK 1.01 INPUTS" sheetId="15" r:id="rId15"/>
    <sheet name="CPIF CLIN 0001-TASK 1.02 INPUTS" sheetId="19" r:id="rId16"/>
    <sheet name="CPIF CLIN 0001-TASK 1.03 INPUTS" sheetId="20" r:id="rId17"/>
    <sheet name="CPIF CLIN 0001 TASK 1.04 INPUTS" sheetId="21" r:id="rId18"/>
    <sheet name="CPIF CLIN 0001-TASK 1.05 INPUTS" sheetId="22" r:id="rId19"/>
    <sheet name="CPIF CLIN 0001-TASK 1.06 INPUTS" sheetId="23" r:id="rId20"/>
    <sheet name="CPIF CLIN 0001-TASK 1.07 INPUTS" sheetId="24" r:id="rId21"/>
    <sheet name="CPIF CLIN 0001-TASK 1.08 INPUTS" sheetId="25" r:id="rId22"/>
    <sheet name="CPIF CLIN 0001-TASK 1.09 INPUTS" sheetId="26" r:id="rId23"/>
    <sheet name="CPIF CLIN 0001-TASK 1.10 INPUTS" sheetId="27" r:id="rId24"/>
    <sheet name="CPIF CLIN 0001-TASK 1.11 INPUTS" sheetId="28" r:id="rId25"/>
    <sheet name="CPIF CLIN 0001 TOTAL" sheetId="29" r:id="rId26"/>
    <sheet name="CPIF CLIN 0002 SUMMARY" sheetId="33" r:id="rId27"/>
    <sheet name="CPIF CLIN 0002-TASK 1.01 INPUTS" sheetId="30" r:id="rId28"/>
    <sheet name="CPIF CLIN 0002-TASK 1.02 INPUTS" sheetId="31" r:id="rId29"/>
    <sheet name="CPIF CLIN 0002-TASK 1.03 INPUTS" sheetId="32" r:id="rId30"/>
    <sheet name="CPIF CLIN 0002 TOTAL" sheetId="34" r:id="rId31"/>
    <sheet name="CPIF CLIN 0003 SUMMARY" sheetId="35" r:id="rId32"/>
    <sheet name="CPIF CLIN 0003-TASK 1.01 INPUTS" sheetId="36" r:id="rId33"/>
    <sheet name="CPIF CLIN 0003-TASK 1.02 INPUTS" sheetId="37" r:id="rId34"/>
    <sheet name="CPIF CLIN 0003-TASK 1.03 INPUTS" sheetId="38" r:id="rId35"/>
    <sheet name="CPIF CLIN 0003-TASK 1.04 INPUTS" sheetId="39" r:id="rId36"/>
    <sheet name="CPIF CLIN 0003 TOTAL" sheetId="40" r:id="rId37"/>
    <sheet name="CPIF CLIN BREAKDOWN" sheetId="8" r:id="rId38"/>
  </sheets>
  <externalReferences>
    <externalReference r:id="rId39"/>
  </externalReferences>
  <definedNames>
    <definedName name="Common">#REF!</definedName>
    <definedName name="Consum">#REF!</definedName>
    <definedName name="EngRate">#REF!</definedName>
    <definedName name="GARate">#REF!</definedName>
    <definedName name="GrossProfit">#REF!</definedName>
    <definedName name="MatHandle">#REF!</definedName>
    <definedName name="Risk">#REF!</definedName>
    <definedName name="ShopRate">#REF!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3" i="42" l="1"/>
  <c r="M32" i="42"/>
  <c r="M31" i="42"/>
  <c r="M30" i="42"/>
  <c r="M29" i="42"/>
  <c r="M25" i="42"/>
  <c r="M26" i="42"/>
  <c r="M24" i="42"/>
  <c r="K35" i="42"/>
  <c r="I35" i="42"/>
  <c r="G35" i="42"/>
  <c r="E35" i="42"/>
  <c r="K33" i="42"/>
  <c r="I33" i="42"/>
  <c r="G33" i="42"/>
  <c r="E33" i="42"/>
  <c r="K27" i="42"/>
  <c r="I27" i="42"/>
  <c r="G27" i="42"/>
  <c r="E27" i="42"/>
  <c r="K22" i="42"/>
  <c r="I22" i="42"/>
  <c r="G22" i="42"/>
  <c r="E22" i="42"/>
  <c r="C1" i="42"/>
  <c r="M37" i="42"/>
  <c r="M21" i="42"/>
  <c r="M20" i="42"/>
  <c r="M19" i="42"/>
  <c r="M18" i="42"/>
  <c r="M17" i="42"/>
  <c r="M16" i="42"/>
  <c r="M15" i="42"/>
  <c r="M14" i="42"/>
  <c r="M13" i="42"/>
  <c r="M12" i="42"/>
  <c r="M11" i="42"/>
  <c r="M27" i="42" l="1"/>
  <c r="K27" i="53" l="1"/>
  <c r="I27" i="53"/>
  <c r="P22" i="21" l="1"/>
  <c r="P23" i="21"/>
  <c r="P24" i="21"/>
  <c r="P21" i="21"/>
  <c r="P20" i="21"/>
  <c r="L21" i="21"/>
  <c r="L22" i="21"/>
  <c r="L23" i="21"/>
  <c r="L24" i="21"/>
  <c r="L20" i="21"/>
  <c r="H21" i="21"/>
  <c r="H22" i="21"/>
  <c r="H23" i="21"/>
  <c r="H24" i="21"/>
  <c r="H20" i="21"/>
  <c r="P21" i="37"/>
  <c r="P22" i="37"/>
  <c r="P23" i="37"/>
  <c r="P24" i="37"/>
  <c r="P20" i="37"/>
  <c r="L21" i="37"/>
  <c r="L22" i="37"/>
  <c r="L23" i="37"/>
  <c r="L24" i="37"/>
  <c r="L20" i="37"/>
  <c r="H22" i="37"/>
  <c r="H23" i="37"/>
  <c r="H24" i="37"/>
  <c r="H21" i="37"/>
  <c r="H20" i="37"/>
  <c r="P24" i="36"/>
  <c r="P23" i="36"/>
  <c r="P22" i="36"/>
  <c r="P21" i="36"/>
  <c r="P20" i="36"/>
  <c r="L24" i="36"/>
  <c r="L23" i="36"/>
  <c r="L22" i="36"/>
  <c r="L21" i="36"/>
  <c r="L20" i="36"/>
  <c r="H24" i="36"/>
  <c r="H23" i="36"/>
  <c r="H22" i="36"/>
  <c r="H21" i="36"/>
  <c r="H20" i="36"/>
  <c r="P24" i="31"/>
  <c r="P23" i="31"/>
  <c r="P22" i="31"/>
  <c r="P21" i="31"/>
  <c r="P20" i="31"/>
  <c r="L24" i="31"/>
  <c r="L23" i="31"/>
  <c r="L22" i="31"/>
  <c r="L21" i="31"/>
  <c r="L20" i="31"/>
  <c r="H24" i="31"/>
  <c r="H23" i="31"/>
  <c r="H22" i="31"/>
  <c r="H21" i="31"/>
  <c r="H20" i="31"/>
  <c r="Q202" i="41"/>
  <c r="M202" i="41"/>
  <c r="I202" i="41"/>
  <c r="E202" i="41"/>
  <c r="B76" i="41"/>
  <c r="B34" i="41"/>
  <c r="B17" i="11"/>
  <c r="B18" i="11"/>
  <c r="B19" i="11"/>
  <c r="B20" i="11"/>
  <c r="B21" i="11"/>
  <c r="B22" i="11"/>
  <c r="B23" i="11"/>
  <c r="B24" i="11"/>
  <c r="B25" i="11"/>
  <c r="B26" i="11"/>
  <c r="B27" i="11"/>
  <c r="B28" i="11"/>
  <c r="B29" i="11"/>
  <c r="H20" i="27" l="1"/>
  <c r="H21" i="27"/>
  <c r="H22" i="27"/>
  <c r="H23" i="27"/>
  <c r="H24" i="27"/>
  <c r="D20" i="19"/>
  <c r="D21" i="19"/>
  <c r="D22" i="19"/>
  <c r="D23" i="19"/>
  <c r="D24" i="19"/>
  <c r="E35" i="15"/>
  <c r="D37" i="15"/>
  <c r="D38" i="15"/>
  <c r="D22" i="15"/>
  <c r="D23" i="15"/>
  <c r="D24" i="15"/>
  <c r="D25" i="15"/>
  <c r="D26" i="15"/>
  <c r="E49" i="15"/>
  <c r="D51" i="15"/>
  <c r="D52" i="15"/>
  <c r="Q19" i="1"/>
  <c r="U19" i="1"/>
  <c r="Y19" i="1"/>
  <c r="AC19" i="1"/>
  <c r="AC30" i="1" l="1"/>
  <c r="AC31" i="1"/>
  <c r="AC17" i="1"/>
  <c r="AC18" i="1"/>
  <c r="AC20" i="1"/>
  <c r="AC21" i="1"/>
  <c r="AC22" i="1"/>
  <c r="AC23" i="1"/>
  <c r="AC24" i="1"/>
  <c r="AC25" i="1"/>
  <c r="AC26" i="1"/>
  <c r="Y30" i="1"/>
  <c r="Y31" i="1"/>
  <c r="Y17" i="1"/>
  <c r="Y18" i="1"/>
  <c r="Y20" i="1"/>
  <c r="Y21" i="1"/>
  <c r="Y22" i="1"/>
  <c r="Y23" i="1"/>
  <c r="Y24" i="1"/>
  <c r="Y25" i="1"/>
  <c r="Y26" i="1"/>
  <c r="U30" i="1"/>
  <c r="U31" i="1"/>
  <c r="U17" i="1"/>
  <c r="U18" i="1"/>
  <c r="U20" i="1"/>
  <c r="U21" i="1"/>
  <c r="U22" i="1"/>
  <c r="U23" i="1"/>
  <c r="U26" i="1"/>
  <c r="Q30" i="1"/>
  <c r="Q31" i="1"/>
  <c r="Q17" i="1"/>
  <c r="Q18" i="1"/>
  <c r="Q20" i="1"/>
  <c r="Q21" i="1"/>
  <c r="Q22" i="1"/>
  <c r="Q23" i="1"/>
  <c r="Q24" i="1"/>
  <c r="Q26" i="1"/>
  <c r="M30" i="1"/>
  <c r="M31" i="1"/>
  <c r="M17" i="1"/>
  <c r="M18" i="1"/>
  <c r="M19" i="1"/>
  <c r="M20" i="1"/>
  <c r="M21" i="1"/>
  <c r="M22" i="1"/>
  <c r="M23" i="1"/>
  <c r="M24" i="1"/>
  <c r="M25" i="1"/>
  <c r="M26" i="1"/>
  <c r="I30" i="1"/>
  <c r="I31" i="1"/>
  <c r="I17" i="1"/>
  <c r="I18" i="1"/>
  <c r="I19" i="1"/>
  <c r="I20" i="1"/>
  <c r="I21" i="1"/>
  <c r="I22" i="1"/>
  <c r="I23" i="1"/>
  <c r="I24" i="1"/>
  <c r="I26" i="1"/>
  <c r="E30" i="1"/>
  <c r="E31" i="1"/>
  <c r="E17" i="1"/>
  <c r="E18" i="1"/>
  <c r="E19" i="1"/>
  <c r="E24" i="1"/>
  <c r="E26" i="1"/>
  <c r="G19" i="9" l="1"/>
  <c r="B15" i="11"/>
  <c r="B16" i="11"/>
  <c r="C1" i="41"/>
  <c r="R13" i="45"/>
  <c r="R14" i="45"/>
  <c r="R15" i="45"/>
  <c r="R16" i="45"/>
  <c r="R17" i="45"/>
  <c r="R18" i="45"/>
  <c r="R19" i="45"/>
  <c r="R20" i="45"/>
  <c r="R21" i="45"/>
  <c r="R22" i="45"/>
  <c r="R23" i="45"/>
  <c r="R24" i="45"/>
  <c r="R12" i="45"/>
  <c r="P13" i="45"/>
  <c r="P14" i="45"/>
  <c r="P15" i="45"/>
  <c r="P16" i="45"/>
  <c r="P17" i="45"/>
  <c r="P18" i="45"/>
  <c r="P19" i="45"/>
  <c r="P20" i="45"/>
  <c r="P21" i="45"/>
  <c r="P22" i="45"/>
  <c r="P23" i="45"/>
  <c r="P24" i="45"/>
  <c r="P12" i="45"/>
  <c r="N13" i="45"/>
  <c r="N14" i="45"/>
  <c r="N15" i="45"/>
  <c r="N16" i="45"/>
  <c r="N17" i="45"/>
  <c r="N18" i="45"/>
  <c r="N19" i="45"/>
  <c r="N20" i="45"/>
  <c r="N21" i="45"/>
  <c r="N22" i="45"/>
  <c r="N23" i="45"/>
  <c r="N24" i="45"/>
  <c r="N12" i="45"/>
  <c r="L13" i="45"/>
  <c r="L14" i="45"/>
  <c r="L15" i="45"/>
  <c r="L16" i="45"/>
  <c r="L17" i="45"/>
  <c r="L18" i="45"/>
  <c r="L19" i="45"/>
  <c r="L20" i="45"/>
  <c r="L21" i="45"/>
  <c r="L22" i="45"/>
  <c r="L23" i="45"/>
  <c r="L24" i="45"/>
  <c r="L12" i="45"/>
  <c r="J13" i="45"/>
  <c r="J14" i="45"/>
  <c r="J15" i="45"/>
  <c r="J16" i="45"/>
  <c r="J17" i="45"/>
  <c r="J18" i="45"/>
  <c r="J19" i="45"/>
  <c r="J20" i="45"/>
  <c r="J21" i="45"/>
  <c r="J22" i="45"/>
  <c r="J23" i="45"/>
  <c r="J24" i="45"/>
  <c r="J12" i="45"/>
  <c r="F13" i="45"/>
  <c r="F14" i="45"/>
  <c r="F15" i="45"/>
  <c r="F16" i="45"/>
  <c r="F17" i="45"/>
  <c r="F18" i="45"/>
  <c r="F19" i="45"/>
  <c r="F20" i="45"/>
  <c r="F21" i="45"/>
  <c r="F22" i="45"/>
  <c r="F23" i="45"/>
  <c r="F24" i="45"/>
  <c r="F12" i="45"/>
  <c r="H13" i="45"/>
  <c r="H14" i="45"/>
  <c r="H15" i="45"/>
  <c r="H16" i="45"/>
  <c r="H17" i="45"/>
  <c r="H18" i="45"/>
  <c r="H19" i="45"/>
  <c r="H20" i="45"/>
  <c r="H21" i="45"/>
  <c r="H22" i="45"/>
  <c r="H23" i="45"/>
  <c r="H24" i="45"/>
  <c r="H12" i="45"/>
  <c r="P32" i="21"/>
  <c r="P46" i="21" s="1"/>
  <c r="P60" i="21" s="1"/>
  <c r="O32" i="21"/>
  <c r="O46" i="21" s="1"/>
  <c r="O60" i="21" s="1"/>
  <c r="L32" i="21"/>
  <c r="L46" i="21" s="1"/>
  <c r="L60" i="21" s="1"/>
  <c r="K32" i="21"/>
  <c r="K46" i="21" s="1"/>
  <c r="K60" i="21" s="1"/>
  <c r="H32" i="21"/>
  <c r="H46" i="21" s="1"/>
  <c r="H60" i="21" s="1"/>
  <c r="G32" i="21"/>
  <c r="G46" i="21" s="1"/>
  <c r="G60" i="21" s="1"/>
  <c r="D32" i="21"/>
  <c r="D46" i="21" s="1"/>
  <c r="C32" i="21"/>
  <c r="C46" i="21" s="1"/>
  <c r="K60" i="20"/>
  <c r="G60" i="20"/>
  <c r="C60" i="20"/>
  <c r="O46" i="20"/>
  <c r="O60" i="20" s="1"/>
  <c r="K46" i="20"/>
  <c r="G46" i="20"/>
  <c r="C46" i="20"/>
  <c r="K32" i="20"/>
  <c r="O60" i="19"/>
  <c r="P32" i="19"/>
  <c r="P46" i="19" s="1"/>
  <c r="O32" i="19"/>
  <c r="O46" i="19" s="1"/>
  <c r="L32" i="19"/>
  <c r="L46" i="19" s="1"/>
  <c r="K32" i="19"/>
  <c r="K46" i="19" s="1"/>
  <c r="K60" i="19" s="1"/>
  <c r="H32" i="19"/>
  <c r="H46" i="19" s="1"/>
  <c r="G32" i="19"/>
  <c r="G46" i="19" s="1"/>
  <c r="D32" i="19"/>
  <c r="D46" i="19" s="1"/>
  <c r="D60" i="19" s="1"/>
  <c r="C32" i="19"/>
  <c r="C46" i="19" s="1"/>
  <c r="C60" i="19" s="1"/>
  <c r="P48" i="15"/>
  <c r="P62" i="15" s="1"/>
  <c r="G48" i="15"/>
  <c r="G62" i="15" s="1"/>
  <c r="D48" i="15"/>
  <c r="D62" i="15" s="1"/>
  <c r="P34" i="15"/>
  <c r="O34" i="15"/>
  <c r="O48" i="15" s="1"/>
  <c r="O62" i="15" s="1"/>
  <c r="L34" i="15"/>
  <c r="L48" i="15" s="1"/>
  <c r="L62" i="15" s="1"/>
  <c r="K34" i="15"/>
  <c r="K48" i="15" s="1"/>
  <c r="K62" i="15" s="1"/>
  <c r="H34" i="15"/>
  <c r="H48" i="15" s="1"/>
  <c r="H62" i="15" s="1"/>
  <c r="G34" i="15"/>
  <c r="D34" i="15"/>
  <c r="C34" i="15"/>
  <c r="C48" i="15" s="1"/>
  <c r="C62" i="15" s="1"/>
  <c r="C1" i="8"/>
  <c r="C1" i="23"/>
  <c r="C3" i="15"/>
  <c r="Q33" i="39"/>
  <c r="O35" i="39" s="1"/>
  <c r="M33" i="39"/>
  <c r="I33" i="39"/>
  <c r="E33" i="39"/>
  <c r="Q33" i="38"/>
  <c r="O35" i="38" s="1"/>
  <c r="M33" i="38"/>
  <c r="I33" i="38"/>
  <c r="E33" i="38"/>
  <c r="Q33" i="37"/>
  <c r="O35" i="37" s="1"/>
  <c r="M33" i="37"/>
  <c r="I33" i="37"/>
  <c r="E33" i="37"/>
  <c r="Q33" i="36"/>
  <c r="O35" i="36" s="1"/>
  <c r="M33" i="36"/>
  <c r="I33" i="36"/>
  <c r="E33" i="36"/>
  <c r="Q33" i="32"/>
  <c r="O35" i="32" s="1"/>
  <c r="M33" i="32"/>
  <c r="I33" i="32"/>
  <c r="E33" i="32"/>
  <c r="Q33" i="31"/>
  <c r="M33" i="31"/>
  <c r="I33" i="31"/>
  <c r="E33" i="31"/>
  <c r="Q33" i="30"/>
  <c r="M33" i="30"/>
  <c r="I33" i="30"/>
  <c r="E33" i="30"/>
  <c r="Q33" i="28"/>
  <c r="O35" i="28" s="1"/>
  <c r="M33" i="28"/>
  <c r="I33" i="28"/>
  <c r="E33" i="28"/>
  <c r="Q33" i="27"/>
  <c r="O35" i="27" s="1"/>
  <c r="M33" i="27"/>
  <c r="I33" i="27"/>
  <c r="E33" i="27"/>
  <c r="Q33" i="26"/>
  <c r="O35" i="26" s="1"/>
  <c r="M33" i="26"/>
  <c r="I33" i="26"/>
  <c r="E33" i="26"/>
  <c r="Q33" i="25"/>
  <c r="O35" i="25" s="1"/>
  <c r="M33" i="25"/>
  <c r="I33" i="25"/>
  <c r="E33" i="25"/>
  <c r="Q33" i="24"/>
  <c r="O35" i="24" s="1"/>
  <c r="M33" i="24"/>
  <c r="I33" i="24"/>
  <c r="E33" i="24"/>
  <c r="Q33" i="23"/>
  <c r="M33" i="23"/>
  <c r="I33" i="23"/>
  <c r="E33" i="23"/>
  <c r="Q33" i="22"/>
  <c r="M33" i="22"/>
  <c r="I33" i="22"/>
  <c r="E33" i="22"/>
  <c r="Q33" i="21"/>
  <c r="M33" i="21"/>
  <c r="I33" i="21"/>
  <c r="E33" i="21"/>
  <c r="Q33" i="20"/>
  <c r="M33" i="20"/>
  <c r="I33" i="20"/>
  <c r="E33" i="20"/>
  <c r="Q33" i="19"/>
  <c r="M33" i="19"/>
  <c r="I33" i="19"/>
  <c r="E33" i="19"/>
  <c r="Q35" i="15"/>
  <c r="M35" i="15"/>
  <c r="I35" i="15"/>
  <c r="K33" i="53"/>
  <c r="I33" i="53"/>
  <c r="G33" i="53"/>
  <c r="E33" i="53"/>
  <c r="M32" i="53"/>
  <c r="M31" i="53"/>
  <c r="M30" i="53"/>
  <c r="M29" i="53"/>
  <c r="G27" i="53"/>
  <c r="E27" i="53"/>
  <c r="M26" i="53"/>
  <c r="M25" i="53"/>
  <c r="M24" i="53"/>
  <c r="K22" i="53"/>
  <c r="I22" i="53"/>
  <c r="G22" i="53"/>
  <c r="E22" i="53"/>
  <c r="M21" i="53"/>
  <c r="M20" i="53"/>
  <c r="M19" i="53"/>
  <c r="M18" i="53"/>
  <c r="M17" i="53"/>
  <c r="M16" i="53"/>
  <c r="M15" i="53"/>
  <c r="M14" i="53"/>
  <c r="M13" i="53"/>
  <c r="M12" i="53"/>
  <c r="M11" i="53"/>
  <c r="C1" i="53"/>
  <c r="Q61" i="39"/>
  <c r="O63" i="39" s="1"/>
  <c r="M61" i="39"/>
  <c r="I61" i="39"/>
  <c r="E61" i="39"/>
  <c r="Q61" i="38"/>
  <c r="O63" i="38" s="1"/>
  <c r="M61" i="38"/>
  <c r="E61" i="38"/>
  <c r="I61" i="38"/>
  <c r="Q61" i="37"/>
  <c r="M61" i="37"/>
  <c r="I61" i="37"/>
  <c r="E61" i="37"/>
  <c r="Q61" i="36"/>
  <c r="O63" i="36" s="1"/>
  <c r="M61" i="36"/>
  <c r="I61" i="36"/>
  <c r="E61" i="36"/>
  <c r="Q61" i="32"/>
  <c r="M61" i="32"/>
  <c r="I61" i="32"/>
  <c r="E61" i="32"/>
  <c r="Q61" i="31"/>
  <c r="O63" i="31" s="1"/>
  <c r="M61" i="31"/>
  <c r="I61" i="31"/>
  <c r="E61" i="31"/>
  <c r="Q61" i="30"/>
  <c r="M61" i="30"/>
  <c r="I61" i="30"/>
  <c r="E61" i="30"/>
  <c r="Q61" i="28"/>
  <c r="O63" i="28" s="1"/>
  <c r="M61" i="28"/>
  <c r="I61" i="28"/>
  <c r="E61" i="28"/>
  <c r="Q61" i="27"/>
  <c r="O63" i="27" s="1"/>
  <c r="M61" i="27"/>
  <c r="I61" i="27"/>
  <c r="E61" i="27"/>
  <c r="Q61" i="26"/>
  <c r="O63" i="26" s="1"/>
  <c r="M61" i="26"/>
  <c r="I61" i="26"/>
  <c r="E61" i="26"/>
  <c r="Q61" i="25"/>
  <c r="M61" i="25"/>
  <c r="I61" i="25"/>
  <c r="E61" i="25"/>
  <c r="Q61" i="24"/>
  <c r="O63" i="24" s="1"/>
  <c r="M61" i="24"/>
  <c r="I61" i="24"/>
  <c r="E61" i="24"/>
  <c r="Q61" i="23"/>
  <c r="M61" i="23"/>
  <c r="I61" i="23"/>
  <c r="E61" i="23"/>
  <c r="Q61" i="22"/>
  <c r="M61" i="22"/>
  <c r="I61" i="22"/>
  <c r="E61" i="22"/>
  <c r="Q61" i="21"/>
  <c r="M61" i="21"/>
  <c r="I61" i="21"/>
  <c r="E61" i="21"/>
  <c r="Q61" i="20"/>
  <c r="M61" i="20"/>
  <c r="I61" i="20"/>
  <c r="E61" i="20"/>
  <c r="Q61" i="19"/>
  <c r="M61" i="19"/>
  <c r="I61" i="19"/>
  <c r="E61" i="19"/>
  <c r="Q63" i="15"/>
  <c r="M63" i="15"/>
  <c r="I63" i="15"/>
  <c r="E63" i="15"/>
  <c r="C1" i="44"/>
  <c r="C1" i="11"/>
  <c r="C1" i="17"/>
  <c r="C1" i="45"/>
  <c r="B1" i="2"/>
  <c r="B1" i="1"/>
  <c r="P66" i="28"/>
  <c r="P65" i="28"/>
  <c r="P64" i="28"/>
  <c r="P63" i="28"/>
  <c r="L66" i="28"/>
  <c r="L65" i="28"/>
  <c r="L64" i="28"/>
  <c r="L63" i="28"/>
  <c r="H66" i="28"/>
  <c r="H65" i="28"/>
  <c r="H64" i="28"/>
  <c r="H63" i="28"/>
  <c r="D66" i="28"/>
  <c r="D65" i="28"/>
  <c r="D64" i="28"/>
  <c r="D63" i="28"/>
  <c r="P38" i="28"/>
  <c r="P37" i="28"/>
  <c r="P36" i="28"/>
  <c r="P35" i="28"/>
  <c r="Q35" i="28" s="1"/>
  <c r="P24" i="28"/>
  <c r="P23" i="28"/>
  <c r="P22" i="28"/>
  <c r="P21" i="28"/>
  <c r="P20" i="28"/>
  <c r="P66" i="27"/>
  <c r="P65" i="27"/>
  <c r="P64" i="27"/>
  <c r="P63" i="27"/>
  <c r="L66" i="27"/>
  <c r="L65" i="27"/>
  <c r="L64" i="27"/>
  <c r="L63" i="27"/>
  <c r="H66" i="27"/>
  <c r="H65" i="27"/>
  <c r="H64" i="27"/>
  <c r="H63" i="27"/>
  <c r="D66" i="27"/>
  <c r="D65" i="27"/>
  <c r="D64" i="27"/>
  <c r="D63" i="27"/>
  <c r="P38" i="27"/>
  <c r="P37" i="27"/>
  <c r="P36" i="27"/>
  <c r="P35" i="27"/>
  <c r="P24" i="27"/>
  <c r="P23" i="27"/>
  <c r="P22" i="27"/>
  <c r="P21" i="27"/>
  <c r="P20" i="27"/>
  <c r="P66" i="26"/>
  <c r="P65" i="26"/>
  <c r="P64" i="26"/>
  <c r="P63" i="26"/>
  <c r="L66" i="26"/>
  <c r="L65" i="26"/>
  <c r="L64" i="26"/>
  <c r="L63" i="26"/>
  <c r="H66" i="26"/>
  <c r="H65" i="26"/>
  <c r="H64" i="26"/>
  <c r="H63" i="26"/>
  <c r="D66" i="26"/>
  <c r="D65" i="26"/>
  <c r="D64" i="26"/>
  <c r="D63" i="26"/>
  <c r="P38" i="26"/>
  <c r="P37" i="26"/>
  <c r="P36" i="26"/>
  <c r="P35" i="26"/>
  <c r="P24" i="26"/>
  <c r="P23" i="26"/>
  <c r="P22" i="26"/>
  <c r="P21" i="26"/>
  <c r="P20" i="26"/>
  <c r="P66" i="25"/>
  <c r="P65" i="25"/>
  <c r="P64" i="25"/>
  <c r="P63" i="25"/>
  <c r="L66" i="25"/>
  <c r="L65" i="25"/>
  <c r="L64" i="25"/>
  <c r="L63" i="25"/>
  <c r="H66" i="25"/>
  <c r="H65" i="25"/>
  <c r="H64" i="25"/>
  <c r="H63" i="25"/>
  <c r="D66" i="25"/>
  <c r="D65" i="25"/>
  <c r="D64" i="25"/>
  <c r="D63" i="25"/>
  <c r="P38" i="25"/>
  <c r="P37" i="25"/>
  <c r="P36" i="25"/>
  <c r="P35" i="25"/>
  <c r="P24" i="25"/>
  <c r="P23" i="25"/>
  <c r="P22" i="25"/>
  <c r="P21" i="25"/>
  <c r="P20" i="25"/>
  <c r="P66" i="24"/>
  <c r="P65" i="24"/>
  <c r="P64" i="24"/>
  <c r="P63" i="24"/>
  <c r="L66" i="24"/>
  <c r="L65" i="24"/>
  <c r="L64" i="24"/>
  <c r="L63" i="24"/>
  <c r="H66" i="24"/>
  <c r="H65" i="24"/>
  <c r="H64" i="24"/>
  <c r="H63" i="24"/>
  <c r="D66" i="24"/>
  <c r="D65" i="24"/>
  <c r="D64" i="24"/>
  <c r="D63" i="24"/>
  <c r="P38" i="24"/>
  <c r="P37" i="24"/>
  <c r="P36" i="24"/>
  <c r="P35" i="24"/>
  <c r="Q35" i="24" s="1"/>
  <c r="P24" i="24"/>
  <c r="P23" i="24"/>
  <c r="P22" i="24"/>
  <c r="P21" i="24"/>
  <c r="P20" i="24"/>
  <c r="P66" i="23"/>
  <c r="P65" i="23"/>
  <c r="P64" i="23"/>
  <c r="P63" i="23"/>
  <c r="L66" i="23"/>
  <c r="L65" i="23"/>
  <c r="L64" i="23"/>
  <c r="L63" i="23"/>
  <c r="H66" i="23"/>
  <c r="H65" i="23"/>
  <c r="H64" i="23"/>
  <c r="H63" i="23"/>
  <c r="D66" i="23"/>
  <c r="D65" i="23"/>
  <c r="D64" i="23"/>
  <c r="D63" i="23"/>
  <c r="P38" i="23"/>
  <c r="P37" i="23"/>
  <c r="P36" i="23"/>
  <c r="P35" i="23"/>
  <c r="P24" i="23"/>
  <c r="P23" i="23"/>
  <c r="P22" i="23"/>
  <c r="P21" i="23"/>
  <c r="P20" i="23"/>
  <c r="P66" i="22"/>
  <c r="P65" i="22"/>
  <c r="P64" i="22"/>
  <c r="P63" i="22"/>
  <c r="L66" i="22"/>
  <c r="L65" i="22"/>
  <c r="L64" i="22"/>
  <c r="L63" i="22"/>
  <c r="H66" i="22"/>
  <c r="H65" i="22"/>
  <c r="H64" i="22"/>
  <c r="H63" i="22"/>
  <c r="D66" i="22"/>
  <c r="D65" i="22"/>
  <c r="D64" i="22"/>
  <c r="D63" i="22"/>
  <c r="P38" i="22"/>
  <c r="P37" i="22"/>
  <c r="P36" i="22"/>
  <c r="P35" i="22"/>
  <c r="P24" i="22"/>
  <c r="P23" i="22"/>
  <c r="P22" i="22"/>
  <c r="P21" i="22"/>
  <c r="P20" i="22"/>
  <c r="P66" i="21"/>
  <c r="P65" i="21"/>
  <c r="P64" i="21"/>
  <c r="P63" i="21"/>
  <c r="L66" i="21"/>
  <c r="L65" i="21"/>
  <c r="L64" i="21"/>
  <c r="L63" i="21"/>
  <c r="H66" i="21"/>
  <c r="H65" i="21"/>
  <c r="H64" i="21"/>
  <c r="H63" i="21"/>
  <c r="D66" i="21"/>
  <c r="D65" i="21"/>
  <c r="D64" i="21"/>
  <c r="D63" i="21"/>
  <c r="P38" i="21"/>
  <c r="P37" i="21"/>
  <c r="P36" i="21"/>
  <c r="P35" i="21"/>
  <c r="P66" i="20"/>
  <c r="P65" i="20"/>
  <c r="P64" i="20"/>
  <c r="P63" i="20"/>
  <c r="L66" i="20"/>
  <c r="L65" i="20"/>
  <c r="L64" i="20"/>
  <c r="L63" i="20"/>
  <c r="H66" i="20"/>
  <c r="H65" i="20"/>
  <c r="H64" i="20"/>
  <c r="H63" i="20"/>
  <c r="D66" i="20"/>
  <c r="D65" i="20"/>
  <c r="D64" i="20"/>
  <c r="D63" i="20"/>
  <c r="B47" i="40"/>
  <c r="B46" i="40"/>
  <c r="B45" i="40"/>
  <c r="B44" i="40"/>
  <c r="B39" i="40"/>
  <c r="O27" i="40"/>
  <c r="O54" i="40" s="1"/>
  <c r="P66" i="39"/>
  <c r="P65" i="39"/>
  <c r="P64" i="39"/>
  <c r="P63" i="39"/>
  <c r="L66" i="39"/>
  <c r="L65" i="39"/>
  <c r="L64" i="39"/>
  <c r="L63" i="39"/>
  <c r="H66" i="39"/>
  <c r="H65" i="39"/>
  <c r="H64" i="39"/>
  <c r="H63" i="39"/>
  <c r="D66" i="39"/>
  <c r="D65" i="39"/>
  <c r="D64" i="39"/>
  <c r="D63" i="39"/>
  <c r="Q47" i="39"/>
  <c r="O49" i="39" s="1"/>
  <c r="M47" i="39"/>
  <c r="K49" i="39" s="1"/>
  <c r="I47" i="39"/>
  <c r="E47" i="39"/>
  <c r="C49" i="39" s="1"/>
  <c r="P52" i="39"/>
  <c r="L52" i="39"/>
  <c r="H52" i="39"/>
  <c r="D52" i="39"/>
  <c r="B52" i="39"/>
  <c r="P51" i="39"/>
  <c r="L51" i="39"/>
  <c r="H51" i="39"/>
  <c r="D51" i="39"/>
  <c r="B51" i="39"/>
  <c r="P50" i="39"/>
  <c r="L50" i="39"/>
  <c r="H50" i="39"/>
  <c r="D50" i="39"/>
  <c r="B50" i="39"/>
  <c r="P49" i="39"/>
  <c r="L49" i="39"/>
  <c r="H49" i="39"/>
  <c r="D49" i="39"/>
  <c r="B49" i="39"/>
  <c r="B44" i="39"/>
  <c r="P38" i="39"/>
  <c r="P37" i="39"/>
  <c r="P36" i="39"/>
  <c r="P35" i="39"/>
  <c r="P24" i="39"/>
  <c r="P23" i="39"/>
  <c r="P22" i="39"/>
  <c r="P21" i="39"/>
  <c r="P20" i="39"/>
  <c r="O31" i="39"/>
  <c r="O59" i="39" s="1"/>
  <c r="P38" i="38"/>
  <c r="P37" i="38"/>
  <c r="P36" i="38"/>
  <c r="P35" i="38"/>
  <c r="Q35" i="38" s="1"/>
  <c r="P24" i="38"/>
  <c r="P23" i="38"/>
  <c r="P22" i="38"/>
  <c r="P21" i="38"/>
  <c r="P20" i="38"/>
  <c r="P66" i="38"/>
  <c r="P65" i="38"/>
  <c r="P64" i="38"/>
  <c r="P63" i="38"/>
  <c r="L66" i="38"/>
  <c r="L65" i="38"/>
  <c r="L64" i="38"/>
  <c r="L63" i="38"/>
  <c r="H66" i="38"/>
  <c r="H65" i="38"/>
  <c r="H64" i="38"/>
  <c r="H63" i="38"/>
  <c r="D66" i="38"/>
  <c r="D65" i="38"/>
  <c r="D64" i="38"/>
  <c r="D63" i="38"/>
  <c r="Q47" i="38"/>
  <c r="O49" i="38" s="1"/>
  <c r="M47" i="38"/>
  <c r="K49" i="38" s="1"/>
  <c r="I47" i="38"/>
  <c r="E47" i="38"/>
  <c r="C49" i="38" s="1"/>
  <c r="P52" i="38"/>
  <c r="L52" i="38"/>
  <c r="H52" i="38"/>
  <c r="D52" i="38"/>
  <c r="B52" i="38"/>
  <c r="P51" i="38"/>
  <c r="L51" i="38"/>
  <c r="H51" i="38"/>
  <c r="D51" i="38"/>
  <c r="B51" i="38"/>
  <c r="P50" i="38"/>
  <c r="L50" i="38"/>
  <c r="H50" i="38"/>
  <c r="D50" i="38"/>
  <c r="B50" i="38"/>
  <c r="P49" i="38"/>
  <c r="L49" i="38"/>
  <c r="M49" i="38" s="1"/>
  <c r="H49" i="38"/>
  <c r="D49" i="38"/>
  <c r="B49" i="38"/>
  <c r="B44" i="38"/>
  <c r="O31" i="38"/>
  <c r="O59" i="38" s="1"/>
  <c r="P66" i="37"/>
  <c r="P65" i="37"/>
  <c r="P64" i="37"/>
  <c r="P63" i="37"/>
  <c r="L66" i="37"/>
  <c r="L65" i="37"/>
  <c r="L64" i="37"/>
  <c r="L63" i="37"/>
  <c r="H66" i="37"/>
  <c r="H65" i="37"/>
  <c r="H64" i="37"/>
  <c r="H63" i="37"/>
  <c r="D66" i="37"/>
  <c r="D65" i="37"/>
  <c r="D64" i="37"/>
  <c r="D63" i="37"/>
  <c r="Q47" i="37"/>
  <c r="O49" i="37" s="1"/>
  <c r="M47" i="37"/>
  <c r="K49" i="37" s="1"/>
  <c r="I47" i="37"/>
  <c r="G49" i="37" s="1"/>
  <c r="E47" i="37"/>
  <c r="C49" i="37" s="1"/>
  <c r="Q47" i="36"/>
  <c r="M47" i="36"/>
  <c r="K49" i="36" s="1"/>
  <c r="I47" i="36"/>
  <c r="E47" i="36"/>
  <c r="C49" i="36" s="1"/>
  <c r="P52" i="37"/>
  <c r="L52" i="37"/>
  <c r="H52" i="37"/>
  <c r="D52" i="37"/>
  <c r="B52" i="37"/>
  <c r="P51" i="37"/>
  <c r="L51" i="37"/>
  <c r="H51" i="37"/>
  <c r="D51" i="37"/>
  <c r="B51" i="37"/>
  <c r="P50" i="37"/>
  <c r="L50" i="37"/>
  <c r="H50" i="37"/>
  <c r="D50" i="37"/>
  <c r="B50" i="37"/>
  <c r="P49" i="37"/>
  <c r="L49" i="37"/>
  <c r="H49" i="37"/>
  <c r="D49" i="37"/>
  <c r="B49" i="37"/>
  <c r="B44" i="37"/>
  <c r="P38" i="37"/>
  <c r="P37" i="37"/>
  <c r="P36" i="37"/>
  <c r="P35" i="37"/>
  <c r="O63" i="37"/>
  <c r="O31" i="37"/>
  <c r="O59" i="37" s="1"/>
  <c r="P66" i="36"/>
  <c r="P65" i="36"/>
  <c r="P64" i="36"/>
  <c r="P63" i="36"/>
  <c r="L66" i="36"/>
  <c r="L65" i="36"/>
  <c r="L64" i="36"/>
  <c r="L63" i="36"/>
  <c r="H66" i="36"/>
  <c r="H65" i="36"/>
  <c r="H64" i="36"/>
  <c r="H63" i="36"/>
  <c r="D66" i="36"/>
  <c r="D65" i="36"/>
  <c r="D64" i="36"/>
  <c r="D63" i="36"/>
  <c r="P66" i="32"/>
  <c r="P65" i="32"/>
  <c r="P64" i="32"/>
  <c r="P63" i="32"/>
  <c r="L66" i="32"/>
  <c r="L65" i="32"/>
  <c r="L64" i="32"/>
  <c r="L63" i="32"/>
  <c r="H66" i="32"/>
  <c r="H65" i="32"/>
  <c r="H64" i="32"/>
  <c r="H63" i="32"/>
  <c r="D66" i="32"/>
  <c r="D65" i="32"/>
  <c r="D64" i="32"/>
  <c r="D63" i="32"/>
  <c r="P66" i="31"/>
  <c r="P65" i="31"/>
  <c r="P64" i="31"/>
  <c r="P63" i="31"/>
  <c r="L66" i="31"/>
  <c r="L65" i="31"/>
  <c r="L64" i="31"/>
  <c r="L63" i="31"/>
  <c r="H66" i="31"/>
  <c r="H65" i="31"/>
  <c r="H64" i="31"/>
  <c r="H63" i="31"/>
  <c r="D66" i="31"/>
  <c r="D65" i="31"/>
  <c r="D64" i="31"/>
  <c r="D63" i="31"/>
  <c r="P38" i="32"/>
  <c r="P37" i="32"/>
  <c r="P36" i="32"/>
  <c r="P35" i="32"/>
  <c r="P24" i="32"/>
  <c r="P23" i="32"/>
  <c r="P22" i="32"/>
  <c r="P21" i="32"/>
  <c r="P20" i="32"/>
  <c r="P38" i="31"/>
  <c r="P37" i="31"/>
  <c r="P36" i="31"/>
  <c r="P35" i="31"/>
  <c r="P52" i="36"/>
  <c r="P51" i="36"/>
  <c r="P50" i="36"/>
  <c r="P49" i="36"/>
  <c r="Q49" i="36" s="1"/>
  <c r="P38" i="36"/>
  <c r="P37" i="36"/>
  <c r="P36" i="36"/>
  <c r="P35" i="36"/>
  <c r="Q35" i="36" s="1"/>
  <c r="O49" i="36"/>
  <c r="O31" i="36"/>
  <c r="O45" i="36" s="1"/>
  <c r="L52" i="36"/>
  <c r="H52" i="36"/>
  <c r="D52" i="36"/>
  <c r="B52" i="36"/>
  <c r="L51" i="36"/>
  <c r="H51" i="36"/>
  <c r="D51" i="36"/>
  <c r="B51" i="36"/>
  <c r="L50" i="36"/>
  <c r="H50" i="36"/>
  <c r="D50" i="36"/>
  <c r="B50" i="36"/>
  <c r="L49" i="36"/>
  <c r="H49" i="36"/>
  <c r="D49" i="36"/>
  <c r="B49" i="36"/>
  <c r="B44" i="36"/>
  <c r="K33" i="10"/>
  <c r="Q42" i="40" s="1"/>
  <c r="I33" i="10"/>
  <c r="M42" i="40" s="1"/>
  <c r="G33" i="10"/>
  <c r="I42" i="40" s="1"/>
  <c r="E33" i="10"/>
  <c r="E42" i="40" s="1"/>
  <c r="K27" i="10"/>
  <c r="Q42" i="34" s="1"/>
  <c r="I27" i="10"/>
  <c r="M42" i="34" s="1"/>
  <c r="G27" i="10"/>
  <c r="I42" i="34" s="1"/>
  <c r="E27" i="10"/>
  <c r="E42" i="34" s="1"/>
  <c r="O27" i="34"/>
  <c r="O53" i="34" s="1"/>
  <c r="B46" i="34"/>
  <c r="B45" i="34"/>
  <c r="B44" i="34"/>
  <c r="B43" i="34"/>
  <c r="B39" i="34"/>
  <c r="Q47" i="32"/>
  <c r="O49" i="32" s="1"/>
  <c r="M47" i="32"/>
  <c r="K49" i="32" s="1"/>
  <c r="I47" i="32"/>
  <c r="G49" i="32" s="1"/>
  <c r="E47" i="32"/>
  <c r="C49" i="32" s="1"/>
  <c r="P52" i="32"/>
  <c r="L52" i="32"/>
  <c r="H52" i="32"/>
  <c r="D52" i="32"/>
  <c r="B52" i="32"/>
  <c r="P51" i="32"/>
  <c r="L51" i="32"/>
  <c r="H51" i="32"/>
  <c r="D51" i="32"/>
  <c r="B51" i="32"/>
  <c r="P50" i="32"/>
  <c r="L50" i="32"/>
  <c r="H50" i="32"/>
  <c r="D50" i="32"/>
  <c r="B50" i="32"/>
  <c r="P49" i="32"/>
  <c r="L49" i="32"/>
  <c r="H49" i="32"/>
  <c r="D49" i="32"/>
  <c r="B49" i="32"/>
  <c r="B44" i="32"/>
  <c r="C31" i="32"/>
  <c r="C45" i="32" s="1"/>
  <c r="O63" i="32"/>
  <c r="O31" i="32"/>
  <c r="O59" i="32" s="1"/>
  <c r="Q47" i="30"/>
  <c r="M47" i="30"/>
  <c r="K49" i="30" s="1"/>
  <c r="I47" i="30"/>
  <c r="G49" i="30" s="1"/>
  <c r="E47" i="30"/>
  <c r="C49" i="30" s="1"/>
  <c r="Q47" i="31"/>
  <c r="O49" i="31" s="1"/>
  <c r="M47" i="31"/>
  <c r="K49" i="31" s="1"/>
  <c r="I47" i="31"/>
  <c r="G49" i="31" s="1"/>
  <c r="E47" i="31"/>
  <c r="C49" i="31" s="1"/>
  <c r="P52" i="31"/>
  <c r="L52" i="31"/>
  <c r="H52" i="31"/>
  <c r="D52" i="31"/>
  <c r="B52" i="31"/>
  <c r="P51" i="31"/>
  <c r="L51" i="31"/>
  <c r="H51" i="31"/>
  <c r="D51" i="31"/>
  <c r="B51" i="31"/>
  <c r="P50" i="31"/>
  <c r="L50" i="31"/>
  <c r="H50" i="31"/>
  <c r="D50" i="31"/>
  <c r="B50" i="31"/>
  <c r="P49" i="31"/>
  <c r="L49" i="31"/>
  <c r="H49" i="31"/>
  <c r="D49" i="31"/>
  <c r="B49" i="31"/>
  <c r="B44" i="31"/>
  <c r="C31" i="31"/>
  <c r="C45" i="31" s="1"/>
  <c r="O31" i="31"/>
  <c r="O59" i="31" s="1"/>
  <c r="P66" i="30"/>
  <c r="P65" i="30"/>
  <c r="P64" i="30"/>
  <c r="P63" i="30"/>
  <c r="L66" i="30"/>
  <c r="L65" i="30"/>
  <c r="L64" i="30"/>
  <c r="L63" i="30"/>
  <c r="H66" i="30"/>
  <c r="H65" i="30"/>
  <c r="H64" i="30"/>
  <c r="H63" i="30"/>
  <c r="D64" i="30"/>
  <c r="D65" i="30"/>
  <c r="D66" i="30"/>
  <c r="D63" i="30"/>
  <c r="P52" i="30"/>
  <c r="P51" i="30"/>
  <c r="P50" i="30"/>
  <c r="P49" i="30"/>
  <c r="C31" i="30"/>
  <c r="C45" i="30" s="1"/>
  <c r="L52" i="30"/>
  <c r="H52" i="30"/>
  <c r="D52" i="30"/>
  <c r="B52" i="30"/>
  <c r="L51" i="30"/>
  <c r="H51" i="30"/>
  <c r="D51" i="30"/>
  <c r="B51" i="30"/>
  <c r="L50" i="30"/>
  <c r="H50" i="30"/>
  <c r="D50" i="30"/>
  <c r="B50" i="30"/>
  <c r="L49" i="30"/>
  <c r="H49" i="30"/>
  <c r="D49" i="30"/>
  <c r="B49" i="30"/>
  <c r="B44" i="30"/>
  <c r="K22" i="10"/>
  <c r="Q42" i="29" s="1"/>
  <c r="I22" i="10"/>
  <c r="G22" i="10"/>
  <c r="E22" i="10"/>
  <c r="E42" i="29" s="1"/>
  <c r="B47" i="29"/>
  <c r="B46" i="29"/>
  <c r="B45" i="29"/>
  <c r="B44" i="29"/>
  <c r="B39" i="29"/>
  <c r="Q47" i="28"/>
  <c r="O49" i="28" s="1"/>
  <c r="M47" i="28"/>
  <c r="K49" i="28" s="1"/>
  <c r="I47" i="28"/>
  <c r="G49" i="28" s="1"/>
  <c r="E47" i="28"/>
  <c r="C49" i="28" s="1"/>
  <c r="P52" i="28"/>
  <c r="L52" i="28"/>
  <c r="H52" i="28"/>
  <c r="D52" i="28"/>
  <c r="B52" i="28"/>
  <c r="P51" i="28"/>
  <c r="L51" i="28"/>
  <c r="H51" i="28"/>
  <c r="D51" i="28"/>
  <c r="B51" i="28"/>
  <c r="P50" i="28"/>
  <c r="L50" i="28"/>
  <c r="H50" i="28"/>
  <c r="D50" i="28"/>
  <c r="B50" i="28"/>
  <c r="P49" i="28"/>
  <c r="L49" i="28"/>
  <c r="M49" i="28" s="1"/>
  <c r="H49" i="28"/>
  <c r="I49" i="28" s="1"/>
  <c r="D49" i="28"/>
  <c r="B49" i="28"/>
  <c r="B44" i="28"/>
  <c r="Q47" i="27"/>
  <c r="O49" i="27" s="1"/>
  <c r="M47" i="27"/>
  <c r="K49" i="27" s="1"/>
  <c r="I47" i="27"/>
  <c r="E47" i="27"/>
  <c r="C49" i="27" s="1"/>
  <c r="P52" i="27"/>
  <c r="L52" i="27"/>
  <c r="H52" i="27"/>
  <c r="D52" i="27"/>
  <c r="B52" i="27"/>
  <c r="P51" i="27"/>
  <c r="L51" i="27"/>
  <c r="H51" i="27"/>
  <c r="D51" i="27"/>
  <c r="B51" i="27"/>
  <c r="P50" i="27"/>
  <c r="L50" i="27"/>
  <c r="H50" i="27"/>
  <c r="D50" i="27"/>
  <c r="B50" i="27"/>
  <c r="P49" i="27"/>
  <c r="Q49" i="27" s="1"/>
  <c r="L49" i="27"/>
  <c r="M49" i="27" s="1"/>
  <c r="H49" i="27"/>
  <c r="D49" i="27"/>
  <c r="B49" i="27"/>
  <c r="B44" i="27"/>
  <c r="Q47" i="26"/>
  <c r="O49" i="26" s="1"/>
  <c r="M47" i="26"/>
  <c r="K49" i="26" s="1"/>
  <c r="I47" i="26"/>
  <c r="G49" i="26" s="1"/>
  <c r="E47" i="26"/>
  <c r="C49" i="26" s="1"/>
  <c r="P52" i="26"/>
  <c r="L52" i="26"/>
  <c r="H52" i="26"/>
  <c r="D52" i="26"/>
  <c r="B52" i="26"/>
  <c r="P51" i="26"/>
  <c r="L51" i="26"/>
  <c r="H51" i="26"/>
  <c r="D51" i="26"/>
  <c r="B51" i="26"/>
  <c r="P50" i="26"/>
  <c r="L50" i="26"/>
  <c r="H50" i="26"/>
  <c r="D50" i="26"/>
  <c r="B50" i="26"/>
  <c r="P49" i="26"/>
  <c r="L49" i="26"/>
  <c r="H49" i="26"/>
  <c r="D49" i="26"/>
  <c r="B49" i="26"/>
  <c r="B44" i="26"/>
  <c r="Q47" i="25"/>
  <c r="O49" i="25" s="1"/>
  <c r="M47" i="25"/>
  <c r="K49" i="25" s="1"/>
  <c r="I47" i="25"/>
  <c r="E47" i="25"/>
  <c r="C49" i="25" s="1"/>
  <c r="P52" i="25"/>
  <c r="L52" i="25"/>
  <c r="H52" i="25"/>
  <c r="D52" i="25"/>
  <c r="B52" i="25"/>
  <c r="P51" i="25"/>
  <c r="L51" i="25"/>
  <c r="H51" i="25"/>
  <c r="D51" i="25"/>
  <c r="B51" i="25"/>
  <c r="P50" i="25"/>
  <c r="L50" i="25"/>
  <c r="H50" i="25"/>
  <c r="D50" i="25"/>
  <c r="B50" i="25"/>
  <c r="P49" i="25"/>
  <c r="L49" i="25"/>
  <c r="H49" i="25"/>
  <c r="D49" i="25"/>
  <c r="B49" i="25"/>
  <c r="B44" i="25"/>
  <c r="E47" i="24"/>
  <c r="C49" i="24" s="1"/>
  <c r="Q47" i="24"/>
  <c r="O49" i="24" s="1"/>
  <c r="M47" i="24"/>
  <c r="K49" i="24" s="1"/>
  <c r="I47" i="24"/>
  <c r="G49" i="24" s="1"/>
  <c r="P52" i="24"/>
  <c r="L52" i="24"/>
  <c r="H52" i="24"/>
  <c r="D52" i="24"/>
  <c r="B52" i="24"/>
  <c r="P51" i="24"/>
  <c r="L51" i="24"/>
  <c r="H51" i="24"/>
  <c r="D51" i="24"/>
  <c r="B51" i="24"/>
  <c r="P50" i="24"/>
  <c r="L50" i="24"/>
  <c r="H50" i="24"/>
  <c r="D50" i="24"/>
  <c r="B50" i="24"/>
  <c r="P49" i="24"/>
  <c r="Q49" i="24" s="1"/>
  <c r="L49" i="24"/>
  <c r="H49" i="24"/>
  <c r="I49" i="24" s="1"/>
  <c r="D49" i="24"/>
  <c r="B49" i="24"/>
  <c r="C45" i="24"/>
  <c r="B44" i="24"/>
  <c r="Q47" i="23"/>
  <c r="O49" i="23" s="1"/>
  <c r="M47" i="23"/>
  <c r="K49" i="23" s="1"/>
  <c r="I47" i="23"/>
  <c r="G49" i="23" s="1"/>
  <c r="E47" i="23"/>
  <c r="C49" i="23" s="1"/>
  <c r="P52" i="23"/>
  <c r="L52" i="23"/>
  <c r="H52" i="23"/>
  <c r="D52" i="23"/>
  <c r="B52" i="23"/>
  <c r="P51" i="23"/>
  <c r="L51" i="23"/>
  <c r="H51" i="23"/>
  <c r="D51" i="23"/>
  <c r="B51" i="23"/>
  <c r="P50" i="23"/>
  <c r="L50" i="23"/>
  <c r="H50" i="23"/>
  <c r="D50" i="23"/>
  <c r="B50" i="23"/>
  <c r="P49" i="23"/>
  <c r="L49" i="23"/>
  <c r="M49" i="23" s="1"/>
  <c r="K50" i="23" s="1"/>
  <c r="H49" i="23"/>
  <c r="I49" i="23" s="1"/>
  <c r="D49" i="23"/>
  <c r="B49" i="23"/>
  <c r="B44" i="23"/>
  <c r="Q47" i="22"/>
  <c r="O49" i="22" s="1"/>
  <c r="M47" i="22"/>
  <c r="K49" i="22" s="1"/>
  <c r="I47" i="22"/>
  <c r="G49" i="22" s="1"/>
  <c r="E47" i="22"/>
  <c r="C49" i="22" s="1"/>
  <c r="P52" i="22"/>
  <c r="L52" i="22"/>
  <c r="H52" i="22"/>
  <c r="D52" i="22"/>
  <c r="B52" i="22"/>
  <c r="P51" i="22"/>
  <c r="L51" i="22"/>
  <c r="H51" i="22"/>
  <c r="D51" i="22"/>
  <c r="B51" i="22"/>
  <c r="P50" i="22"/>
  <c r="L50" i="22"/>
  <c r="H50" i="22"/>
  <c r="D50" i="22"/>
  <c r="B50" i="22"/>
  <c r="P49" i="22"/>
  <c r="L49" i="22"/>
  <c r="H49" i="22"/>
  <c r="I49" i="22" s="1"/>
  <c r="D49" i="22"/>
  <c r="B49" i="22"/>
  <c r="B44" i="22"/>
  <c r="Q47" i="21"/>
  <c r="O49" i="21" s="1"/>
  <c r="M47" i="21"/>
  <c r="K49" i="21" s="1"/>
  <c r="I47" i="21"/>
  <c r="E47" i="21"/>
  <c r="C49" i="21" s="1"/>
  <c r="P52" i="21"/>
  <c r="L52" i="21"/>
  <c r="H52" i="21"/>
  <c r="D52" i="21"/>
  <c r="B52" i="21"/>
  <c r="P51" i="21"/>
  <c r="L51" i="21"/>
  <c r="H51" i="21"/>
  <c r="D51" i="21"/>
  <c r="B51" i="21"/>
  <c r="P50" i="21"/>
  <c r="L50" i="21"/>
  <c r="H50" i="21"/>
  <c r="D50" i="21"/>
  <c r="B50" i="21"/>
  <c r="P49" i="21"/>
  <c r="L49" i="21"/>
  <c r="M49" i="21" s="1"/>
  <c r="K50" i="21" s="1"/>
  <c r="M50" i="21" s="1"/>
  <c r="M53" i="21" s="1"/>
  <c r="H49" i="21"/>
  <c r="D49" i="21"/>
  <c r="B49" i="21"/>
  <c r="B44" i="21"/>
  <c r="Q47" i="20"/>
  <c r="M47" i="20"/>
  <c r="I47" i="20"/>
  <c r="E47" i="20"/>
  <c r="C49" i="20" s="1"/>
  <c r="Q47" i="19"/>
  <c r="M47" i="19"/>
  <c r="I47" i="19"/>
  <c r="G49" i="19" s="1"/>
  <c r="E47" i="19"/>
  <c r="C49" i="19" s="1"/>
  <c r="Q49" i="15"/>
  <c r="M49" i="15"/>
  <c r="I49" i="15"/>
  <c r="G51" i="15" s="1"/>
  <c r="C51" i="15"/>
  <c r="E51" i="15" s="1"/>
  <c r="M32" i="10"/>
  <c r="M31" i="10"/>
  <c r="M30" i="10"/>
  <c r="M29" i="10"/>
  <c r="M26" i="10"/>
  <c r="M25" i="10"/>
  <c r="M24" i="10"/>
  <c r="C1" i="52"/>
  <c r="P38" i="20"/>
  <c r="P37" i="20"/>
  <c r="P36" i="20"/>
  <c r="P35" i="20"/>
  <c r="P24" i="20"/>
  <c r="P23" i="20"/>
  <c r="P22" i="20"/>
  <c r="P21" i="20"/>
  <c r="P20" i="20"/>
  <c r="P52" i="20"/>
  <c r="L52" i="20"/>
  <c r="H52" i="20"/>
  <c r="D52" i="20"/>
  <c r="B52" i="20"/>
  <c r="P51" i="20"/>
  <c r="L51" i="20"/>
  <c r="H51" i="20"/>
  <c r="D51" i="20"/>
  <c r="B51" i="20"/>
  <c r="P50" i="20"/>
  <c r="L50" i="20"/>
  <c r="H50" i="20"/>
  <c r="D50" i="20"/>
  <c r="B50" i="20"/>
  <c r="P49" i="20"/>
  <c r="L49" i="20"/>
  <c r="H49" i="20"/>
  <c r="D49" i="20"/>
  <c r="B49" i="20"/>
  <c r="B44" i="20"/>
  <c r="B66" i="19"/>
  <c r="B65" i="19"/>
  <c r="B64" i="19"/>
  <c r="B63" i="19"/>
  <c r="P66" i="19"/>
  <c r="P65" i="19"/>
  <c r="P64" i="19"/>
  <c r="P63" i="19"/>
  <c r="L66" i="19"/>
  <c r="L65" i="19"/>
  <c r="L64" i="19"/>
  <c r="L63" i="19"/>
  <c r="H66" i="19"/>
  <c r="H65" i="19"/>
  <c r="H64" i="19"/>
  <c r="H63" i="19"/>
  <c r="D64" i="19"/>
  <c r="D65" i="19"/>
  <c r="D66" i="19"/>
  <c r="D63" i="19"/>
  <c r="P38" i="19"/>
  <c r="P37" i="19"/>
  <c r="P36" i="19"/>
  <c r="P35" i="19"/>
  <c r="P24" i="19"/>
  <c r="P23" i="19"/>
  <c r="P22" i="19"/>
  <c r="P21" i="19"/>
  <c r="P20" i="19"/>
  <c r="P52" i="19"/>
  <c r="L52" i="19"/>
  <c r="H52" i="19"/>
  <c r="D52" i="19"/>
  <c r="B52" i="19"/>
  <c r="P51" i="19"/>
  <c r="L51" i="19"/>
  <c r="H51" i="19"/>
  <c r="D51" i="19"/>
  <c r="B51" i="19"/>
  <c r="P50" i="19"/>
  <c r="L50" i="19"/>
  <c r="H50" i="19"/>
  <c r="D50" i="19"/>
  <c r="B50" i="19"/>
  <c r="P49" i="19"/>
  <c r="L49" i="19"/>
  <c r="H49" i="19"/>
  <c r="I49" i="19" s="1"/>
  <c r="D49" i="19"/>
  <c r="B49" i="19"/>
  <c r="B44" i="19"/>
  <c r="P26" i="15"/>
  <c r="P25" i="15"/>
  <c r="P24" i="15"/>
  <c r="P23" i="15"/>
  <c r="P22" i="15"/>
  <c r="P40" i="15"/>
  <c r="P39" i="15"/>
  <c r="P38" i="15"/>
  <c r="P37" i="15"/>
  <c r="P68" i="15"/>
  <c r="P67" i="15"/>
  <c r="P66" i="15"/>
  <c r="P65" i="15"/>
  <c r="L68" i="15"/>
  <c r="L67" i="15"/>
  <c r="L66" i="15"/>
  <c r="L65" i="15"/>
  <c r="H68" i="15"/>
  <c r="H67" i="15"/>
  <c r="H66" i="15"/>
  <c r="H65" i="15"/>
  <c r="P54" i="15"/>
  <c r="P53" i="15"/>
  <c r="P52" i="15"/>
  <c r="P51" i="15"/>
  <c r="L54" i="15"/>
  <c r="L53" i="15"/>
  <c r="L52" i="15"/>
  <c r="L51" i="15"/>
  <c r="H54" i="15"/>
  <c r="H53" i="15"/>
  <c r="H52" i="15"/>
  <c r="H51" i="15"/>
  <c r="I51" i="15" s="1"/>
  <c r="D54" i="15"/>
  <c r="B54" i="15"/>
  <c r="D53" i="15"/>
  <c r="B53" i="15"/>
  <c r="B52" i="15"/>
  <c r="B51" i="15"/>
  <c r="P38" i="30"/>
  <c r="P37" i="30"/>
  <c r="P36" i="30"/>
  <c r="P35" i="30"/>
  <c r="P24" i="30"/>
  <c r="P23" i="30"/>
  <c r="P22" i="30"/>
  <c r="P21" i="30"/>
  <c r="P20" i="30"/>
  <c r="O17" i="21"/>
  <c r="C31" i="22"/>
  <c r="C45" i="22" s="1"/>
  <c r="B46" i="15"/>
  <c r="C27" i="29"/>
  <c r="C40" i="29" s="1"/>
  <c r="O27" i="29"/>
  <c r="O54" i="29" s="1"/>
  <c r="G31" i="28"/>
  <c r="G45" i="28" s="1"/>
  <c r="C31" i="28"/>
  <c r="C45" i="28" s="1"/>
  <c r="O31" i="28"/>
  <c r="O59" i="28" s="1"/>
  <c r="O31" i="27"/>
  <c r="O59" i="27" s="1"/>
  <c r="K31" i="27"/>
  <c r="K45" i="27" s="1"/>
  <c r="G31" i="27"/>
  <c r="G45" i="27" s="1"/>
  <c r="C31" i="27"/>
  <c r="C45" i="27" s="1"/>
  <c r="O31" i="26"/>
  <c r="O59" i="26" s="1"/>
  <c r="K31" i="26"/>
  <c r="K59" i="26" s="1"/>
  <c r="G31" i="26"/>
  <c r="G59" i="26" s="1"/>
  <c r="C31" i="26"/>
  <c r="C59" i="26" s="1"/>
  <c r="O31" i="25"/>
  <c r="O59" i="25" s="1"/>
  <c r="K31" i="25"/>
  <c r="K59" i="25" s="1"/>
  <c r="G31" i="25"/>
  <c r="G59" i="25" s="1"/>
  <c r="C31" i="25"/>
  <c r="C59" i="25" s="1"/>
  <c r="C31" i="24"/>
  <c r="O63" i="25"/>
  <c r="O31" i="24"/>
  <c r="O59" i="24" s="1"/>
  <c r="M22" i="42" l="1"/>
  <c r="M35" i="42" s="1"/>
  <c r="M38" i="42" s="1"/>
  <c r="Q63" i="39"/>
  <c r="O64" i="39" s="1"/>
  <c r="Q64" i="39" s="1"/>
  <c r="Q67" i="39" s="1"/>
  <c r="Q56" i="40"/>
  <c r="Q63" i="37"/>
  <c r="Q63" i="36"/>
  <c r="O64" i="36" s="1"/>
  <c r="Q64" i="36" s="1"/>
  <c r="Q63" i="38"/>
  <c r="O64" i="38" s="1"/>
  <c r="Q64" i="38" s="1"/>
  <c r="Q67" i="38" s="1"/>
  <c r="Q63" i="31"/>
  <c r="O64" i="31" s="1"/>
  <c r="Q64" i="31" s="1"/>
  <c r="Q67" i="31" s="1"/>
  <c r="Q63" i="32"/>
  <c r="O64" i="32" s="1"/>
  <c r="Q64" i="32" s="1"/>
  <c r="Q67" i="32" s="1"/>
  <c r="Q63" i="24"/>
  <c r="O64" i="24" s="1"/>
  <c r="Q64" i="24" s="1"/>
  <c r="Q67" i="24" s="1"/>
  <c r="Q63" i="25"/>
  <c r="O64" i="25" s="1"/>
  <c r="Q64" i="25" s="1"/>
  <c r="Q67" i="25" s="1"/>
  <c r="Q63" i="26"/>
  <c r="Q63" i="27"/>
  <c r="O64" i="27" s="1"/>
  <c r="Q64" i="27" s="1"/>
  <c r="Q67" i="27" s="1"/>
  <c r="Q63" i="28"/>
  <c r="Q49" i="38"/>
  <c r="Q49" i="37"/>
  <c r="O50" i="37" s="1"/>
  <c r="Q49" i="39"/>
  <c r="M49" i="37"/>
  <c r="M49" i="36"/>
  <c r="M44" i="40" s="1"/>
  <c r="M49" i="39"/>
  <c r="I49" i="37"/>
  <c r="Q49" i="31"/>
  <c r="O50" i="31" s="1"/>
  <c r="Q49" i="32"/>
  <c r="O50" i="32" s="1"/>
  <c r="M49" i="30"/>
  <c r="M49" i="31"/>
  <c r="K50" i="31" s="1"/>
  <c r="M50" i="31" s="1"/>
  <c r="M53" i="31" s="1"/>
  <c r="M49" i="32"/>
  <c r="K50" i="32" s="1"/>
  <c r="M50" i="32" s="1"/>
  <c r="M53" i="32" s="1"/>
  <c r="I49" i="30"/>
  <c r="I49" i="31"/>
  <c r="G50" i="31" s="1"/>
  <c r="I49" i="32"/>
  <c r="G50" i="32" s="1"/>
  <c r="Q49" i="26"/>
  <c r="Q49" i="21"/>
  <c r="O50" i="21" s="1"/>
  <c r="Q50" i="21" s="1"/>
  <c r="Q53" i="21" s="1"/>
  <c r="Q49" i="28"/>
  <c r="O50" i="28" s="1"/>
  <c r="Q50" i="28" s="1"/>
  <c r="Q49" i="22"/>
  <c r="O50" i="22" s="1"/>
  <c r="Q49" i="23"/>
  <c r="O50" i="23" s="1"/>
  <c r="Q50" i="23" s="1"/>
  <c r="Q49" i="25"/>
  <c r="M49" i="22"/>
  <c r="M49" i="24"/>
  <c r="M49" i="25"/>
  <c r="M49" i="26"/>
  <c r="K50" i="26" s="1"/>
  <c r="M50" i="26" s="1"/>
  <c r="M53" i="26" s="1"/>
  <c r="I49" i="20"/>
  <c r="G50" i="20" s="1"/>
  <c r="I49" i="26"/>
  <c r="Q35" i="39"/>
  <c r="Q35" i="37"/>
  <c r="Q35" i="32"/>
  <c r="Q29" i="34"/>
  <c r="Q35" i="26"/>
  <c r="O36" i="26" s="1"/>
  <c r="Q36" i="26" s="1"/>
  <c r="Q39" i="26" s="1"/>
  <c r="Q35" i="25"/>
  <c r="O36" i="25" s="1"/>
  <c r="Q36" i="25" s="1"/>
  <c r="Q39" i="25" s="1"/>
  <c r="Q35" i="27"/>
  <c r="O36" i="27" s="1"/>
  <c r="Q36" i="27" s="1"/>
  <c r="Q39" i="27" s="1"/>
  <c r="Q29" i="29"/>
  <c r="E49" i="21"/>
  <c r="E49" i="28"/>
  <c r="E49" i="30"/>
  <c r="E43" i="34" s="1"/>
  <c r="E49" i="38"/>
  <c r="E49" i="19"/>
  <c r="I50" i="20"/>
  <c r="I53" i="20" s="1"/>
  <c r="Q50" i="31"/>
  <c r="Q53" i="31" s="1"/>
  <c r="E49" i="31"/>
  <c r="C50" i="31" s="1"/>
  <c r="E50" i="31" s="1"/>
  <c r="E53" i="31" s="1"/>
  <c r="Q50" i="32"/>
  <c r="Q53" i="32" s="1"/>
  <c r="E49" i="32"/>
  <c r="E49" i="39"/>
  <c r="C50" i="39" s="1"/>
  <c r="E50" i="39" s="1"/>
  <c r="E53" i="39" s="1"/>
  <c r="E49" i="24"/>
  <c r="G50" i="23"/>
  <c r="I50" i="23" s="1"/>
  <c r="I53" i="23" s="1"/>
  <c r="G50" i="30"/>
  <c r="I50" i="30" s="1"/>
  <c r="I43" i="34"/>
  <c r="G50" i="37"/>
  <c r="I50" i="37" s="1"/>
  <c r="I53" i="37" s="1"/>
  <c r="O50" i="38"/>
  <c r="Q50" i="38" s="1"/>
  <c r="Q53" i="38" s="1"/>
  <c r="E49" i="22"/>
  <c r="M50" i="23"/>
  <c r="M53" i="23" s="1"/>
  <c r="K50" i="37"/>
  <c r="M50" i="37" s="1"/>
  <c r="M53" i="37" s="1"/>
  <c r="K50" i="22"/>
  <c r="M50" i="22" s="1"/>
  <c r="M53" i="22" s="1"/>
  <c r="I53" i="19"/>
  <c r="G50" i="19"/>
  <c r="I50" i="19" s="1"/>
  <c r="E49" i="23"/>
  <c r="G50" i="24"/>
  <c r="I50" i="24" s="1"/>
  <c r="I53" i="24" s="1"/>
  <c r="M43" i="34"/>
  <c r="K50" i="30"/>
  <c r="M50" i="30" s="1"/>
  <c r="M44" i="34" s="1"/>
  <c r="I50" i="31"/>
  <c r="I53" i="31" s="1"/>
  <c r="I50" i="32"/>
  <c r="I53" i="32" s="1"/>
  <c r="Q30" i="40"/>
  <c r="Q50" i="37"/>
  <c r="Q53" i="37" s="1"/>
  <c r="E49" i="36"/>
  <c r="G50" i="26"/>
  <c r="I50" i="26" s="1"/>
  <c r="I53" i="26"/>
  <c r="O50" i="39"/>
  <c r="Q50" i="39" s="1"/>
  <c r="Q53" i="39" s="1"/>
  <c r="K50" i="24"/>
  <c r="M50" i="24" s="1"/>
  <c r="M53" i="24" s="1"/>
  <c r="O50" i="24"/>
  <c r="Q50" i="24" s="1"/>
  <c r="Q53" i="24"/>
  <c r="K50" i="25"/>
  <c r="M50" i="25" s="1"/>
  <c r="M53" i="25" s="1"/>
  <c r="O50" i="25"/>
  <c r="Q50" i="25" s="1"/>
  <c r="Q53" i="25" s="1"/>
  <c r="E49" i="25"/>
  <c r="G52" i="15"/>
  <c r="I52" i="15" s="1"/>
  <c r="I55" i="15" s="1"/>
  <c r="O50" i="26"/>
  <c r="Q50" i="26" s="1"/>
  <c r="Q53" i="26" s="1"/>
  <c r="E49" i="26"/>
  <c r="K50" i="27"/>
  <c r="M50" i="27" s="1"/>
  <c r="M53" i="27"/>
  <c r="G50" i="28"/>
  <c r="I50" i="28" s="1"/>
  <c r="I53" i="28" s="1"/>
  <c r="Q44" i="40"/>
  <c r="O50" i="36"/>
  <c r="Q50" i="36" s="1"/>
  <c r="E49" i="37"/>
  <c r="C50" i="37" s="1"/>
  <c r="E50" i="37" s="1"/>
  <c r="E53" i="37" s="1"/>
  <c r="K50" i="39"/>
  <c r="M50" i="39" s="1"/>
  <c r="M53" i="39"/>
  <c r="E49" i="20"/>
  <c r="E44" i="29" s="1"/>
  <c r="G50" i="22"/>
  <c r="I50" i="22" s="1"/>
  <c r="I53" i="22" s="1"/>
  <c r="O50" i="27"/>
  <c r="Q50" i="27" s="1"/>
  <c r="Q53" i="27" s="1"/>
  <c r="E49" i="27"/>
  <c r="K50" i="28"/>
  <c r="M50" i="28" s="1"/>
  <c r="M53" i="28" s="1"/>
  <c r="K50" i="38"/>
  <c r="M50" i="38" s="1"/>
  <c r="M53" i="38" s="1"/>
  <c r="J25" i="45"/>
  <c r="E35" i="53"/>
  <c r="K51" i="32"/>
  <c r="M51" i="32" s="1"/>
  <c r="M54" i="32" s="1"/>
  <c r="P25" i="45"/>
  <c r="Z23" i="9" s="1"/>
  <c r="R25" i="45"/>
  <c r="AD23" i="9" s="1"/>
  <c r="G35" i="10"/>
  <c r="I35" i="10"/>
  <c r="E35" i="10"/>
  <c r="K35" i="10"/>
  <c r="O35" i="31"/>
  <c r="Q35" i="31" s="1"/>
  <c r="O36" i="31" s="1"/>
  <c r="Q36" i="31" s="1"/>
  <c r="Q39" i="31" s="1"/>
  <c r="I35" i="53"/>
  <c r="M33" i="53"/>
  <c r="M27" i="53"/>
  <c r="M22" i="53"/>
  <c r="K35" i="53"/>
  <c r="N25" i="45"/>
  <c r="V23" i="9" s="1"/>
  <c r="L25" i="45"/>
  <c r="R23" i="9" s="1"/>
  <c r="H25" i="45"/>
  <c r="J23" i="9" s="1"/>
  <c r="F25" i="45"/>
  <c r="F23" i="9" s="1"/>
  <c r="O45" i="24"/>
  <c r="Q29" i="40"/>
  <c r="O45" i="38"/>
  <c r="O45" i="32"/>
  <c r="O45" i="31"/>
  <c r="Q55" i="34"/>
  <c r="I56" i="40"/>
  <c r="M56" i="40"/>
  <c r="O45" i="28"/>
  <c r="O45" i="27"/>
  <c r="O45" i="26"/>
  <c r="C45" i="26"/>
  <c r="G45" i="26"/>
  <c r="K45" i="26"/>
  <c r="C45" i="25"/>
  <c r="G45" i="25"/>
  <c r="K45" i="25"/>
  <c r="O45" i="25"/>
  <c r="Q56" i="29"/>
  <c r="O40" i="29"/>
  <c r="I29" i="40"/>
  <c r="M29" i="40"/>
  <c r="O36" i="36"/>
  <c r="Q36" i="36" s="1"/>
  <c r="E29" i="40"/>
  <c r="G35" i="53"/>
  <c r="E56" i="40"/>
  <c r="C50" i="21"/>
  <c r="E50" i="21" s="1"/>
  <c r="E53" i="21" s="1"/>
  <c r="C50" i="22"/>
  <c r="E50" i="22" s="1"/>
  <c r="E53" i="22" s="1"/>
  <c r="C50" i="26"/>
  <c r="E50" i="26" s="1"/>
  <c r="E53" i="26" s="1"/>
  <c r="C50" i="25"/>
  <c r="E50" i="25" s="1"/>
  <c r="E53" i="25" s="1"/>
  <c r="O40" i="40"/>
  <c r="O45" i="39"/>
  <c r="G49" i="39"/>
  <c r="I49" i="39" s="1"/>
  <c r="O36" i="39"/>
  <c r="Q36" i="39" s="1"/>
  <c r="Q39" i="39" s="1"/>
  <c r="C50" i="38"/>
  <c r="E50" i="38" s="1"/>
  <c r="E53" i="38" s="1"/>
  <c r="G49" i="38"/>
  <c r="I49" i="38" s="1"/>
  <c r="G50" i="38" s="1"/>
  <c r="I50" i="38" s="1"/>
  <c r="I53" i="38" s="1"/>
  <c r="O36" i="38"/>
  <c r="Q36" i="38" s="1"/>
  <c r="Q39" i="38" s="1"/>
  <c r="O45" i="37"/>
  <c r="O36" i="37"/>
  <c r="Q36" i="37" s="1"/>
  <c r="Q39" i="37" s="1"/>
  <c r="O59" i="36"/>
  <c r="C50" i="36"/>
  <c r="E50" i="36" s="1"/>
  <c r="G49" i="36"/>
  <c r="I49" i="36" s="1"/>
  <c r="M33" i="10"/>
  <c r="I42" i="29"/>
  <c r="M42" i="29"/>
  <c r="O40" i="34"/>
  <c r="O36" i="32"/>
  <c r="Q36" i="32" s="1"/>
  <c r="Q39" i="32" s="1"/>
  <c r="O51" i="31"/>
  <c r="Q51" i="31" s="1"/>
  <c r="Q54" i="31" s="1"/>
  <c r="O49" i="30"/>
  <c r="Q49" i="30" s="1"/>
  <c r="C50" i="30"/>
  <c r="E50" i="30" s="1"/>
  <c r="E53" i="30" s="1"/>
  <c r="M22" i="10"/>
  <c r="C50" i="28"/>
  <c r="E50" i="28" s="1"/>
  <c r="E53" i="28" s="1"/>
  <c r="C50" i="27"/>
  <c r="E50" i="27" s="1"/>
  <c r="E53" i="27" s="1"/>
  <c r="G49" i="27"/>
  <c r="I49" i="27" s="1"/>
  <c r="G50" i="27" s="1"/>
  <c r="I50" i="27" s="1"/>
  <c r="I53" i="27" s="1"/>
  <c r="G49" i="25"/>
  <c r="I49" i="25" s="1"/>
  <c r="G50" i="25" s="1"/>
  <c r="I50" i="25" s="1"/>
  <c r="I53" i="25" s="1"/>
  <c r="C50" i="24"/>
  <c r="E50" i="24" s="1"/>
  <c r="E53" i="24" s="1"/>
  <c r="C50" i="23"/>
  <c r="E50" i="23" s="1"/>
  <c r="E53" i="23" s="1"/>
  <c r="G49" i="21"/>
  <c r="I49" i="21" s="1"/>
  <c r="G50" i="21" s="1"/>
  <c r="I50" i="21" s="1"/>
  <c r="I53" i="21" s="1"/>
  <c r="K51" i="15"/>
  <c r="M51" i="15" s="1"/>
  <c r="O51" i="15"/>
  <c r="Q51" i="15" s="1"/>
  <c r="K49" i="19"/>
  <c r="K49" i="20"/>
  <c r="M49" i="20" s="1"/>
  <c r="K50" i="20" s="1"/>
  <c r="M50" i="20" s="1"/>
  <c r="M53" i="20" s="1"/>
  <c r="O49" i="19"/>
  <c r="Q49" i="19" s="1"/>
  <c r="O49" i="20"/>
  <c r="G49" i="20"/>
  <c r="C50" i="19"/>
  <c r="E50" i="19" s="1"/>
  <c r="E53" i="19" s="1"/>
  <c r="O36" i="28"/>
  <c r="Q36" i="28" s="1"/>
  <c r="Q39" i="28" s="1"/>
  <c r="O36" i="24"/>
  <c r="Q36" i="24" s="1"/>
  <c r="Q39" i="24" s="1"/>
  <c r="C31" i="23"/>
  <c r="C45" i="23" s="1"/>
  <c r="O63" i="23"/>
  <c r="Q63" i="23" s="1"/>
  <c r="O35" i="23"/>
  <c r="Q35" i="23" s="1"/>
  <c r="O31" i="23"/>
  <c r="O45" i="23" s="1"/>
  <c r="O63" i="22"/>
  <c r="Q63" i="22" s="1"/>
  <c r="O35" i="22"/>
  <c r="Q35" i="22" s="1"/>
  <c r="O31" i="22"/>
  <c r="O45" i="22" s="1"/>
  <c r="Q57" i="40" l="1"/>
  <c r="O51" i="38"/>
  <c r="Q51" i="38" s="1"/>
  <c r="Q54" i="38" s="1"/>
  <c r="K50" i="36"/>
  <c r="M50" i="36" s="1"/>
  <c r="M53" i="36" s="1"/>
  <c r="G50" i="36"/>
  <c r="I50" i="36" s="1"/>
  <c r="I53" i="36" s="1"/>
  <c r="I44" i="40"/>
  <c r="G50" i="39"/>
  <c r="I50" i="39" s="1"/>
  <c r="I53" i="39" s="1"/>
  <c r="O50" i="30"/>
  <c r="Q50" i="30" s="1"/>
  <c r="Q43" i="34"/>
  <c r="M47" i="34"/>
  <c r="K52" i="32"/>
  <c r="M52" i="32" s="1"/>
  <c r="M55" i="32" s="1"/>
  <c r="Q53" i="28"/>
  <c r="O51" i="28"/>
  <c r="Q51" i="28" s="1"/>
  <c r="Q54" i="28" s="1"/>
  <c r="Q50" i="22"/>
  <c r="Q53" i="22" s="1"/>
  <c r="O51" i="22"/>
  <c r="Q51" i="22" s="1"/>
  <c r="Q54" i="22" s="1"/>
  <c r="Q44" i="29"/>
  <c r="O52" i="15"/>
  <c r="Q52" i="15" s="1"/>
  <c r="Q53" i="23"/>
  <c r="O50" i="19"/>
  <c r="Q50" i="19" s="1"/>
  <c r="Q53" i="19" s="1"/>
  <c r="Q49" i="20"/>
  <c r="K52" i="15"/>
  <c r="M52" i="15" s="1"/>
  <c r="M49" i="19"/>
  <c r="M44" i="29" s="1"/>
  <c r="G52" i="24"/>
  <c r="I52" i="24" s="1"/>
  <c r="I55" i="24" s="1"/>
  <c r="G51" i="28"/>
  <c r="I51" i="28" s="1"/>
  <c r="I54" i="28" s="1"/>
  <c r="I56" i="28" s="1"/>
  <c r="G52" i="28"/>
  <c r="I52" i="28" s="1"/>
  <c r="I55" i="28" s="1"/>
  <c r="I44" i="29"/>
  <c r="G51" i="24"/>
  <c r="I51" i="24" s="1"/>
  <c r="I54" i="24" s="1"/>
  <c r="M53" i="30"/>
  <c r="E53" i="36"/>
  <c r="E45" i="40"/>
  <c r="I45" i="29"/>
  <c r="E44" i="40"/>
  <c r="Q53" i="30"/>
  <c r="Q44" i="34"/>
  <c r="Q47" i="34" s="1"/>
  <c r="I56" i="24"/>
  <c r="Q39" i="36"/>
  <c r="Q31" i="40"/>
  <c r="Q34" i="40" s="1"/>
  <c r="I53" i="30"/>
  <c r="I44" i="34"/>
  <c r="I47" i="34" s="1"/>
  <c r="M55" i="15"/>
  <c r="I45" i="40"/>
  <c r="I48" i="40" s="1"/>
  <c r="Q67" i="36"/>
  <c r="Q53" i="36"/>
  <c r="Q45" i="40"/>
  <c r="Q48" i="40" s="1"/>
  <c r="M56" i="32"/>
  <c r="O64" i="26"/>
  <c r="Q64" i="26" s="1"/>
  <c r="Q67" i="26" s="1"/>
  <c r="M35" i="53"/>
  <c r="M37" i="53"/>
  <c r="O65" i="25"/>
  <c r="Q65" i="25" s="1"/>
  <c r="Q68" i="25" s="1"/>
  <c r="O66" i="32"/>
  <c r="Q66" i="32" s="1"/>
  <c r="Q69" i="32" s="1"/>
  <c r="O37" i="25"/>
  <c r="Q37" i="25" s="1"/>
  <c r="Q40" i="25" s="1"/>
  <c r="O37" i="32"/>
  <c r="Q37" i="32" s="1"/>
  <c r="Q40" i="32" s="1"/>
  <c r="O52" i="26"/>
  <c r="Q52" i="26" s="1"/>
  <c r="Q55" i="26" s="1"/>
  <c r="O51" i="26"/>
  <c r="Q51" i="26" s="1"/>
  <c r="Q54" i="26" s="1"/>
  <c r="O52" i="31"/>
  <c r="Q52" i="31" s="1"/>
  <c r="Q55" i="31" s="1"/>
  <c r="O52" i="39"/>
  <c r="Q52" i="39" s="1"/>
  <c r="Q55" i="39" s="1"/>
  <c r="O51" i="39"/>
  <c r="Q51" i="39" s="1"/>
  <c r="Q54" i="39" s="1"/>
  <c r="O52" i="24"/>
  <c r="Q52" i="24" s="1"/>
  <c r="Q55" i="24" s="1"/>
  <c r="O51" i="24"/>
  <c r="Q51" i="24" s="1"/>
  <c r="Q54" i="24" s="1"/>
  <c r="O52" i="19"/>
  <c r="Q52" i="19" s="1"/>
  <c r="Q55" i="19" s="1"/>
  <c r="O51" i="19"/>
  <c r="Q51" i="19" s="1"/>
  <c r="Q54" i="19" s="1"/>
  <c r="O52" i="21"/>
  <c r="Q52" i="21" s="1"/>
  <c r="Q55" i="21" s="1"/>
  <c r="O51" i="21"/>
  <c r="Q51" i="21" s="1"/>
  <c r="Q54" i="21" s="1"/>
  <c r="O52" i="27"/>
  <c r="Q52" i="27" s="1"/>
  <c r="Q55" i="27" s="1"/>
  <c r="O51" i="27"/>
  <c r="Q51" i="27" s="1"/>
  <c r="Q54" i="27" s="1"/>
  <c r="O52" i="36"/>
  <c r="Q52" i="36" s="1"/>
  <c r="O51" i="36"/>
  <c r="Q51" i="36" s="1"/>
  <c r="O52" i="37"/>
  <c r="Q52" i="37" s="1"/>
  <c r="Q55" i="37" s="1"/>
  <c r="O51" i="37"/>
  <c r="Q51" i="37" s="1"/>
  <c r="Q54" i="37" s="1"/>
  <c r="O54" i="15"/>
  <c r="Q54" i="15" s="1"/>
  <c r="Q57" i="15" s="1"/>
  <c r="O52" i="32"/>
  <c r="Q52" i="32" s="1"/>
  <c r="Q55" i="32" s="1"/>
  <c r="O51" i="32"/>
  <c r="Q51" i="32" s="1"/>
  <c r="Q54" i="32" s="1"/>
  <c r="O52" i="23"/>
  <c r="Q52" i="23" s="1"/>
  <c r="Q55" i="23" s="1"/>
  <c r="O51" i="23"/>
  <c r="Q51" i="23" s="1"/>
  <c r="Q54" i="23" s="1"/>
  <c r="O52" i="30"/>
  <c r="Q52" i="30" s="1"/>
  <c r="Q55" i="30" s="1"/>
  <c r="O51" i="30"/>
  <c r="Q51" i="30" s="1"/>
  <c r="Q54" i="30" s="1"/>
  <c r="O52" i="25"/>
  <c r="Q52" i="25" s="1"/>
  <c r="Q55" i="25" s="1"/>
  <c r="O51" i="25"/>
  <c r="Q51" i="25" s="1"/>
  <c r="Q54" i="25" s="1"/>
  <c r="K52" i="23"/>
  <c r="M52" i="23" s="1"/>
  <c r="M55" i="23" s="1"/>
  <c r="K51" i="23"/>
  <c r="M51" i="23" s="1"/>
  <c r="M54" i="23" s="1"/>
  <c r="K52" i="31"/>
  <c r="M52" i="31" s="1"/>
  <c r="M55" i="31" s="1"/>
  <c r="K51" i="31"/>
  <c r="M51" i="31" s="1"/>
  <c r="M54" i="31" s="1"/>
  <c r="K52" i="20"/>
  <c r="M52" i="20" s="1"/>
  <c r="M55" i="20" s="1"/>
  <c r="K51" i="20"/>
  <c r="M51" i="20" s="1"/>
  <c r="M54" i="20" s="1"/>
  <c r="K54" i="15"/>
  <c r="M54" i="15" s="1"/>
  <c r="M57" i="15" s="1"/>
  <c r="K53" i="15"/>
  <c r="M53" i="15" s="1"/>
  <c r="M56" i="15" s="1"/>
  <c r="K52" i="30"/>
  <c r="M52" i="30" s="1"/>
  <c r="M55" i="30" s="1"/>
  <c r="K51" i="30"/>
  <c r="M51" i="30" s="1"/>
  <c r="M54" i="30" s="1"/>
  <c r="K52" i="38"/>
  <c r="M52" i="38" s="1"/>
  <c r="M55" i="38" s="1"/>
  <c r="K51" i="38"/>
  <c r="M51" i="38" s="1"/>
  <c r="M54" i="38" s="1"/>
  <c r="K52" i="26"/>
  <c r="M52" i="26" s="1"/>
  <c r="M55" i="26" s="1"/>
  <c r="K51" i="26"/>
  <c r="M51" i="26" s="1"/>
  <c r="M54" i="26" s="1"/>
  <c r="K52" i="22"/>
  <c r="M52" i="22" s="1"/>
  <c r="M55" i="22" s="1"/>
  <c r="K51" i="22"/>
  <c r="M51" i="22" s="1"/>
  <c r="M54" i="22" s="1"/>
  <c r="M56" i="22" s="1"/>
  <c r="K52" i="28"/>
  <c r="M52" i="28" s="1"/>
  <c r="M55" i="28" s="1"/>
  <c r="K51" i="28"/>
  <c r="M51" i="28" s="1"/>
  <c r="M54" i="28" s="1"/>
  <c r="K52" i="24"/>
  <c r="M52" i="24" s="1"/>
  <c r="M55" i="24" s="1"/>
  <c r="K51" i="24"/>
  <c r="M51" i="24" s="1"/>
  <c r="M54" i="24" s="1"/>
  <c r="K52" i="25"/>
  <c r="M52" i="25" s="1"/>
  <c r="M55" i="25" s="1"/>
  <c r="K51" i="25"/>
  <c r="M51" i="25" s="1"/>
  <c r="M54" i="25" s="1"/>
  <c r="K52" i="37"/>
  <c r="M52" i="37" s="1"/>
  <c r="M55" i="37" s="1"/>
  <c r="K51" i="37"/>
  <c r="M51" i="37" s="1"/>
  <c r="M54" i="37" s="1"/>
  <c r="K52" i="39"/>
  <c r="M52" i="39" s="1"/>
  <c r="M55" i="39" s="1"/>
  <c r="K51" i="39"/>
  <c r="M51" i="39" s="1"/>
  <c r="M54" i="39" s="1"/>
  <c r="K51" i="36"/>
  <c r="M51" i="36" s="1"/>
  <c r="K52" i="21"/>
  <c r="M52" i="21" s="1"/>
  <c r="M55" i="21" s="1"/>
  <c r="K51" i="21"/>
  <c r="M51" i="21" s="1"/>
  <c r="M54" i="21" s="1"/>
  <c r="K52" i="27"/>
  <c r="M52" i="27" s="1"/>
  <c r="M55" i="27" s="1"/>
  <c r="K51" i="27"/>
  <c r="M51" i="27" s="1"/>
  <c r="M54" i="27" s="1"/>
  <c r="G52" i="30"/>
  <c r="I52" i="30" s="1"/>
  <c r="I55" i="30" s="1"/>
  <c r="G51" i="30"/>
  <c r="I51" i="30" s="1"/>
  <c r="I54" i="30" s="1"/>
  <c r="G52" i="22"/>
  <c r="I52" i="22" s="1"/>
  <c r="I55" i="22" s="1"/>
  <c r="G51" i="22"/>
  <c r="I51" i="22" s="1"/>
  <c r="I54" i="22" s="1"/>
  <c r="G52" i="25"/>
  <c r="I52" i="25" s="1"/>
  <c r="I55" i="25" s="1"/>
  <c r="G51" i="25"/>
  <c r="I51" i="25" s="1"/>
  <c r="I54" i="25" s="1"/>
  <c r="G52" i="37"/>
  <c r="I52" i="37" s="1"/>
  <c r="I55" i="37" s="1"/>
  <c r="G51" i="37"/>
  <c r="I51" i="37" s="1"/>
  <c r="I54" i="37" s="1"/>
  <c r="G52" i="20"/>
  <c r="I52" i="20" s="1"/>
  <c r="I55" i="20" s="1"/>
  <c r="G51" i="20"/>
  <c r="I51" i="20" s="1"/>
  <c r="I54" i="20" s="1"/>
  <c r="G52" i="38"/>
  <c r="I52" i="38" s="1"/>
  <c r="I55" i="38" s="1"/>
  <c r="G51" i="38"/>
  <c r="I51" i="38" s="1"/>
  <c r="I54" i="38" s="1"/>
  <c r="G52" i="23"/>
  <c r="I52" i="23" s="1"/>
  <c r="I55" i="23" s="1"/>
  <c r="G51" i="23"/>
  <c r="I51" i="23" s="1"/>
  <c r="I54" i="23" s="1"/>
  <c r="G52" i="21"/>
  <c r="I52" i="21" s="1"/>
  <c r="I55" i="21" s="1"/>
  <c r="G51" i="21"/>
  <c r="I51" i="21" s="1"/>
  <c r="I54" i="21" s="1"/>
  <c r="G52" i="27"/>
  <c r="I52" i="27" s="1"/>
  <c r="I55" i="27" s="1"/>
  <c r="G51" i="27"/>
  <c r="I51" i="27" s="1"/>
  <c r="I54" i="27" s="1"/>
  <c r="G52" i="32"/>
  <c r="I52" i="32" s="1"/>
  <c r="I55" i="32" s="1"/>
  <c r="G51" i="32"/>
  <c r="I51" i="32" s="1"/>
  <c r="I54" i="32" s="1"/>
  <c r="G54" i="15"/>
  <c r="I54" i="15" s="1"/>
  <c r="I57" i="15" s="1"/>
  <c r="G53" i="15"/>
  <c r="I53" i="15" s="1"/>
  <c r="I56" i="15" s="1"/>
  <c r="G52" i="39"/>
  <c r="I52" i="39" s="1"/>
  <c r="I55" i="39" s="1"/>
  <c r="G51" i="39"/>
  <c r="I51" i="39" s="1"/>
  <c r="I54" i="39" s="1"/>
  <c r="G52" i="36"/>
  <c r="I52" i="36" s="1"/>
  <c r="G51" i="36"/>
  <c r="I51" i="36" s="1"/>
  <c r="G52" i="19"/>
  <c r="I52" i="19" s="1"/>
  <c r="I55" i="19" s="1"/>
  <c r="G51" i="19"/>
  <c r="I51" i="19" s="1"/>
  <c r="I54" i="19" s="1"/>
  <c r="G52" i="31"/>
  <c r="I52" i="31" s="1"/>
  <c r="I55" i="31" s="1"/>
  <c r="G51" i="31"/>
  <c r="I51" i="31" s="1"/>
  <c r="I54" i="31" s="1"/>
  <c r="G52" i="26"/>
  <c r="I52" i="26" s="1"/>
  <c r="I55" i="26" s="1"/>
  <c r="G51" i="26"/>
  <c r="I51" i="26" s="1"/>
  <c r="I54" i="26" s="1"/>
  <c r="O52" i="38"/>
  <c r="Q52" i="38" s="1"/>
  <c r="Q55" i="38" s="1"/>
  <c r="C51" i="39"/>
  <c r="E51" i="39" s="1"/>
  <c r="E54" i="39" s="1"/>
  <c r="O38" i="39"/>
  <c r="Q38" i="39" s="1"/>
  <c r="Q41" i="39" s="1"/>
  <c r="C51" i="37"/>
  <c r="E51" i="37" s="1"/>
  <c r="E54" i="37" s="1"/>
  <c r="O64" i="37"/>
  <c r="Q64" i="37" s="1"/>
  <c r="Q67" i="37" s="1"/>
  <c r="M27" i="10"/>
  <c r="M35" i="10" s="1"/>
  <c r="C50" i="32"/>
  <c r="E50" i="32" s="1"/>
  <c r="E53" i="32" s="1"/>
  <c r="C52" i="31"/>
  <c r="E52" i="31" s="1"/>
  <c r="E55" i="31" s="1"/>
  <c r="O66" i="31"/>
  <c r="Q66" i="31" s="1"/>
  <c r="Q69" i="31" s="1"/>
  <c r="C52" i="30"/>
  <c r="E52" i="30" s="1"/>
  <c r="E55" i="30" s="1"/>
  <c r="C52" i="28"/>
  <c r="E52" i="28" s="1"/>
  <c r="E55" i="28" s="1"/>
  <c r="O52" i="28"/>
  <c r="Q52" i="28" s="1"/>
  <c r="Q55" i="28" s="1"/>
  <c r="Q56" i="28" s="1"/>
  <c r="C52" i="27"/>
  <c r="E52" i="27" s="1"/>
  <c r="E55" i="27" s="1"/>
  <c r="C51" i="26"/>
  <c r="E51" i="26" s="1"/>
  <c r="E54" i="26" s="1"/>
  <c r="C51" i="25"/>
  <c r="E51" i="25" s="1"/>
  <c r="E54" i="25" s="1"/>
  <c r="C51" i="22"/>
  <c r="E51" i="22" s="1"/>
  <c r="E54" i="22" s="1"/>
  <c r="C51" i="21"/>
  <c r="E51" i="21" s="1"/>
  <c r="E54" i="21" s="1"/>
  <c r="C50" i="20"/>
  <c r="E50" i="20" s="1"/>
  <c r="E53" i="20" s="1"/>
  <c r="C52" i="15"/>
  <c r="E52" i="15" s="1"/>
  <c r="E55" i="15" s="1"/>
  <c r="O66" i="25"/>
  <c r="Q66" i="25" s="1"/>
  <c r="Q69" i="25" s="1"/>
  <c r="O59" i="23"/>
  <c r="O59" i="22"/>
  <c r="O38" i="28"/>
  <c r="Q38" i="28" s="1"/>
  <c r="Q41" i="28" s="1"/>
  <c r="O64" i="28"/>
  <c r="Q64" i="28" s="1"/>
  <c r="Q67" i="28" s="1"/>
  <c r="O38" i="24"/>
  <c r="Q38" i="24" s="1"/>
  <c r="Q41" i="24" s="1"/>
  <c r="O66" i="24"/>
  <c r="Q66" i="24" s="1"/>
  <c r="Q69" i="24" s="1"/>
  <c r="O64" i="23"/>
  <c r="Q64" i="23" s="1"/>
  <c r="Q67" i="23" s="1"/>
  <c r="O36" i="22"/>
  <c r="Q36" i="22" s="1"/>
  <c r="Q39" i="22" s="1"/>
  <c r="O64" i="22"/>
  <c r="Q64" i="22" s="1"/>
  <c r="Q67" i="22" s="1"/>
  <c r="F30" i="1"/>
  <c r="G30" i="1" s="1"/>
  <c r="F26" i="1"/>
  <c r="G26" i="1" s="1"/>
  <c r="F24" i="1"/>
  <c r="G24" i="1" s="1"/>
  <c r="F19" i="1"/>
  <c r="G19" i="1" s="1"/>
  <c r="F18" i="1"/>
  <c r="G18" i="1" s="1"/>
  <c r="F17" i="1"/>
  <c r="G17" i="1" s="1"/>
  <c r="O31" i="21"/>
  <c r="O45" i="21" s="1"/>
  <c r="K31" i="21"/>
  <c r="K45" i="21" s="1"/>
  <c r="G31" i="21"/>
  <c r="G45" i="21" s="1"/>
  <c r="C31" i="21"/>
  <c r="C45" i="21" s="1"/>
  <c r="O63" i="21"/>
  <c r="Q63" i="21" s="1"/>
  <c r="O35" i="21"/>
  <c r="Q35" i="21" s="1"/>
  <c r="C31" i="20"/>
  <c r="C45" i="20" s="1"/>
  <c r="O63" i="20"/>
  <c r="Q63" i="20" s="1"/>
  <c r="O35" i="20"/>
  <c r="Q35" i="20" s="1"/>
  <c r="O31" i="20"/>
  <c r="O45" i="20" s="1"/>
  <c r="K31" i="19"/>
  <c r="K45" i="19" s="1"/>
  <c r="G31" i="19"/>
  <c r="G45" i="19" s="1"/>
  <c r="C31" i="19"/>
  <c r="C45" i="19" s="1"/>
  <c r="O63" i="19"/>
  <c r="Q63" i="19" s="1"/>
  <c r="O35" i="19"/>
  <c r="Q35" i="19" s="1"/>
  <c r="O31" i="19"/>
  <c r="O45" i="19" s="1"/>
  <c r="C61" i="15"/>
  <c r="C33" i="15"/>
  <c r="C47" i="15" s="1"/>
  <c r="O65" i="15"/>
  <c r="Q65" i="15" s="1"/>
  <c r="O37" i="15"/>
  <c r="Q37" i="15" s="1"/>
  <c r="O33" i="15"/>
  <c r="P367" i="41"/>
  <c r="L367" i="41"/>
  <c r="H367" i="41"/>
  <c r="D367" i="41"/>
  <c r="P346" i="41"/>
  <c r="L346" i="41"/>
  <c r="H346" i="41"/>
  <c r="D346" i="41"/>
  <c r="P325" i="41"/>
  <c r="L325" i="41"/>
  <c r="H325" i="41"/>
  <c r="D325" i="41"/>
  <c r="P304" i="41"/>
  <c r="L304" i="41"/>
  <c r="H304" i="41"/>
  <c r="D304" i="41"/>
  <c r="P283" i="41"/>
  <c r="L283" i="41"/>
  <c r="H283" i="41"/>
  <c r="D283" i="41"/>
  <c r="P262" i="41"/>
  <c r="L262" i="41"/>
  <c r="H262" i="41"/>
  <c r="D262" i="41"/>
  <c r="P241" i="41"/>
  <c r="L241" i="41"/>
  <c r="H241" i="41"/>
  <c r="D241" i="41"/>
  <c r="P220" i="41"/>
  <c r="L220" i="41"/>
  <c r="H220" i="41"/>
  <c r="D220" i="41"/>
  <c r="P199" i="41"/>
  <c r="L199" i="41"/>
  <c r="H199" i="41"/>
  <c r="D199" i="41"/>
  <c r="P178" i="41"/>
  <c r="L178" i="41"/>
  <c r="H178" i="41"/>
  <c r="D178" i="41"/>
  <c r="P157" i="41"/>
  <c r="L157" i="41"/>
  <c r="H157" i="41"/>
  <c r="D157" i="41"/>
  <c r="P136" i="41"/>
  <c r="L136" i="41"/>
  <c r="H136" i="41"/>
  <c r="D136" i="41"/>
  <c r="P115" i="41"/>
  <c r="L115" i="41"/>
  <c r="H115" i="41"/>
  <c r="D115" i="41"/>
  <c r="P94" i="41"/>
  <c r="L94" i="41"/>
  <c r="H94" i="41"/>
  <c r="D94" i="41"/>
  <c r="P73" i="41"/>
  <c r="L73" i="41"/>
  <c r="H73" i="41"/>
  <c r="D73" i="41"/>
  <c r="P52" i="41"/>
  <c r="L52" i="41"/>
  <c r="H52" i="41"/>
  <c r="D52" i="41"/>
  <c r="P31" i="41"/>
  <c r="L31" i="41"/>
  <c r="H31" i="41"/>
  <c r="D31" i="41"/>
  <c r="P385" i="41"/>
  <c r="O17" i="39" s="1"/>
  <c r="R384" i="41"/>
  <c r="R383" i="41"/>
  <c r="R382" i="41"/>
  <c r="R381" i="41"/>
  <c r="R380" i="41"/>
  <c r="R379" i="41"/>
  <c r="R378" i="41"/>
  <c r="R377" i="41"/>
  <c r="R376" i="41"/>
  <c r="R375" i="41"/>
  <c r="R374" i="41"/>
  <c r="R373" i="41"/>
  <c r="R372" i="41"/>
  <c r="R371" i="41"/>
  <c r="R370" i="41"/>
  <c r="P364" i="41"/>
  <c r="O17" i="38" s="1"/>
  <c r="R363" i="41"/>
  <c r="R362" i="41"/>
  <c r="R361" i="41"/>
  <c r="R360" i="41"/>
  <c r="R359" i="41"/>
  <c r="R358" i="41"/>
  <c r="R357" i="41"/>
  <c r="R356" i="41"/>
  <c r="R355" i="41"/>
  <c r="R354" i="41"/>
  <c r="R353" i="41"/>
  <c r="R352" i="41"/>
  <c r="R351" i="41"/>
  <c r="R350" i="41"/>
  <c r="R349" i="41"/>
  <c r="P343" i="41"/>
  <c r="O17" i="37" s="1"/>
  <c r="R342" i="41"/>
  <c r="R341" i="41"/>
  <c r="R340" i="41"/>
  <c r="R339" i="41"/>
  <c r="R338" i="41"/>
  <c r="R337" i="41"/>
  <c r="R336" i="41"/>
  <c r="R335" i="41"/>
  <c r="R334" i="41"/>
  <c r="R333" i="41"/>
  <c r="R332" i="41"/>
  <c r="R331" i="41"/>
  <c r="R330" i="41"/>
  <c r="R329" i="41"/>
  <c r="R328" i="41"/>
  <c r="P322" i="41"/>
  <c r="O17" i="36" s="1"/>
  <c r="O13" i="40" s="1"/>
  <c r="R321" i="41"/>
  <c r="R320" i="41"/>
  <c r="R319" i="41"/>
  <c r="R318" i="41"/>
  <c r="R317" i="41"/>
  <c r="R316" i="41"/>
  <c r="R315" i="41"/>
  <c r="R314" i="41"/>
  <c r="R313" i="41"/>
  <c r="R312" i="41"/>
  <c r="R311" i="41"/>
  <c r="R310" i="41"/>
  <c r="R309" i="41"/>
  <c r="R308" i="41"/>
  <c r="R307" i="41"/>
  <c r="P301" i="41"/>
  <c r="O17" i="32" s="1"/>
  <c r="R300" i="41"/>
  <c r="R299" i="41"/>
  <c r="R298" i="41"/>
  <c r="R297" i="41"/>
  <c r="R296" i="41"/>
  <c r="R295" i="41"/>
  <c r="R294" i="41"/>
  <c r="R293" i="41"/>
  <c r="R292" i="41"/>
  <c r="R291" i="41"/>
  <c r="R290" i="41"/>
  <c r="R289" i="41"/>
  <c r="R288" i="41"/>
  <c r="R287" i="41"/>
  <c r="R286" i="41"/>
  <c r="P280" i="41"/>
  <c r="O17" i="31" s="1"/>
  <c r="R279" i="41"/>
  <c r="R278" i="41"/>
  <c r="R277" i="41"/>
  <c r="R276" i="41"/>
  <c r="R275" i="41"/>
  <c r="R274" i="41"/>
  <c r="R273" i="41"/>
  <c r="R272" i="41"/>
  <c r="R271" i="41"/>
  <c r="R270" i="41"/>
  <c r="R269" i="41"/>
  <c r="R268" i="41"/>
  <c r="R267" i="41"/>
  <c r="R266" i="41"/>
  <c r="R265" i="41"/>
  <c r="P259" i="41"/>
  <c r="O17" i="30" s="1"/>
  <c r="R258" i="41"/>
  <c r="R257" i="41"/>
  <c r="R256" i="41"/>
  <c r="R255" i="41"/>
  <c r="R254" i="41"/>
  <c r="R253" i="41"/>
  <c r="R252" i="41"/>
  <c r="R251" i="41"/>
  <c r="R250" i="41"/>
  <c r="R249" i="41"/>
  <c r="R248" i="41"/>
  <c r="R247" i="41"/>
  <c r="R246" i="41"/>
  <c r="R245" i="41"/>
  <c r="R244" i="41"/>
  <c r="P238" i="41"/>
  <c r="O17" i="28" s="1"/>
  <c r="R237" i="41"/>
  <c r="R236" i="41"/>
  <c r="R235" i="41"/>
  <c r="R234" i="41"/>
  <c r="R233" i="41"/>
  <c r="R232" i="41"/>
  <c r="R231" i="41"/>
  <c r="R230" i="41"/>
  <c r="R229" i="41"/>
  <c r="R228" i="41"/>
  <c r="R227" i="41"/>
  <c r="R226" i="41"/>
  <c r="R225" i="41"/>
  <c r="R224" i="41"/>
  <c r="R223" i="41"/>
  <c r="P217" i="41"/>
  <c r="O17" i="27" s="1"/>
  <c r="R216" i="41"/>
  <c r="R215" i="41"/>
  <c r="R214" i="41"/>
  <c r="R213" i="41"/>
  <c r="R212" i="41"/>
  <c r="R211" i="41"/>
  <c r="R210" i="41"/>
  <c r="R209" i="41"/>
  <c r="R208" i="41"/>
  <c r="R207" i="41"/>
  <c r="R206" i="41"/>
  <c r="R205" i="41"/>
  <c r="R204" i="41"/>
  <c r="R203" i="41"/>
  <c r="R202" i="41"/>
  <c r="P196" i="41"/>
  <c r="O17" i="26" s="1"/>
  <c r="R195" i="41"/>
  <c r="R194" i="41"/>
  <c r="R193" i="41"/>
  <c r="R192" i="41"/>
  <c r="R191" i="41"/>
  <c r="R190" i="41"/>
  <c r="R189" i="41"/>
  <c r="R188" i="41"/>
  <c r="R187" i="41"/>
  <c r="R186" i="41"/>
  <c r="R185" i="41"/>
  <c r="R184" i="41"/>
  <c r="R183" i="41"/>
  <c r="R182" i="41"/>
  <c r="R181" i="41"/>
  <c r="P175" i="41"/>
  <c r="O17" i="25" s="1"/>
  <c r="R174" i="41"/>
  <c r="R173" i="41"/>
  <c r="R172" i="41"/>
  <c r="R171" i="41"/>
  <c r="R170" i="41"/>
  <c r="R169" i="41"/>
  <c r="R168" i="41"/>
  <c r="R167" i="41"/>
  <c r="R166" i="41"/>
  <c r="R165" i="41"/>
  <c r="R164" i="41"/>
  <c r="R163" i="41"/>
  <c r="R162" i="41"/>
  <c r="R161" i="41"/>
  <c r="R160" i="41"/>
  <c r="P154" i="41"/>
  <c r="O17" i="24" s="1"/>
  <c r="R153" i="41"/>
  <c r="R152" i="41"/>
  <c r="R151" i="41"/>
  <c r="R150" i="41"/>
  <c r="R149" i="41"/>
  <c r="R148" i="41"/>
  <c r="R147" i="41"/>
  <c r="R146" i="41"/>
  <c r="R145" i="41"/>
  <c r="R144" i="41"/>
  <c r="R143" i="41"/>
  <c r="R142" i="41"/>
  <c r="R141" i="41"/>
  <c r="R140" i="41"/>
  <c r="R139" i="41"/>
  <c r="P133" i="41"/>
  <c r="O17" i="23" s="1"/>
  <c r="R132" i="41"/>
  <c r="R131" i="41"/>
  <c r="R130" i="41"/>
  <c r="R129" i="41"/>
  <c r="R128" i="41"/>
  <c r="R127" i="41"/>
  <c r="R126" i="41"/>
  <c r="R125" i="41"/>
  <c r="R124" i="41"/>
  <c r="R123" i="41"/>
  <c r="R122" i="41"/>
  <c r="R121" i="41"/>
  <c r="R120" i="41"/>
  <c r="R119" i="41"/>
  <c r="R118" i="41"/>
  <c r="P112" i="41"/>
  <c r="O17" i="22" s="1"/>
  <c r="R111" i="41"/>
  <c r="R110" i="41"/>
  <c r="R109" i="41"/>
  <c r="R108" i="41"/>
  <c r="R107" i="41"/>
  <c r="R106" i="41"/>
  <c r="R105" i="41"/>
  <c r="R104" i="41"/>
  <c r="R103" i="41"/>
  <c r="R102" i="41"/>
  <c r="R101" i="41"/>
  <c r="R100" i="41"/>
  <c r="R99" i="41"/>
  <c r="R98" i="41"/>
  <c r="R97" i="41"/>
  <c r="P91" i="41"/>
  <c r="R90" i="41"/>
  <c r="R89" i="41"/>
  <c r="R88" i="41"/>
  <c r="R87" i="41"/>
  <c r="R86" i="41"/>
  <c r="R85" i="41"/>
  <c r="R84" i="41"/>
  <c r="R83" i="41"/>
  <c r="R82" i="41"/>
  <c r="R81" i="41"/>
  <c r="R80" i="41"/>
  <c r="R79" i="41"/>
  <c r="R78" i="41"/>
  <c r="R77" i="41"/>
  <c r="R76" i="41"/>
  <c r="P70" i="41"/>
  <c r="O17" i="20" s="1"/>
  <c r="R69" i="41"/>
  <c r="R68" i="41"/>
  <c r="R67" i="41"/>
  <c r="R66" i="41"/>
  <c r="R65" i="41"/>
  <c r="R64" i="41"/>
  <c r="R63" i="41"/>
  <c r="R62" i="41"/>
  <c r="R61" i="41"/>
  <c r="R60" i="41"/>
  <c r="R59" i="41"/>
  <c r="R58" i="41"/>
  <c r="R57" i="41"/>
  <c r="R56" i="41"/>
  <c r="R55" i="41"/>
  <c r="P49" i="41"/>
  <c r="O17" i="19" s="1"/>
  <c r="R48" i="41"/>
  <c r="R47" i="41"/>
  <c r="R46" i="41"/>
  <c r="R45" i="41"/>
  <c r="R44" i="41"/>
  <c r="R43" i="41"/>
  <c r="R42" i="41"/>
  <c r="R41" i="41"/>
  <c r="R40" i="41"/>
  <c r="R39" i="41"/>
  <c r="R38" i="41"/>
  <c r="R37" i="41"/>
  <c r="R36" i="41"/>
  <c r="R35" i="41"/>
  <c r="R34" i="41"/>
  <c r="P28" i="41"/>
  <c r="O19" i="15" s="1"/>
  <c r="R27" i="41"/>
  <c r="R26" i="41"/>
  <c r="R25" i="41"/>
  <c r="R24" i="41"/>
  <c r="R23" i="41"/>
  <c r="R22" i="41"/>
  <c r="R21" i="41"/>
  <c r="R20" i="41"/>
  <c r="R19" i="41"/>
  <c r="R18" i="41"/>
  <c r="R17" i="41"/>
  <c r="R16" i="41"/>
  <c r="R15" i="41"/>
  <c r="R14" i="41"/>
  <c r="R13" i="41"/>
  <c r="N23" i="9"/>
  <c r="O20" i="9"/>
  <c r="AG20" i="9" s="1"/>
  <c r="AD25" i="1"/>
  <c r="N25" i="1"/>
  <c r="O25" i="1" s="1"/>
  <c r="AG25" i="1" s="1"/>
  <c r="C1" i="40"/>
  <c r="C1" i="39"/>
  <c r="C1" i="38"/>
  <c r="C1" i="37"/>
  <c r="C1" i="36"/>
  <c r="C1" i="34"/>
  <c r="C1" i="32"/>
  <c r="C1" i="31"/>
  <c r="C1" i="30"/>
  <c r="M56" i="29"/>
  <c r="I56" i="29"/>
  <c r="E56" i="29"/>
  <c r="M29" i="29"/>
  <c r="I29" i="29"/>
  <c r="E29" i="29"/>
  <c r="C1" i="29"/>
  <c r="C1" i="28"/>
  <c r="C1" i="27"/>
  <c r="C1" i="26"/>
  <c r="L385" i="41"/>
  <c r="K17" i="39" s="1"/>
  <c r="H385" i="41"/>
  <c r="G17" i="39" s="1"/>
  <c r="D385" i="41"/>
  <c r="C17" i="39" s="1"/>
  <c r="N384" i="41"/>
  <c r="J384" i="41"/>
  <c r="F384" i="41"/>
  <c r="N383" i="41"/>
  <c r="J383" i="41"/>
  <c r="F383" i="41"/>
  <c r="N382" i="41"/>
  <c r="J382" i="41"/>
  <c r="F382" i="41"/>
  <c r="N381" i="41"/>
  <c r="J381" i="41"/>
  <c r="F381" i="41"/>
  <c r="N380" i="41"/>
  <c r="J380" i="41"/>
  <c r="F380" i="41"/>
  <c r="N379" i="41"/>
  <c r="J379" i="41"/>
  <c r="F379" i="41"/>
  <c r="N378" i="41"/>
  <c r="J378" i="41"/>
  <c r="F378" i="41"/>
  <c r="N377" i="41"/>
  <c r="J377" i="41"/>
  <c r="F377" i="41"/>
  <c r="N376" i="41"/>
  <c r="J376" i="41"/>
  <c r="F376" i="41"/>
  <c r="N375" i="41"/>
  <c r="J375" i="41"/>
  <c r="F375" i="41"/>
  <c r="N374" i="41"/>
  <c r="J374" i="41"/>
  <c r="F374" i="41"/>
  <c r="N373" i="41"/>
  <c r="J373" i="41"/>
  <c r="F373" i="41"/>
  <c r="N372" i="41"/>
  <c r="J372" i="41"/>
  <c r="F372" i="41"/>
  <c r="N371" i="41"/>
  <c r="J371" i="41"/>
  <c r="F371" i="41"/>
  <c r="N370" i="41"/>
  <c r="J370" i="41"/>
  <c r="F370" i="41"/>
  <c r="L364" i="41"/>
  <c r="K17" i="38" s="1"/>
  <c r="H364" i="41"/>
  <c r="G17" i="38" s="1"/>
  <c r="D364" i="41"/>
  <c r="C17" i="38" s="1"/>
  <c r="N363" i="41"/>
  <c r="J363" i="41"/>
  <c r="F363" i="41"/>
  <c r="N362" i="41"/>
  <c r="J362" i="41"/>
  <c r="F362" i="41"/>
  <c r="N361" i="41"/>
  <c r="J361" i="41"/>
  <c r="F361" i="41"/>
  <c r="N360" i="41"/>
  <c r="J360" i="41"/>
  <c r="F360" i="41"/>
  <c r="N359" i="41"/>
  <c r="J359" i="41"/>
  <c r="F359" i="41"/>
  <c r="N358" i="41"/>
  <c r="J358" i="41"/>
  <c r="F358" i="41"/>
  <c r="N357" i="41"/>
  <c r="J357" i="41"/>
  <c r="F357" i="41"/>
  <c r="N356" i="41"/>
  <c r="J356" i="41"/>
  <c r="F356" i="41"/>
  <c r="N355" i="41"/>
  <c r="J355" i="41"/>
  <c r="F355" i="41"/>
  <c r="N354" i="41"/>
  <c r="J354" i="41"/>
  <c r="F354" i="41"/>
  <c r="N353" i="41"/>
  <c r="J353" i="41"/>
  <c r="F353" i="41"/>
  <c r="N352" i="41"/>
  <c r="J352" i="41"/>
  <c r="F352" i="41"/>
  <c r="N351" i="41"/>
  <c r="J351" i="41"/>
  <c r="F351" i="41"/>
  <c r="N350" i="41"/>
  <c r="J350" i="41"/>
  <c r="F350" i="41"/>
  <c r="N349" i="41"/>
  <c r="J349" i="41"/>
  <c r="F349" i="41"/>
  <c r="L343" i="41"/>
  <c r="K17" i="37" s="1"/>
  <c r="H343" i="41"/>
  <c r="G17" i="37" s="1"/>
  <c r="D343" i="41"/>
  <c r="C17" i="37" s="1"/>
  <c r="N342" i="41"/>
  <c r="J342" i="41"/>
  <c r="F342" i="41"/>
  <c r="N341" i="41"/>
  <c r="J341" i="41"/>
  <c r="F341" i="41"/>
  <c r="N340" i="41"/>
  <c r="J340" i="41"/>
  <c r="F340" i="41"/>
  <c r="N339" i="41"/>
  <c r="J339" i="41"/>
  <c r="F339" i="41"/>
  <c r="N338" i="41"/>
  <c r="J338" i="41"/>
  <c r="F338" i="41"/>
  <c r="N337" i="41"/>
  <c r="J337" i="41"/>
  <c r="F337" i="41"/>
  <c r="N336" i="41"/>
  <c r="J336" i="41"/>
  <c r="F336" i="41"/>
  <c r="N335" i="41"/>
  <c r="J335" i="41"/>
  <c r="F335" i="41"/>
  <c r="N334" i="41"/>
  <c r="J334" i="41"/>
  <c r="F334" i="41"/>
  <c r="N333" i="41"/>
  <c r="J333" i="41"/>
  <c r="F333" i="41"/>
  <c r="N332" i="41"/>
  <c r="J332" i="41"/>
  <c r="F332" i="41"/>
  <c r="N331" i="41"/>
  <c r="J331" i="41"/>
  <c r="F331" i="41"/>
  <c r="N330" i="41"/>
  <c r="J330" i="41"/>
  <c r="F330" i="41"/>
  <c r="N329" i="41"/>
  <c r="J329" i="41"/>
  <c r="F329" i="41"/>
  <c r="N328" i="41"/>
  <c r="J328" i="41"/>
  <c r="F328" i="41"/>
  <c r="L322" i="41"/>
  <c r="K17" i="36" s="1"/>
  <c r="H322" i="41"/>
  <c r="G17" i="36" s="1"/>
  <c r="D322" i="41"/>
  <c r="C17" i="36" s="1"/>
  <c r="N321" i="41"/>
  <c r="J321" i="41"/>
  <c r="F321" i="41"/>
  <c r="N320" i="41"/>
  <c r="J320" i="41"/>
  <c r="F320" i="41"/>
  <c r="N319" i="41"/>
  <c r="J319" i="41"/>
  <c r="F319" i="41"/>
  <c r="N318" i="41"/>
  <c r="J318" i="41"/>
  <c r="F318" i="41"/>
  <c r="N317" i="41"/>
  <c r="J317" i="41"/>
  <c r="F317" i="41"/>
  <c r="N316" i="41"/>
  <c r="J316" i="41"/>
  <c r="F316" i="41"/>
  <c r="N315" i="41"/>
  <c r="J315" i="41"/>
  <c r="F315" i="41"/>
  <c r="N314" i="41"/>
  <c r="J314" i="41"/>
  <c r="F314" i="41"/>
  <c r="N313" i="41"/>
  <c r="J313" i="41"/>
  <c r="F313" i="41"/>
  <c r="N312" i="41"/>
  <c r="J312" i="41"/>
  <c r="F312" i="41"/>
  <c r="N311" i="41"/>
  <c r="J311" i="41"/>
  <c r="F311" i="41"/>
  <c r="N310" i="41"/>
  <c r="J310" i="41"/>
  <c r="F310" i="41"/>
  <c r="N309" i="41"/>
  <c r="J309" i="41"/>
  <c r="F309" i="41"/>
  <c r="N308" i="41"/>
  <c r="J308" i="41"/>
  <c r="F308" i="41"/>
  <c r="N307" i="41"/>
  <c r="J307" i="41"/>
  <c r="F307" i="41"/>
  <c r="L301" i="41"/>
  <c r="K17" i="32" s="1"/>
  <c r="H301" i="41"/>
  <c r="G17" i="32" s="1"/>
  <c r="D301" i="41"/>
  <c r="C17" i="32" s="1"/>
  <c r="N300" i="41"/>
  <c r="J300" i="41"/>
  <c r="F300" i="41"/>
  <c r="N299" i="41"/>
  <c r="J299" i="41"/>
  <c r="F299" i="41"/>
  <c r="N298" i="41"/>
  <c r="J298" i="41"/>
  <c r="F298" i="41"/>
  <c r="N297" i="41"/>
  <c r="J297" i="41"/>
  <c r="F297" i="41"/>
  <c r="N296" i="41"/>
  <c r="J296" i="41"/>
  <c r="F296" i="41"/>
  <c r="N295" i="41"/>
  <c r="J295" i="41"/>
  <c r="F295" i="41"/>
  <c r="N294" i="41"/>
  <c r="J294" i="41"/>
  <c r="F294" i="41"/>
  <c r="N293" i="41"/>
  <c r="J293" i="41"/>
  <c r="F293" i="41"/>
  <c r="N292" i="41"/>
  <c r="J292" i="41"/>
  <c r="F292" i="41"/>
  <c r="N291" i="41"/>
  <c r="J291" i="41"/>
  <c r="F291" i="41"/>
  <c r="N290" i="41"/>
  <c r="J290" i="41"/>
  <c r="F290" i="41"/>
  <c r="N289" i="41"/>
  <c r="J289" i="41"/>
  <c r="F289" i="41"/>
  <c r="N288" i="41"/>
  <c r="J288" i="41"/>
  <c r="F288" i="41"/>
  <c r="N287" i="41"/>
  <c r="J287" i="41"/>
  <c r="F287" i="41"/>
  <c r="N286" i="41"/>
  <c r="J286" i="41"/>
  <c r="F286" i="41"/>
  <c r="L280" i="41"/>
  <c r="K17" i="31" s="1"/>
  <c r="H280" i="41"/>
  <c r="G17" i="31" s="1"/>
  <c r="D280" i="41"/>
  <c r="C17" i="31" s="1"/>
  <c r="N279" i="41"/>
  <c r="J279" i="41"/>
  <c r="F279" i="41"/>
  <c r="N278" i="41"/>
  <c r="J278" i="41"/>
  <c r="F278" i="41"/>
  <c r="N277" i="41"/>
  <c r="J277" i="41"/>
  <c r="F277" i="41"/>
  <c r="N276" i="41"/>
  <c r="J276" i="41"/>
  <c r="F276" i="41"/>
  <c r="N275" i="41"/>
  <c r="J275" i="41"/>
  <c r="F275" i="41"/>
  <c r="N274" i="41"/>
  <c r="J274" i="41"/>
  <c r="F274" i="41"/>
  <c r="N273" i="41"/>
  <c r="J273" i="41"/>
  <c r="F273" i="41"/>
  <c r="N272" i="41"/>
  <c r="J272" i="41"/>
  <c r="F272" i="41"/>
  <c r="N271" i="41"/>
  <c r="J271" i="41"/>
  <c r="F271" i="41"/>
  <c r="N270" i="41"/>
  <c r="J270" i="41"/>
  <c r="F270" i="41"/>
  <c r="N269" i="41"/>
  <c r="J269" i="41"/>
  <c r="F269" i="41"/>
  <c r="N268" i="41"/>
  <c r="J268" i="41"/>
  <c r="F268" i="41"/>
  <c r="N267" i="41"/>
  <c r="J267" i="41"/>
  <c r="F267" i="41"/>
  <c r="N266" i="41"/>
  <c r="J266" i="41"/>
  <c r="F266" i="41"/>
  <c r="N265" i="41"/>
  <c r="J265" i="41"/>
  <c r="F265" i="41"/>
  <c r="L259" i="41"/>
  <c r="K17" i="30" s="1"/>
  <c r="H259" i="41"/>
  <c r="G17" i="30" s="1"/>
  <c r="D259" i="41"/>
  <c r="C17" i="30" s="1"/>
  <c r="N258" i="41"/>
  <c r="J258" i="41"/>
  <c r="F258" i="41"/>
  <c r="N257" i="41"/>
  <c r="J257" i="41"/>
  <c r="F257" i="41"/>
  <c r="N256" i="41"/>
  <c r="J256" i="41"/>
  <c r="F256" i="41"/>
  <c r="N255" i="41"/>
  <c r="J255" i="41"/>
  <c r="F255" i="41"/>
  <c r="N254" i="41"/>
  <c r="J254" i="41"/>
  <c r="F254" i="41"/>
  <c r="N253" i="41"/>
  <c r="J253" i="41"/>
  <c r="F253" i="41"/>
  <c r="N252" i="41"/>
  <c r="J252" i="41"/>
  <c r="F252" i="41"/>
  <c r="N251" i="41"/>
  <c r="J251" i="41"/>
  <c r="F251" i="41"/>
  <c r="N250" i="41"/>
  <c r="J250" i="41"/>
  <c r="F250" i="41"/>
  <c r="N249" i="41"/>
  <c r="J249" i="41"/>
  <c r="F249" i="41"/>
  <c r="N248" i="41"/>
  <c r="J248" i="41"/>
  <c r="F248" i="41"/>
  <c r="N247" i="41"/>
  <c r="J247" i="41"/>
  <c r="F247" i="41"/>
  <c r="N246" i="41"/>
  <c r="J246" i="41"/>
  <c r="F246" i="41"/>
  <c r="N245" i="41"/>
  <c r="J245" i="41"/>
  <c r="F245" i="41"/>
  <c r="N244" i="41"/>
  <c r="J244" i="41"/>
  <c r="F244" i="41"/>
  <c r="L238" i="41"/>
  <c r="K17" i="28" s="1"/>
  <c r="H238" i="41"/>
  <c r="G17" i="28" s="1"/>
  <c r="D238" i="41"/>
  <c r="C17" i="28" s="1"/>
  <c r="N237" i="41"/>
  <c r="J237" i="41"/>
  <c r="F237" i="41"/>
  <c r="N236" i="41"/>
  <c r="J236" i="41"/>
  <c r="F236" i="41"/>
  <c r="N235" i="41"/>
  <c r="J235" i="41"/>
  <c r="F235" i="41"/>
  <c r="N234" i="41"/>
  <c r="J234" i="41"/>
  <c r="F234" i="41"/>
  <c r="N233" i="41"/>
  <c r="J233" i="41"/>
  <c r="F233" i="41"/>
  <c r="N232" i="41"/>
  <c r="J232" i="41"/>
  <c r="F232" i="41"/>
  <c r="N231" i="41"/>
  <c r="J231" i="41"/>
  <c r="F231" i="41"/>
  <c r="N230" i="41"/>
  <c r="J230" i="41"/>
  <c r="F230" i="41"/>
  <c r="N229" i="41"/>
  <c r="J229" i="41"/>
  <c r="F229" i="41"/>
  <c r="N228" i="41"/>
  <c r="J228" i="41"/>
  <c r="F228" i="41"/>
  <c r="N227" i="41"/>
  <c r="J227" i="41"/>
  <c r="F227" i="41"/>
  <c r="N226" i="41"/>
  <c r="J226" i="41"/>
  <c r="F226" i="41"/>
  <c r="N225" i="41"/>
  <c r="J225" i="41"/>
  <c r="F225" i="41"/>
  <c r="N224" i="41"/>
  <c r="J224" i="41"/>
  <c r="F224" i="41"/>
  <c r="N223" i="41"/>
  <c r="J223" i="41"/>
  <c r="F223" i="41"/>
  <c r="L217" i="41"/>
  <c r="K17" i="27" s="1"/>
  <c r="H217" i="41"/>
  <c r="G17" i="27" s="1"/>
  <c r="D217" i="41"/>
  <c r="C17" i="27" s="1"/>
  <c r="N216" i="41"/>
  <c r="J216" i="41"/>
  <c r="F216" i="41"/>
  <c r="N215" i="41"/>
  <c r="J215" i="41"/>
  <c r="F215" i="41"/>
  <c r="N214" i="41"/>
  <c r="J214" i="41"/>
  <c r="F214" i="41"/>
  <c r="N213" i="41"/>
  <c r="J213" i="41"/>
  <c r="F213" i="41"/>
  <c r="N212" i="41"/>
  <c r="J212" i="41"/>
  <c r="F212" i="41"/>
  <c r="N211" i="41"/>
  <c r="J211" i="41"/>
  <c r="F211" i="41"/>
  <c r="N210" i="41"/>
  <c r="J210" i="41"/>
  <c r="F210" i="41"/>
  <c r="N209" i="41"/>
  <c r="J209" i="41"/>
  <c r="F209" i="41"/>
  <c r="N208" i="41"/>
  <c r="J208" i="41"/>
  <c r="F208" i="41"/>
  <c r="N207" i="41"/>
  <c r="J207" i="41"/>
  <c r="F207" i="41"/>
  <c r="N206" i="41"/>
  <c r="J206" i="41"/>
  <c r="F206" i="41"/>
  <c r="N205" i="41"/>
  <c r="J205" i="41"/>
  <c r="F205" i="41"/>
  <c r="N204" i="41"/>
  <c r="J204" i="41"/>
  <c r="F204" i="41"/>
  <c r="N203" i="41"/>
  <c r="J203" i="41"/>
  <c r="F203" i="41"/>
  <c r="N202" i="41"/>
  <c r="J202" i="41"/>
  <c r="F202" i="41"/>
  <c r="L196" i="41"/>
  <c r="K17" i="26" s="1"/>
  <c r="H196" i="41"/>
  <c r="G17" i="26" s="1"/>
  <c r="D196" i="41"/>
  <c r="C17" i="26" s="1"/>
  <c r="N195" i="41"/>
  <c r="J195" i="41"/>
  <c r="F195" i="41"/>
  <c r="N194" i="41"/>
  <c r="J194" i="41"/>
  <c r="F194" i="41"/>
  <c r="N193" i="41"/>
  <c r="J193" i="41"/>
  <c r="F193" i="41"/>
  <c r="N192" i="41"/>
  <c r="J192" i="41"/>
  <c r="F192" i="41"/>
  <c r="N191" i="41"/>
  <c r="J191" i="41"/>
  <c r="F191" i="41"/>
  <c r="N190" i="41"/>
  <c r="J190" i="41"/>
  <c r="F190" i="41"/>
  <c r="N189" i="41"/>
  <c r="J189" i="41"/>
  <c r="F189" i="41"/>
  <c r="N188" i="41"/>
  <c r="J188" i="41"/>
  <c r="F188" i="41"/>
  <c r="N187" i="41"/>
  <c r="J187" i="41"/>
  <c r="F187" i="41"/>
  <c r="N186" i="41"/>
  <c r="J186" i="41"/>
  <c r="F186" i="41"/>
  <c r="N185" i="41"/>
  <c r="J185" i="41"/>
  <c r="F185" i="41"/>
  <c r="N184" i="41"/>
  <c r="J184" i="41"/>
  <c r="F184" i="41"/>
  <c r="N183" i="41"/>
  <c r="J183" i="41"/>
  <c r="F183" i="41"/>
  <c r="N182" i="41"/>
  <c r="J182" i="41"/>
  <c r="F182" i="41"/>
  <c r="N181" i="41"/>
  <c r="J181" i="41"/>
  <c r="F181" i="41"/>
  <c r="L175" i="41"/>
  <c r="K17" i="25" s="1"/>
  <c r="H175" i="41"/>
  <c r="G17" i="25" s="1"/>
  <c r="D175" i="41"/>
  <c r="C17" i="25" s="1"/>
  <c r="N174" i="41"/>
  <c r="J174" i="41"/>
  <c r="F174" i="41"/>
  <c r="N173" i="41"/>
  <c r="J173" i="41"/>
  <c r="F173" i="41"/>
  <c r="N172" i="41"/>
  <c r="J172" i="41"/>
  <c r="F172" i="41"/>
  <c r="N171" i="41"/>
  <c r="J171" i="41"/>
  <c r="F171" i="41"/>
  <c r="N170" i="41"/>
  <c r="J170" i="41"/>
  <c r="F170" i="41"/>
  <c r="N169" i="41"/>
  <c r="J169" i="41"/>
  <c r="F169" i="41"/>
  <c r="N168" i="41"/>
  <c r="J168" i="41"/>
  <c r="F168" i="41"/>
  <c r="N167" i="41"/>
  <c r="J167" i="41"/>
  <c r="F167" i="41"/>
  <c r="N166" i="41"/>
  <c r="J166" i="41"/>
  <c r="F166" i="41"/>
  <c r="N165" i="41"/>
  <c r="J165" i="41"/>
  <c r="F165" i="41"/>
  <c r="N164" i="41"/>
  <c r="J164" i="41"/>
  <c r="F164" i="41"/>
  <c r="N163" i="41"/>
  <c r="J163" i="41"/>
  <c r="F163" i="41"/>
  <c r="N162" i="41"/>
  <c r="J162" i="41"/>
  <c r="F162" i="41"/>
  <c r="N161" i="41"/>
  <c r="J161" i="41"/>
  <c r="F161" i="41"/>
  <c r="N160" i="41"/>
  <c r="J160" i="41"/>
  <c r="F160" i="41"/>
  <c r="L154" i="41"/>
  <c r="K17" i="24" s="1"/>
  <c r="H154" i="41"/>
  <c r="G17" i="24" s="1"/>
  <c r="D154" i="41"/>
  <c r="C17" i="24" s="1"/>
  <c r="N153" i="41"/>
  <c r="J153" i="41"/>
  <c r="F153" i="41"/>
  <c r="N152" i="41"/>
  <c r="J152" i="41"/>
  <c r="F152" i="41"/>
  <c r="N151" i="41"/>
  <c r="J151" i="41"/>
  <c r="F151" i="41"/>
  <c r="N150" i="41"/>
  <c r="J150" i="41"/>
  <c r="F150" i="41"/>
  <c r="N149" i="41"/>
  <c r="J149" i="41"/>
  <c r="F149" i="41"/>
  <c r="N148" i="41"/>
  <c r="J148" i="41"/>
  <c r="F148" i="41"/>
  <c r="N147" i="41"/>
  <c r="J147" i="41"/>
  <c r="F147" i="41"/>
  <c r="N146" i="41"/>
  <c r="J146" i="41"/>
  <c r="F146" i="41"/>
  <c r="N145" i="41"/>
  <c r="J145" i="41"/>
  <c r="F145" i="41"/>
  <c r="N144" i="41"/>
  <c r="J144" i="41"/>
  <c r="F144" i="41"/>
  <c r="N143" i="41"/>
  <c r="J143" i="41"/>
  <c r="F143" i="41"/>
  <c r="N142" i="41"/>
  <c r="J142" i="41"/>
  <c r="F142" i="41"/>
  <c r="N141" i="41"/>
  <c r="J141" i="41"/>
  <c r="F141" i="41"/>
  <c r="N140" i="41"/>
  <c r="J140" i="41"/>
  <c r="F140" i="41"/>
  <c r="N139" i="41"/>
  <c r="J139" i="41"/>
  <c r="F139" i="41"/>
  <c r="L133" i="41"/>
  <c r="K17" i="23" s="1"/>
  <c r="H133" i="41"/>
  <c r="G17" i="23" s="1"/>
  <c r="D133" i="41"/>
  <c r="C17" i="23" s="1"/>
  <c r="N132" i="41"/>
  <c r="J132" i="41"/>
  <c r="F132" i="41"/>
  <c r="N131" i="41"/>
  <c r="J131" i="41"/>
  <c r="F131" i="41"/>
  <c r="N130" i="41"/>
  <c r="J130" i="41"/>
  <c r="F130" i="41"/>
  <c r="N129" i="41"/>
  <c r="J129" i="41"/>
  <c r="F129" i="41"/>
  <c r="N128" i="41"/>
  <c r="J128" i="41"/>
  <c r="F128" i="41"/>
  <c r="N127" i="41"/>
  <c r="J127" i="41"/>
  <c r="F127" i="41"/>
  <c r="N126" i="41"/>
  <c r="J126" i="41"/>
  <c r="F126" i="41"/>
  <c r="N125" i="41"/>
  <c r="J125" i="41"/>
  <c r="F125" i="41"/>
  <c r="N124" i="41"/>
  <c r="J124" i="41"/>
  <c r="F124" i="41"/>
  <c r="N123" i="41"/>
  <c r="J123" i="41"/>
  <c r="F123" i="41"/>
  <c r="N122" i="41"/>
  <c r="J122" i="41"/>
  <c r="F122" i="41"/>
  <c r="N121" i="41"/>
  <c r="J121" i="41"/>
  <c r="F121" i="41"/>
  <c r="N120" i="41"/>
  <c r="J120" i="41"/>
  <c r="F120" i="41"/>
  <c r="N119" i="41"/>
  <c r="J119" i="41"/>
  <c r="F119" i="41"/>
  <c r="N118" i="41"/>
  <c r="J118" i="41"/>
  <c r="F118" i="41"/>
  <c r="N98" i="41"/>
  <c r="N99" i="41"/>
  <c r="N100" i="41"/>
  <c r="N101" i="41"/>
  <c r="N102" i="41"/>
  <c r="N103" i="41"/>
  <c r="N104" i="41"/>
  <c r="N105" i="41"/>
  <c r="N106" i="41"/>
  <c r="N107" i="41"/>
  <c r="N108" i="41"/>
  <c r="N109" i="41"/>
  <c r="N110" i="41"/>
  <c r="N111" i="41"/>
  <c r="N97" i="41"/>
  <c r="J98" i="41"/>
  <c r="J99" i="41"/>
  <c r="J100" i="41"/>
  <c r="J101" i="41"/>
  <c r="J102" i="41"/>
  <c r="J103" i="41"/>
  <c r="J104" i="41"/>
  <c r="J105" i="41"/>
  <c r="J106" i="41"/>
  <c r="J107" i="41"/>
  <c r="J108" i="41"/>
  <c r="J109" i="41"/>
  <c r="J110" i="41"/>
  <c r="J111" i="41"/>
  <c r="J97" i="41"/>
  <c r="F98" i="41"/>
  <c r="F99" i="41"/>
  <c r="F100" i="41"/>
  <c r="F101" i="41"/>
  <c r="F102" i="41"/>
  <c r="F103" i="41"/>
  <c r="F104" i="41"/>
  <c r="F105" i="41"/>
  <c r="F106" i="41"/>
  <c r="F107" i="41"/>
  <c r="F108" i="41"/>
  <c r="F109" i="41"/>
  <c r="F110" i="41"/>
  <c r="F111" i="41"/>
  <c r="F97" i="41"/>
  <c r="L112" i="41"/>
  <c r="K17" i="22" s="1"/>
  <c r="H112" i="41"/>
  <c r="G17" i="22" s="1"/>
  <c r="D112" i="41"/>
  <c r="C17" i="22" s="1"/>
  <c r="N77" i="41"/>
  <c r="N78" i="41"/>
  <c r="N79" i="41"/>
  <c r="N80" i="41"/>
  <c r="N81" i="41"/>
  <c r="N82" i="41"/>
  <c r="N83" i="41"/>
  <c r="N84" i="41"/>
  <c r="N85" i="41"/>
  <c r="N86" i="41"/>
  <c r="N87" i="41"/>
  <c r="N88" i="41"/>
  <c r="N89" i="41"/>
  <c r="N90" i="41"/>
  <c r="N76" i="41"/>
  <c r="J77" i="41"/>
  <c r="J78" i="41"/>
  <c r="J79" i="41"/>
  <c r="J80" i="41"/>
  <c r="J81" i="41"/>
  <c r="J82" i="41"/>
  <c r="J83" i="41"/>
  <c r="J84" i="41"/>
  <c r="J85" i="41"/>
  <c r="J86" i="41"/>
  <c r="J87" i="41"/>
  <c r="J88" i="41"/>
  <c r="J89" i="41"/>
  <c r="J90" i="41"/>
  <c r="J76" i="41"/>
  <c r="F77" i="41"/>
  <c r="F78" i="41"/>
  <c r="F79" i="41"/>
  <c r="F80" i="41"/>
  <c r="F81" i="41"/>
  <c r="F82" i="41"/>
  <c r="F83" i="41"/>
  <c r="F84" i="41"/>
  <c r="F85" i="41"/>
  <c r="F86" i="41"/>
  <c r="F87" i="41"/>
  <c r="F88" i="41"/>
  <c r="F89" i="41"/>
  <c r="F90" i="41"/>
  <c r="F76" i="41"/>
  <c r="L91" i="41"/>
  <c r="K17" i="21" s="1"/>
  <c r="H91" i="41"/>
  <c r="G17" i="21" s="1"/>
  <c r="D91" i="41"/>
  <c r="C17" i="21" s="1"/>
  <c r="N56" i="41"/>
  <c r="N57" i="41"/>
  <c r="N58" i="41"/>
  <c r="N59" i="41"/>
  <c r="N60" i="41"/>
  <c r="N61" i="41"/>
  <c r="N62" i="41"/>
  <c r="N63" i="41"/>
  <c r="N64" i="41"/>
  <c r="N65" i="41"/>
  <c r="N66" i="41"/>
  <c r="N67" i="41"/>
  <c r="N68" i="41"/>
  <c r="N69" i="41"/>
  <c r="N55" i="41"/>
  <c r="J56" i="41"/>
  <c r="J57" i="41"/>
  <c r="J58" i="41"/>
  <c r="J59" i="41"/>
  <c r="J60" i="41"/>
  <c r="J61" i="41"/>
  <c r="J62" i="41"/>
  <c r="J63" i="41"/>
  <c r="J64" i="41"/>
  <c r="J65" i="41"/>
  <c r="J66" i="41"/>
  <c r="J67" i="41"/>
  <c r="J68" i="41"/>
  <c r="J69" i="41"/>
  <c r="J55" i="41"/>
  <c r="F56" i="41"/>
  <c r="F57" i="41"/>
  <c r="F58" i="41"/>
  <c r="F59" i="41"/>
  <c r="F60" i="41"/>
  <c r="F61" i="41"/>
  <c r="F62" i="41"/>
  <c r="F63" i="41"/>
  <c r="F64" i="41"/>
  <c r="F65" i="41"/>
  <c r="F66" i="41"/>
  <c r="F67" i="41"/>
  <c r="F68" i="41"/>
  <c r="F69" i="41"/>
  <c r="F55" i="41"/>
  <c r="L70" i="41"/>
  <c r="K17" i="20" s="1"/>
  <c r="H70" i="41"/>
  <c r="G17" i="20" s="1"/>
  <c r="D70" i="41"/>
  <c r="C17" i="20" s="1"/>
  <c r="N35" i="41"/>
  <c r="N36" i="41"/>
  <c r="N37" i="41"/>
  <c r="N38" i="41"/>
  <c r="N39" i="41"/>
  <c r="N40" i="41"/>
  <c r="N41" i="41"/>
  <c r="N42" i="41"/>
  <c r="N43" i="41"/>
  <c r="N44" i="41"/>
  <c r="N45" i="41"/>
  <c r="N46" i="41"/>
  <c r="N47" i="41"/>
  <c r="N48" i="41"/>
  <c r="N34" i="41"/>
  <c r="J35" i="41"/>
  <c r="J36" i="41"/>
  <c r="J37" i="41"/>
  <c r="J38" i="41"/>
  <c r="J39" i="41"/>
  <c r="J40" i="41"/>
  <c r="J41" i="41"/>
  <c r="J42" i="41"/>
  <c r="J43" i="41"/>
  <c r="J44" i="41"/>
  <c r="J45" i="41"/>
  <c r="J46" i="41"/>
  <c r="J47" i="41"/>
  <c r="J48" i="41"/>
  <c r="J34" i="41"/>
  <c r="F35" i="41"/>
  <c r="F36" i="41"/>
  <c r="F37" i="41"/>
  <c r="F38" i="41"/>
  <c r="F39" i="41"/>
  <c r="F40" i="41"/>
  <c r="F41" i="41"/>
  <c r="F42" i="41"/>
  <c r="F43" i="41"/>
  <c r="F44" i="41"/>
  <c r="F45" i="41"/>
  <c r="F46" i="41"/>
  <c r="F47" i="41"/>
  <c r="F48" i="41"/>
  <c r="F34" i="41"/>
  <c r="L49" i="41"/>
  <c r="K17" i="19" s="1"/>
  <c r="H49" i="41"/>
  <c r="G17" i="19" s="1"/>
  <c r="D49" i="41"/>
  <c r="C17" i="19" s="1"/>
  <c r="N14" i="41"/>
  <c r="N15" i="41"/>
  <c r="N16" i="41"/>
  <c r="N17" i="41"/>
  <c r="N18" i="41"/>
  <c r="N19" i="41"/>
  <c r="N20" i="41"/>
  <c r="N21" i="41"/>
  <c r="N22" i="41"/>
  <c r="N23" i="41"/>
  <c r="N24" i="41"/>
  <c r="N25" i="41"/>
  <c r="N26" i="41"/>
  <c r="N27" i="41"/>
  <c r="N13" i="41"/>
  <c r="J14" i="41"/>
  <c r="J15" i="41"/>
  <c r="J16" i="41"/>
  <c r="J17" i="41"/>
  <c r="J18" i="41"/>
  <c r="J19" i="41"/>
  <c r="J20" i="41"/>
  <c r="J21" i="41"/>
  <c r="J22" i="41"/>
  <c r="J23" i="41"/>
  <c r="J24" i="41"/>
  <c r="J25" i="41"/>
  <c r="J26" i="41"/>
  <c r="J27" i="41"/>
  <c r="J13" i="41"/>
  <c r="F14" i="41"/>
  <c r="F15" i="41"/>
  <c r="F16" i="41"/>
  <c r="F17" i="41"/>
  <c r="F18" i="41"/>
  <c r="F19" i="41"/>
  <c r="F20" i="41"/>
  <c r="F21" i="41"/>
  <c r="F22" i="41"/>
  <c r="F23" i="41"/>
  <c r="F24" i="41"/>
  <c r="F25" i="41"/>
  <c r="F26" i="41"/>
  <c r="F27" i="41"/>
  <c r="F13" i="41"/>
  <c r="L28" i="41"/>
  <c r="K19" i="15" s="1"/>
  <c r="H28" i="41"/>
  <c r="G19" i="15" s="1"/>
  <c r="D28" i="41"/>
  <c r="C19" i="15" s="1"/>
  <c r="Q57" i="29" l="1"/>
  <c r="Q56" i="38"/>
  <c r="K52" i="36"/>
  <c r="M52" i="36" s="1"/>
  <c r="M45" i="40"/>
  <c r="M48" i="40" s="1"/>
  <c r="I56" i="37"/>
  <c r="O52" i="22"/>
  <c r="Q52" i="22" s="1"/>
  <c r="Q55" i="22" s="1"/>
  <c r="Q56" i="22" s="1"/>
  <c r="O50" i="20"/>
  <c r="Q55" i="15"/>
  <c r="Q58" i="15" s="1"/>
  <c r="O53" i="15"/>
  <c r="Q53" i="15" s="1"/>
  <c r="Q56" i="15" s="1"/>
  <c r="M58" i="15"/>
  <c r="K50" i="19"/>
  <c r="I56" i="26"/>
  <c r="I48" i="29"/>
  <c r="Q30" i="29"/>
  <c r="O38" i="15"/>
  <c r="Q38" i="15" s="1"/>
  <c r="Q41" i="15" s="1"/>
  <c r="Q70" i="25"/>
  <c r="Q58" i="40"/>
  <c r="Q61" i="40" s="1"/>
  <c r="M56" i="23"/>
  <c r="Q56" i="23"/>
  <c r="Q56" i="37"/>
  <c r="Q56" i="19"/>
  <c r="Q56" i="25"/>
  <c r="I56" i="19"/>
  <c r="I56" i="38"/>
  <c r="I56" i="22"/>
  <c r="I56" i="23"/>
  <c r="M56" i="21"/>
  <c r="M56" i="26"/>
  <c r="M56" i="20"/>
  <c r="Q54" i="36"/>
  <c r="Q46" i="40"/>
  <c r="Q49" i="40" s="1"/>
  <c r="Q51" i="40" s="1"/>
  <c r="E45" i="29"/>
  <c r="E48" i="29" s="1"/>
  <c r="M54" i="36"/>
  <c r="M46" i="40"/>
  <c r="M49" i="40" s="1"/>
  <c r="M51" i="40" s="1"/>
  <c r="M55" i="36"/>
  <c r="M47" i="40"/>
  <c r="M50" i="40" s="1"/>
  <c r="Q55" i="36"/>
  <c r="Q47" i="40"/>
  <c r="Q50" i="40" s="1"/>
  <c r="I54" i="36"/>
  <c r="I46" i="40"/>
  <c r="I49" i="40" s="1"/>
  <c r="I56" i="27"/>
  <c r="I56" i="20"/>
  <c r="M56" i="28"/>
  <c r="I55" i="36"/>
  <c r="I47" i="40"/>
  <c r="I50" i="40" s="1"/>
  <c r="Q56" i="32"/>
  <c r="I56" i="32"/>
  <c r="E44" i="34"/>
  <c r="E47" i="34" s="1"/>
  <c r="Q56" i="31"/>
  <c r="I56" i="30"/>
  <c r="I45" i="34"/>
  <c r="I48" i="34" s="1"/>
  <c r="M45" i="34"/>
  <c r="M48" i="34" s="1"/>
  <c r="Q45" i="34"/>
  <c r="Q48" i="34" s="1"/>
  <c r="I46" i="34"/>
  <c r="I49" i="34" s="1"/>
  <c r="M46" i="34"/>
  <c r="M49" i="34" s="1"/>
  <c r="Q46" i="34"/>
  <c r="Q49" i="34" s="1"/>
  <c r="I56" i="21"/>
  <c r="Q56" i="21"/>
  <c r="I46" i="29"/>
  <c r="I49" i="29" s="1"/>
  <c r="I47" i="29"/>
  <c r="I50" i="29" s="1"/>
  <c r="I56" i="31"/>
  <c r="M56" i="31"/>
  <c r="M56" i="30"/>
  <c r="Q56" i="30"/>
  <c r="Q56" i="27"/>
  <c r="M56" i="27"/>
  <c r="Q56" i="26"/>
  <c r="I56" i="25"/>
  <c r="M56" i="25"/>
  <c r="M56" i="24"/>
  <c r="Q56" i="24"/>
  <c r="I58" i="15"/>
  <c r="I56" i="39"/>
  <c r="M56" i="39"/>
  <c r="Q56" i="39"/>
  <c r="M56" i="38"/>
  <c r="M56" i="37"/>
  <c r="O36" i="23"/>
  <c r="Q36" i="23" s="1"/>
  <c r="Q39" i="23" s="1"/>
  <c r="O38" i="25"/>
  <c r="Q38" i="25" s="1"/>
  <c r="Q41" i="25" s="1"/>
  <c r="O13" i="34"/>
  <c r="O65" i="31"/>
  <c r="Q65" i="31" s="1"/>
  <c r="Q68" i="31" s="1"/>
  <c r="C51" i="24"/>
  <c r="E51" i="24" s="1"/>
  <c r="E54" i="24" s="1"/>
  <c r="O38" i="36"/>
  <c r="Q38" i="36" s="1"/>
  <c r="O38" i="32"/>
  <c r="Q38" i="32" s="1"/>
  <c r="Q41" i="32" s="1"/>
  <c r="M38" i="53"/>
  <c r="O65" i="32"/>
  <c r="Q65" i="32" s="1"/>
  <c r="Q68" i="32" s="1"/>
  <c r="O65" i="38"/>
  <c r="Q65" i="38" s="1"/>
  <c r="Q68" i="38" s="1"/>
  <c r="O65" i="27"/>
  <c r="Q65" i="27" s="1"/>
  <c r="Q68" i="27" s="1"/>
  <c r="O65" i="26"/>
  <c r="Q65" i="26" s="1"/>
  <c r="Q68" i="26" s="1"/>
  <c r="O65" i="24"/>
  <c r="Q65" i="24" s="1"/>
  <c r="Q68" i="24" s="1"/>
  <c r="Q70" i="24" s="1"/>
  <c r="O65" i="36"/>
  <c r="O65" i="39"/>
  <c r="Q65" i="39" s="1"/>
  <c r="Q68" i="39" s="1"/>
  <c r="O37" i="39"/>
  <c r="Q37" i="39" s="1"/>
  <c r="Q40" i="39" s="1"/>
  <c r="Q42" i="39" s="1"/>
  <c r="O37" i="31"/>
  <c r="Q37" i="31" s="1"/>
  <c r="Q40" i="31" s="1"/>
  <c r="O37" i="36"/>
  <c r="Q37" i="36" s="1"/>
  <c r="O37" i="28"/>
  <c r="Q37" i="28" s="1"/>
  <c r="Q40" i="28" s="1"/>
  <c r="O37" i="26"/>
  <c r="Q37" i="26" s="1"/>
  <c r="Q40" i="26" s="1"/>
  <c r="O37" i="38"/>
  <c r="Q37" i="38" s="1"/>
  <c r="Q40" i="38" s="1"/>
  <c r="O37" i="37"/>
  <c r="O37" i="24"/>
  <c r="Q37" i="24" s="1"/>
  <c r="Q40" i="24" s="1"/>
  <c r="O37" i="27"/>
  <c r="Q37" i="27" s="1"/>
  <c r="Q40" i="27" s="1"/>
  <c r="C51" i="19"/>
  <c r="E51" i="19" s="1"/>
  <c r="E54" i="19" s="1"/>
  <c r="C51" i="30"/>
  <c r="E51" i="30" s="1"/>
  <c r="E54" i="30" s="1"/>
  <c r="C51" i="27"/>
  <c r="E51" i="27" s="1"/>
  <c r="E54" i="27" s="1"/>
  <c r="E56" i="27" s="1"/>
  <c r="C51" i="38"/>
  <c r="E51" i="38" s="1"/>
  <c r="E54" i="38" s="1"/>
  <c r="C51" i="31"/>
  <c r="E51" i="31" s="1"/>
  <c r="E54" i="31" s="1"/>
  <c r="C51" i="28"/>
  <c r="E51" i="28" s="1"/>
  <c r="E54" i="28" s="1"/>
  <c r="E56" i="28" s="1"/>
  <c r="C51" i="36"/>
  <c r="E51" i="36" s="1"/>
  <c r="C51" i="23"/>
  <c r="E51" i="23" s="1"/>
  <c r="E54" i="23" s="1"/>
  <c r="C13" i="40"/>
  <c r="F31" i="1"/>
  <c r="G31" i="1" s="1"/>
  <c r="O13" i="29"/>
  <c r="E48" i="40"/>
  <c r="C52" i="39"/>
  <c r="E52" i="39" s="1"/>
  <c r="E55" i="39" s="1"/>
  <c r="E56" i="39" s="1"/>
  <c r="O66" i="39"/>
  <c r="Q66" i="39" s="1"/>
  <c r="Q69" i="39" s="1"/>
  <c r="C52" i="38"/>
  <c r="E52" i="38" s="1"/>
  <c r="E55" i="38" s="1"/>
  <c r="O38" i="38"/>
  <c r="Q38" i="38" s="1"/>
  <c r="Q41" i="38" s="1"/>
  <c r="O66" i="38"/>
  <c r="Q66" i="38" s="1"/>
  <c r="Q69" i="38" s="1"/>
  <c r="C52" i="37"/>
  <c r="E52" i="37" s="1"/>
  <c r="E55" i="37" s="1"/>
  <c r="E56" i="37" s="1"/>
  <c r="O38" i="37"/>
  <c r="Q38" i="37" s="1"/>
  <c r="Q41" i="37" s="1"/>
  <c r="K13" i="40"/>
  <c r="G13" i="40"/>
  <c r="O66" i="36"/>
  <c r="Q66" i="36" s="1"/>
  <c r="C52" i="36"/>
  <c r="E52" i="36" s="1"/>
  <c r="C51" i="32"/>
  <c r="E51" i="32" s="1"/>
  <c r="E54" i="32" s="1"/>
  <c r="O38" i="31"/>
  <c r="Q38" i="31" s="1"/>
  <c r="Q41" i="31" s="1"/>
  <c r="C13" i="34"/>
  <c r="G13" i="34"/>
  <c r="K13" i="34"/>
  <c r="C52" i="26"/>
  <c r="E52" i="26" s="1"/>
  <c r="E55" i="26" s="1"/>
  <c r="E56" i="26" s="1"/>
  <c r="C52" i="25"/>
  <c r="E52" i="25" s="1"/>
  <c r="E55" i="25" s="1"/>
  <c r="E56" i="25" s="1"/>
  <c r="C52" i="24"/>
  <c r="E52" i="24" s="1"/>
  <c r="E55" i="24" s="1"/>
  <c r="C52" i="23"/>
  <c r="E52" i="23" s="1"/>
  <c r="E55" i="23" s="1"/>
  <c r="C52" i="22"/>
  <c r="E52" i="22" s="1"/>
  <c r="E55" i="22" s="1"/>
  <c r="E56" i="22" s="1"/>
  <c r="C52" i="21"/>
  <c r="E52" i="21" s="1"/>
  <c r="E55" i="21" s="1"/>
  <c r="E56" i="21" s="1"/>
  <c r="O36" i="21"/>
  <c r="Q36" i="21" s="1"/>
  <c r="Q39" i="21" s="1"/>
  <c r="C52" i="19"/>
  <c r="E52" i="19" s="1"/>
  <c r="E55" i="19" s="1"/>
  <c r="C51" i="20"/>
  <c r="E51" i="20" s="1"/>
  <c r="E54" i="20" s="1"/>
  <c r="O66" i="27"/>
  <c r="Q66" i="27" s="1"/>
  <c r="Q69" i="27" s="1"/>
  <c r="O59" i="21"/>
  <c r="O64" i="21"/>
  <c r="Q64" i="21" s="1"/>
  <c r="Q67" i="21" s="1"/>
  <c r="O59" i="20"/>
  <c r="O59" i="19"/>
  <c r="O38" i="26"/>
  <c r="Q38" i="26" s="1"/>
  <c r="Q41" i="26" s="1"/>
  <c r="F322" i="41"/>
  <c r="E17" i="36" s="1"/>
  <c r="F364" i="41"/>
  <c r="E17" i="38" s="1"/>
  <c r="N343" i="41"/>
  <c r="M17" i="37" s="1"/>
  <c r="J343" i="41"/>
  <c r="I17" i="37" s="1"/>
  <c r="J364" i="41"/>
  <c r="I17" i="38" s="1"/>
  <c r="J322" i="41"/>
  <c r="I17" i="36" s="1"/>
  <c r="N364" i="41"/>
  <c r="M17" i="38" s="1"/>
  <c r="F343" i="41"/>
  <c r="E17" i="37" s="1"/>
  <c r="F280" i="41"/>
  <c r="E17" i="31" s="1"/>
  <c r="N217" i="41"/>
  <c r="M17" i="27" s="1"/>
  <c r="F301" i="41"/>
  <c r="E17" i="32" s="1"/>
  <c r="R112" i="41"/>
  <c r="Q17" i="22" s="1"/>
  <c r="O20" i="22" s="1"/>
  <c r="Q20" i="22" s="1"/>
  <c r="R154" i="41"/>
  <c r="Q17" i="24" s="1"/>
  <c r="O20" i="24" s="1"/>
  <c r="Q20" i="24" s="1"/>
  <c r="R175" i="41"/>
  <c r="Q17" i="25" s="1"/>
  <c r="O20" i="25" s="1"/>
  <c r="Q20" i="25" s="1"/>
  <c r="R196" i="41"/>
  <c r="Q17" i="26" s="1"/>
  <c r="O20" i="26" s="1"/>
  <c r="Q20" i="26" s="1"/>
  <c r="R217" i="41"/>
  <c r="Q17" i="27" s="1"/>
  <c r="O20" i="27" s="1"/>
  <c r="Q20" i="27" s="1"/>
  <c r="R238" i="41"/>
  <c r="Q17" i="28" s="1"/>
  <c r="O20" i="28" s="1"/>
  <c r="Q20" i="28" s="1"/>
  <c r="R259" i="41"/>
  <c r="Q17" i="30" s="1"/>
  <c r="R301" i="41"/>
  <c r="Q17" i="32" s="1"/>
  <c r="O20" i="32" s="1"/>
  <c r="Q20" i="32" s="1"/>
  <c r="R322" i="41"/>
  <c r="Q17" i="36" s="1"/>
  <c r="R343" i="41"/>
  <c r="Q17" i="37" s="1"/>
  <c r="O20" i="37" s="1"/>
  <c r="Q20" i="37" s="1"/>
  <c r="R364" i="41"/>
  <c r="Q17" i="38" s="1"/>
  <c r="O20" i="38" s="1"/>
  <c r="Q20" i="38" s="1"/>
  <c r="R385" i="41"/>
  <c r="Q17" i="39" s="1"/>
  <c r="O20" i="39" s="1"/>
  <c r="Q20" i="39" s="1"/>
  <c r="N322" i="41"/>
  <c r="M17" i="36" s="1"/>
  <c r="O61" i="15"/>
  <c r="O47" i="15"/>
  <c r="O38" i="27"/>
  <c r="Q38" i="27" s="1"/>
  <c r="Q41" i="27" s="1"/>
  <c r="C13" i="29"/>
  <c r="O66" i="26"/>
  <c r="Q66" i="26" s="1"/>
  <c r="Q69" i="26" s="1"/>
  <c r="O66" i="23"/>
  <c r="Q66" i="23" s="1"/>
  <c r="Q69" i="23" s="1"/>
  <c r="O66" i="22"/>
  <c r="Q66" i="22" s="1"/>
  <c r="Q69" i="22" s="1"/>
  <c r="O38" i="22"/>
  <c r="Q38" i="22" s="1"/>
  <c r="Q41" i="22" s="1"/>
  <c r="O64" i="20"/>
  <c r="Q64" i="20" s="1"/>
  <c r="Q67" i="20" s="1"/>
  <c r="O36" i="20"/>
  <c r="Q36" i="20" s="1"/>
  <c r="Q39" i="20" s="1"/>
  <c r="O64" i="19"/>
  <c r="Q64" i="19" s="1"/>
  <c r="Q67" i="19" s="1"/>
  <c r="G13" i="29"/>
  <c r="K13" i="29"/>
  <c r="O66" i="15"/>
  <c r="Q66" i="15" s="1"/>
  <c r="Q69" i="15" s="1"/>
  <c r="R280" i="41"/>
  <c r="Q17" i="31" s="1"/>
  <c r="O20" i="31" s="1"/>
  <c r="Q20" i="31" s="1"/>
  <c r="R70" i="41"/>
  <c r="Q17" i="20" s="1"/>
  <c r="O20" i="20" s="1"/>
  <c r="Q20" i="20" s="1"/>
  <c r="R28" i="41"/>
  <c r="Q19" i="15" s="1"/>
  <c r="R49" i="41"/>
  <c r="Q17" i="19" s="1"/>
  <c r="O20" i="19" s="1"/>
  <c r="Q20" i="19" s="1"/>
  <c r="R91" i="41"/>
  <c r="Q17" i="21" s="1"/>
  <c r="O20" i="21" s="1"/>
  <c r="Q20" i="21" s="1"/>
  <c r="R133" i="41"/>
  <c r="Q17" i="23" s="1"/>
  <c r="O20" i="23" s="1"/>
  <c r="Q20" i="23" s="1"/>
  <c r="F385" i="41"/>
  <c r="E17" i="39" s="1"/>
  <c r="N385" i="41"/>
  <c r="M17" i="39" s="1"/>
  <c r="J385" i="41"/>
  <c r="I17" i="39" s="1"/>
  <c r="N301" i="41"/>
  <c r="M17" i="32" s="1"/>
  <c r="J301" i="41"/>
  <c r="I17" i="32" s="1"/>
  <c r="J280" i="41"/>
  <c r="I17" i="31" s="1"/>
  <c r="N280" i="41"/>
  <c r="M17" i="31" s="1"/>
  <c r="N259" i="41"/>
  <c r="M17" i="30" s="1"/>
  <c r="F259" i="41"/>
  <c r="E17" i="30" s="1"/>
  <c r="J259" i="41"/>
  <c r="I17" i="30" s="1"/>
  <c r="F238" i="41"/>
  <c r="E17" i="28" s="1"/>
  <c r="J238" i="41"/>
  <c r="I17" i="28" s="1"/>
  <c r="N238" i="41"/>
  <c r="M17" i="28" s="1"/>
  <c r="N175" i="41"/>
  <c r="M17" i="25" s="1"/>
  <c r="J133" i="41"/>
  <c r="I17" i="23" s="1"/>
  <c r="N133" i="41"/>
  <c r="M17" i="23" s="1"/>
  <c r="F154" i="41"/>
  <c r="E17" i="24" s="1"/>
  <c r="J196" i="41"/>
  <c r="I17" i="26" s="1"/>
  <c r="F196" i="41"/>
  <c r="E17" i="26" s="1"/>
  <c r="N196" i="41"/>
  <c r="M17" i="26" s="1"/>
  <c r="F217" i="41"/>
  <c r="E17" i="27" s="1"/>
  <c r="F133" i="41"/>
  <c r="E17" i="23" s="1"/>
  <c r="J154" i="41"/>
  <c r="I17" i="24" s="1"/>
  <c r="J175" i="41"/>
  <c r="I17" i="25" s="1"/>
  <c r="N154" i="41"/>
  <c r="M17" i="24" s="1"/>
  <c r="F175" i="41"/>
  <c r="E17" i="25" s="1"/>
  <c r="J217" i="41"/>
  <c r="I17" i="27" s="1"/>
  <c r="N112" i="41"/>
  <c r="M17" i="22" s="1"/>
  <c r="J112" i="41"/>
  <c r="I17" i="22" s="1"/>
  <c r="F112" i="41"/>
  <c r="E17" i="22" s="1"/>
  <c r="J91" i="41"/>
  <c r="I17" i="21" s="1"/>
  <c r="F91" i="41"/>
  <c r="E17" i="21" s="1"/>
  <c r="N91" i="41"/>
  <c r="M17" i="21" s="1"/>
  <c r="N70" i="41"/>
  <c r="M17" i="20" s="1"/>
  <c r="F70" i="41"/>
  <c r="E17" i="20" s="1"/>
  <c r="J70" i="41"/>
  <c r="I17" i="20" s="1"/>
  <c r="N49" i="41"/>
  <c r="M17" i="19" s="1"/>
  <c r="J49" i="41"/>
  <c r="I17" i="19" s="1"/>
  <c r="F49" i="41"/>
  <c r="E17" i="19" s="1"/>
  <c r="N28" i="41"/>
  <c r="M19" i="15" s="1"/>
  <c r="J28" i="41"/>
  <c r="I19" i="15" s="1"/>
  <c r="F28" i="41"/>
  <c r="E19" i="15" s="1"/>
  <c r="I51" i="40" l="1"/>
  <c r="I56" i="36"/>
  <c r="Q50" i="20"/>
  <c r="O52" i="20" s="1"/>
  <c r="Q52" i="20" s="1"/>
  <c r="O51" i="20"/>
  <c r="Q51" i="20" s="1"/>
  <c r="M50" i="19"/>
  <c r="K52" i="19" s="1"/>
  <c r="M52" i="19" s="1"/>
  <c r="K51" i="19"/>
  <c r="M51" i="19" s="1"/>
  <c r="Q69" i="36"/>
  <c r="E54" i="36"/>
  <c r="E46" i="40"/>
  <c r="E49" i="40" s="1"/>
  <c r="Q70" i="39"/>
  <c r="I51" i="29"/>
  <c r="Q56" i="36"/>
  <c r="Q41" i="36"/>
  <c r="Q33" i="40"/>
  <c r="Q36" i="40" s="1"/>
  <c r="Q70" i="26"/>
  <c r="Q40" i="36"/>
  <c r="Q70" i="38"/>
  <c r="E56" i="19"/>
  <c r="E55" i="36"/>
  <c r="E47" i="40"/>
  <c r="E50" i="40" s="1"/>
  <c r="M56" i="36"/>
  <c r="Q70" i="31"/>
  <c r="I50" i="34"/>
  <c r="E56" i="31"/>
  <c r="Q58" i="29"/>
  <c r="Q61" i="29" s="1"/>
  <c r="Q70" i="27"/>
  <c r="E56" i="24"/>
  <c r="E56" i="23"/>
  <c r="E56" i="38"/>
  <c r="Q42" i="38"/>
  <c r="Q37" i="37"/>
  <c r="Q40" i="37" s="1"/>
  <c r="Q42" i="37" s="1"/>
  <c r="Q65" i="36"/>
  <c r="Q42" i="28"/>
  <c r="Q42" i="27"/>
  <c r="Q42" i="26"/>
  <c r="Q42" i="25"/>
  <c r="Q42" i="24"/>
  <c r="Q42" i="32"/>
  <c r="O65" i="37"/>
  <c r="Q65" i="37" s="1"/>
  <c r="Q68" i="37" s="1"/>
  <c r="Q70" i="32"/>
  <c r="O65" i="22"/>
  <c r="Q65" i="22" s="1"/>
  <c r="Q68" i="22" s="1"/>
  <c r="Q70" i="22" s="1"/>
  <c r="O65" i="28"/>
  <c r="Q65" i="28" s="1"/>
  <c r="Q68" i="28" s="1"/>
  <c r="O65" i="23"/>
  <c r="Q65" i="23" s="1"/>
  <c r="Q68" i="23" s="1"/>
  <c r="Q70" i="23" s="1"/>
  <c r="O37" i="22"/>
  <c r="Q37" i="22" s="1"/>
  <c r="Q40" i="22" s="1"/>
  <c r="O37" i="23"/>
  <c r="Q42" i="31"/>
  <c r="C53" i="15"/>
  <c r="E53" i="15" s="1"/>
  <c r="O21" i="21"/>
  <c r="Q21" i="21" s="1"/>
  <c r="O21" i="19"/>
  <c r="Q21" i="19" s="1"/>
  <c r="O21" i="25"/>
  <c r="Q21" i="25" s="1"/>
  <c r="O20" i="36"/>
  <c r="Q20" i="36" s="1"/>
  <c r="Q16" i="40" s="1"/>
  <c r="Q13" i="40"/>
  <c r="O21" i="23"/>
  <c r="Q21" i="23" s="1"/>
  <c r="O21" i="32"/>
  <c r="Q21" i="32" s="1"/>
  <c r="O21" i="38"/>
  <c r="Q21" i="38" s="1"/>
  <c r="Q13" i="34"/>
  <c r="O21" i="22"/>
  <c r="Q21" i="22" s="1"/>
  <c r="O21" i="28"/>
  <c r="Q21" i="28" s="1"/>
  <c r="O21" i="24"/>
  <c r="Q21" i="24" s="1"/>
  <c r="Q13" i="29"/>
  <c r="O22" i="15"/>
  <c r="O21" i="27"/>
  <c r="Q21" i="27" s="1"/>
  <c r="O21" i="31"/>
  <c r="Q21" i="31" s="1"/>
  <c r="O21" i="37"/>
  <c r="Q21" i="37" s="1"/>
  <c r="O21" i="20"/>
  <c r="Q21" i="20" s="1"/>
  <c r="O21" i="39"/>
  <c r="Q21" i="39" s="1"/>
  <c r="O21" i="26"/>
  <c r="Q21" i="26" s="1"/>
  <c r="O66" i="37"/>
  <c r="Q66" i="37" s="1"/>
  <c r="Q69" i="37" s="1"/>
  <c r="C52" i="32"/>
  <c r="E52" i="32" s="1"/>
  <c r="E55" i="32" s="1"/>
  <c r="C54" i="15"/>
  <c r="E54" i="15" s="1"/>
  <c r="E57" i="15" s="1"/>
  <c r="C52" i="20"/>
  <c r="E52" i="20" s="1"/>
  <c r="E55" i="20" s="1"/>
  <c r="E56" i="20" s="1"/>
  <c r="M13" i="29"/>
  <c r="M13" i="34"/>
  <c r="E13" i="29"/>
  <c r="I13" i="29"/>
  <c r="E13" i="34"/>
  <c r="I13" i="40"/>
  <c r="M13" i="40"/>
  <c r="I13" i="34"/>
  <c r="E13" i="40"/>
  <c r="O66" i="28"/>
  <c r="Q66" i="28" s="1"/>
  <c r="Q69" i="28" s="1"/>
  <c r="O38" i="23"/>
  <c r="Q38" i="23" s="1"/>
  <c r="Q41" i="23" s="1"/>
  <c r="O66" i="20"/>
  <c r="Q66" i="20" s="1"/>
  <c r="Q69" i="20" s="1"/>
  <c r="O38" i="20"/>
  <c r="Q38" i="20" s="1"/>
  <c r="Q41" i="20" s="1"/>
  <c r="O66" i="19"/>
  <c r="Q66" i="19" s="1"/>
  <c r="Q69" i="19" s="1"/>
  <c r="O36" i="19"/>
  <c r="Q36" i="19" s="1"/>
  <c r="Q39" i="19" s="1"/>
  <c r="C1" i="25"/>
  <c r="C1" i="24"/>
  <c r="C1" i="22"/>
  <c r="C1" i="21"/>
  <c r="C1" i="20"/>
  <c r="C1" i="19"/>
  <c r="C1" i="15"/>
  <c r="B33" i="40"/>
  <c r="B32" i="40"/>
  <c r="B31" i="40"/>
  <c r="B30" i="40"/>
  <c r="K27" i="40"/>
  <c r="G27" i="40"/>
  <c r="C27" i="40"/>
  <c r="B26" i="40"/>
  <c r="B53" i="40" s="1"/>
  <c r="B66" i="40" s="1"/>
  <c r="B20" i="40"/>
  <c r="B19" i="40"/>
  <c r="B18" i="40"/>
  <c r="B17" i="40"/>
  <c r="B16" i="40"/>
  <c r="M55" i="34"/>
  <c r="I55" i="34"/>
  <c r="E55" i="34"/>
  <c r="M29" i="34"/>
  <c r="I29" i="34"/>
  <c r="E29" i="34"/>
  <c r="K27" i="34"/>
  <c r="G27" i="34"/>
  <c r="C27" i="34"/>
  <c r="B33" i="34"/>
  <c r="B32" i="34"/>
  <c r="B31" i="34"/>
  <c r="B30" i="34"/>
  <c r="B26" i="34"/>
  <c r="B52" i="34" s="1"/>
  <c r="B65" i="34" s="1"/>
  <c r="B20" i="34"/>
  <c r="B19" i="34"/>
  <c r="B18" i="34"/>
  <c r="B17" i="34"/>
  <c r="B16" i="34"/>
  <c r="K63" i="39"/>
  <c r="M63" i="39" s="1"/>
  <c r="G63" i="39"/>
  <c r="I63" i="39" s="1"/>
  <c r="C63" i="39"/>
  <c r="E63" i="39" s="1"/>
  <c r="L38" i="39"/>
  <c r="H38" i="39"/>
  <c r="D38" i="39"/>
  <c r="B38" i="39"/>
  <c r="L37" i="39"/>
  <c r="H37" i="39"/>
  <c r="D37" i="39"/>
  <c r="B37" i="39"/>
  <c r="L36" i="39"/>
  <c r="H36" i="39"/>
  <c r="D36" i="39"/>
  <c r="B36" i="39"/>
  <c r="L35" i="39"/>
  <c r="K35" i="39"/>
  <c r="H35" i="39"/>
  <c r="G35" i="39"/>
  <c r="D35" i="39"/>
  <c r="C35" i="39"/>
  <c r="B35" i="39"/>
  <c r="K31" i="39"/>
  <c r="G31" i="39"/>
  <c r="C31" i="39"/>
  <c r="B30" i="39"/>
  <c r="L24" i="39"/>
  <c r="H24" i="39"/>
  <c r="D24" i="39"/>
  <c r="B24" i="39"/>
  <c r="L23" i="39"/>
  <c r="H23" i="39"/>
  <c r="D23" i="39"/>
  <c r="B23" i="39"/>
  <c r="L22" i="39"/>
  <c r="H22" i="39"/>
  <c r="D22" i="39"/>
  <c r="B22" i="39"/>
  <c r="L21" i="39"/>
  <c r="H21" i="39"/>
  <c r="D21" i="39"/>
  <c r="B21" i="39"/>
  <c r="L20" i="39"/>
  <c r="H20" i="39"/>
  <c r="D20" i="39"/>
  <c r="B20" i="39"/>
  <c r="K63" i="38"/>
  <c r="M63" i="38" s="1"/>
  <c r="G63" i="38"/>
  <c r="I63" i="38" s="1"/>
  <c r="C63" i="38"/>
  <c r="E63" i="38" s="1"/>
  <c r="L38" i="38"/>
  <c r="H38" i="38"/>
  <c r="D38" i="38"/>
  <c r="B38" i="38"/>
  <c r="L37" i="38"/>
  <c r="H37" i="38"/>
  <c r="D37" i="38"/>
  <c r="B37" i="38"/>
  <c r="L36" i="38"/>
  <c r="H36" i="38"/>
  <c r="D36" i="38"/>
  <c r="B36" i="38"/>
  <c r="L35" i="38"/>
  <c r="K35" i="38"/>
  <c r="H35" i="38"/>
  <c r="G35" i="38"/>
  <c r="D35" i="38"/>
  <c r="C35" i="38"/>
  <c r="E35" i="38" s="1"/>
  <c r="B35" i="38"/>
  <c r="K31" i="38"/>
  <c r="G31" i="38"/>
  <c r="C31" i="38"/>
  <c r="B30" i="38"/>
  <c r="L24" i="38"/>
  <c r="H24" i="38"/>
  <c r="D24" i="38"/>
  <c r="B24" i="38"/>
  <c r="L23" i="38"/>
  <c r="H23" i="38"/>
  <c r="D23" i="38"/>
  <c r="B23" i="38"/>
  <c r="L22" i="38"/>
  <c r="H22" i="38"/>
  <c r="D22" i="38"/>
  <c r="B22" i="38"/>
  <c r="L21" i="38"/>
  <c r="H21" i="38"/>
  <c r="D21" i="38"/>
  <c r="B21" i="38"/>
  <c r="L20" i="38"/>
  <c r="H20" i="38"/>
  <c r="D20" i="38"/>
  <c r="B20" i="38"/>
  <c r="K63" i="37"/>
  <c r="M63" i="37" s="1"/>
  <c r="G63" i="37"/>
  <c r="I63" i="37" s="1"/>
  <c r="C63" i="37"/>
  <c r="E63" i="37" s="1"/>
  <c r="L38" i="37"/>
  <c r="H38" i="37"/>
  <c r="D38" i="37"/>
  <c r="B38" i="37"/>
  <c r="L37" i="37"/>
  <c r="H37" i="37"/>
  <c r="D37" i="37"/>
  <c r="B37" i="37"/>
  <c r="L36" i="37"/>
  <c r="H36" i="37"/>
  <c r="D36" i="37"/>
  <c r="B36" i="37"/>
  <c r="L35" i="37"/>
  <c r="K35" i="37"/>
  <c r="H35" i="37"/>
  <c r="G35" i="37"/>
  <c r="D35" i="37"/>
  <c r="C35" i="37"/>
  <c r="E35" i="37" s="1"/>
  <c r="B35" i="37"/>
  <c r="K31" i="37"/>
  <c r="G31" i="37"/>
  <c r="C31" i="37"/>
  <c r="B30" i="37"/>
  <c r="B58" i="37" s="1"/>
  <c r="B72" i="37" s="1"/>
  <c r="D24" i="37"/>
  <c r="B24" i="37"/>
  <c r="D23" i="37"/>
  <c r="B23" i="37"/>
  <c r="D22" i="37"/>
  <c r="B22" i="37"/>
  <c r="D21" i="37"/>
  <c r="B21" i="37"/>
  <c r="D20" i="37"/>
  <c r="B20" i="37"/>
  <c r="K31" i="36"/>
  <c r="G31" i="36"/>
  <c r="C31" i="36"/>
  <c r="K63" i="36"/>
  <c r="M63" i="36" s="1"/>
  <c r="G63" i="36"/>
  <c r="I63" i="36" s="1"/>
  <c r="C63" i="36"/>
  <c r="E63" i="36" s="1"/>
  <c r="L38" i="36"/>
  <c r="H38" i="36"/>
  <c r="D38" i="36"/>
  <c r="B38" i="36"/>
  <c r="L37" i="36"/>
  <c r="H37" i="36"/>
  <c r="D37" i="36"/>
  <c r="B37" i="36"/>
  <c r="L36" i="36"/>
  <c r="H36" i="36"/>
  <c r="D36" i="36"/>
  <c r="B36" i="36"/>
  <c r="L35" i="36"/>
  <c r="K35" i="36"/>
  <c r="H35" i="36"/>
  <c r="I35" i="36" s="1"/>
  <c r="G35" i="36"/>
  <c r="D35" i="36"/>
  <c r="C35" i="36"/>
  <c r="B35" i="36"/>
  <c r="B30" i="36"/>
  <c r="B58" i="36" s="1"/>
  <c r="B72" i="36" s="1"/>
  <c r="D24" i="36"/>
  <c r="B24" i="36"/>
  <c r="D23" i="36"/>
  <c r="B23" i="36"/>
  <c r="D22" i="36"/>
  <c r="B22" i="36"/>
  <c r="D21" i="36"/>
  <c r="B21" i="36"/>
  <c r="D20" i="36"/>
  <c r="B20" i="36"/>
  <c r="C1" i="35"/>
  <c r="C1" i="33"/>
  <c r="K63" i="32"/>
  <c r="G63" i="32"/>
  <c r="I63" i="32" s="1"/>
  <c r="C63" i="32"/>
  <c r="E63" i="32" s="1"/>
  <c r="C59" i="32"/>
  <c r="L38" i="32"/>
  <c r="H38" i="32"/>
  <c r="D38" i="32"/>
  <c r="B38" i="32"/>
  <c r="L37" i="32"/>
  <c r="H37" i="32"/>
  <c r="D37" i="32"/>
  <c r="B37" i="32"/>
  <c r="L36" i="32"/>
  <c r="H36" i="32"/>
  <c r="D36" i="32"/>
  <c r="B36" i="32"/>
  <c r="L35" i="32"/>
  <c r="K35" i="32"/>
  <c r="H35" i="32"/>
  <c r="G35" i="32"/>
  <c r="D35" i="32"/>
  <c r="C35" i="32"/>
  <c r="B35" i="32"/>
  <c r="K31" i="32"/>
  <c r="G31" i="32"/>
  <c r="B30" i="32"/>
  <c r="B58" i="32" s="1"/>
  <c r="B72" i="32" s="1"/>
  <c r="L24" i="32"/>
  <c r="H24" i="32"/>
  <c r="D24" i="32"/>
  <c r="B24" i="32"/>
  <c r="L23" i="32"/>
  <c r="H23" i="32"/>
  <c r="D23" i="32"/>
  <c r="B23" i="32"/>
  <c r="L22" i="32"/>
  <c r="H22" i="32"/>
  <c r="D22" i="32"/>
  <c r="B22" i="32"/>
  <c r="L21" i="32"/>
  <c r="H21" i="32"/>
  <c r="D21" i="32"/>
  <c r="B21" i="32"/>
  <c r="L20" i="32"/>
  <c r="H20" i="32"/>
  <c r="D20" i="32"/>
  <c r="B20" i="32"/>
  <c r="K63" i="31"/>
  <c r="M63" i="31" s="1"/>
  <c r="G63" i="31"/>
  <c r="I63" i="31" s="1"/>
  <c r="C63" i="31"/>
  <c r="E63" i="31" s="1"/>
  <c r="C59" i="31"/>
  <c r="L38" i="31"/>
  <c r="H38" i="31"/>
  <c r="D38" i="31"/>
  <c r="B38" i="31"/>
  <c r="L37" i="31"/>
  <c r="H37" i="31"/>
  <c r="D37" i="31"/>
  <c r="B37" i="31"/>
  <c r="L36" i="31"/>
  <c r="H36" i="31"/>
  <c r="D36" i="31"/>
  <c r="B36" i="31"/>
  <c r="L35" i="31"/>
  <c r="K35" i="31"/>
  <c r="H35" i="31"/>
  <c r="G35" i="31"/>
  <c r="D35" i="31"/>
  <c r="C35" i="31"/>
  <c r="E35" i="31" s="1"/>
  <c r="B35" i="31"/>
  <c r="K31" i="31"/>
  <c r="G31" i="31"/>
  <c r="B30" i="31"/>
  <c r="B58" i="31" s="1"/>
  <c r="B72" i="31" s="1"/>
  <c r="D24" i="31"/>
  <c r="B24" i="31"/>
  <c r="D23" i="31"/>
  <c r="B23" i="31"/>
  <c r="D22" i="31"/>
  <c r="B22" i="31"/>
  <c r="D21" i="31"/>
  <c r="B21" i="31"/>
  <c r="D20" i="31"/>
  <c r="B20" i="31"/>
  <c r="O63" i="30"/>
  <c r="Q63" i="30" s="1"/>
  <c r="Q56" i="34" s="1"/>
  <c r="K63" i="30"/>
  <c r="M63" i="30" s="1"/>
  <c r="G63" i="30"/>
  <c r="I63" i="30" s="1"/>
  <c r="C63" i="30"/>
  <c r="E63" i="30" s="1"/>
  <c r="C59" i="30"/>
  <c r="L38" i="30"/>
  <c r="H38" i="30"/>
  <c r="D38" i="30"/>
  <c r="B38" i="30"/>
  <c r="L37" i="30"/>
  <c r="H37" i="30"/>
  <c r="D37" i="30"/>
  <c r="B37" i="30"/>
  <c r="L36" i="30"/>
  <c r="H36" i="30"/>
  <c r="D36" i="30"/>
  <c r="B36" i="30"/>
  <c r="L35" i="30"/>
  <c r="M35" i="30" s="1"/>
  <c r="K35" i="30"/>
  <c r="H35" i="30"/>
  <c r="G35" i="30"/>
  <c r="D35" i="30"/>
  <c r="C35" i="30"/>
  <c r="B35" i="30"/>
  <c r="O31" i="30"/>
  <c r="K31" i="30"/>
  <c r="K45" i="30" s="1"/>
  <c r="G31" i="30"/>
  <c r="G45" i="30" s="1"/>
  <c r="B30" i="30"/>
  <c r="B58" i="30" s="1"/>
  <c r="B72" i="30" s="1"/>
  <c r="L24" i="30"/>
  <c r="H24" i="30"/>
  <c r="D24" i="30"/>
  <c r="B24" i="30"/>
  <c r="L23" i="30"/>
  <c r="H23" i="30"/>
  <c r="D23" i="30"/>
  <c r="B23" i="30"/>
  <c r="L22" i="30"/>
  <c r="H22" i="30"/>
  <c r="D22" i="30"/>
  <c r="B22" i="30"/>
  <c r="L21" i="30"/>
  <c r="H21" i="30"/>
  <c r="D21" i="30"/>
  <c r="B21" i="30"/>
  <c r="L20" i="30"/>
  <c r="H20" i="30"/>
  <c r="D20" i="30"/>
  <c r="B20" i="30"/>
  <c r="C1" i="10"/>
  <c r="I56" i="34" l="1"/>
  <c r="I35" i="32"/>
  <c r="Q42" i="36"/>
  <c r="M35" i="32"/>
  <c r="I35" i="37"/>
  <c r="M35" i="38"/>
  <c r="E57" i="40"/>
  <c r="I57" i="40"/>
  <c r="M57" i="40"/>
  <c r="M63" i="32"/>
  <c r="K64" i="32" s="1"/>
  <c r="M64" i="32" s="1"/>
  <c r="M67" i="32" s="1"/>
  <c r="E56" i="34"/>
  <c r="E51" i="40"/>
  <c r="E56" i="36"/>
  <c r="Q55" i="20"/>
  <c r="Q47" i="29"/>
  <c r="Q50" i="29" s="1"/>
  <c r="Q54" i="20"/>
  <c r="Q46" i="29"/>
  <c r="Q49" i="29" s="1"/>
  <c r="Q45" i="29"/>
  <c r="Q48" i="29" s="1"/>
  <c r="Q53" i="20"/>
  <c r="M55" i="19"/>
  <c r="M47" i="29"/>
  <c r="M50" i="29" s="1"/>
  <c r="M54" i="19"/>
  <c r="M46" i="29"/>
  <c r="M49" i="29" s="1"/>
  <c r="M53" i="19"/>
  <c r="M56" i="19" s="1"/>
  <c r="M45" i="29"/>
  <c r="M48" i="29" s="1"/>
  <c r="I35" i="39"/>
  <c r="I35" i="38"/>
  <c r="M35" i="39"/>
  <c r="K36" i="39" s="1"/>
  <c r="M36" i="39" s="1"/>
  <c r="M39" i="39" s="1"/>
  <c r="M35" i="37"/>
  <c r="M35" i="36"/>
  <c r="M30" i="40" s="1"/>
  <c r="M35" i="31"/>
  <c r="M30" i="34" s="1"/>
  <c r="I35" i="30"/>
  <c r="G36" i="30" s="1"/>
  <c r="I36" i="30" s="1"/>
  <c r="I39" i="30" s="1"/>
  <c r="I35" i="31"/>
  <c r="G36" i="31" s="1"/>
  <c r="I36" i="31" s="1"/>
  <c r="I39" i="31" s="1"/>
  <c r="Q70" i="28"/>
  <c r="Q31" i="29"/>
  <c r="Q34" i="29" s="1"/>
  <c r="E35" i="39"/>
  <c r="E47" i="29"/>
  <c r="E50" i="29" s="1"/>
  <c r="E56" i="15"/>
  <c r="E58" i="15" s="1"/>
  <c r="E46" i="29"/>
  <c r="E49" i="29" s="1"/>
  <c r="E51" i="29" s="1"/>
  <c r="E35" i="36"/>
  <c r="C36" i="36" s="1"/>
  <c r="E36" i="36" s="1"/>
  <c r="Q70" i="37"/>
  <c r="Q68" i="36"/>
  <c r="Q70" i="36" s="1"/>
  <c r="Q59" i="40"/>
  <c r="Q62" i="40" s="1"/>
  <c r="E35" i="30"/>
  <c r="Q32" i="40"/>
  <c r="Q35" i="40" s="1"/>
  <c r="Q37" i="40" s="1"/>
  <c r="I30" i="40"/>
  <c r="Q60" i="40"/>
  <c r="Q63" i="40" s="1"/>
  <c r="E35" i="32"/>
  <c r="C36" i="32" s="1"/>
  <c r="E36" i="32" s="1"/>
  <c r="E39" i="32" s="1"/>
  <c r="Q22" i="15"/>
  <c r="Q16" i="29" s="1"/>
  <c r="E56" i="30"/>
  <c r="E45" i="34"/>
  <c r="E48" i="34" s="1"/>
  <c r="Q37" i="23"/>
  <c r="Q40" i="23" s="1"/>
  <c r="Q42" i="23" s="1"/>
  <c r="Q42" i="22"/>
  <c r="O22" i="31"/>
  <c r="Q22" i="31" s="1"/>
  <c r="Q25" i="31" s="1"/>
  <c r="Q74" i="31" s="1"/>
  <c r="O65" i="20"/>
  <c r="Q65" i="20" s="1"/>
  <c r="Q68" i="20" s="1"/>
  <c r="Q70" i="20" s="1"/>
  <c r="O65" i="19"/>
  <c r="Q65" i="19" s="1"/>
  <c r="Q68" i="19" s="1"/>
  <c r="Q70" i="19" s="1"/>
  <c r="O67" i="15"/>
  <c r="Q67" i="15" s="1"/>
  <c r="Q70" i="15" s="1"/>
  <c r="O65" i="21"/>
  <c r="Q65" i="21" s="1"/>
  <c r="Q68" i="21" s="1"/>
  <c r="O39" i="15"/>
  <c r="Q39" i="15" s="1"/>
  <c r="Q42" i="15" s="1"/>
  <c r="O37" i="21"/>
  <c r="Q37" i="21" s="1"/>
  <c r="Q40" i="21" s="1"/>
  <c r="O37" i="20"/>
  <c r="Q37" i="20" s="1"/>
  <c r="Q40" i="20" s="1"/>
  <c r="O59" i="30"/>
  <c r="O45" i="30"/>
  <c r="O22" i="32"/>
  <c r="Q22" i="32" s="1"/>
  <c r="Q25" i="32" s="1"/>
  <c r="Q74" i="32" s="1"/>
  <c r="O22" i="26"/>
  <c r="Q22" i="26" s="1"/>
  <c r="Q25" i="26" s="1"/>
  <c r="Q74" i="26" s="1"/>
  <c r="O22" i="25"/>
  <c r="Q22" i="25" s="1"/>
  <c r="Q25" i="25" s="1"/>
  <c r="Q74" i="25" s="1"/>
  <c r="C54" i="40"/>
  <c r="C40" i="40"/>
  <c r="G54" i="40"/>
  <c r="G40" i="40"/>
  <c r="K54" i="40"/>
  <c r="K40" i="40"/>
  <c r="K59" i="39"/>
  <c r="K45" i="39"/>
  <c r="C59" i="39"/>
  <c r="C45" i="39"/>
  <c r="G59" i="39"/>
  <c r="G45" i="39"/>
  <c r="K59" i="38"/>
  <c r="K45" i="38"/>
  <c r="C59" i="38"/>
  <c r="C45" i="38"/>
  <c r="G59" i="38"/>
  <c r="G45" i="38"/>
  <c r="B58" i="38"/>
  <c r="B72" i="38" s="1"/>
  <c r="G59" i="37"/>
  <c r="G45" i="37"/>
  <c r="K59" i="37"/>
  <c r="K45" i="37"/>
  <c r="C59" i="37"/>
  <c r="C45" i="37"/>
  <c r="C59" i="36"/>
  <c r="C45" i="36"/>
  <c r="G59" i="36"/>
  <c r="G45" i="36"/>
  <c r="K59" i="36"/>
  <c r="K45" i="36"/>
  <c r="C53" i="34"/>
  <c r="C40" i="34"/>
  <c r="G53" i="34"/>
  <c r="G40" i="34"/>
  <c r="K53" i="34"/>
  <c r="K40" i="34"/>
  <c r="K59" i="32"/>
  <c r="K45" i="32"/>
  <c r="G59" i="32"/>
  <c r="G45" i="32"/>
  <c r="K59" i="31"/>
  <c r="K45" i="31"/>
  <c r="G59" i="31"/>
  <c r="G45" i="31"/>
  <c r="C64" i="31"/>
  <c r="E64" i="31" s="1"/>
  <c r="E67" i="31" s="1"/>
  <c r="G59" i="30"/>
  <c r="K59" i="30"/>
  <c r="O66" i="21"/>
  <c r="Q66" i="21" s="1"/>
  <c r="Q69" i="21" s="1"/>
  <c r="O38" i="21"/>
  <c r="Q38" i="21" s="1"/>
  <c r="Q41" i="21" s="1"/>
  <c r="O68" i="15"/>
  <c r="Q68" i="15" s="1"/>
  <c r="Q71" i="15" s="1"/>
  <c r="O40" i="15"/>
  <c r="Q40" i="15" s="1"/>
  <c r="Q43" i="15" s="1"/>
  <c r="K64" i="39"/>
  <c r="M64" i="39" s="1"/>
  <c r="M67" i="39" s="1"/>
  <c r="B58" i="39"/>
  <c r="B72" i="39" s="1"/>
  <c r="C64" i="39"/>
  <c r="E64" i="39" s="1"/>
  <c r="E67" i="39" s="1"/>
  <c r="K36" i="38"/>
  <c r="M36" i="38" s="1"/>
  <c r="M39" i="38" s="1"/>
  <c r="K64" i="38"/>
  <c r="M64" i="38" s="1"/>
  <c r="M67" i="38" s="1"/>
  <c r="C64" i="38"/>
  <c r="E64" i="38" s="1"/>
  <c r="E67" i="38" s="1"/>
  <c r="K36" i="37"/>
  <c r="M36" i="37" s="1"/>
  <c r="M39" i="37" s="1"/>
  <c r="G36" i="37"/>
  <c r="I36" i="37" s="1"/>
  <c r="I39" i="37" s="1"/>
  <c r="C64" i="37"/>
  <c r="E64" i="37" s="1"/>
  <c r="E67" i="37" s="1"/>
  <c r="K36" i="36"/>
  <c r="M36" i="36" s="1"/>
  <c r="G36" i="36"/>
  <c r="I36" i="36" s="1"/>
  <c r="C64" i="36"/>
  <c r="E64" i="36" s="1"/>
  <c r="G36" i="32"/>
  <c r="I36" i="32" s="1"/>
  <c r="I39" i="32" s="1"/>
  <c r="K36" i="32"/>
  <c r="M36" i="32" s="1"/>
  <c r="M39" i="32" s="1"/>
  <c r="G20" i="31"/>
  <c r="I20" i="31" s="1"/>
  <c r="C36" i="31"/>
  <c r="E36" i="31" s="1"/>
  <c r="E39" i="31" s="1"/>
  <c r="C20" i="36"/>
  <c r="E20" i="36" s="1"/>
  <c r="K20" i="38"/>
  <c r="M20" i="38" s="1"/>
  <c r="G36" i="39"/>
  <c r="I36" i="39" s="1"/>
  <c r="I39" i="39" s="1"/>
  <c r="K20" i="32"/>
  <c r="M20" i="32" s="1"/>
  <c r="C20" i="30"/>
  <c r="E20" i="30" s="1"/>
  <c r="K20" i="36"/>
  <c r="M20" i="36" s="1"/>
  <c r="K20" i="30"/>
  <c r="M20" i="30" s="1"/>
  <c r="G36" i="38"/>
  <c r="I36" i="38" s="1"/>
  <c r="I39" i="38" s="1"/>
  <c r="G64" i="39"/>
  <c r="I64" i="39" s="1"/>
  <c r="I67" i="39" s="1"/>
  <c r="G64" i="38"/>
  <c r="I64" i="38" s="1"/>
  <c r="I67" i="38" s="1"/>
  <c r="C36" i="37"/>
  <c r="E36" i="37" s="1"/>
  <c r="E39" i="37" s="1"/>
  <c r="G64" i="37"/>
  <c r="I64" i="37" s="1"/>
  <c r="I67" i="37" s="1"/>
  <c r="G64" i="36"/>
  <c r="I64" i="36" s="1"/>
  <c r="K64" i="36"/>
  <c r="M64" i="36" s="1"/>
  <c r="K20" i="31"/>
  <c r="M20" i="31" s="1"/>
  <c r="C64" i="32"/>
  <c r="E64" i="32" s="1"/>
  <c r="E67" i="32" s="1"/>
  <c r="G64" i="31"/>
  <c r="I64" i="31" s="1"/>
  <c r="I67" i="31" s="1"/>
  <c r="O35" i="30"/>
  <c r="Q35" i="30" s="1"/>
  <c r="Q30" i="34" s="1"/>
  <c r="G64" i="30"/>
  <c r="I64" i="30" s="1"/>
  <c r="I67" i="30" s="1"/>
  <c r="O64" i="30"/>
  <c r="Q64" i="30" s="1"/>
  <c r="Q67" i="30" s="1"/>
  <c r="K64" i="30"/>
  <c r="M64" i="30" s="1"/>
  <c r="M67" i="30" s="1"/>
  <c r="Q56" i="20" l="1"/>
  <c r="Q51" i="29"/>
  <c r="M56" i="34"/>
  <c r="M51" i="29"/>
  <c r="I30" i="34"/>
  <c r="E30" i="34"/>
  <c r="E30" i="40"/>
  <c r="I67" i="36"/>
  <c r="I58" i="40"/>
  <c r="I61" i="40" s="1"/>
  <c r="E39" i="36"/>
  <c r="M67" i="36"/>
  <c r="M39" i="36"/>
  <c r="M31" i="40"/>
  <c r="M34" i="40" s="1"/>
  <c r="C36" i="30"/>
  <c r="E36" i="30" s="1"/>
  <c r="E39" i="30" s="1"/>
  <c r="E67" i="36"/>
  <c r="E58" i="40"/>
  <c r="I39" i="36"/>
  <c r="I31" i="40"/>
  <c r="I34" i="40" s="1"/>
  <c r="O23" i="15"/>
  <c r="M16" i="34"/>
  <c r="E56" i="32"/>
  <c r="E46" i="34"/>
  <c r="E49" i="34" s="1"/>
  <c r="Q57" i="34"/>
  <c r="Q60" i="34" s="1"/>
  <c r="I31" i="34"/>
  <c r="I34" i="34" s="1"/>
  <c r="Q70" i="21"/>
  <c r="Q60" i="29"/>
  <c r="Q63" i="29" s="1"/>
  <c r="Q59" i="29"/>
  <c r="Q62" i="29" s="1"/>
  <c r="Q50" i="34"/>
  <c r="M50" i="34"/>
  <c r="Q72" i="15"/>
  <c r="Q42" i="20"/>
  <c r="Q44" i="15"/>
  <c r="O22" i="28"/>
  <c r="Q22" i="28" s="1"/>
  <c r="Q25" i="28" s="1"/>
  <c r="Q74" i="28" s="1"/>
  <c r="O22" i="27"/>
  <c r="Q22" i="27" s="1"/>
  <c r="Q25" i="27" s="1"/>
  <c r="Q74" i="27" s="1"/>
  <c r="O22" i="24"/>
  <c r="Q22" i="24" s="1"/>
  <c r="Q25" i="24" s="1"/>
  <c r="Q74" i="24" s="1"/>
  <c r="O22" i="23"/>
  <c r="Q22" i="23" s="1"/>
  <c r="Q25" i="23" s="1"/>
  <c r="Q74" i="23" s="1"/>
  <c r="O22" i="22"/>
  <c r="Q22" i="22" s="1"/>
  <c r="Q25" i="22" s="1"/>
  <c r="Q74" i="22" s="1"/>
  <c r="Q42" i="21"/>
  <c r="O22" i="21"/>
  <c r="Q22" i="21" s="1"/>
  <c r="Q25" i="21" s="1"/>
  <c r="Q74" i="21" s="1"/>
  <c r="O22" i="20"/>
  <c r="Q22" i="20" s="1"/>
  <c r="Q25" i="20" s="1"/>
  <c r="Q74" i="20" s="1"/>
  <c r="O22" i="19"/>
  <c r="Q22" i="19" s="1"/>
  <c r="Q25" i="19" s="1"/>
  <c r="Q74" i="19" s="1"/>
  <c r="O22" i="39"/>
  <c r="Q22" i="39" s="1"/>
  <c r="Q25" i="39" s="1"/>
  <c r="Q74" i="39" s="1"/>
  <c r="O22" i="38"/>
  <c r="Q22" i="38" s="1"/>
  <c r="Q25" i="38" s="1"/>
  <c r="Q74" i="38" s="1"/>
  <c r="O22" i="37"/>
  <c r="Q22" i="37" s="1"/>
  <c r="Q25" i="37" s="1"/>
  <c r="Q74" i="37" s="1"/>
  <c r="O23" i="31"/>
  <c r="Q23" i="31" s="1"/>
  <c r="Q26" i="31" s="1"/>
  <c r="Q75" i="31" s="1"/>
  <c r="K65" i="32"/>
  <c r="M65" i="32" s="1"/>
  <c r="M68" i="32" s="1"/>
  <c r="O37" i="19"/>
  <c r="Q37" i="19" s="1"/>
  <c r="Q40" i="19" s="1"/>
  <c r="G38" i="36"/>
  <c r="I38" i="36" s="1"/>
  <c r="O21" i="36"/>
  <c r="Q21" i="36" s="1"/>
  <c r="Q17" i="40" s="1"/>
  <c r="O24" i="31"/>
  <c r="Q24" i="31" s="1"/>
  <c r="Q27" i="31" s="1"/>
  <c r="Q76" i="31" s="1"/>
  <c r="Q64" i="40"/>
  <c r="O38" i="19"/>
  <c r="Q38" i="19" s="1"/>
  <c r="Q41" i="19" s="1"/>
  <c r="G38" i="37"/>
  <c r="I38" i="37" s="1"/>
  <c r="I41" i="37" s="1"/>
  <c r="C20" i="39"/>
  <c r="E20" i="39" s="1"/>
  <c r="K20" i="39"/>
  <c r="M20" i="39" s="1"/>
  <c r="C36" i="39"/>
  <c r="E36" i="39" s="1"/>
  <c r="E39" i="39" s="1"/>
  <c r="G20" i="39"/>
  <c r="I20" i="39" s="1"/>
  <c r="C36" i="38"/>
  <c r="E36" i="38" s="1"/>
  <c r="E39" i="38" s="1"/>
  <c r="K21" i="38"/>
  <c r="M21" i="38" s="1"/>
  <c r="C20" i="38"/>
  <c r="E20" i="38" s="1"/>
  <c r="G20" i="38"/>
  <c r="I20" i="38" s="1"/>
  <c r="G20" i="37"/>
  <c r="I20" i="37" s="1"/>
  <c r="K64" i="37"/>
  <c r="M64" i="37" s="1"/>
  <c r="M67" i="37" s="1"/>
  <c r="C38" i="37"/>
  <c r="E38" i="37" s="1"/>
  <c r="E41" i="37" s="1"/>
  <c r="C20" i="37"/>
  <c r="E20" i="37" s="1"/>
  <c r="K20" i="37"/>
  <c r="M20" i="37" s="1"/>
  <c r="K66" i="36"/>
  <c r="M66" i="36" s="1"/>
  <c r="G20" i="36"/>
  <c r="I20" i="36" s="1"/>
  <c r="G66" i="36"/>
  <c r="I66" i="36" s="1"/>
  <c r="C21" i="36"/>
  <c r="E21" i="36" s="1"/>
  <c r="K21" i="36"/>
  <c r="M21" i="36" s="1"/>
  <c r="C20" i="32"/>
  <c r="E20" i="32" s="1"/>
  <c r="K66" i="32"/>
  <c r="M66" i="32" s="1"/>
  <c r="M69" i="32" s="1"/>
  <c r="G20" i="32"/>
  <c r="I20" i="32" s="1"/>
  <c r="G64" i="32"/>
  <c r="I64" i="32" s="1"/>
  <c r="I67" i="32" s="1"/>
  <c r="K21" i="32"/>
  <c r="M21" i="32" s="1"/>
  <c r="K36" i="31"/>
  <c r="M36" i="31" s="1"/>
  <c r="M39" i="31" s="1"/>
  <c r="K64" i="31"/>
  <c r="M64" i="31" s="1"/>
  <c r="M67" i="31" s="1"/>
  <c r="C20" i="31"/>
  <c r="E20" i="31" s="1"/>
  <c r="G21" i="31"/>
  <c r="I21" i="31" s="1"/>
  <c r="K21" i="31"/>
  <c r="M21" i="31" s="1"/>
  <c r="K36" i="30"/>
  <c r="M36" i="30" s="1"/>
  <c r="M39" i="30" s="1"/>
  <c r="O20" i="30"/>
  <c r="Q20" i="30" s="1"/>
  <c r="Q16" i="34" s="1"/>
  <c r="G20" i="30"/>
  <c r="I20" i="30" s="1"/>
  <c r="C64" i="30"/>
  <c r="E64" i="30" s="1"/>
  <c r="E67" i="30" s="1"/>
  <c r="M16" i="40" l="1"/>
  <c r="E31" i="34"/>
  <c r="E34" i="34" s="1"/>
  <c r="I16" i="34"/>
  <c r="M58" i="40"/>
  <c r="M61" i="40" s="1"/>
  <c r="O23" i="22"/>
  <c r="Q23" i="22" s="1"/>
  <c r="Q26" i="22" s="1"/>
  <c r="Q75" i="22" s="1"/>
  <c r="I16" i="40"/>
  <c r="M69" i="36"/>
  <c r="M57" i="34"/>
  <c r="M60" i="34" s="1"/>
  <c r="E16" i="40"/>
  <c r="E31" i="40"/>
  <c r="E34" i="40" s="1"/>
  <c r="I69" i="36"/>
  <c r="E16" i="34"/>
  <c r="I41" i="36"/>
  <c r="Q32" i="29"/>
  <c r="Q35" i="29" s="1"/>
  <c r="Q33" i="29"/>
  <c r="Q36" i="29" s="1"/>
  <c r="Q23" i="15"/>
  <c r="O24" i="15" s="1"/>
  <c r="E50" i="34"/>
  <c r="Q28" i="31"/>
  <c r="I57" i="34"/>
  <c r="I60" i="34" s="1"/>
  <c r="E57" i="34"/>
  <c r="E60" i="34" s="1"/>
  <c r="M31" i="34"/>
  <c r="M34" i="34" s="1"/>
  <c r="Q64" i="29"/>
  <c r="O23" i="38"/>
  <c r="Q23" i="38" s="1"/>
  <c r="Q26" i="38" s="1"/>
  <c r="Q75" i="38" s="1"/>
  <c r="O24" i="38"/>
  <c r="Q24" i="38" s="1"/>
  <c r="Q27" i="38" s="1"/>
  <c r="Q76" i="38" s="1"/>
  <c r="O24" i="27"/>
  <c r="Q24" i="27" s="1"/>
  <c r="Q27" i="27" s="1"/>
  <c r="Q76" i="27" s="1"/>
  <c r="O24" i="22"/>
  <c r="Q24" i="22" s="1"/>
  <c r="Q27" i="22" s="1"/>
  <c r="Q76" i="22" s="1"/>
  <c r="O23" i="21"/>
  <c r="Q23" i="21" s="1"/>
  <c r="Q26" i="21" s="1"/>
  <c r="Q75" i="21" s="1"/>
  <c r="O24" i="28"/>
  <c r="Q24" i="28" s="1"/>
  <c r="Q27" i="28" s="1"/>
  <c r="Q76" i="28" s="1"/>
  <c r="O23" i="27"/>
  <c r="Q23" i="27" s="1"/>
  <c r="Q26" i="27" s="1"/>
  <c r="Q75" i="27" s="1"/>
  <c r="O24" i="24"/>
  <c r="Q24" i="24" s="1"/>
  <c r="Q27" i="24" s="1"/>
  <c r="Q76" i="24" s="1"/>
  <c r="O24" i="23"/>
  <c r="Q24" i="23" s="1"/>
  <c r="Q27" i="23" s="1"/>
  <c r="Q76" i="23" s="1"/>
  <c r="O24" i="21"/>
  <c r="Q24" i="21" s="1"/>
  <c r="Q27" i="21" s="1"/>
  <c r="Q76" i="21" s="1"/>
  <c r="O24" i="20"/>
  <c r="Q24" i="20" s="1"/>
  <c r="Q27" i="20" s="1"/>
  <c r="Q76" i="20" s="1"/>
  <c r="Q42" i="19"/>
  <c r="O23" i="19"/>
  <c r="Q23" i="19" s="1"/>
  <c r="Q26" i="19" s="1"/>
  <c r="Q75" i="19" s="1"/>
  <c r="O24" i="19"/>
  <c r="Q24" i="19" s="1"/>
  <c r="Q27" i="19" s="1"/>
  <c r="Q76" i="19" s="1"/>
  <c r="O24" i="37"/>
  <c r="Q24" i="37" s="1"/>
  <c r="Q27" i="37" s="1"/>
  <c r="Q76" i="37" s="1"/>
  <c r="O22" i="36"/>
  <c r="Q22" i="36" s="1"/>
  <c r="C66" i="32"/>
  <c r="E66" i="32" s="1"/>
  <c r="E69" i="32" s="1"/>
  <c r="C38" i="32"/>
  <c r="E38" i="32" s="1"/>
  <c r="E41" i="32" s="1"/>
  <c r="K66" i="39"/>
  <c r="M66" i="39" s="1"/>
  <c r="M69" i="39" s="1"/>
  <c r="K66" i="38"/>
  <c r="M66" i="38" s="1"/>
  <c r="M69" i="38" s="1"/>
  <c r="G37" i="36"/>
  <c r="I37" i="36" s="1"/>
  <c r="O24" i="32"/>
  <c r="Q24" i="32" s="1"/>
  <c r="Q27" i="32" s="1"/>
  <c r="Q76" i="32" s="1"/>
  <c r="K38" i="32"/>
  <c r="M38" i="32" s="1"/>
  <c r="M41" i="32" s="1"/>
  <c r="C38" i="31"/>
  <c r="E38" i="31" s="1"/>
  <c r="E41" i="31" s="1"/>
  <c r="C37" i="31"/>
  <c r="E37" i="31" s="1"/>
  <c r="E40" i="31" s="1"/>
  <c r="K65" i="30"/>
  <c r="M65" i="30" s="1"/>
  <c r="M68" i="30" s="1"/>
  <c r="G65" i="39"/>
  <c r="I65" i="39" s="1"/>
  <c r="I68" i="39" s="1"/>
  <c r="G65" i="30"/>
  <c r="I65" i="30" s="1"/>
  <c r="I68" i="30" s="1"/>
  <c r="G65" i="38"/>
  <c r="I65" i="38" s="1"/>
  <c r="I68" i="38" s="1"/>
  <c r="C65" i="37"/>
  <c r="E65" i="37" s="1"/>
  <c r="E68" i="37" s="1"/>
  <c r="O65" i="30"/>
  <c r="Q65" i="30" s="1"/>
  <c r="Q68" i="30" s="1"/>
  <c r="K65" i="38"/>
  <c r="M65" i="38" s="1"/>
  <c r="M68" i="38" s="1"/>
  <c r="K65" i="36"/>
  <c r="K65" i="39"/>
  <c r="M65" i="39" s="1"/>
  <c r="M68" i="39" s="1"/>
  <c r="G65" i="37"/>
  <c r="I65" i="37" s="1"/>
  <c r="I68" i="37" s="1"/>
  <c r="G65" i="31"/>
  <c r="I65" i="31" s="1"/>
  <c r="I68" i="31" s="1"/>
  <c r="G65" i="36"/>
  <c r="C65" i="31"/>
  <c r="E65" i="31" s="1"/>
  <c r="E68" i="31" s="1"/>
  <c r="C65" i="32"/>
  <c r="E65" i="32" s="1"/>
  <c r="E68" i="32" s="1"/>
  <c r="C65" i="39"/>
  <c r="E65" i="39" s="1"/>
  <c r="E68" i="39" s="1"/>
  <c r="C65" i="36"/>
  <c r="E65" i="36" s="1"/>
  <c r="C65" i="38"/>
  <c r="E65" i="38" s="1"/>
  <c r="E68" i="38" s="1"/>
  <c r="K37" i="39"/>
  <c r="M37" i="39" s="1"/>
  <c r="M40" i="39" s="1"/>
  <c r="G37" i="31"/>
  <c r="I37" i="31" s="1"/>
  <c r="I40" i="31" s="1"/>
  <c r="G37" i="32"/>
  <c r="I37" i="32" s="1"/>
  <c r="I40" i="32" s="1"/>
  <c r="G37" i="37"/>
  <c r="C37" i="30"/>
  <c r="E37" i="30" s="1"/>
  <c r="E40" i="30" s="1"/>
  <c r="K37" i="37"/>
  <c r="K37" i="38"/>
  <c r="M37" i="38" s="1"/>
  <c r="M40" i="38" s="1"/>
  <c r="K37" i="36"/>
  <c r="M37" i="36" s="1"/>
  <c r="K37" i="32"/>
  <c r="M37" i="32" s="1"/>
  <c r="M40" i="32" s="1"/>
  <c r="G37" i="39"/>
  <c r="I37" i="39" s="1"/>
  <c r="I40" i="39" s="1"/>
  <c r="G37" i="30"/>
  <c r="I37" i="30" s="1"/>
  <c r="I40" i="30" s="1"/>
  <c r="G37" i="38"/>
  <c r="I37" i="38" s="1"/>
  <c r="I40" i="38" s="1"/>
  <c r="C37" i="32"/>
  <c r="E37" i="32" s="1"/>
  <c r="E40" i="32" s="1"/>
  <c r="C37" i="36"/>
  <c r="E37" i="36" s="1"/>
  <c r="C37" i="37"/>
  <c r="E37" i="37" s="1"/>
  <c r="E40" i="37" s="1"/>
  <c r="O23" i="26"/>
  <c r="Q23" i="26" s="1"/>
  <c r="Q26" i="26" s="1"/>
  <c r="Q75" i="26" s="1"/>
  <c r="O23" i="25"/>
  <c r="Q23" i="25" s="1"/>
  <c r="Q26" i="25" s="1"/>
  <c r="Q75" i="25" s="1"/>
  <c r="O23" i="32"/>
  <c r="Q23" i="32" s="1"/>
  <c r="Q26" i="32" s="1"/>
  <c r="Q75" i="32" s="1"/>
  <c r="O24" i="25"/>
  <c r="Q24" i="25" s="1"/>
  <c r="Q27" i="25" s="1"/>
  <c r="Q76" i="25" s="1"/>
  <c r="O24" i="26"/>
  <c r="Q24" i="26" s="1"/>
  <c r="Q27" i="26" s="1"/>
  <c r="Q76" i="26" s="1"/>
  <c r="G66" i="38"/>
  <c r="I66" i="38" s="1"/>
  <c r="I69" i="38" s="1"/>
  <c r="M70" i="32"/>
  <c r="C66" i="39"/>
  <c r="E66" i="39" s="1"/>
  <c r="E69" i="39" s="1"/>
  <c r="G66" i="39"/>
  <c r="I66" i="39" s="1"/>
  <c r="I69" i="39" s="1"/>
  <c r="C66" i="38"/>
  <c r="E66" i="38" s="1"/>
  <c r="E69" i="38" s="1"/>
  <c r="C66" i="36"/>
  <c r="E66" i="36" s="1"/>
  <c r="G66" i="30"/>
  <c r="I66" i="30" s="1"/>
  <c r="I69" i="30" s="1"/>
  <c r="O66" i="30"/>
  <c r="Q66" i="30" s="1"/>
  <c r="Q69" i="30" s="1"/>
  <c r="K66" i="30"/>
  <c r="M66" i="30" s="1"/>
  <c r="M69" i="30" s="1"/>
  <c r="G38" i="30"/>
  <c r="I38" i="30" s="1"/>
  <c r="I41" i="30" s="1"/>
  <c r="G38" i="31"/>
  <c r="I38" i="31" s="1"/>
  <c r="I41" i="31" s="1"/>
  <c r="K38" i="39"/>
  <c r="M38" i="39" s="1"/>
  <c r="M41" i="39" s="1"/>
  <c r="G38" i="32"/>
  <c r="I38" i="32" s="1"/>
  <c r="I41" i="32" s="1"/>
  <c r="G38" i="38"/>
  <c r="I38" i="38" s="1"/>
  <c r="I41" i="38" s="1"/>
  <c r="C38" i="30"/>
  <c r="E38" i="30" s="1"/>
  <c r="E41" i="30" s="1"/>
  <c r="K21" i="39"/>
  <c r="M21" i="39" s="1"/>
  <c r="C21" i="39"/>
  <c r="E21" i="39" s="1"/>
  <c r="G38" i="39"/>
  <c r="I38" i="39" s="1"/>
  <c r="I41" i="39" s="1"/>
  <c r="G21" i="39"/>
  <c r="I21" i="39" s="1"/>
  <c r="K22" i="38"/>
  <c r="M22" i="38" s="1"/>
  <c r="M25" i="38" s="1"/>
  <c r="M74" i="38" s="1"/>
  <c r="G21" i="38"/>
  <c r="I21" i="38" s="1"/>
  <c r="K38" i="38"/>
  <c r="M38" i="38" s="1"/>
  <c r="M41" i="38" s="1"/>
  <c r="K21" i="37"/>
  <c r="M21" i="37" s="1"/>
  <c r="C66" i="37"/>
  <c r="E66" i="37" s="1"/>
  <c r="E69" i="37" s="1"/>
  <c r="G66" i="37"/>
  <c r="I66" i="37" s="1"/>
  <c r="I69" i="37" s="1"/>
  <c r="C21" i="37"/>
  <c r="E21" i="37" s="1"/>
  <c r="K38" i="37"/>
  <c r="M38" i="37" s="1"/>
  <c r="M41" i="37" s="1"/>
  <c r="G21" i="37"/>
  <c r="I21" i="37" s="1"/>
  <c r="C22" i="36"/>
  <c r="E22" i="36" s="1"/>
  <c r="K22" i="36"/>
  <c r="M22" i="36" s="1"/>
  <c r="K38" i="36"/>
  <c r="M38" i="36" s="1"/>
  <c r="C38" i="36"/>
  <c r="E38" i="36" s="1"/>
  <c r="G21" i="36"/>
  <c r="I21" i="36" s="1"/>
  <c r="G21" i="32"/>
  <c r="I21" i="32" s="1"/>
  <c r="K22" i="32"/>
  <c r="M22" i="32" s="1"/>
  <c r="M25" i="32" s="1"/>
  <c r="M74" i="32" s="1"/>
  <c r="G22" i="31"/>
  <c r="I22" i="31" s="1"/>
  <c r="I25" i="31" s="1"/>
  <c r="I74" i="31" s="1"/>
  <c r="G66" i="31"/>
  <c r="I66" i="31" s="1"/>
  <c r="I69" i="31" s="1"/>
  <c r="K22" i="31"/>
  <c r="M22" i="31" s="1"/>
  <c r="M25" i="31" s="1"/>
  <c r="M74" i="31" s="1"/>
  <c r="C66" i="31"/>
  <c r="E66" i="31" s="1"/>
  <c r="E69" i="31" s="1"/>
  <c r="C21" i="31"/>
  <c r="E21" i="31" s="1"/>
  <c r="G21" i="30"/>
  <c r="I21" i="30" s="1"/>
  <c r="O36" i="30"/>
  <c r="Q36" i="30" s="1"/>
  <c r="Q39" i="30" s="1"/>
  <c r="K21" i="30"/>
  <c r="M21" i="30" s="1"/>
  <c r="C21" i="30"/>
  <c r="E21" i="30" s="1"/>
  <c r="E70" i="38" l="1"/>
  <c r="Q77" i="38"/>
  <c r="R10" i="35" s="1"/>
  <c r="S10" i="35" s="1"/>
  <c r="I70" i="39"/>
  <c r="Q24" i="15"/>
  <c r="Q18" i="29" s="1"/>
  <c r="I60" i="40"/>
  <c r="I63" i="40" s="1"/>
  <c r="M40" i="36"/>
  <c r="M42" i="36" s="1"/>
  <c r="M70" i="39"/>
  <c r="E68" i="36"/>
  <c r="E59" i="40"/>
  <c r="E62" i="40" s="1"/>
  <c r="M17" i="40"/>
  <c r="Q37" i="29"/>
  <c r="M41" i="36"/>
  <c r="M33" i="40"/>
  <c r="M36" i="40" s="1"/>
  <c r="E69" i="36"/>
  <c r="E60" i="40"/>
  <c r="E63" i="40" s="1"/>
  <c r="E70" i="37"/>
  <c r="I33" i="40"/>
  <c r="I36" i="40" s="1"/>
  <c r="I40" i="36"/>
  <c r="I42" i="36" s="1"/>
  <c r="E41" i="36"/>
  <c r="E40" i="36"/>
  <c r="E42" i="36" s="1"/>
  <c r="Q17" i="29"/>
  <c r="Q27" i="15"/>
  <c r="Q76" i="15" s="1"/>
  <c r="I17" i="40"/>
  <c r="Q25" i="36"/>
  <c r="Q74" i="36" s="1"/>
  <c r="Q18" i="40"/>
  <c r="Q21" i="40" s="1"/>
  <c r="Q68" i="40" s="1"/>
  <c r="M25" i="36"/>
  <c r="M74" i="36" s="1"/>
  <c r="E25" i="36"/>
  <c r="E74" i="36" s="1"/>
  <c r="Q77" i="31"/>
  <c r="R9" i="33" s="1"/>
  <c r="S9" i="33" s="1"/>
  <c r="Q77" i="32"/>
  <c r="Q31" i="34"/>
  <c r="Q34" i="34" s="1"/>
  <c r="I33" i="34"/>
  <c r="I36" i="34" s="1"/>
  <c r="Q58" i="34"/>
  <c r="Q61" i="34" s="1"/>
  <c r="I17" i="34"/>
  <c r="I32" i="34"/>
  <c r="I35" i="34" s="1"/>
  <c r="E32" i="34"/>
  <c r="E35" i="34" s="1"/>
  <c r="E42" i="30"/>
  <c r="Q59" i="34"/>
  <c r="Q62" i="34" s="1"/>
  <c r="E33" i="34"/>
  <c r="E36" i="34" s="1"/>
  <c r="M17" i="34"/>
  <c r="Q28" i="21"/>
  <c r="Q77" i="21"/>
  <c r="R11" i="52" s="1"/>
  <c r="S11" i="52" s="1"/>
  <c r="E61" i="40"/>
  <c r="Q28" i="27"/>
  <c r="Q77" i="26"/>
  <c r="R16" i="52" s="1"/>
  <c r="S16" i="52" s="1"/>
  <c r="Q28" i="26"/>
  <c r="Q77" i="25"/>
  <c r="R15" i="52" s="1"/>
  <c r="S15" i="52" s="1"/>
  <c r="Q28" i="25"/>
  <c r="Q28" i="22"/>
  <c r="Q28" i="19"/>
  <c r="I42" i="39"/>
  <c r="M42" i="39"/>
  <c r="I25" i="39"/>
  <c r="I74" i="39" s="1"/>
  <c r="E70" i="39"/>
  <c r="I70" i="38"/>
  <c r="M42" i="38"/>
  <c r="I42" i="38"/>
  <c r="Q28" i="38"/>
  <c r="M70" i="38"/>
  <c r="I37" i="37"/>
  <c r="I40" i="37" s="1"/>
  <c r="I42" i="37" s="1"/>
  <c r="I70" i="37"/>
  <c r="M37" i="37"/>
  <c r="M40" i="37" s="1"/>
  <c r="M42" i="37" s="1"/>
  <c r="M65" i="36"/>
  <c r="I65" i="36"/>
  <c r="Q77" i="22"/>
  <c r="R12" i="52" s="1"/>
  <c r="S12" i="52" s="1"/>
  <c r="Q77" i="19"/>
  <c r="R9" i="52" s="1"/>
  <c r="S9" i="52" s="1"/>
  <c r="O23" i="28"/>
  <c r="Q23" i="28" s="1"/>
  <c r="Q26" i="28" s="1"/>
  <c r="Q75" i="28" s="1"/>
  <c r="O23" i="24"/>
  <c r="Q23" i="24" s="1"/>
  <c r="Q26" i="24" s="1"/>
  <c r="Q75" i="24" s="1"/>
  <c r="O23" i="23"/>
  <c r="Q23" i="23" s="1"/>
  <c r="Q26" i="23" s="1"/>
  <c r="Q75" i="23" s="1"/>
  <c r="O23" i="20"/>
  <c r="Q23" i="20" s="1"/>
  <c r="Q26" i="20" s="1"/>
  <c r="Q75" i="20" s="1"/>
  <c r="O23" i="39"/>
  <c r="Q23" i="39" s="1"/>
  <c r="Q26" i="39" s="1"/>
  <c r="Q75" i="39" s="1"/>
  <c r="O24" i="39"/>
  <c r="Q24" i="39" s="1"/>
  <c r="Q27" i="39" s="1"/>
  <c r="Q76" i="39" s="1"/>
  <c r="O23" i="37"/>
  <c r="Q23" i="37" s="1"/>
  <c r="Q26" i="37" s="1"/>
  <c r="Q75" i="37" s="1"/>
  <c r="Q77" i="37" s="1"/>
  <c r="O24" i="36"/>
  <c r="Q24" i="36" s="1"/>
  <c r="I42" i="31"/>
  <c r="M42" i="32"/>
  <c r="O23" i="36"/>
  <c r="Q23" i="36" s="1"/>
  <c r="E42" i="31"/>
  <c r="E42" i="32"/>
  <c r="K65" i="37"/>
  <c r="M65" i="37" s="1"/>
  <c r="M68" i="37" s="1"/>
  <c r="K65" i="31"/>
  <c r="M65" i="31" s="1"/>
  <c r="M68" i="31" s="1"/>
  <c r="G65" i="32"/>
  <c r="I65" i="32" s="1"/>
  <c r="I68" i="32" s="1"/>
  <c r="C65" i="30"/>
  <c r="E65" i="30" s="1"/>
  <c r="E68" i="30" s="1"/>
  <c r="I42" i="32"/>
  <c r="K37" i="30"/>
  <c r="M37" i="30" s="1"/>
  <c r="M40" i="30" s="1"/>
  <c r="K37" i="31"/>
  <c r="M37" i="31" s="1"/>
  <c r="M40" i="31" s="1"/>
  <c r="I42" i="30"/>
  <c r="E42" i="37"/>
  <c r="C37" i="39"/>
  <c r="E37" i="39" s="1"/>
  <c r="E40" i="39" s="1"/>
  <c r="C37" i="38"/>
  <c r="E37" i="38" s="1"/>
  <c r="E40" i="38" s="1"/>
  <c r="E70" i="32"/>
  <c r="I70" i="31"/>
  <c r="E70" i="31"/>
  <c r="Q70" i="30"/>
  <c r="M70" i="30"/>
  <c r="I70" i="30"/>
  <c r="O21" i="30"/>
  <c r="Q21" i="30" s="1"/>
  <c r="G22" i="39"/>
  <c r="I22" i="39" s="1"/>
  <c r="C22" i="39"/>
  <c r="E22" i="39" s="1"/>
  <c r="E25" i="39" s="1"/>
  <c r="E74" i="39" s="1"/>
  <c r="K22" i="39"/>
  <c r="M22" i="39" s="1"/>
  <c r="M25" i="39" s="1"/>
  <c r="M74" i="39" s="1"/>
  <c r="C38" i="39"/>
  <c r="E38" i="39" s="1"/>
  <c r="E41" i="39" s="1"/>
  <c r="C21" i="38"/>
  <c r="E21" i="38" s="1"/>
  <c r="E17" i="40" s="1"/>
  <c r="G22" i="38"/>
  <c r="I22" i="38" s="1"/>
  <c r="I25" i="38" s="1"/>
  <c r="I74" i="38" s="1"/>
  <c r="C38" i="38"/>
  <c r="E38" i="38" s="1"/>
  <c r="E41" i="38" s="1"/>
  <c r="C22" i="37"/>
  <c r="E22" i="37" s="1"/>
  <c r="E25" i="37" s="1"/>
  <c r="E74" i="37" s="1"/>
  <c r="K22" i="37"/>
  <c r="M22" i="37" s="1"/>
  <c r="M25" i="37" s="1"/>
  <c r="M74" i="37" s="1"/>
  <c r="K66" i="37"/>
  <c r="M66" i="37" s="1"/>
  <c r="G22" i="36"/>
  <c r="I22" i="36" s="1"/>
  <c r="K24" i="32"/>
  <c r="M24" i="32" s="1"/>
  <c r="M27" i="32" s="1"/>
  <c r="M76" i="32" s="1"/>
  <c r="G22" i="32"/>
  <c r="I22" i="32" s="1"/>
  <c r="I25" i="32" s="1"/>
  <c r="I74" i="32" s="1"/>
  <c r="G66" i="32"/>
  <c r="I66" i="32" s="1"/>
  <c r="I69" i="32" s="1"/>
  <c r="C21" i="32"/>
  <c r="E21" i="32" s="1"/>
  <c r="G24" i="31"/>
  <c r="I24" i="31" s="1"/>
  <c r="I27" i="31" s="1"/>
  <c r="I76" i="31" s="1"/>
  <c r="K38" i="31"/>
  <c r="M38" i="31" s="1"/>
  <c r="M41" i="31" s="1"/>
  <c r="K66" i="31"/>
  <c r="M66" i="31" s="1"/>
  <c r="M69" i="31" s="1"/>
  <c r="K38" i="30"/>
  <c r="M38" i="30" s="1"/>
  <c r="M41" i="30" s="1"/>
  <c r="O37" i="30"/>
  <c r="Q37" i="30" s="1"/>
  <c r="Q40" i="30" s="1"/>
  <c r="K22" i="30"/>
  <c r="M22" i="30" s="1"/>
  <c r="M25" i="30" s="1"/>
  <c r="M74" i="30" s="1"/>
  <c r="G22" i="30"/>
  <c r="I22" i="30" s="1"/>
  <c r="I25" i="30" s="1"/>
  <c r="I74" i="30" s="1"/>
  <c r="C66" i="30"/>
  <c r="E66" i="30" s="1"/>
  <c r="E69" i="30" s="1"/>
  <c r="E42" i="38" l="1"/>
  <c r="Q21" i="29"/>
  <c r="Q68" i="29" s="1"/>
  <c r="E70" i="36"/>
  <c r="E33" i="40"/>
  <c r="E36" i="40" s="1"/>
  <c r="O26" i="15"/>
  <c r="Q26" i="15" s="1"/>
  <c r="O25" i="15"/>
  <c r="Q25" i="15" s="1"/>
  <c r="Q28" i="15" s="1"/>
  <c r="E32" i="40"/>
  <c r="E35" i="40" s="1"/>
  <c r="E37" i="40" s="1"/>
  <c r="M32" i="40"/>
  <c r="M35" i="40" s="1"/>
  <c r="M37" i="40" s="1"/>
  <c r="I68" i="36"/>
  <c r="I70" i="36" s="1"/>
  <c r="I59" i="40"/>
  <c r="I62" i="40" s="1"/>
  <c r="I64" i="40" s="1"/>
  <c r="M68" i="36"/>
  <c r="M70" i="36" s="1"/>
  <c r="M59" i="40"/>
  <c r="M62" i="40" s="1"/>
  <c r="I32" i="40"/>
  <c r="I35" i="40" s="1"/>
  <c r="I37" i="40" s="1"/>
  <c r="M69" i="37"/>
  <c r="M70" i="37" s="1"/>
  <c r="M60" i="40"/>
  <c r="M63" i="40" s="1"/>
  <c r="Q77" i="39"/>
  <c r="Q27" i="36"/>
  <c r="Q76" i="36" s="1"/>
  <c r="Q20" i="40"/>
  <c r="Q23" i="40" s="1"/>
  <c r="Q70" i="40" s="1"/>
  <c r="Q26" i="36"/>
  <c r="Q19" i="40"/>
  <c r="Q22" i="40" s="1"/>
  <c r="I25" i="36"/>
  <c r="I74" i="36" s="1"/>
  <c r="M18" i="40"/>
  <c r="M21" i="40" s="1"/>
  <c r="M68" i="40" s="1"/>
  <c r="M58" i="34"/>
  <c r="M61" i="34" s="1"/>
  <c r="Q28" i="32"/>
  <c r="E17" i="34"/>
  <c r="I58" i="34"/>
  <c r="I61" i="34" s="1"/>
  <c r="I59" i="34"/>
  <c r="I62" i="34" s="1"/>
  <c r="E37" i="34"/>
  <c r="M59" i="34"/>
  <c r="M62" i="34" s="1"/>
  <c r="M33" i="34"/>
  <c r="M36" i="34" s="1"/>
  <c r="E58" i="34"/>
  <c r="E61" i="34" s="1"/>
  <c r="I37" i="34"/>
  <c r="Q17" i="34"/>
  <c r="E59" i="34"/>
  <c r="E62" i="34" s="1"/>
  <c r="M32" i="34"/>
  <c r="M35" i="34" s="1"/>
  <c r="Q63" i="34"/>
  <c r="Q32" i="34"/>
  <c r="Q35" i="34" s="1"/>
  <c r="Q77" i="28"/>
  <c r="R18" i="52" s="1"/>
  <c r="S18" i="52" s="1"/>
  <c r="Q28" i="28"/>
  <c r="Q28" i="24"/>
  <c r="Q77" i="23"/>
  <c r="R13" i="52" s="1"/>
  <c r="S13" i="52" s="1"/>
  <c r="Q28" i="23"/>
  <c r="Q28" i="20"/>
  <c r="Q28" i="39"/>
  <c r="E42" i="39"/>
  <c r="Q28" i="37"/>
  <c r="Q77" i="27"/>
  <c r="R17" i="52" s="1"/>
  <c r="S17" i="52" s="1"/>
  <c r="Q77" i="24"/>
  <c r="R14" i="52" s="1"/>
  <c r="S14" i="52" s="1"/>
  <c r="Q77" i="20"/>
  <c r="C22" i="31"/>
  <c r="E22" i="31" s="1"/>
  <c r="E25" i="31" s="1"/>
  <c r="E74" i="31" s="1"/>
  <c r="R10" i="33"/>
  <c r="S10" i="33" s="1"/>
  <c r="K23" i="36"/>
  <c r="M23" i="36" s="1"/>
  <c r="G23" i="31"/>
  <c r="I23" i="31" s="1"/>
  <c r="I26" i="31" s="1"/>
  <c r="I75" i="31" s="1"/>
  <c r="K23" i="31"/>
  <c r="M23" i="31" s="1"/>
  <c r="M26" i="31" s="1"/>
  <c r="M75" i="31" s="1"/>
  <c r="M42" i="30"/>
  <c r="M42" i="31"/>
  <c r="K23" i="38"/>
  <c r="M23" i="38" s="1"/>
  <c r="M26" i="38" s="1"/>
  <c r="M75" i="38" s="1"/>
  <c r="C23" i="36"/>
  <c r="E23" i="36" s="1"/>
  <c r="K23" i="32"/>
  <c r="M23" i="32" s="1"/>
  <c r="M26" i="32" s="1"/>
  <c r="M75" i="32" s="1"/>
  <c r="E64" i="40"/>
  <c r="I70" i="32"/>
  <c r="M70" i="31"/>
  <c r="E70" i="30"/>
  <c r="O38" i="30"/>
  <c r="Q38" i="30" s="1"/>
  <c r="Q41" i="30" s="1"/>
  <c r="C24" i="36"/>
  <c r="E24" i="36" s="1"/>
  <c r="K24" i="38"/>
  <c r="M24" i="38" s="1"/>
  <c r="M27" i="38" s="1"/>
  <c r="M76" i="38" s="1"/>
  <c r="C22" i="38"/>
  <c r="E22" i="38" s="1"/>
  <c r="E18" i="40" s="1"/>
  <c r="G22" i="37"/>
  <c r="I22" i="37" s="1"/>
  <c r="I25" i="37" s="1"/>
  <c r="I74" i="37" s="1"/>
  <c r="K24" i="36"/>
  <c r="M24" i="36" s="1"/>
  <c r="G24" i="36"/>
  <c r="I24" i="36" s="1"/>
  <c r="K24" i="31"/>
  <c r="M24" i="31" s="1"/>
  <c r="M27" i="31" s="1"/>
  <c r="M76" i="31" s="1"/>
  <c r="G24" i="30"/>
  <c r="I24" i="30" s="1"/>
  <c r="I27" i="30" s="1"/>
  <c r="I76" i="30" s="1"/>
  <c r="C22" i="30"/>
  <c r="E22" i="30" s="1"/>
  <c r="E25" i="30" s="1"/>
  <c r="E74" i="30" s="1"/>
  <c r="E25" i="38" l="1"/>
  <c r="E74" i="38" s="1"/>
  <c r="M77" i="38"/>
  <c r="Q19" i="29"/>
  <c r="Q22" i="29" s="1"/>
  <c r="Q69" i="29" s="1"/>
  <c r="Q77" i="15"/>
  <c r="Q29" i="15"/>
  <c r="Q78" i="15" s="1"/>
  <c r="Q20" i="29"/>
  <c r="Q23" i="29" s="1"/>
  <c r="Q70" i="29" s="1"/>
  <c r="M64" i="40"/>
  <c r="Q69" i="40"/>
  <c r="Q71" i="40" s="1"/>
  <c r="Q24" i="40"/>
  <c r="Q75" i="36"/>
  <c r="Q77" i="36" s="1"/>
  <c r="R8" i="35" s="1"/>
  <c r="S8" i="35" s="1"/>
  <c r="Q28" i="36"/>
  <c r="M27" i="36"/>
  <c r="M76" i="36" s="1"/>
  <c r="M26" i="36"/>
  <c r="M75" i="36" s="1"/>
  <c r="I27" i="36"/>
  <c r="I76" i="36" s="1"/>
  <c r="E27" i="36"/>
  <c r="E76" i="36" s="1"/>
  <c r="E26" i="36"/>
  <c r="E75" i="36" s="1"/>
  <c r="I18" i="40"/>
  <c r="I21" i="40" s="1"/>
  <c r="I68" i="40" s="1"/>
  <c r="I18" i="34"/>
  <c r="E63" i="34"/>
  <c r="M18" i="34"/>
  <c r="M28" i="31"/>
  <c r="I63" i="34"/>
  <c r="M37" i="34"/>
  <c r="M77" i="32"/>
  <c r="I77" i="31"/>
  <c r="J9" i="33" s="1"/>
  <c r="K9" i="33" s="1"/>
  <c r="Q33" i="34"/>
  <c r="Q36" i="34" s="1"/>
  <c r="M28" i="38"/>
  <c r="R10" i="52"/>
  <c r="R11" i="35"/>
  <c r="S11" i="35" s="1"/>
  <c r="R9" i="35"/>
  <c r="S9" i="35" s="1"/>
  <c r="M63" i="34"/>
  <c r="C22" i="32"/>
  <c r="E22" i="32" s="1"/>
  <c r="E25" i="32" s="1"/>
  <c r="E74" i="32" s="1"/>
  <c r="O22" i="30"/>
  <c r="Q22" i="30" s="1"/>
  <c r="Q25" i="30" s="1"/>
  <c r="Q74" i="30" s="1"/>
  <c r="K23" i="37"/>
  <c r="M23" i="37" s="1"/>
  <c r="M26" i="37" s="1"/>
  <c r="M75" i="37" s="1"/>
  <c r="C23" i="39"/>
  <c r="E23" i="39" s="1"/>
  <c r="E26" i="39" s="1"/>
  <c r="E75" i="39" s="1"/>
  <c r="G23" i="36"/>
  <c r="I23" i="36" s="1"/>
  <c r="G23" i="30"/>
  <c r="I23" i="30" s="1"/>
  <c r="I26" i="30" s="1"/>
  <c r="I75" i="30" s="1"/>
  <c r="K23" i="39"/>
  <c r="M23" i="39" s="1"/>
  <c r="M26" i="39" s="1"/>
  <c r="M75" i="39" s="1"/>
  <c r="K23" i="30"/>
  <c r="M23" i="30" s="1"/>
  <c r="M26" i="30" s="1"/>
  <c r="M75" i="30" s="1"/>
  <c r="G23" i="38"/>
  <c r="I23" i="38" s="1"/>
  <c r="I26" i="38" s="1"/>
  <c r="I75" i="38" s="1"/>
  <c r="G23" i="32"/>
  <c r="I23" i="32" s="1"/>
  <c r="I26" i="32" s="1"/>
  <c r="I75" i="32" s="1"/>
  <c r="G23" i="39"/>
  <c r="I23" i="39" s="1"/>
  <c r="I26" i="39" s="1"/>
  <c r="I75" i="39" s="1"/>
  <c r="C23" i="31"/>
  <c r="E23" i="31" s="1"/>
  <c r="E26" i="31" s="1"/>
  <c r="E75" i="31" s="1"/>
  <c r="C23" i="37"/>
  <c r="E23" i="37" s="1"/>
  <c r="E26" i="37" s="1"/>
  <c r="E75" i="37" s="1"/>
  <c r="I28" i="31"/>
  <c r="Q42" i="30"/>
  <c r="M28" i="32"/>
  <c r="C24" i="31"/>
  <c r="E24" i="31" s="1"/>
  <c r="E27" i="31" s="1"/>
  <c r="E76" i="31" s="1"/>
  <c r="C24" i="39"/>
  <c r="E24" i="39" s="1"/>
  <c r="E27" i="39" s="1"/>
  <c r="E76" i="39" s="1"/>
  <c r="G24" i="32"/>
  <c r="I24" i="32" s="1"/>
  <c r="I27" i="32" s="1"/>
  <c r="I76" i="32" s="1"/>
  <c r="E21" i="40"/>
  <c r="K24" i="39"/>
  <c r="M24" i="39" s="1"/>
  <c r="M27" i="39" s="1"/>
  <c r="M76" i="39" s="1"/>
  <c r="G24" i="39"/>
  <c r="I24" i="39" s="1"/>
  <c r="I27" i="39" s="1"/>
  <c r="I76" i="39" s="1"/>
  <c r="G24" i="38"/>
  <c r="I24" i="38" s="1"/>
  <c r="I27" i="38" s="1"/>
  <c r="I76" i="38" s="1"/>
  <c r="C24" i="37"/>
  <c r="E24" i="37" s="1"/>
  <c r="E27" i="37" s="1"/>
  <c r="E76" i="37" s="1"/>
  <c r="K24" i="37"/>
  <c r="M24" i="37" s="1"/>
  <c r="M27" i="37" s="1"/>
  <c r="M76" i="37" s="1"/>
  <c r="K24" i="30"/>
  <c r="M24" i="30" s="1"/>
  <c r="M27" i="30" s="1"/>
  <c r="M76" i="30" s="1"/>
  <c r="E77" i="36" l="1"/>
  <c r="F8" i="35" s="1"/>
  <c r="G8" i="35" s="1"/>
  <c r="E77" i="39"/>
  <c r="Q71" i="29"/>
  <c r="Q24" i="29"/>
  <c r="Q30" i="15"/>
  <c r="Q79" i="15"/>
  <c r="E28" i="36"/>
  <c r="M21" i="34"/>
  <c r="M67" i="34" s="1"/>
  <c r="M28" i="36"/>
  <c r="E68" i="40"/>
  <c r="S68" i="40" s="1"/>
  <c r="G16" i="8" s="1"/>
  <c r="E77" i="37"/>
  <c r="M77" i="39"/>
  <c r="I21" i="34"/>
  <c r="I67" i="34" s="1"/>
  <c r="M19" i="40"/>
  <c r="M22" i="40" s="1"/>
  <c r="I77" i="39"/>
  <c r="M77" i="36"/>
  <c r="N8" i="35" s="1"/>
  <c r="O8" i="35" s="1"/>
  <c r="I26" i="36"/>
  <c r="I75" i="36" s="1"/>
  <c r="I77" i="36" s="1"/>
  <c r="M20" i="40"/>
  <c r="M23" i="40" s="1"/>
  <c r="M70" i="40" s="1"/>
  <c r="I77" i="38"/>
  <c r="J10" i="35" s="1"/>
  <c r="K10" i="35" s="1"/>
  <c r="M77" i="37"/>
  <c r="N9" i="35" s="1"/>
  <c r="O9" i="35" s="1"/>
  <c r="Q37" i="34"/>
  <c r="M77" i="31"/>
  <c r="N9" i="33" s="1"/>
  <c r="O9" i="33" s="1"/>
  <c r="E18" i="34"/>
  <c r="C24" i="32"/>
  <c r="E24" i="32" s="1"/>
  <c r="E27" i="32" s="1"/>
  <c r="E76" i="32" s="1"/>
  <c r="E77" i="31"/>
  <c r="M19" i="34"/>
  <c r="Q18" i="34"/>
  <c r="M20" i="34"/>
  <c r="S12" i="35"/>
  <c r="S10" i="52"/>
  <c r="E28" i="39"/>
  <c r="M28" i="39"/>
  <c r="I28" i="39"/>
  <c r="I28" i="38"/>
  <c r="E28" i="37"/>
  <c r="M28" i="37"/>
  <c r="N10" i="35"/>
  <c r="O10" i="35" s="1"/>
  <c r="O24" i="30"/>
  <c r="Q24" i="30" s="1"/>
  <c r="Q27" i="30" s="1"/>
  <c r="Q76" i="30" s="1"/>
  <c r="N10" i="33"/>
  <c r="O10" i="33" s="1"/>
  <c r="G23" i="37"/>
  <c r="I23" i="37" s="1"/>
  <c r="I26" i="37" s="1"/>
  <c r="I75" i="37" s="1"/>
  <c r="C23" i="30"/>
  <c r="E23" i="30" s="1"/>
  <c r="E26" i="30" s="1"/>
  <c r="E75" i="30" s="1"/>
  <c r="C23" i="32"/>
  <c r="E23" i="32" s="1"/>
  <c r="E26" i="32" s="1"/>
  <c r="E75" i="32" s="1"/>
  <c r="C23" i="38"/>
  <c r="E23" i="38" s="1"/>
  <c r="E26" i="38" s="1"/>
  <c r="E75" i="38" s="1"/>
  <c r="E28" i="31"/>
  <c r="M28" i="30"/>
  <c r="C24" i="30"/>
  <c r="E24" i="30" s="1"/>
  <c r="E27" i="30" s="1"/>
  <c r="E76" i="30" s="1"/>
  <c r="C24" i="38"/>
  <c r="E24" i="38" s="1"/>
  <c r="E27" i="38" s="1"/>
  <c r="E76" i="38" s="1"/>
  <c r="G24" i="37"/>
  <c r="I24" i="37" s="1"/>
  <c r="B68" i="15"/>
  <c r="K37" i="15"/>
  <c r="G37" i="15"/>
  <c r="C37" i="15"/>
  <c r="E37" i="15" s="1"/>
  <c r="B67" i="15"/>
  <c r="D68" i="15"/>
  <c r="D67" i="15"/>
  <c r="D66" i="15"/>
  <c r="D65" i="15"/>
  <c r="D40" i="15"/>
  <c r="D39" i="15"/>
  <c r="B66" i="15"/>
  <c r="B65" i="15"/>
  <c r="C54" i="29"/>
  <c r="B33" i="29"/>
  <c r="B32" i="29"/>
  <c r="B31" i="29"/>
  <c r="B30" i="29"/>
  <c r="K27" i="29"/>
  <c r="K40" i="29" s="1"/>
  <c r="G27" i="29"/>
  <c r="G40" i="29" s="1"/>
  <c r="B26" i="29"/>
  <c r="B53" i="29" s="1"/>
  <c r="B66" i="29" s="1"/>
  <c r="B20" i="29"/>
  <c r="B19" i="29"/>
  <c r="B18" i="29"/>
  <c r="B17" i="29"/>
  <c r="B16" i="29"/>
  <c r="K63" i="28"/>
  <c r="M63" i="28" s="1"/>
  <c r="G63" i="28"/>
  <c r="I63" i="28" s="1"/>
  <c r="C63" i="28"/>
  <c r="E63" i="28" s="1"/>
  <c r="C59" i="28"/>
  <c r="L38" i="28"/>
  <c r="H38" i="28"/>
  <c r="D38" i="28"/>
  <c r="B38" i="28"/>
  <c r="L37" i="28"/>
  <c r="H37" i="28"/>
  <c r="D37" i="28"/>
  <c r="B37" i="28"/>
  <c r="L36" i="28"/>
  <c r="H36" i="28"/>
  <c r="D36" i="28"/>
  <c r="B36" i="28"/>
  <c r="L35" i="28"/>
  <c r="K35" i="28"/>
  <c r="H35" i="28"/>
  <c r="G35" i="28"/>
  <c r="D35" i="28"/>
  <c r="C35" i="28"/>
  <c r="B35" i="28"/>
  <c r="K31" i="28"/>
  <c r="K45" i="28" s="1"/>
  <c r="G59" i="28"/>
  <c r="B30" i="28"/>
  <c r="B58" i="28" s="1"/>
  <c r="B72" i="28" s="1"/>
  <c r="L24" i="28"/>
  <c r="H24" i="28"/>
  <c r="D24" i="28"/>
  <c r="B24" i="28"/>
  <c r="L23" i="28"/>
  <c r="H23" i="28"/>
  <c r="D23" i="28"/>
  <c r="B23" i="28"/>
  <c r="L22" i="28"/>
  <c r="H22" i="28"/>
  <c r="D22" i="28"/>
  <c r="B22" i="28"/>
  <c r="L21" i="28"/>
  <c r="H21" i="28"/>
  <c r="D21" i="28"/>
  <c r="B21" i="28"/>
  <c r="L20" i="28"/>
  <c r="H20" i="28"/>
  <c r="D20" i="28"/>
  <c r="B20" i="28"/>
  <c r="K63" i="27"/>
  <c r="M63" i="27" s="1"/>
  <c r="G63" i="27"/>
  <c r="I63" i="27" s="1"/>
  <c r="C63" i="27"/>
  <c r="E63" i="27" s="1"/>
  <c r="C59" i="27"/>
  <c r="L38" i="27"/>
  <c r="H38" i="27"/>
  <c r="D38" i="27"/>
  <c r="B38" i="27"/>
  <c r="L37" i="27"/>
  <c r="H37" i="27"/>
  <c r="D37" i="27"/>
  <c r="B37" i="27"/>
  <c r="L36" i="27"/>
  <c r="H36" i="27"/>
  <c r="D36" i="27"/>
  <c r="B36" i="27"/>
  <c r="L35" i="27"/>
  <c r="K35" i="27"/>
  <c r="H35" i="27"/>
  <c r="G35" i="27"/>
  <c r="D35" i="27"/>
  <c r="C35" i="27"/>
  <c r="B35" i="27"/>
  <c r="K59" i="27"/>
  <c r="G59" i="27"/>
  <c r="B30" i="27"/>
  <c r="B58" i="27" s="1"/>
  <c r="B72" i="27" s="1"/>
  <c r="L24" i="27"/>
  <c r="D24" i="27"/>
  <c r="B24" i="27"/>
  <c r="L23" i="27"/>
  <c r="D23" i="27"/>
  <c r="B23" i="27"/>
  <c r="L22" i="27"/>
  <c r="D22" i="27"/>
  <c r="B22" i="27"/>
  <c r="L21" i="27"/>
  <c r="D21" i="27"/>
  <c r="B21" i="27"/>
  <c r="L20" i="27"/>
  <c r="D20" i="27"/>
  <c r="B20" i="27"/>
  <c r="K63" i="26"/>
  <c r="M63" i="26" s="1"/>
  <c r="G63" i="26"/>
  <c r="I63" i="26" s="1"/>
  <c r="C63" i="26"/>
  <c r="E63" i="26" s="1"/>
  <c r="L38" i="26"/>
  <c r="H38" i="26"/>
  <c r="D38" i="26"/>
  <c r="B38" i="26"/>
  <c r="L37" i="26"/>
  <c r="H37" i="26"/>
  <c r="D37" i="26"/>
  <c r="B37" i="26"/>
  <c r="L36" i="26"/>
  <c r="H36" i="26"/>
  <c r="D36" i="26"/>
  <c r="B36" i="26"/>
  <c r="L35" i="26"/>
  <c r="K35" i="26"/>
  <c r="H35" i="26"/>
  <c r="G35" i="26"/>
  <c r="D35" i="26"/>
  <c r="C35" i="26"/>
  <c r="B35" i="26"/>
  <c r="B30" i="26"/>
  <c r="B58" i="26" s="1"/>
  <c r="B72" i="26" s="1"/>
  <c r="L24" i="26"/>
  <c r="H24" i="26"/>
  <c r="D24" i="26"/>
  <c r="B24" i="26"/>
  <c r="L23" i="26"/>
  <c r="H23" i="26"/>
  <c r="D23" i="26"/>
  <c r="B23" i="26"/>
  <c r="L22" i="26"/>
  <c r="H22" i="26"/>
  <c r="D22" i="26"/>
  <c r="B22" i="26"/>
  <c r="L21" i="26"/>
  <c r="H21" i="26"/>
  <c r="D21" i="26"/>
  <c r="B21" i="26"/>
  <c r="L20" i="26"/>
  <c r="H20" i="26"/>
  <c r="D20" i="26"/>
  <c r="B20" i="26"/>
  <c r="K63" i="25"/>
  <c r="M63" i="25" s="1"/>
  <c r="G63" i="25"/>
  <c r="I63" i="25" s="1"/>
  <c r="C63" i="25"/>
  <c r="E63" i="25" s="1"/>
  <c r="L38" i="25"/>
  <c r="H38" i="25"/>
  <c r="D38" i="25"/>
  <c r="B38" i="25"/>
  <c r="L37" i="25"/>
  <c r="H37" i="25"/>
  <c r="D37" i="25"/>
  <c r="B37" i="25"/>
  <c r="L36" i="25"/>
  <c r="H36" i="25"/>
  <c r="D36" i="25"/>
  <c r="B36" i="25"/>
  <c r="L35" i="25"/>
  <c r="K35" i="25"/>
  <c r="H35" i="25"/>
  <c r="G35" i="25"/>
  <c r="D35" i="25"/>
  <c r="C35" i="25"/>
  <c r="B35" i="25"/>
  <c r="B30" i="25"/>
  <c r="B58" i="25" s="1"/>
  <c r="B72" i="25" s="1"/>
  <c r="L24" i="25"/>
  <c r="H24" i="25"/>
  <c r="D24" i="25"/>
  <c r="B24" i="25"/>
  <c r="L23" i="25"/>
  <c r="H23" i="25"/>
  <c r="D23" i="25"/>
  <c r="B23" i="25"/>
  <c r="L22" i="25"/>
  <c r="H22" i="25"/>
  <c r="D22" i="25"/>
  <c r="B22" i="25"/>
  <c r="L21" i="25"/>
  <c r="H21" i="25"/>
  <c r="D21" i="25"/>
  <c r="B21" i="25"/>
  <c r="L20" i="25"/>
  <c r="H20" i="25"/>
  <c r="D20" i="25"/>
  <c r="B20" i="25"/>
  <c r="K63" i="24"/>
  <c r="M63" i="24" s="1"/>
  <c r="G63" i="24"/>
  <c r="I63" i="24" s="1"/>
  <c r="C63" i="24"/>
  <c r="E63" i="24" s="1"/>
  <c r="C59" i="24"/>
  <c r="L38" i="24"/>
  <c r="H38" i="24"/>
  <c r="D38" i="24"/>
  <c r="B38" i="24"/>
  <c r="L37" i="24"/>
  <c r="H37" i="24"/>
  <c r="D37" i="24"/>
  <c r="B37" i="24"/>
  <c r="L36" i="24"/>
  <c r="H36" i="24"/>
  <c r="D36" i="24"/>
  <c r="B36" i="24"/>
  <c r="L35" i="24"/>
  <c r="K35" i="24"/>
  <c r="H35" i="24"/>
  <c r="G35" i="24"/>
  <c r="D35" i="24"/>
  <c r="C35" i="24"/>
  <c r="E35" i="24" s="1"/>
  <c r="B35" i="24"/>
  <c r="K31" i="24"/>
  <c r="K45" i="24" s="1"/>
  <c r="G31" i="24"/>
  <c r="G45" i="24" s="1"/>
  <c r="B30" i="24"/>
  <c r="B58" i="24" s="1"/>
  <c r="B72" i="24" s="1"/>
  <c r="L24" i="24"/>
  <c r="H24" i="24"/>
  <c r="D24" i="24"/>
  <c r="B24" i="24"/>
  <c r="L23" i="24"/>
  <c r="H23" i="24"/>
  <c r="D23" i="24"/>
  <c r="B23" i="24"/>
  <c r="L22" i="24"/>
  <c r="H22" i="24"/>
  <c r="D22" i="24"/>
  <c r="B22" i="24"/>
  <c r="L21" i="24"/>
  <c r="H21" i="24"/>
  <c r="D21" i="24"/>
  <c r="B21" i="24"/>
  <c r="L20" i="24"/>
  <c r="H20" i="24"/>
  <c r="D20" i="24"/>
  <c r="B20" i="24"/>
  <c r="K63" i="23"/>
  <c r="M63" i="23" s="1"/>
  <c r="G63" i="23"/>
  <c r="I63" i="23" s="1"/>
  <c r="C63" i="23"/>
  <c r="E63" i="23" s="1"/>
  <c r="C59" i="23"/>
  <c r="L38" i="23"/>
  <c r="H38" i="23"/>
  <c r="D38" i="23"/>
  <c r="B38" i="23"/>
  <c r="L37" i="23"/>
  <c r="H37" i="23"/>
  <c r="D37" i="23"/>
  <c r="B37" i="23"/>
  <c r="L36" i="23"/>
  <c r="H36" i="23"/>
  <c r="D36" i="23"/>
  <c r="B36" i="23"/>
  <c r="L35" i="23"/>
  <c r="K35" i="23"/>
  <c r="H35" i="23"/>
  <c r="G35" i="23"/>
  <c r="D35" i="23"/>
  <c r="C35" i="23"/>
  <c r="B35" i="23"/>
  <c r="K31" i="23"/>
  <c r="K45" i="23" s="1"/>
  <c r="G31" i="23"/>
  <c r="G45" i="23" s="1"/>
  <c r="B30" i="23"/>
  <c r="B58" i="23" s="1"/>
  <c r="B72" i="23" s="1"/>
  <c r="L24" i="23"/>
  <c r="H24" i="23"/>
  <c r="D24" i="23"/>
  <c r="B24" i="23"/>
  <c r="L23" i="23"/>
  <c r="H23" i="23"/>
  <c r="D23" i="23"/>
  <c r="B23" i="23"/>
  <c r="L22" i="23"/>
  <c r="H22" i="23"/>
  <c r="D22" i="23"/>
  <c r="B22" i="23"/>
  <c r="L21" i="23"/>
  <c r="H21" i="23"/>
  <c r="D21" i="23"/>
  <c r="B21" i="23"/>
  <c r="L20" i="23"/>
  <c r="H20" i="23"/>
  <c r="D20" i="23"/>
  <c r="B20" i="23"/>
  <c r="K63" i="22"/>
  <c r="M63" i="22" s="1"/>
  <c r="G63" i="22"/>
  <c r="I63" i="22" s="1"/>
  <c r="C63" i="22"/>
  <c r="E63" i="22" s="1"/>
  <c r="C59" i="22"/>
  <c r="L38" i="22"/>
  <c r="H38" i="22"/>
  <c r="D38" i="22"/>
  <c r="B38" i="22"/>
  <c r="L37" i="22"/>
  <c r="H37" i="22"/>
  <c r="D37" i="22"/>
  <c r="B37" i="22"/>
  <c r="L36" i="22"/>
  <c r="H36" i="22"/>
  <c r="D36" i="22"/>
  <c r="B36" i="22"/>
  <c r="L35" i="22"/>
  <c r="K35" i="22"/>
  <c r="H35" i="22"/>
  <c r="G35" i="22"/>
  <c r="D35" i="22"/>
  <c r="C35" i="22"/>
  <c r="B35" i="22"/>
  <c r="K31" i="22"/>
  <c r="K45" i="22" s="1"/>
  <c r="G31" i="22"/>
  <c r="G45" i="22" s="1"/>
  <c r="B30" i="22"/>
  <c r="B58" i="22" s="1"/>
  <c r="B72" i="22" s="1"/>
  <c r="L24" i="22"/>
  <c r="H24" i="22"/>
  <c r="D24" i="22"/>
  <c r="B24" i="22"/>
  <c r="L23" i="22"/>
  <c r="H23" i="22"/>
  <c r="D23" i="22"/>
  <c r="B23" i="22"/>
  <c r="L22" i="22"/>
  <c r="H22" i="22"/>
  <c r="D22" i="22"/>
  <c r="B22" i="22"/>
  <c r="L21" i="22"/>
  <c r="H21" i="22"/>
  <c r="D21" i="22"/>
  <c r="B21" i="22"/>
  <c r="L20" i="22"/>
  <c r="H20" i="22"/>
  <c r="D20" i="22"/>
  <c r="B20" i="22"/>
  <c r="B30" i="21"/>
  <c r="B58" i="21" s="1"/>
  <c r="B72" i="21" s="1"/>
  <c r="K63" i="21"/>
  <c r="M63" i="21" s="1"/>
  <c r="G63" i="21"/>
  <c r="I63" i="21" s="1"/>
  <c r="C63" i="21"/>
  <c r="E63" i="21" s="1"/>
  <c r="C59" i="21"/>
  <c r="L38" i="21"/>
  <c r="H38" i="21"/>
  <c r="D38" i="21"/>
  <c r="B38" i="21"/>
  <c r="L37" i="21"/>
  <c r="H37" i="21"/>
  <c r="D37" i="21"/>
  <c r="B37" i="21"/>
  <c r="L36" i="21"/>
  <c r="H36" i="21"/>
  <c r="D36" i="21"/>
  <c r="B36" i="21"/>
  <c r="L35" i="21"/>
  <c r="K35" i="21"/>
  <c r="H35" i="21"/>
  <c r="G35" i="21"/>
  <c r="D35" i="21"/>
  <c r="C35" i="21"/>
  <c r="B35" i="21"/>
  <c r="K59" i="21"/>
  <c r="G59" i="21"/>
  <c r="D24" i="21"/>
  <c r="B24" i="21"/>
  <c r="D23" i="21"/>
  <c r="B23" i="21"/>
  <c r="D22" i="21"/>
  <c r="B22" i="21"/>
  <c r="D21" i="21"/>
  <c r="B21" i="21"/>
  <c r="D20" i="21"/>
  <c r="B20" i="21"/>
  <c r="K63" i="20"/>
  <c r="M63" i="20" s="1"/>
  <c r="G63" i="20"/>
  <c r="I63" i="20" s="1"/>
  <c r="C63" i="20"/>
  <c r="E63" i="20" s="1"/>
  <c r="C59" i="20"/>
  <c r="L38" i="20"/>
  <c r="H38" i="20"/>
  <c r="D38" i="20"/>
  <c r="B38" i="20"/>
  <c r="L37" i="20"/>
  <c r="H37" i="20"/>
  <c r="D37" i="20"/>
  <c r="B37" i="20"/>
  <c r="L36" i="20"/>
  <c r="H36" i="20"/>
  <c r="D36" i="20"/>
  <c r="B36" i="20"/>
  <c r="L35" i="20"/>
  <c r="K35" i="20"/>
  <c r="H35" i="20"/>
  <c r="G35" i="20"/>
  <c r="D35" i="20"/>
  <c r="C35" i="20"/>
  <c r="B35" i="20"/>
  <c r="K31" i="20"/>
  <c r="K45" i="20" s="1"/>
  <c r="G31" i="20"/>
  <c r="G45" i="20" s="1"/>
  <c r="B30" i="20"/>
  <c r="B58" i="20" s="1"/>
  <c r="B72" i="20" s="1"/>
  <c r="L24" i="20"/>
  <c r="H24" i="20"/>
  <c r="D24" i="20"/>
  <c r="B24" i="20"/>
  <c r="L23" i="20"/>
  <c r="H23" i="20"/>
  <c r="D23" i="20"/>
  <c r="B23" i="20"/>
  <c r="L22" i="20"/>
  <c r="H22" i="20"/>
  <c r="D22" i="20"/>
  <c r="B22" i="20"/>
  <c r="L21" i="20"/>
  <c r="H21" i="20"/>
  <c r="D21" i="20"/>
  <c r="B21" i="20"/>
  <c r="L20" i="20"/>
  <c r="H20" i="20"/>
  <c r="D20" i="20"/>
  <c r="B20" i="20"/>
  <c r="B30" i="19"/>
  <c r="B58" i="19" s="1"/>
  <c r="B72" i="19" s="1"/>
  <c r="K63" i="19"/>
  <c r="M63" i="19" s="1"/>
  <c r="G63" i="19"/>
  <c r="I63" i="19" s="1"/>
  <c r="C63" i="19"/>
  <c r="E63" i="19" s="1"/>
  <c r="C59" i="19"/>
  <c r="L38" i="19"/>
  <c r="H38" i="19"/>
  <c r="D38" i="19"/>
  <c r="B38" i="19"/>
  <c r="L37" i="19"/>
  <c r="H37" i="19"/>
  <c r="D37" i="19"/>
  <c r="B37" i="19"/>
  <c r="L36" i="19"/>
  <c r="H36" i="19"/>
  <c r="D36" i="19"/>
  <c r="B36" i="19"/>
  <c r="L35" i="19"/>
  <c r="K35" i="19"/>
  <c r="H35" i="19"/>
  <c r="G35" i="19"/>
  <c r="D35" i="19"/>
  <c r="C35" i="19"/>
  <c r="B35" i="19"/>
  <c r="K59" i="19"/>
  <c r="G59" i="19"/>
  <c r="L24" i="19"/>
  <c r="H24" i="19"/>
  <c r="B24" i="19"/>
  <c r="L23" i="19"/>
  <c r="H23" i="19"/>
  <c r="B23" i="19"/>
  <c r="L22" i="19"/>
  <c r="H22" i="19"/>
  <c r="B22" i="19"/>
  <c r="L21" i="19"/>
  <c r="H21" i="19"/>
  <c r="B21" i="19"/>
  <c r="L20" i="19"/>
  <c r="H20" i="19"/>
  <c r="B20" i="19"/>
  <c r="I35" i="20" l="1"/>
  <c r="I35" i="23"/>
  <c r="I35" i="22"/>
  <c r="I35" i="25"/>
  <c r="M35" i="22"/>
  <c r="M35" i="25"/>
  <c r="I35" i="26"/>
  <c r="G36" i="26" s="1"/>
  <c r="I36" i="26" s="1"/>
  <c r="I39" i="26" s="1"/>
  <c r="I35" i="27"/>
  <c r="M35" i="20"/>
  <c r="M35" i="23"/>
  <c r="M35" i="19"/>
  <c r="M35" i="21"/>
  <c r="M35" i="28"/>
  <c r="K36" i="28" s="1"/>
  <c r="M36" i="28" s="1"/>
  <c r="M39" i="28" s="1"/>
  <c r="M35" i="26"/>
  <c r="K36" i="26" s="1"/>
  <c r="M36" i="26" s="1"/>
  <c r="M39" i="26" s="1"/>
  <c r="M35" i="27"/>
  <c r="K36" i="27" s="1"/>
  <c r="M36" i="27" s="1"/>
  <c r="M39" i="27" s="1"/>
  <c r="M35" i="24"/>
  <c r="K36" i="24" s="1"/>
  <c r="M36" i="24" s="1"/>
  <c r="M39" i="24" s="1"/>
  <c r="I35" i="19"/>
  <c r="I35" i="28"/>
  <c r="I35" i="21"/>
  <c r="I35" i="24"/>
  <c r="I28" i="36"/>
  <c r="E35" i="26"/>
  <c r="C36" i="26" s="1"/>
  <c r="E36" i="26" s="1"/>
  <c r="E39" i="26" s="1"/>
  <c r="E35" i="27"/>
  <c r="C36" i="27" s="1"/>
  <c r="E36" i="27" s="1"/>
  <c r="E39" i="27" s="1"/>
  <c r="E35" i="20"/>
  <c r="R8" i="52"/>
  <c r="S8" i="52" s="1"/>
  <c r="S19" i="52" s="1"/>
  <c r="I19" i="40"/>
  <c r="I22" i="40" s="1"/>
  <c r="I69" i="40" s="1"/>
  <c r="E35" i="23"/>
  <c r="C36" i="23" s="1"/>
  <c r="E36" i="23" s="1"/>
  <c r="E39" i="23" s="1"/>
  <c r="E35" i="19"/>
  <c r="E35" i="22"/>
  <c r="E35" i="25"/>
  <c r="C36" i="25" s="1"/>
  <c r="E36" i="25" s="1"/>
  <c r="E39" i="25" s="1"/>
  <c r="E35" i="21"/>
  <c r="E35" i="28"/>
  <c r="C36" i="28" s="1"/>
  <c r="E36" i="28" s="1"/>
  <c r="E39" i="28" s="1"/>
  <c r="E77" i="38"/>
  <c r="E19" i="40"/>
  <c r="E22" i="40" s="1"/>
  <c r="E21" i="34"/>
  <c r="E67" i="34" s="1"/>
  <c r="M23" i="34"/>
  <c r="M69" i="34" s="1"/>
  <c r="E20" i="40"/>
  <c r="E23" i="40" s="1"/>
  <c r="M69" i="40"/>
  <c r="M71" i="40" s="1"/>
  <c r="M24" i="40"/>
  <c r="Q21" i="34"/>
  <c r="Q67" i="34" s="1"/>
  <c r="I27" i="37"/>
  <c r="I76" i="37" s="1"/>
  <c r="I77" i="37" s="1"/>
  <c r="I20" i="40"/>
  <c r="I23" i="40" s="1"/>
  <c r="I70" i="40" s="1"/>
  <c r="M22" i="34"/>
  <c r="M68" i="34" s="1"/>
  <c r="M77" i="30"/>
  <c r="N8" i="33" s="1"/>
  <c r="O8" i="33" s="1"/>
  <c r="O11" i="33" s="1"/>
  <c r="I20" i="34"/>
  <c r="E20" i="34"/>
  <c r="Q20" i="34"/>
  <c r="I19" i="34"/>
  <c r="E19" i="34"/>
  <c r="E77" i="30"/>
  <c r="F8" i="33" s="1"/>
  <c r="E28" i="38"/>
  <c r="N11" i="35"/>
  <c r="J11" i="35"/>
  <c r="K11" i="35" s="1"/>
  <c r="J8" i="35"/>
  <c r="O23" i="30"/>
  <c r="Q23" i="30" s="1"/>
  <c r="Q26" i="30" s="1"/>
  <c r="Q75" i="30" s="1"/>
  <c r="F9" i="35"/>
  <c r="G9" i="35" s="1"/>
  <c r="F9" i="33"/>
  <c r="Q80" i="31"/>
  <c r="E28" i="32"/>
  <c r="G54" i="29"/>
  <c r="K54" i="29"/>
  <c r="K59" i="28"/>
  <c r="G59" i="24"/>
  <c r="K59" i="24"/>
  <c r="G59" i="23"/>
  <c r="K59" i="23"/>
  <c r="G59" i="22"/>
  <c r="K59" i="22"/>
  <c r="K59" i="20"/>
  <c r="G59" i="20"/>
  <c r="C64" i="25"/>
  <c r="E64" i="25" s="1"/>
  <c r="E67" i="25" s="1"/>
  <c r="C64" i="19"/>
  <c r="E64" i="19" s="1"/>
  <c r="E67" i="19" s="1"/>
  <c r="E28" i="30"/>
  <c r="K36" i="22"/>
  <c r="M36" i="22" s="1"/>
  <c r="M39" i="22" s="1"/>
  <c r="G36" i="23"/>
  <c r="I36" i="23" s="1"/>
  <c r="I39" i="23" s="1"/>
  <c r="K36" i="21"/>
  <c r="M36" i="21" s="1"/>
  <c r="M39" i="21" s="1"/>
  <c r="G36" i="19"/>
  <c r="I36" i="19" s="1"/>
  <c r="I39" i="19" s="1"/>
  <c r="C64" i="26"/>
  <c r="E64" i="26" s="1"/>
  <c r="E67" i="26" s="1"/>
  <c r="C64" i="22"/>
  <c r="E64" i="22" s="1"/>
  <c r="E67" i="22" s="1"/>
  <c r="G36" i="22"/>
  <c r="I36" i="22" s="1"/>
  <c r="I39" i="22" s="1"/>
  <c r="K64" i="21"/>
  <c r="M64" i="21" s="1"/>
  <c r="M67" i="21" s="1"/>
  <c r="C64" i="21"/>
  <c r="E64" i="21" s="1"/>
  <c r="E67" i="21" s="1"/>
  <c r="G36" i="21"/>
  <c r="I36" i="21" s="1"/>
  <c r="I39" i="21" s="1"/>
  <c r="K36" i="20"/>
  <c r="M36" i="20" s="1"/>
  <c r="M39" i="20" s="1"/>
  <c r="G36" i="20"/>
  <c r="I36" i="20" s="1"/>
  <c r="I39" i="20" s="1"/>
  <c r="C64" i="20"/>
  <c r="E64" i="20" s="1"/>
  <c r="E67" i="20" s="1"/>
  <c r="G36" i="28"/>
  <c r="I36" i="28" s="1"/>
  <c r="I39" i="28" s="1"/>
  <c r="C38" i="15"/>
  <c r="E38" i="15" s="1"/>
  <c r="E41" i="15" s="1"/>
  <c r="C64" i="27"/>
  <c r="E64" i="27" s="1"/>
  <c r="E67" i="27" s="1"/>
  <c r="G36" i="27"/>
  <c r="I36" i="27" s="1"/>
  <c r="I39" i="27" s="1"/>
  <c r="G36" i="25"/>
  <c r="I36" i="25" s="1"/>
  <c r="I39" i="25" s="1"/>
  <c r="C64" i="23"/>
  <c r="E64" i="23" s="1"/>
  <c r="E67" i="23" s="1"/>
  <c r="C64" i="24"/>
  <c r="E64" i="24" s="1"/>
  <c r="E67" i="24" s="1"/>
  <c r="G36" i="24"/>
  <c r="I36" i="24" s="1"/>
  <c r="I39" i="24" s="1"/>
  <c r="K20" i="23"/>
  <c r="M20" i="23" s="1"/>
  <c r="C20" i="20"/>
  <c r="E20" i="20" s="1"/>
  <c r="K20" i="20"/>
  <c r="M20" i="20" s="1"/>
  <c r="K20" i="24"/>
  <c r="M20" i="24" s="1"/>
  <c r="G20" i="26"/>
  <c r="I20" i="26" s="1"/>
  <c r="K20" i="27"/>
  <c r="M20" i="27" s="1"/>
  <c r="C20" i="23"/>
  <c r="E20" i="23" s="1"/>
  <c r="G20" i="19"/>
  <c r="I20" i="19" s="1"/>
  <c r="C36" i="19"/>
  <c r="E36" i="19" s="1"/>
  <c r="E39" i="19" s="1"/>
  <c r="K20" i="21"/>
  <c r="M20" i="21" s="1"/>
  <c r="K20" i="22"/>
  <c r="M20" i="22" s="1"/>
  <c r="G20" i="27"/>
  <c r="I20" i="27" s="1"/>
  <c r="K20" i="25"/>
  <c r="M20" i="25" s="1"/>
  <c r="K20" i="26"/>
  <c r="M20" i="26" s="1"/>
  <c r="G64" i="28"/>
  <c r="I64" i="28" s="1"/>
  <c r="I67" i="28" s="1"/>
  <c r="G64" i="27"/>
  <c r="I64" i="27" s="1"/>
  <c r="I67" i="27" s="1"/>
  <c r="K64" i="27"/>
  <c r="M64" i="27" s="1"/>
  <c r="M67" i="27" s="1"/>
  <c r="G64" i="24"/>
  <c r="I64" i="24" s="1"/>
  <c r="I67" i="24" s="1"/>
  <c r="K36" i="23"/>
  <c r="M36" i="23" s="1"/>
  <c r="M39" i="23" s="1"/>
  <c r="G64" i="23"/>
  <c r="I64" i="23" s="1"/>
  <c r="I67" i="23" s="1"/>
  <c r="G64" i="22"/>
  <c r="I64" i="22" s="1"/>
  <c r="I67" i="22" s="1"/>
  <c r="C36" i="22"/>
  <c r="E36" i="22" s="1"/>
  <c r="E39" i="22" s="1"/>
  <c r="K64" i="22"/>
  <c r="M64" i="22" s="1"/>
  <c r="M67" i="22" s="1"/>
  <c r="C20" i="21"/>
  <c r="E20" i="21" s="1"/>
  <c r="G64" i="20"/>
  <c r="I64" i="20" s="1"/>
  <c r="I67" i="20" s="1"/>
  <c r="K36" i="19"/>
  <c r="M36" i="19" s="1"/>
  <c r="M39" i="19" s="1"/>
  <c r="I71" i="40" l="1"/>
  <c r="E30" i="29"/>
  <c r="M70" i="34"/>
  <c r="I22" i="34"/>
  <c r="I68" i="34" s="1"/>
  <c r="M24" i="34"/>
  <c r="Q23" i="34"/>
  <c r="Q69" i="34" s="1"/>
  <c r="I28" i="37"/>
  <c r="E23" i="34"/>
  <c r="I23" i="34"/>
  <c r="E69" i="40"/>
  <c r="E24" i="40"/>
  <c r="E22" i="34"/>
  <c r="E68" i="34" s="1"/>
  <c r="I24" i="40"/>
  <c r="E70" i="40"/>
  <c r="S70" i="40" s="1"/>
  <c r="H16" i="8" s="1"/>
  <c r="E77" i="32"/>
  <c r="I77" i="32"/>
  <c r="J10" i="33" s="1"/>
  <c r="K10" i="33" s="1"/>
  <c r="I28" i="32"/>
  <c r="S67" i="34"/>
  <c r="G15" i="8" s="1"/>
  <c r="I77" i="30"/>
  <c r="I28" i="30"/>
  <c r="O11" i="35"/>
  <c r="O12" i="35" s="1"/>
  <c r="K8" i="35"/>
  <c r="U8" i="35" s="1"/>
  <c r="G9" i="33"/>
  <c r="U9" i="33" s="1"/>
  <c r="Q80" i="39"/>
  <c r="F11" i="35"/>
  <c r="J9" i="35"/>
  <c r="Q80" i="36"/>
  <c r="K64" i="26"/>
  <c r="M64" i="26" s="1"/>
  <c r="M67" i="26" s="1"/>
  <c r="K38" i="28"/>
  <c r="M38" i="28" s="1"/>
  <c r="M41" i="28" s="1"/>
  <c r="G37" i="27"/>
  <c r="I37" i="27" s="1"/>
  <c r="I40" i="27" s="1"/>
  <c r="G38" i="23"/>
  <c r="I38" i="23" s="1"/>
  <c r="I41" i="23" s="1"/>
  <c r="C38" i="19"/>
  <c r="E38" i="19" s="1"/>
  <c r="E41" i="19" s="1"/>
  <c r="F10" i="35"/>
  <c r="Q80" i="38"/>
  <c r="G8" i="33"/>
  <c r="G25" i="15"/>
  <c r="G22" i="15"/>
  <c r="C22" i="15"/>
  <c r="E22" i="15" s="1"/>
  <c r="C20" i="28"/>
  <c r="E20" i="28" s="1"/>
  <c r="C64" i="28"/>
  <c r="E64" i="28" s="1"/>
  <c r="E67" i="28" s="1"/>
  <c r="G20" i="28"/>
  <c r="I20" i="28" s="1"/>
  <c r="K20" i="28"/>
  <c r="M20" i="28" s="1"/>
  <c r="K64" i="28"/>
  <c r="M64" i="28" s="1"/>
  <c r="M67" i="28" s="1"/>
  <c r="G66" i="27"/>
  <c r="I66" i="27" s="1"/>
  <c r="I69" i="27" s="1"/>
  <c r="C20" i="27"/>
  <c r="E20" i="27" s="1"/>
  <c r="K66" i="27"/>
  <c r="M66" i="27" s="1"/>
  <c r="M69" i="27" s="1"/>
  <c r="C20" i="26"/>
  <c r="E20" i="26" s="1"/>
  <c r="G21" i="26"/>
  <c r="I21" i="26" s="1"/>
  <c r="G64" i="26"/>
  <c r="I64" i="26" s="1"/>
  <c r="I67" i="26" s="1"/>
  <c r="K21" i="26"/>
  <c r="M21" i="26" s="1"/>
  <c r="C20" i="25"/>
  <c r="E20" i="25" s="1"/>
  <c r="G20" i="25"/>
  <c r="I20" i="25" s="1"/>
  <c r="K36" i="25"/>
  <c r="M36" i="25" s="1"/>
  <c r="M39" i="25" s="1"/>
  <c r="K64" i="25"/>
  <c r="M64" i="25" s="1"/>
  <c r="M67" i="25" s="1"/>
  <c r="G64" i="25"/>
  <c r="I64" i="25" s="1"/>
  <c r="I67" i="25" s="1"/>
  <c r="C20" i="24"/>
  <c r="E20" i="24" s="1"/>
  <c r="C36" i="24"/>
  <c r="E36" i="24" s="1"/>
  <c r="E39" i="24" s="1"/>
  <c r="K64" i="24"/>
  <c r="M64" i="24" s="1"/>
  <c r="M67" i="24" s="1"/>
  <c r="G20" i="24"/>
  <c r="I20" i="24" s="1"/>
  <c r="K38" i="23"/>
  <c r="M38" i="23" s="1"/>
  <c r="M41" i="23" s="1"/>
  <c r="C21" i="23"/>
  <c r="E21" i="23" s="1"/>
  <c r="K64" i="23"/>
  <c r="M64" i="23" s="1"/>
  <c r="M67" i="23" s="1"/>
  <c r="G20" i="23"/>
  <c r="I20" i="23" s="1"/>
  <c r="K66" i="22"/>
  <c r="M66" i="22" s="1"/>
  <c r="M69" i="22" s="1"/>
  <c r="G66" i="22"/>
  <c r="I66" i="22" s="1"/>
  <c r="I69" i="22" s="1"/>
  <c r="G20" i="22"/>
  <c r="I20" i="22" s="1"/>
  <c r="C20" i="22"/>
  <c r="E20" i="22" s="1"/>
  <c r="G20" i="21"/>
  <c r="I20" i="21" s="1"/>
  <c r="C36" i="21"/>
  <c r="E36" i="21" s="1"/>
  <c r="E39" i="21" s="1"/>
  <c r="G64" i="21"/>
  <c r="I64" i="21" s="1"/>
  <c r="I67" i="21" s="1"/>
  <c r="G38" i="20"/>
  <c r="I38" i="20" s="1"/>
  <c r="I41" i="20" s="1"/>
  <c r="C36" i="20"/>
  <c r="E36" i="20" s="1"/>
  <c r="E39" i="20" s="1"/>
  <c r="G66" i="20"/>
  <c r="I66" i="20" s="1"/>
  <c r="I69" i="20" s="1"/>
  <c r="K64" i="20"/>
  <c r="M64" i="20" s="1"/>
  <c r="M67" i="20" s="1"/>
  <c r="K21" i="20"/>
  <c r="M21" i="20" s="1"/>
  <c r="G20" i="20"/>
  <c r="I20" i="20" s="1"/>
  <c r="K38" i="19"/>
  <c r="M38" i="19" s="1"/>
  <c r="M41" i="19" s="1"/>
  <c r="K20" i="19"/>
  <c r="M20" i="19" s="1"/>
  <c r="G64" i="19"/>
  <c r="I64" i="19" s="1"/>
  <c r="I67" i="19" s="1"/>
  <c r="G21" i="19"/>
  <c r="I21" i="19" s="1"/>
  <c r="C20" i="19"/>
  <c r="E20" i="19" s="1"/>
  <c r="K64" i="19"/>
  <c r="M64" i="19" s="1"/>
  <c r="M67" i="19" s="1"/>
  <c r="I24" i="34" l="1"/>
  <c r="E24" i="34"/>
  <c r="Q80" i="32"/>
  <c r="F10" i="33"/>
  <c r="G10" i="33" s="1"/>
  <c r="U10" i="33" s="1"/>
  <c r="I69" i="34"/>
  <c r="I70" i="34" s="1"/>
  <c r="E16" i="29"/>
  <c r="E69" i="34"/>
  <c r="E71" i="40"/>
  <c r="S69" i="40"/>
  <c r="J16" i="8" s="1"/>
  <c r="K16" i="8" s="1"/>
  <c r="Q19" i="34"/>
  <c r="J8" i="33"/>
  <c r="K8" i="33" s="1"/>
  <c r="K11" i="33" s="1"/>
  <c r="G11" i="35"/>
  <c r="U11" i="35" s="1"/>
  <c r="G10" i="35"/>
  <c r="U10" i="35" s="1"/>
  <c r="K9" i="35"/>
  <c r="U9" i="35" s="1"/>
  <c r="E31" i="29"/>
  <c r="E34" i="29" s="1"/>
  <c r="K66" i="26"/>
  <c r="M66" i="26" s="1"/>
  <c r="M69" i="26" s="1"/>
  <c r="Q80" i="37"/>
  <c r="Q75" i="40" s="1"/>
  <c r="G38" i="24"/>
  <c r="I38" i="24" s="1"/>
  <c r="I41" i="24" s="1"/>
  <c r="G37" i="23"/>
  <c r="I37" i="23" s="1"/>
  <c r="I40" i="23" s="1"/>
  <c r="C37" i="23"/>
  <c r="E37" i="23" s="1"/>
  <c r="E40" i="23" s="1"/>
  <c r="C38" i="23"/>
  <c r="E38" i="23" s="1"/>
  <c r="E41" i="23" s="1"/>
  <c r="K38" i="20"/>
  <c r="M38" i="20" s="1"/>
  <c r="M41" i="20" s="1"/>
  <c r="K37" i="24"/>
  <c r="M37" i="24" s="1"/>
  <c r="M40" i="24" s="1"/>
  <c r="G37" i="24"/>
  <c r="I37" i="24" s="1"/>
  <c r="I40" i="24" s="1"/>
  <c r="K37" i="28"/>
  <c r="M37" i="28" s="1"/>
  <c r="M40" i="28" s="1"/>
  <c r="K65" i="21"/>
  <c r="M65" i="21" s="1"/>
  <c r="M68" i="21" s="1"/>
  <c r="G37" i="21"/>
  <c r="I37" i="21" s="1"/>
  <c r="I40" i="21" s="1"/>
  <c r="G37" i="20"/>
  <c r="I37" i="20" s="1"/>
  <c r="I40" i="20" s="1"/>
  <c r="C37" i="26"/>
  <c r="E37" i="26" s="1"/>
  <c r="E40" i="26" s="1"/>
  <c r="G65" i="24"/>
  <c r="I65" i="24" s="1"/>
  <c r="I68" i="24" s="1"/>
  <c r="G65" i="27"/>
  <c r="I65" i="27" s="1"/>
  <c r="I68" i="27" s="1"/>
  <c r="I70" i="27" s="1"/>
  <c r="C65" i="22"/>
  <c r="E65" i="22" s="1"/>
  <c r="E68" i="22" s="1"/>
  <c r="C65" i="24"/>
  <c r="E65" i="24" s="1"/>
  <c r="E68" i="24" s="1"/>
  <c r="K65" i="26"/>
  <c r="M65" i="26" s="1"/>
  <c r="M68" i="26" s="1"/>
  <c r="K65" i="27"/>
  <c r="M65" i="27" s="1"/>
  <c r="M68" i="27" s="1"/>
  <c r="M70" i="27" s="1"/>
  <c r="K66" i="21"/>
  <c r="M66" i="21" s="1"/>
  <c r="M69" i="21" s="1"/>
  <c r="K65" i="22"/>
  <c r="M65" i="22" s="1"/>
  <c r="M68" i="22" s="1"/>
  <c r="M70" i="22" s="1"/>
  <c r="G65" i="28"/>
  <c r="I65" i="28" s="1"/>
  <c r="I68" i="28" s="1"/>
  <c r="G65" i="23"/>
  <c r="I65" i="23" s="1"/>
  <c r="I68" i="23" s="1"/>
  <c r="G65" i="22"/>
  <c r="I65" i="22" s="1"/>
  <c r="I68" i="22" s="1"/>
  <c r="I70" i="22" s="1"/>
  <c r="G65" i="20"/>
  <c r="I65" i="20" s="1"/>
  <c r="I68" i="20" s="1"/>
  <c r="I70" i="20" s="1"/>
  <c r="C65" i="19"/>
  <c r="E65" i="19" s="1"/>
  <c r="E68" i="19" s="1"/>
  <c r="C65" i="21"/>
  <c r="E65" i="21" s="1"/>
  <c r="E68" i="21" s="1"/>
  <c r="C65" i="27"/>
  <c r="E65" i="27" s="1"/>
  <c r="E68" i="27" s="1"/>
  <c r="C65" i="26"/>
  <c r="E65" i="26" s="1"/>
  <c r="E68" i="26" s="1"/>
  <c r="C65" i="25"/>
  <c r="E65" i="25" s="1"/>
  <c r="E68" i="25" s="1"/>
  <c r="K37" i="20"/>
  <c r="M37" i="20" s="1"/>
  <c r="M40" i="20" s="1"/>
  <c r="K38" i="24"/>
  <c r="M38" i="24" s="1"/>
  <c r="M41" i="24" s="1"/>
  <c r="K37" i="27"/>
  <c r="M37" i="27" s="1"/>
  <c r="M40" i="27" s="1"/>
  <c r="G38" i="27"/>
  <c r="I38" i="27" s="1"/>
  <c r="I41" i="27" s="1"/>
  <c r="G37" i="19"/>
  <c r="I37" i="19" s="1"/>
  <c r="I40" i="19" s="1"/>
  <c r="G38" i="19"/>
  <c r="I38" i="19" s="1"/>
  <c r="I41" i="19" s="1"/>
  <c r="C37" i="19"/>
  <c r="E37" i="19" s="1"/>
  <c r="E40" i="19" s="1"/>
  <c r="C38" i="26"/>
  <c r="E38" i="26" s="1"/>
  <c r="E41" i="26" s="1"/>
  <c r="K37" i="26"/>
  <c r="M37" i="26" s="1"/>
  <c r="M40" i="26" s="1"/>
  <c r="K37" i="19"/>
  <c r="M37" i="19" s="1"/>
  <c r="M40" i="19" s="1"/>
  <c r="K37" i="23"/>
  <c r="M37" i="23" s="1"/>
  <c r="M40" i="23" s="1"/>
  <c r="K38" i="21"/>
  <c r="M38" i="21" s="1"/>
  <c r="M41" i="21" s="1"/>
  <c r="K37" i="22"/>
  <c r="M37" i="22" s="1"/>
  <c r="M40" i="22" s="1"/>
  <c r="K37" i="21"/>
  <c r="M37" i="21" s="1"/>
  <c r="M40" i="21" s="1"/>
  <c r="G37" i="22"/>
  <c r="I37" i="22" s="1"/>
  <c r="I40" i="22" s="1"/>
  <c r="G37" i="26"/>
  <c r="I37" i="26" s="1"/>
  <c r="I40" i="26" s="1"/>
  <c r="G38" i="22"/>
  <c r="I38" i="22" s="1"/>
  <c r="I41" i="22" s="1"/>
  <c r="G37" i="25"/>
  <c r="I37" i="25" s="1"/>
  <c r="I40" i="25" s="1"/>
  <c r="G37" i="28"/>
  <c r="I37" i="28" s="1"/>
  <c r="I40" i="28" s="1"/>
  <c r="C37" i="27"/>
  <c r="E37" i="27" s="1"/>
  <c r="E40" i="27" s="1"/>
  <c r="C37" i="25"/>
  <c r="E37" i="25" s="1"/>
  <c r="E40" i="25" s="1"/>
  <c r="C39" i="15"/>
  <c r="E39" i="15" s="1"/>
  <c r="E42" i="15" s="1"/>
  <c r="C37" i="22"/>
  <c r="E37" i="22" s="1"/>
  <c r="E40" i="22" s="1"/>
  <c r="C37" i="28"/>
  <c r="E37" i="28" s="1"/>
  <c r="E40" i="28" s="1"/>
  <c r="C65" i="23"/>
  <c r="E65" i="23" s="1"/>
  <c r="E68" i="23" s="1"/>
  <c r="C65" i="20"/>
  <c r="E65" i="20" s="1"/>
  <c r="E68" i="20" s="1"/>
  <c r="I16" i="8"/>
  <c r="G66" i="23"/>
  <c r="I66" i="23" s="1"/>
  <c r="I69" i="23" s="1"/>
  <c r="G66" i="28"/>
  <c r="I66" i="28" s="1"/>
  <c r="I69" i="28" s="1"/>
  <c r="C66" i="22"/>
  <c r="E66" i="22" s="1"/>
  <c r="E69" i="22" s="1"/>
  <c r="G38" i="26"/>
  <c r="I38" i="26" s="1"/>
  <c r="I41" i="26" s="1"/>
  <c r="C40" i="15"/>
  <c r="E40" i="15" s="1"/>
  <c r="E43" i="15" s="1"/>
  <c r="C66" i="21"/>
  <c r="E66" i="21" s="1"/>
  <c r="E69" i="21" s="1"/>
  <c r="C66" i="20"/>
  <c r="E66" i="20" s="1"/>
  <c r="E69" i="20" s="1"/>
  <c r="G38" i="21"/>
  <c r="I38" i="21" s="1"/>
  <c r="I41" i="21" s="1"/>
  <c r="C66" i="25"/>
  <c r="E66" i="25" s="1"/>
  <c r="E69" i="25" s="1"/>
  <c r="C38" i="25"/>
  <c r="E38" i="25" s="1"/>
  <c r="E41" i="25" s="1"/>
  <c r="C66" i="23"/>
  <c r="E66" i="23" s="1"/>
  <c r="E69" i="23" s="1"/>
  <c r="G66" i="24"/>
  <c r="I66" i="24" s="1"/>
  <c r="I69" i="24" s="1"/>
  <c r="C38" i="22"/>
  <c r="E38" i="22" s="1"/>
  <c r="E41" i="22" s="1"/>
  <c r="C38" i="28"/>
  <c r="E38" i="28" s="1"/>
  <c r="E41" i="28" s="1"/>
  <c r="G38" i="28"/>
  <c r="I38" i="28" s="1"/>
  <c r="I41" i="28" s="1"/>
  <c r="G21" i="28"/>
  <c r="I21" i="28" s="1"/>
  <c r="C21" i="28"/>
  <c r="E21" i="28" s="1"/>
  <c r="K21" i="28"/>
  <c r="M21" i="28" s="1"/>
  <c r="K38" i="27"/>
  <c r="M38" i="27" s="1"/>
  <c r="M41" i="27" s="1"/>
  <c r="C66" i="27"/>
  <c r="E66" i="27" s="1"/>
  <c r="E69" i="27" s="1"/>
  <c r="K21" i="27"/>
  <c r="M21" i="27" s="1"/>
  <c r="C21" i="27"/>
  <c r="E21" i="27" s="1"/>
  <c r="C38" i="27"/>
  <c r="E38" i="27" s="1"/>
  <c r="E41" i="27" s="1"/>
  <c r="G21" i="27"/>
  <c r="I21" i="27" s="1"/>
  <c r="G22" i="26"/>
  <c r="I22" i="26" s="1"/>
  <c r="I25" i="26" s="1"/>
  <c r="I74" i="26" s="1"/>
  <c r="K22" i="26"/>
  <c r="M22" i="26" s="1"/>
  <c r="M25" i="26" s="1"/>
  <c r="M74" i="26" s="1"/>
  <c r="K38" i="26"/>
  <c r="M38" i="26" s="1"/>
  <c r="M41" i="26" s="1"/>
  <c r="C66" i="26"/>
  <c r="E66" i="26" s="1"/>
  <c r="E69" i="26" s="1"/>
  <c r="G38" i="25"/>
  <c r="I38" i="25" s="1"/>
  <c r="I41" i="25" s="1"/>
  <c r="K21" i="25"/>
  <c r="M21" i="25" s="1"/>
  <c r="G21" i="25"/>
  <c r="I21" i="25" s="1"/>
  <c r="K21" i="24"/>
  <c r="M21" i="24" s="1"/>
  <c r="C21" i="24"/>
  <c r="E21" i="24" s="1"/>
  <c r="C66" i="24"/>
  <c r="E66" i="24" s="1"/>
  <c r="E69" i="24" s="1"/>
  <c r="G21" i="24"/>
  <c r="I21" i="24" s="1"/>
  <c r="C22" i="23"/>
  <c r="E22" i="23" s="1"/>
  <c r="E25" i="23" s="1"/>
  <c r="E74" i="23" s="1"/>
  <c r="G21" i="23"/>
  <c r="I21" i="23" s="1"/>
  <c r="K21" i="23"/>
  <c r="M21" i="23" s="1"/>
  <c r="K38" i="22"/>
  <c r="M38" i="22" s="1"/>
  <c r="M41" i="22" s="1"/>
  <c r="G21" i="22"/>
  <c r="I21" i="22" s="1"/>
  <c r="K21" i="22"/>
  <c r="M21" i="22" s="1"/>
  <c r="K21" i="21"/>
  <c r="M21" i="21" s="1"/>
  <c r="C21" i="21"/>
  <c r="E21" i="21" s="1"/>
  <c r="G21" i="20"/>
  <c r="I21" i="20" s="1"/>
  <c r="K22" i="20"/>
  <c r="M22" i="20" s="1"/>
  <c r="M25" i="20" s="1"/>
  <c r="M74" i="20" s="1"/>
  <c r="C21" i="20"/>
  <c r="E21" i="20" s="1"/>
  <c r="G22" i="19"/>
  <c r="I22" i="19" s="1"/>
  <c r="I25" i="19" s="1"/>
  <c r="I74" i="19" s="1"/>
  <c r="C66" i="19"/>
  <c r="E66" i="19" s="1"/>
  <c r="E69" i="19" s="1"/>
  <c r="L37" i="15"/>
  <c r="M37" i="15" s="1"/>
  <c r="L38" i="15"/>
  <c r="L39" i="15"/>
  <c r="L40" i="15"/>
  <c r="H37" i="15"/>
  <c r="I37" i="15" s="1"/>
  <c r="H38" i="15"/>
  <c r="H39" i="15"/>
  <c r="H40" i="15"/>
  <c r="L22" i="15"/>
  <c r="L23" i="15"/>
  <c r="L24" i="15"/>
  <c r="L25" i="15"/>
  <c r="L26" i="15"/>
  <c r="H22" i="15"/>
  <c r="I22" i="15" s="1"/>
  <c r="I16" i="29" s="1"/>
  <c r="H23" i="15"/>
  <c r="H24" i="15"/>
  <c r="H25" i="15"/>
  <c r="I25" i="15" s="1"/>
  <c r="I28" i="15" s="1"/>
  <c r="H26" i="15"/>
  <c r="B37" i="15"/>
  <c r="B38" i="15"/>
  <c r="B39" i="15"/>
  <c r="B40" i="15"/>
  <c r="B22" i="15"/>
  <c r="B23" i="15"/>
  <c r="B24" i="15"/>
  <c r="B25" i="15"/>
  <c r="B26" i="15"/>
  <c r="M70" i="26" l="1"/>
  <c r="S69" i="34"/>
  <c r="H15" i="8" s="1"/>
  <c r="I15" i="8" s="1"/>
  <c r="E70" i="23"/>
  <c r="E70" i="24"/>
  <c r="E70" i="22"/>
  <c r="M30" i="29"/>
  <c r="K38" i="15"/>
  <c r="M38" i="15" s="1"/>
  <c r="E70" i="19"/>
  <c r="E70" i="25"/>
  <c r="I70" i="28"/>
  <c r="G38" i="15"/>
  <c r="I38" i="15" s="1"/>
  <c r="I31" i="29" s="1"/>
  <c r="I30" i="29"/>
  <c r="E70" i="26"/>
  <c r="Q22" i="34"/>
  <c r="Q68" i="34" s="1"/>
  <c r="E70" i="34"/>
  <c r="Q73" i="40"/>
  <c r="F12" i="1" s="1"/>
  <c r="S71" i="40"/>
  <c r="G12" i="35"/>
  <c r="G11" i="33"/>
  <c r="Q77" i="30"/>
  <c r="Q28" i="30"/>
  <c r="U12" i="35"/>
  <c r="K12" i="35"/>
  <c r="E70" i="21"/>
  <c r="M70" i="21"/>
  <c r="M42" i="21"/>
  <c r="E70" i="27"/>
  <c r="I70" i="24"/>
  <c r="I70" i="23"/>
  <c r="E70" i="20"/>
  <c r="I42" i="28"/>
  <c r="E42" i="28"/>
  <c r="M42" i="28"/>
  <c r="I42" i="27"/>
  <c r="M42" i="27"/>
  <c r="E42" i="27"/>
  <c r="I42" i="26"/>
  <c r="E42" i="26"/>
  <c r="I42" i="24"/>
  <c r="E42" i="23"/>
  <c r="I42" i="23"/>
  <c r="M42" i="23"/>
  <c r="M42" i="22"/>
  <c r="I42" i="22"/>
  <c r="I42" i="21"/>
  <c r="M42" i="20"/>
  <c r="I42" i="20"/>
  <c r="E42" i="19"/>
  <c r="M42" i="19"/>
  <c r="M42" i="26"/>
  <c r="I42" i="25"/>
  <c r="E42" i="25"/>
  <c r="M42" i="24"/>
  <c r="E42" i="22"/>
  <c r="I42" i="19"/>
  <c r="E44" i="15"/>
  <c r="K65" i="19"/>
  <c r="M65" i="19" s="1"/>
  <c r="M68" i="19" s="1"/>
  <c r="K65" i="28"/>
  <c r="M65" i="28" s="1"/>
  <c r="M68" i="28" s="1"/>
  <c r="K65" i="24"/>
  <c r="M65" i="24" s="1"/>
  <c r="M68" i="24" s="1"/>
  <c r="K65" i="25"/>
  <c r="M65" i="25" s="1"/>
  <c r="M68" i="25" s="1"/>
  <c r="K65" i="23"/>
  <c r="M65" i="23" s="1"/>
  <c r="M68" i="23" s="1"/>
  <c r="K65" i="20"/>
  <c r="M65" i="20" s="1"/>
  <c r="M68" i="20" s="1"/>
  <c r="G65" i="21"/>
  <c r="I65" i="21" s="1"/>
  <c r="I68" i="21" s="1"/>
  <c r="G65" i="19"/>
  <c r="I65" i="19" s="1"/>
  <c r="I68" i="19" s="1"/>
  <c r="G65" i="25"/>
  <c r="I65" i="25" s="1"/>
  <c r="I68" i="25" s="1"/>
  <c r="G65" i="26"/>
  <c r="I65" i="26" s="1"/>
  <c r="I68" i="26" s="1"/>
  <c r="C65" i="28"/>
  <c r="E65" i="28" s="1"/>
  <c r="E68" i="28" s="1"/>
  <c r="K37" i="25"/>
  <c r="M37" i="25" s="1"/>
  <c r="M40" i="25" s="1"/>
  <c r="C37" i="20"/>
  <c r="E37" i="20" s="1"/>
  <c r="E40" i="20" s="1"/>
  <c r="C37" i="24"/>
  <c r="E37" i="24" s="1"/>
  <c r="E40" i="24" s="1"/>
  <c r="C37" i="21"/>
  <c r="E37" i="21" s="1"/>
  <c r="E40" i="21" s="1"/>
  <c r="C66" i="28"/>
  <c r="E66" i="28" s="1"/>
  <c r="E69" i="28" s="1"/>
  <c r="G66" i="19"/>
  <c r="I66" i="19" s="1"/>
  <c r="I69" i="19" s="1"/>
  <c r="K66" i="25"/>
  <c r="M66" i="25" s="1"/>
  <c r="M69" i="25" s="1"/>
  <c r="G66" i="26"/>
  <c r="I66" i="26" s="1"/>
  <c r="I69" i="26" s="1"/>
  <c r="K66" i="23"/>
  <c r="M66" i="23" s="1"/>
  <c r="M69" i="23" s="1"/>
  <c r="C38" i="20"/>
  <c r="E38" i="20" s="1"/>
  <c r="E41" i="20" s="1"/>
  <c r="C38" i="21"/>
  <c r="E38" i="21" s="1"/>
  <c r="E41" i="21" s="1"/>
  <c r="G23" i="15"/>
  <c r="I23" i="15" s="1"/>
  <c r="C23" i="15"/>
  <c r="E23" i="15" s="1"/>
  <c r="G22" i="28"/>
  <c r="I22" i="28" s="1"/>
  <c r="I25" i="28" s="1"/>
  <c r="I74" i="28" s="1"/>
  <c r="C22" i="28"/>
  <c r="E22" i="28" s="1"/>
  <c r="E25" i="28" s="1"/>
  <c r="E74" i="28" s="1"/>
  <c r="K22" i="28"/>
  <c r="M22" i="28" s="1"/>
  <c r="M25" i="28" s="1"/>
  <c r="M74" i="28" s="1"/>
  <c r="K66" i="28"/>
  <c r="M66" i="28" s="1"/>
  <c r="M69" i="28" s="1"/>
  <c r="K22" i="27"/>
  <c r="M22" i="27" s="1"/>
  <c r="M25" i="27" s="1"/>
  <c r="M74" i="27" s="1"/>
  <c r="C22" i="27"/>
  <c r="E22" i="27" s="1"/>
  <c r="E25" i="27" s="1"/>
  <c r="E74" i="27" s="1"/>
  <c r="C21" i="26"/>
  <c r="E21" i="26" s="1"/>
  <c r="G22" i="25"/>
  <c r="I22" i="25" s="1"/>
  <c r="I25" i="25" s="1"/>
  <c r="I74" i="25" s="1"/>
  <c r="K22" i="25"/>
  <c r="M22" i="25" s="1"/>
  <c r="M25" i="25" s="1"/>
  <c r="M74" i="25" s="1"/>
  <c r="C21" i="25"/>
  <c r="E21" i="25" s="1"/>
  <c r="K38" i="25"/>
  <c r="M38" i="25" s="1"/>
  <c r="M41" i="25" s="1"/>
  <c r="G66" i="25"/>
  <c r="I66" i="25" s="1"/>
  <c r="I69" i="25" s="1"/>
  <c r="C22" i="24"/>
  <c r="E22" i="24" s="1"/>
  <c r="E25" i="24" s="1"/>
  <c r="E74" i="24" s="1"/>
  <c r="C38" i="24"/>
  <c r="E38" i="24" s="1"/>
  <c r="E41" i="24" s="1"/>
  <c r="G22" i="24"/>
  <c r="I22" i="24" s="1"/>
  <c r="I25" i="24" s="1"/>
  <c r="I74" i="24" s="1"/>
  <c r="K22" i="24"/>
  <c r="M22" i="24" s="1"/>
  <c r="M25" i="24" s="1"/>
  <c r="M74" i="24" s="1"/>
  <c r="K66" i="24"/>
  <c r="M66" i="24" s="1"/>
  <c r="M69" i="24" s="1"/>
  <c r="K22" i="23"/>
  <c r="M22" i="23" s="1"/>
  <c r="M25" i="23" s="1"/>
  <c r="M74" i="23" s="1"/>
  <c r="G22" i="22"/>
  <c r="I22" i="22" s="1"/>
  <c r="I25" i="22" s="1"/>
  <c r="I74" i="22" s="1"/>
  <c r="C21" i="22"/>
  <c r="E21" i="22" s="1"/>
  <c r="K22" i="22"/>
  <c r="M22" i="22" s="1"/>
  <c r="M25" i="22" s="1"/>
  <c r="M74" i="22" s="1"/>
  <c r="K22" i="21"/>
  <c r="C22" i="21"/>
  <c r="G21" i="21"/>
  <c r="I21" i="21" s="1"/>
  <c r="G66" i="21"/>
  <c r="I66" i="21" s="1"/>
  <c r="I69" i="21" s="1"/>
  <c r="K66" i="20"/>
  <c r="M66" i="20" s="1"/>
  <c r="M69" i="20" s="1"/>
  <c r="G22" i="20"/>
  <c r="I22" i="20" s="1"/>
  <c r="I25" i="20" s="1"/>
  <c r="I74" i="20" s="1"/>
  <c r="C21" i="19"/>
  <c r="E21" i="19" s="1"/>
  <c r="K21" i="19"/>
  <c r="M21" i="19" s="1"/>
  <c r="K66" i="19"/>
  <c r="M66" i="19" s="1"/>
  <c r="M69" i="19" s="1"/>
  <c r="E70" i="28" l="1"/>
  <c r="I34" i="29"/>
  <c r="I41" i="15"/>
  <c r="Q24" i="34"/>
  <c r="M70" i="28"/>
  <c r="I70" i="25"/>
  <c r="M41" i="15"/>
  <c r="M31" i="29"/>
  <c r="M34" i="29" s="1"/>
  <c r="I70" i="26"/>
  <c r="E17" i="29"/>
  <c r="I70" i="19"/>
  <c r="M70" i="19"/>
  <c r="U14" i="35"/>
  <c r="U15" i="35" s="1"/>
  <c r="Q80" i="30"/>
  <c r="Q74" i="34" s="1"/>
  <c r="R8" i="33"/>
  <c r="S8" i="33" s="1"/>
  <c r="S11" i="33" s="1"/>
  <c r="U13" i="33" s="1"/>
  <c r="Q70" i="34"/>
  <c r="S68" i="34"/>
  <c r="J15" i="8" s="1"/>
  <c r="K15" i="8" s="1"/>
  <c r="E22" i="21"/>
  <c r="E25" i="21" s="1"/>
  <c r="E74" i="21" s="1"/>
  <c r="M22" i="21"/>
  <c r="M25" i="21" s="1"/>
  <c r="M74" i="21" s="1"/>
  <c r="I70" i="21"/>
  <c r="E33" i="29"/>
  <c r="E36" i="29" s="1"/>
  <c r="E32" i="29"/>
  <c r="E35" i="29" s="1"/>
  <c r="I17" i="29"/>
  <c r="M70" i="25"/>
  <c r="M70" i="24"/>
  <c r="M70" i="23"/>
  <c r="M70" i="20"/>
  <c r="M42" i="25"/>
  <c r="E42" i="24"/>
  <c r="E42" i="21"/>
  <c r="E42" i="20"/>
  <c r="K23" i="20"/>
  <c r="M23" i="20" s="1"/>
  <c r="M26" i="20" s="1"/>
  <c r="M75" i="20" s="1"/>
  <c r="G23" i="19"/>
  <c r="I23" i="19" s="1"/>
  <c r="I26" i="19" s="1"/>
  <c r="I75" i="19" s="1"/>
  <c r="C23" i="23"/>
  <c r="E23" i="23" s="1"/>
  <c r="E26" i="23" s="1"/>
  <c r="E75" i="23" s="1"/>
  <c r="K23" i="26"/>
  <c r="M23" i="26" s="1"/>
  <c r="M26" i="26" s="1"/>
  <c r="M75" i="26" s="1"/>
  <c r="G23" i="26"/>
  <c r="I23" i="26" s="1"/>
  <c r="I26" i="26" s="1"/>
  <c r="I75" i="26" s="1"/>
  <c r="C24" i="23"/>
  <c r="E24" i="23" s="1"/>
  <c r="E27" i="23" s="1"/>
  <c r="E76" i="23" s="1"/>
  <c r="C24" i="15"/>
  <c r="E24" i="15" s="1"/>
  <c r="E27" i="15" s="1"/>
  <c r="K24" i="20"/>
  <c r="M24" i="20" s="1"/>
  <c r="M27" i="20" s="1"/>
  <c r="M76" i="20" s="1"/>
  <c r="G24" i="15"/>
  <c r="I24" i="15" s="1"/>
  <c r="I27" i="15" s="1"/>
  <c r="C24" i="28"/>
  <c r="E24" i="28" s="1"/>
  <c r="E27" i="28" s="1"/>
  <c r="E76" i="28" s="1"/>
  <c r="K24" i="27"/>
  <c r="M24" i="27" s="1"/>
  <c r="M27" i="27" s="1"/>
  <c r="M76" i="27" s="1"/>
  <c r="G22" i="27"/>
  <c r="I22" i="27" s="1"/>
  <c r="I25" i="27" s="1"/>
  <c r="I74" i="27" s="1"/>
  <c r="K24" i="26"/>
  <c r="M24" i="26" s="1"/>
  <c r="M27" i="26" s="1"/>
  <c r="M76" i="26" s="1"/>
  <c r="G24" i="26"/>
  <c r="I24" i="26" s="1"/>
  <c r="I27" i="26" s="1"/>
  <c r="I76" i="26" s="1"/>
  <c r="K24" i="25"/>
  <c r="M24" i="25" s="1"/>
  <c r="M27" i="25" s="1"/>
  <c r="M76" i="25" s="1"/>
  <c r="C22" i="25"/>
  <c r="E22" i="25" s="1"/>
  <c r="E25" i="25" s="1"/>
  <c r="E74" i="25" s="1"/>
  <c r="G24" i="25"/>
  <c r="I24" i="25" s="1"/>
  <c r="I27" i="25" s="1"/>
  <c r="I76" i="25" s="1"/>
  <c r="K24" i="23"/>
  <c r="M24" i="23" s="1"/>
  <c r="M27" i="23" s="1"/>
  <c r="M76" i="23" s="1"/>
  <c r="G22" i="23"/>
  <c r="I22" i="23" s="1"/>
  <c r="I25" i="23" s="1"/>
  <c r="I74" i="23" s="1"/>
  <c r="C22" i="22"/>
  <c r="E22" i="22" s="1"/>
  <c r="E25" i="22" s="1"/>
  <c r="E74" i="22" s="1"/>
  <c r="K24" i="22"/>
  <c r="M24" i="22" s="1"/>
  <c r="M27" i="22" s="1"/>
  <c r="M76" i="22" s="1"/>
  <c r="C22" i="20"/>
  <c r="E22" i="20" s="1"/>
  <c r="E25" i="20" s="1"/>
  <c r="E74" i="20" s="1"/>
  <c r="K22" i="19"/>
  <c r="M22" i="19" s="1"/>
  <c r="M25" i="19" s="1"/>
  <c r="M74" i="19" s="1"/>
  <c r="G24" i="19"/>
  <c r="I24" i="19" s="1"/>
  <c r="I27" i="19" s="1"/>
  <c r="I76" i="19" s="1"/>
  <c r="U8" i="33" l="1"/>
  <c r="U11" i="33" s="1"/>
  <c r="U14" i="33" s="1"/>
  <c r="E37" i="29"/>
  <c r="S70" i="34"/>
  <c r="Q72" i="34"/>
  <c r="F11" i="1" s="1"/>
  <c r="I28" i="26"/>
  <c r="M77" i="26"/>
  <c r="N16" i="52" s="1"/>
  <c r="O16" i="52" s="1"/>
  <c r="M28" i="26"/>
  <c r="E77" i="23"/>
  <c r="E28" i="23"/>
  <c r="M28" i="20"/>
  <c r="I77" i="19"/>
  <c r="I28" i="19"/>
  <c r="I77" i="26"/>
  <c r="J16" i="52" s="1"/>
  <c r="K16" i="52" s="1"/>
  <c r="M77" i="20"/>
  <c r="N10" i="52" s="1"/>
  <c r="O10" i="52" s="1"/>
  <c r="K23" i="21"/>
  <c r="M23" i="21" s="1"/>
  <c r="M26" i="21" s="1"/>
  <c r="M75" i="21" s="1"/>
  <c r="K39" i="15"/>
  <c r="M39" i="15" s="1"/>
  <c r="G39" i="15"/>
  <c r="I39" i="15" s="1"/>
  <c r="G23" i="28"/>
  <c r="I23" i="28" s="1"/>
  <c r="I26" i="28" s="1"/>
  <c r="I75" i="28" s="1"/>
  <c r="K23" i="23"/>
  <c r="M23" i="23" s="1"/>
  <c r="M26" i="23" s="1"/>
  <c r="M75" i="23" s="1"/>
  <c r="K23" i="27"/>
  <c r="M23" i="27" s="1"/>
  <c r="M26" i="27" s="1"/>
  <c r="M75" i="27" s="1"/>
  <c r="K23" i="25"/>
  <c r="M23" i="25" s="1"/>
  <c r="M26" i="25" s="1"/>
  <c r="M75" i="25" s="1"/>
  <c r="C23" i="28"/>
  <c r="E23" i="28" s="1"/>
  <c r="E26" i="28" s="1"/>
  <c r="E75" i="28" s="1"/>
  <c r="K23" i="28"/>
  <c r="M23" i="28" s="1"/>
  <c r="M26" i="28" s="1"/>
  <c r="M75" i="28" s="1"/>
  <c r="K23" i="22"/>
  <c r="M23" i="22" s="1"/>
  <c r="M26" i="22" s="1"/>
  <c r="M75" i="22" s="1"/>
  <c r="G23" i="22"/>
  <c r="I23" i="22" s="1"/>
  <c r="I26" i="22" s="1"/>
  <c r="I75" i="22" s="1"/>
  <c r="G23" i="24"/>
  <c r="I23" i="24" s="1"/>
  <c r="I26" i="24" s="1"/>
  <c r="I75" i="24" s="1"/>
  <c r="G23" i="20"/>
  <c r="I23" i="20" s="1"/>
  <c r="I26" i="20" s="1"/>
  <c r="I75" i="20" s="1"/>
  <c r="G23" i="25"/>
  <c r="I23" i="25" s="1"/>
  <c r="I26" i="25" s="1"/>
  <c r="I75" i="25" s="1"/>
  <c r="C23" i="21"/>
  <c r="E23" i="21" s="1"/>
  <c r="E26" i="21" s="1"/>
  <c r="E75" i="21" s="1"/>
  <c r="C23" i="24"/>
  <c r="E23" i="24" s="1"/>
  <c r="E26" i="24" s="1"/>
  <c r="E75" i="24" s="1"/>
  <c r="C23" i="27"/>
  <c r="E23" i="27" s="1"/>
  <c r="E26" i="27" s="1"/>
  <c r="E75" i="27" s="1"/>
  <c r="K23" i="24"/>
  <c r="M23" i="24" s="1"/>
  <c r="M26" i="24" s="1"/>
  <c r="M75" i="24" s="1"/>
  <c r="K24" i="21"/>
  <c r="M24" i="21" s="1"/>
  <c r="M27" i="21" s="1"/>
  <c r="M76" i="21" s="1"/>
  <c r="K24" i="28"/>
  <c r="M24" i="28" s="1"/>
  <c r="M27" i="28" s="1"/>
  <c r="M76" i="28" s="1"/>
  <c r="G24" i="22"/>
  <c r="I24" i="22" s="1"/>
  <c r="I27" i="22" s="1"/>
  <c r="I76" i="22" s="1"/>
  <c r="G24" i="24"/>
  <c r="I24" i="24" s="1"/>
  <c r="I27" i="24" s="1"/>
  <c r="I76" i="24" s="1"/>
  <c r="C24" i="21"/>
  <c r="E24" i="21" s="1"/>
  <c r="E27" i="21" s="1"/>
  <c r="E76" i="21" s="1"/>
  <c r="C24" i="24"/>
  <c r="E24" i="24" s="1"/>
  <c r="E27" i="24" s="1"/>
  <c r="E76" i="24" s="1"/>
  <c r="G40" i="15"/>
  <c r="I40" i="15" s="1"/>
  <c r="C24" i="27"/>
  <c r="E24" i="27" s="1"/>
  <c r="E27" i="27" s="1"/>
  <c r="E76" i="27" s="1"/>
  <c r="K40" i="15"/>
  <c r="M40" i="15" s="1"/>
  <c r="G24" i="28"/>
  <c r="I24" i="28" s="1"/>
  <c r="I27" i="28" s="1"/>
  <c r="I76" i="28" s="1"/>
  <c r="C22" i="26"/>
  <c r="E22" i="26" s="1"/>
  <c r="E25" i="26" s="1"/>
  <c r="E74" i="26" s="1"/>
  <c r="C24" i="25"/>
  <c r="E24" i="25" s="1"/>
  <c r="E27" i="25" s="1"/>
  <c r="E76" i="25" s="1"/>
  <c r="K24" i="24"/>
  <c r="M24" i="24" s="1"/>
  <c r="M27" i="24" s="1"/>
  <c r="M76" i="24" s="1"/>
  <c r="G22" i="21"/>
  <c r="I22" i="21" s="1"/>
  <c r="I25" i="21" s="1"/>
  <c r="I74" i="21" s="1"/>
  <c r="G24" i="20"/>
  <c r="I24" i="20" s="1"/>
  <c r="I27" i="20" s="1"/>
  <c r="I76" i="20" s="1"/>
  <c r="C22" i="19"/>
  <c r="E22" i="19" s="1"/>
  <c r="E25" i="19" s="1"/>
  <c r="E74" i="19" s="1"/>
  <c r="M43" i="15" l="1"/>
  <c r="M33" i="29"/>
  <c r="M36" i="29" s="1"/>
  <c r="I42" i="15"/>
  <c r="I32" i="29"/>
  <c r="I35" i="29" s="1"/>
  <c r="M42" i="15"/>
  <c r="M32" i="29"/>
  <c r="M35" i="29" s="1"/>
  <c r="M37" i="29" s="1"/>
  <c r="I43" i="15"/>
  <c r="I33" i="29"/>
  <c r="I36" i="29" s="1"/>
  <c r="E18" i="29"/>
  <c r="E21" i="29" s="1"/>
  <c r="M28" i="21"/>
  <c r="E28" i="21"/>
  <c r="I18" i="29"/>
  <c r="I21" i="29" s="1"/>
  <c r="M28" i="28"/>
  <c r="E77" i="28"/>
  <c r="E28" i="28"/>
  <c r="I77" i="28"/>
  <c r="J18" i="52" s="1"/>
  <c r="K18" i="52" s="1"/>
  <c r="I28" i="28"/>
  <c r="M28" i="27"/>
  <c r="E77" i="27"/>
  <c r="E28" i="27"/>
  <c r="M77" i="25"/>
  <c r="N15" i="52" s="1"/>
  <c r="O15" i="52" s="1"/>
  <c r="M28" i="25"/>
  <c r="I28" i="25"/>
  <c r="E28" i="24"/>
  <c r="M77" i="24"/>
  <c r="N14" i="52" s="1"/>
  <c r="O14" i="52" s="1"/>
  <c r="M28" i="24"/>
  <c r="I77" i="24"/>
  <c r="J14" i="52" s="1"/>
  <c r="K14" i="52" s="1"/>
  <c r="I28" i="24"/>
  <c r="M28" i="23"/>
  <c r="I28" i="22"/>
  <c r="M77" i="22"/>
  <c r="N12" i="52" s="1"/>
  <c r="O12" i="52" s="1"/>
  <c r="M28" i="22"/>
  <c r="I28" i="20"/>
  <c r="M77" i="28"/>
  <c r="N18" i="52" s="1"/>
  <c r="O18" i="52" s="1"/>
  <c r="M77" i="27"/>
  <c r="N17" i="52" s="1"/>
  <c r="O17" i="52" s="1"/>
  <c r="I77" i="25"/>
  <c r="J15" i="52" s="1"/>
  <c r="K15" i="52" s="1"/>
  <c r="E77" i="24"/>
  <c r="M77" i="23"/>
  <c r="N13" i="52" s="1"/>
  <c r="O13" i="52" s="1"/>
  <c r="I77" i="22"/>
  <c r="J12" i="52" s="1"/>
  <c r="K12" i="52" s="1"/>
  <c r="I77" i="20"/>
  <c r="J10" i="52" s="1"/>
  <c r="K10" i="52" s="1"/>
  <c r="C26" i="15"/>
  <c r="E26" i="15" s="1"/>
  <c r="E29" i="15" s="1"/>
  <c r="J9" i="52"/>
  <c r="K9" i="52" s="1"/>
  <c r="K23" i="19"/>
  <c r="M23" i="19" s="1"/>
  <c r="M26" i="19" s="1"/>
  <c r="M75" i="19" s="1"/>
  <c r="G23" i="27"/>
  <c r="I23" i="27" s="1"/>
  <c r="I26" i="27" s="1"/>
  <c r="I75" i="27" s="1"/>
  <c r="G23" i="23"/>
  <c r="I23" i="23" s="1"/>
  <c r="I26" i="23" s="1"/>
  <c r="I75" i="23" s="1"/>
  <c r="C23" i="22"/>
  <c r="E23" i="22" s="1"/>
  <c r="E26" i="22" s="1"/>
  <c r="E75" i="22" s="1"/>
  <c r="C23" i="20"/>
  <c r="E23" i="20" s="1"/>
  <c r="E26" i="20" s="1"/>
  <c r="E75" i="20" s="1"/>
  <c r="C23" i="25"/>
  <c r="E23" i="25" s="1"/>
  <c r="E26" i="25" s="1"/>
  <c r="E75" i="25" s="1"/>
  <c r="C25" i="15"/>
  <c r="E25" i="15" s="1"/>
  <c r="E28" i="15" s="1"/>
  <c r="F13" i="52"/>
  <c r="G13" i="52" s="1"/>
  <c r="G26" i="15"/>
  <c r="I26" i="15" s="1"/>
  <c r="I29" i="15" s="1"/>
  <c r="C24" i="22"/>
  <c r="E24" i="22" s="1"/>
  <c r="E27" i="22" s="1"/>
  <c r="E76" i="22" s="1"/>
  <c r="G24" i="27"/>
  <c r="I24" i="27" s="1"/>
  <c r="I27" i="27" s="1"/>
  <c r="I76" i="27" s="1"/>
  <c r="G24" i="23"/>
  <c r="I24" i="23" s="1"/>
  <c r="I27" i="23" s="1"/>
  <c r="I76" i="23" s="1"/>
  <c r="C24" i="20"/>
  <c r="E24" i="20" s="1"/>
  <c r="E27" i="20" s="1"/>
  <c r="E76" i="20" s="1"/>
  <c r="K24" i="19"/>
  <c r="M24" i="19" s="1"/>
  <c r="M27" i="19" s="1"/>
  <c r="M76" i="19" s="1"/>
  <c r="M44" i="15" l="1"/>
  <c r="I37" i="29"/>
  <c r="E77" i="21"/>
  <c r="F11" i="52" s="1"/>
  <c r="G11" i="52" s="1"/>
  <c r="M77" i="21"/>
  <c r="N11" i="52" s="1"/>
  <c r="O11" i="52" s="1"/>
  <c r="I28" i="27"/>
  <c r="E77" i="25"/>
  <c r="E28" i="25"/>
  <c r="I28" i="23"/>
  <c r="E28" i="22"/>
  <c r="E28" i="20"/>
  <c r="M28" i="19"/>
  <c r="E30" i="15"/>
  <c r="I30" i="15"/>
  <c r="I77" i="27"/>
  <c r="J17" i="52" s="1"/>
  <c r="K17" i="52" s="1"/>
  <c r="I77" i="23"/>
  <c r="E77" i="22"/>
  <c r="E77" i="20"/>
  <c r="M77" i="19"/>
  <c r="I44" i="15"/>
  <c r="C23" i="19"/>
  <c r="E23" i="19" s="1"/>
  <c r="E26" i="19" s="1"/>
  <c r="E75" i="19" s="1"/>
  <c r="C23" i="26"/>
  <c r="E23" i="26" s="1"/>
  <c r="E26" i="26" s="1"/>
  <c r="E75" i="26" s="1"/>
  <c r="G23" i="21"/>
  <c r="I23" i="21" s="1"/>
  <c r="I26" i="21" s="1"/>
  <c r="I75" i="21" s="1"/>
  <c r="F18" i="52"/>
  <c r="Q80" i="28"/>
  <c r="F17" i="52"/>
  <c r="G17" i="52" s="1"/>
  <c r="F14" i="52"/>
  <c r="Q80" i="24"/>
  <c r="G24" i="21"/>
  <c r="I24" i="21" s="1"/>
  <c r="I27" i="21" s="1"/>
  <c r="I76" i="21" s="1"/>
  <c r="C24" i="26"/>
  <c r="E24" i="26" s="1"/>
  <c r="E27" i="26" s="1"/>
  <c r="E76" i="26" s="1"/>
  <c r="C24" i="19"/>
  <c r="E24" i="19" s="1"/>
  <c r="E27" i="19" s="1"/>
  <c r="E76" i="19" s="1"/>
  <c r="E19" i="29" l="1"/>
  <c r="E22" i="29" s="1"/>
  <c r="E20" i="29"/>
  <c r="E23" i="29" s="1"/>
  <c r="G18" i="52"/>
  <c r="U18" i="52" s="1"/>
  <c r="G14" i="52"/>
  <c r="U14" i="52" s="1"/>
  <c r="I28" i="21"/>
  <c r="I19" i="29"/>
  <c r="I22" i="29" s="1"/>
  <c r="I20" i="29"/>
  <c r="I23" i="29" s="1"/>
  <c r="E28" i="26"/>
  <c r="E28" i="19"/>
  <c r="E77" i="26"/>
  <c r="E77" i="19"/>
  <c r="N9" i="52"/>
  <c r="O9" i="52" s="1"/>
  <c r="U17" i="52"/>
  <c r="Q80" i="27"/>
  <c r="F15" i="52"/>
  <c r="Q80" i="25"/>
  <c r="J13" i="52"/>
  <c r="Q80" i="23"/>
  <c r="F12" i="52"/>
  <c r="Q80" i="22"/>
  <c r="F10" i="52"/>
  <c r="Q80" i="20"/>
  <c r="E24" i="29" l="1"/>
  <c r="G15" i="52"/>
  <c r="U15" i="52" s="1"/>
  <c r="K13" i="52"/>
  <c r="U13" i="52" s="1"/>
  <c r="G12" i="52"/>
  <c r="U12" i="52" s="1"/>
  <c r="I77" i="21"/>
  <c r="J11" i="52" s="1"/>
  <c r="G10" i="52"/>
  <c r="U10" i="52" s="1"/>
  <c r="I24" i="29"/>
  <c r="Q80" i="19"/>
  <c r="F9" i="52"/>
  <c r="F16" i="52"/>
  <c r="Q80" i="26"/>
  <c r="M12" i="10"/>
  <c r="K65" i="15"/>
  <c r="M65" i="15" s="1"/>
  <c r="M57" i="29" s="1"/>
  <c r="G65" i="15"/>
  <c r="I65" i="15" s="1"/>
  <c r="I57" i="29" s="1"/>
  <c r="C65" i="15"/>
  <c r="E65" i="15" s="1"/>
  <c r="E57" i="29" s="1"/>
  <c r="K33" i="15"/>
  <c r="G33" i="15"/>
  <c r="B60" i="15"/>
  <c r="B74" i="15" s="1"/>
  <c r="Z30" i="1"/>
  <c r="Z31" i="1"/>
  <c r="AD30" i="1"/>
  <c r="AD31" i="1"/>
  <c r="V30" i="1"/>
  <c r="V31" i="1"/>
  <c r="R30" i="1"/>
  <c r="R31" i="1"/>
  <c r="N30" i="1"/>
  <c r="N31" i="1"/>
  <c r="J30" i="1"/>
  <c r="J31" i="1"/>
  <c r="AD17" i="1"/>
  <c r="AD18" i="1"/>
  <c r="AD19" i="1"/>
  <c r="AD20" i="1"/>
  <c r="AD21" i="1"/>
  <c r="AD22" i="1"/>
  <c r="AD23" i="1"/>
  <c r="AD24" i="1"/>
  <c r="AD26" i="1"/>
  <c r="Z17" i="1"/>
  <c r="Z18" i="1"/>
  <c r="Z19" i="1"/>
  <c r="Z20" i="1"/>
  <c r="Z21" i="1"/>
  <c r="Z22" i="1"/>
  <c r="Z23" i="1"/>
  <c r="Z24" i="1"/>
  <c r="Z26" i="1"/>
  <c r="V17" i="1"/>
  <c r="V18" i="1"/>
  <c r="V19" i="1"/>
  <c r="V20" i="1"/>
  <c r="V21" i="1"/>
  <c r="V22" i="1"/>
  <c r="V23" i="1"/>
  <c r="V26" i="1"/>
  <c r="R17" i="1"/>
  <c r="R18" i="1"/>
  <c r="R19" i="1"/>
  <c r="R20" i="1"/>
  <c r="R21" i="1"/>
  <c r="R22" i="1"/>
  <c r="R23" i="1"/>
  <c r="R24" i="1"/>
  <c r="R26" i="1"/>
  <c r="N17" i="1"/>
  <c r="N18" i="1"/>
  <c r="N19" i="1"/>
  <c r="N20" i="1"/>
  <c r="N21" i="1"/>
  <c r="N22" i="1"/>
  <c r="N23" i="1"/>
  <c r="N24" i="1"/>
  <c r="N26" i="1"/>
  <c r="J17" i="1"/>
  <c r="J18" i="1"/>
  <c r="J19" i="1"/>
  <c r="J20" i="1"/>
  <c r="J21" i="1"/>
  <c r="J22" i="1"/>
  <c r="J23" i="1"/>
  <c r="J24" i="1"/>
  <c r="J26" i="1"/>
  <c r="G16" i="52" l="1"/>
  <c r="U16" i="52" s="1"/>
  <c r="Q80" i="21"/>
  <c r="K11" i="52"/>
  <c r="U11" i="52" s="1"/>
  <c r="G9" i="52"/>
  <c r="U9" i="52" s="1"/>
  <c r="K61" i="15"/>
  <c r="K47" i="15"/>
  <c r="G61" i="15"/>
  <c r="G47" i="15"/>
  <c r="K22" i="15"/>
  <c r="M22" i="15" s="1"/>
  <c r="M16" i="29" s="1"/>
  <c r="K66" i="15"/>
  <c r="M66" i="15" s="1"/>
  <c r="M21" i="10"/>
  <c r="M20" i="10"/>
  <c r="M19" i="10"/>
  <c r="M18" i="10"/>
  <c r="M17" i="10"/>
  <c r="M16" i="10"/>
  <c r="M15" i="10"/>
  <c r="M14" i="10"/>
  <c r="M13" i="10"/>
  <c r="M69" i="15" l="1"/>
  <c r="M58" i="29"/>
  <c r="M61" i="29" s="1"/>
  <c r="K23" i="15"/>
  <c r="M23" i="15" s="1"/>
  <c r="M17" i="29" s="1"/>
  <c r="C66" i="15"/>
  <c r="E66" i="15" s="1"/>
  <c r="G66" i="15"/>
  <c r="I66" i="15" s="1"/>
  <c r="I69" i="15" l="1"/>
  <c r="I76" i="15" s="1"/>
  <c r="I58" i="29"/>
  <c r="I61" i="29" s="1"/>
  <c r="E69" i="15"/>
  <c r="E76" i="15" s="1"/>
  <c r="E58" i="29"/>
  <c r="E61" i="29" s="1"/>
  <c r="K67" i="15"/>
  <c r="M67" i="15" s="1"/>
  <c r="K68" i="15"/>
  <c r="M68" i="15" s="1"/>
  <c r="K24" i="15"/>
  <c r="M24" i="15" s="1"/>
  <c r="M71" i="15" l="1"/>
  <c r="M60" i="29"/>
  <c r="M63" i="29" s="1"/>
  <c r="M70" i="15"/>
  <c r="M59" i="29"/>
  <c r="M62" i="29" s="1"/>
  <c r="M64" i="29" s="1"/>
  <c r="E68" i="29"/>
  <c r="I68" i="29"/>
  <c r="M27" i="15"/>
  <c r="M76" i="15" s="1"/>
  <c r="M18" i="29"/>
  <c r="M21" i="29" s="1"/>
  <c r="G67" i="15"/>
  <c r="I67" i="15" s="1"/>
  <c r="C67" i="15"/>
  <c r="E67" i="15" s="1"/>
  <c r="C68" i="15"/>
  <c r="E68" i="15" s="1"/>
  <c r="G68" i="15"/>
  <c r="I68" i="15" s="1"/>
  <c r="AE31" i="1"/>
  <c r="AE30" i="1"/>
  <c r="AE26" i="1"/>
  <c r="AE23" i="1"/>
  <c r="AE22" i="1"/>
  <c r="AE21" i="1"/>
  <c r="AE20" i="1"/>
  <c r="AE19" i="1"/>
  <c r="AE18" i="1"/>
  <c r="AE17" i="1"/>
  <c r="AA31" i="1"/>
  <c r="AA30" i="1"/>
  <c r="AA26" i="1"/>
  <c r="AA23" i="1"/>
  <c r="AA22" i="1"/>
  <c r="AA21" i="1"/>
  <c r="AA20" i="1"/>
  <c r="AA19" i="1"/>
  <c r="AA18" i="1"/>
  <c r="AA17" i="1"/>
  <c r="W31" i="1"/>
  <c r="W30" i="1"/>
  <c r="W26" i="1"/>
  <c r="W23" i="1"/>
  <c r="W22" i="1"/>
  <c r="W21" i="1"/>
  <c r="W20" i="1"/>
  <c r="W19" i="1"/>
  <c r="W18" i="1"/>
  <c r="W17" i="1"/>
  <c r="S31" i="1"/>
  <c r="S30" i="1"/>
  <c r="S26" i="1"/>
  <c r="S24" i="1"/>
  <c r="S23" i="1"/>
  <c r="S22" i="1"/>
  <c r="S21" i="1"/>
  <c r="S20" i="1"/>
  <c r="S19" i="1"/>
  <c r="S18" i="1"/>
  <c r="S17" i="1"/>
  <c r="O31" i="1"/>
  <c r="O30" i="1"/>
  <c r="O26" i="1"/>
  <c r="O24" i="1"/>
  <c r="O23" i="1"/>
  <c r="O22" i="1"/>
  <c r="O21" i="1"/>
  <c r="O20" i="1"/>
  <c r="O19" i="1"/>
  <c r="O18" i="1"/>
  <c r="O17" i="1"/>
  <c r="K31" i="1"/>
  <c r="K30" i="1"/>
  <c r="K26" i="1"/>
  <c r="K24" i="1"/>
  <c r="K23" i="1"/>
  <c r="K22" i="1"/>
  <c r="K21" i="1"/>
  <c r="K20" i="1"/>
  <c r="K19" i="1"/>
  <c r="K18" i="1"/>
  <c r="K17" i="1"/>
  <c r="G12" i="1"/>
  <c r="AG12" i="1" s="1"/>
  <c r="G11" i="1"/>
  <c r="AG11" i="1" s="1"/>
  <c r="AE23" i="9"/>
  <c r="AE22" i="9"/>
  <c r="AE21" i="9"/>
  <c r="AE18" i="9"/>
  <c r="AE17" i="9"/>
  <c r="AE16" i="9"/>
  <c r="AE15" i="9"/>
  <c r="AE14" i="9"/>
  <c r="AE13" i="9"/>
  <c r="AE12" i="9"/>
  <c r="AA23" i="9"/>
  <c r="AA22" i="9"/>
  <c r="AA21" i="9"/>
  <c r="AA18" i="9"/>
  <c r="AA17" i="9"/>
  <c r="AA16" i="9"/>
  <c r="AA15" i="9"/>
  <c r="AA14" i="9"/>
  <c r="AA13" i="9"/>
  <c r="AA12" i="9"/>
  <c r="W23" i="9"/>
  <c r="W22" i="9"/>
  <c r="W21" i="9"/>
  <c r="W18" i="9"/>
  <c r="W17" i="9"/>
  <c r="W16" i="9"/>
  <c r="W15" i="9"/>
  <c r="W14" i="9"/>
  <c r="W13" i="9"/>
  <c r="W12" i="9"/>
  <c r="S23" i="9"/>
  <c r="S22" i="9"/>
  <c r="S21" i="9"/>
  <c r="S19" i="9"/>
  <c r="S18" i="9"/>
  <c r="S17" i="9"/>
  <c r="S16" i="9"/>
  <c r="S15" i="9"/>
  <c r="S14" i="9"/>
  <c r="S13" i="9"/>
  <c r="S12" i="9"/>
  <c r="O23" i="9"/>
  <c r="O22" i="9"/>
  <c r="O21" i="9"/>
  <c r="O19" i="9"/>
  <c r="O18" i="9"/>
  <c r="O17" i="9"/>
  <c r="O16" i="9"/>
  <c r="O15" i="9"/>
  <c r="O14" i="9"/>
  <c r="O13" i="9"/>
  <c r="O12" i="9"/>
  <c r="K23" i="9"/>
  <c r="K22" i="9"/>
  <c r="K21" i="9"/>
  <c r="K19" i="9"/>
  <c r="K18" i="9"/>
  <c r="K17" i="9"/>
  <c r="K16" i="9"/>
  <c r="K15" i="9"/>
  <c r="K14" i="9"/>
  <c r="K13" i="9"/>
  <c r="K12" i="9"/>
  <c r="G23" i="9"/>
  <c r="G22" i="9"/>
  <c r="G21" i="9"/>
  <c r="G14" i="9"/>
  <c r="G13" i="9"/>
  <c r="G12" i="9"/>
  <c r="M72" i="15" l="1"/>
  <c r="I71" i="15"/>
  <c r="I78" i="15" s="1"/>
  <c r="I60" i="29"/>
  <c r="I63" i="29" s="1"/>
  <c r="I70" i="29" s="1"/>
  <c r="E71" i="15"/>
  <c r="E78" i="15" s="1"/>
  <c r="E60" i="29"/>
  <c r="E63" i="29" s="1"/>
  <c r="E70" i="29" s="1"/>
  <c r="E70" i="15"/>
  <c r="E77" i="15" s="1"/>
  <c r="E59" i="29"/>
  <c r="E62" i="29" s="1"/>
  <c r="I70" i="15"/>
  <c r="I77" i="15" s="1"/>
  <c r="I79" i="15" s="1"/>
  <c r="I59" i="29"/>
  <c r="I62" i="29" s="1"/>
  <c r="M68" i="29"/>
  <c r="K25" i="15"/>
  <c r="M25" i="15" s="1"/>
  <c r="AA24" i="9"/>
  <c r="W24" i="9"/>
  <c r="AG24" i="1"/>
  <c r="AG18" i="9"/>
  <c r="S24" i="9"/>
  <c r="AG30" i="1"/>
  <c r="AG26" i="1"/>
  <c r="AG19" i="9"/>
  <c r="AG17" i="9"/>
  <c r="AG16" i="9"/>
  <c r="AG15" i="9"/>
  <c r="AG18" i="1"/>
  <c r="AG17" i="1"/>
  <c r="K24" i="9"/>
  <c r="AE24" i="9"/>
  <c r="K32" i="1"/>
  <c r="AG31" i="1"/>
  <c r="W32" i="1"/>
  <c r="B8" i="2" s="1"/>
  <c r="AA32" i="1"/>
  <c r="B9" i="2" s="1"/>
  <c r="AE32" i="1"/>
  <c r="B10" i="2" s="1"/>
  <c r="AG19" i="1"/>
  <c r="S32" i="1"/>
  <c r="B7" i="2" s="1"/>
  <c r="G24" i="9"/>
  <c r="AG21" i="9"/>
  <c r="AG12" i="9"/>
  <c r="AG13" i="9"/>
  <c r="AG14" i="9"/>
  <c r="AG22" i="9"/>
  <c r="AG20" i="1"/>
  <c r="O32" i="1"/>
  <c r="B6" i="2" s="1"/>
  <c r="AG21" i="1"/>
  <c r="AG22" i="1"/>
  <c r="AG23" i="1"/>
  <c r="AG23" i="9"/>
  <c r="O24" i="9"/>
  <c r="K26" i="15"/>
  <c r="M26" i="15" s="1"/>
  <c r="E79" i="15" l="1"/>
  <c r="I72" i="15"/>
  <c r="E69" i="29"/>
  <c r="E71" i="29" s="1"/>
  <c r="E64" i="29"/>
  <c r="E72" i="15"/>
  <c r="I69" i="29"/>
  <c r="I71" i="29" s="1"/>
  <c r="I64" i="29"/>
  <c r="S68" i="29"/>
  <c r="G14" i="8" s="1"/>
  <c r="M28" i="15"/>
  <c r="M77" i="15" s="1"/>
  <c r="M19" i="29"/>
  <c r="M22" i="29" s="1"/>
  <c r="M29" i="15"/>
  <c r="M78" i="15" s="1"/>
  <c r="M20" i="29"/>
  <c r="M23" i="29" s="1"/>
  <c r="M70" i="29" s="1"/>
  <c r="S70" i="29" s="1"/>
  <c r="H14" i="8" s="1"/>
  <c r="B5" i="2"/>
  <c r="AG25" i="9"/>
  <c r="I14" i="8" l="1"/>
  <c r="M79" i="15"/>
  <c r="Q82" i="15" s="1"/>
  <c r="Q75" i="29" s="1"/>
  <c r="M69" i="29"/>
  <c r="M24" i="29"/>
  <c r="M30" i="15"/>
  <c r="F8" i="52"/>
  <c r="J8" i="52"/>
  <c r="M11" i="10"/>
  <c r="M37" i="10"/>
  <c r="AG24" i="9"/>
  <c r="AG26" i="9" s="1"/>
  <c r="F15" i="8"/>
  <c r="E15" i="8"/>
  <c r="F14" i="8"/>
  <c r="E14" i="8"/>
  <c r="S69" i="29" l="1"/>
  <c r="J14" i="8" s="1"/>
  <c r="K14" i="8" s="1"/>
  <c r="M71" i="29"/>
  <c r="K8" i="52"/>
  <c r="K19" i="52" s="1"/>
  <c r="G8" i="52"/>
  <c r="G19" i="52" s="1"/>
  <c r="N8" i="52"/>
  <c r="O8" i="52" s="1"/>
  <c r="M38" i="10"/>
  <c r="Q73" i="29" l="1"/>
  <c r="F10" i="1" s="1"/>
  <c r="G10" i="1" s="1"/>
  <c r="S71" i="29"/>
  <c r="O19" i="52"/>
  <c r="U21" i="52" s="1"/>
  <c r="U8" i="52"/>
  <c r="U19" i="52" s="1"/>
  <c r="G32" i="1" l="1"/>
  <c r="AG10" i="1"/>
  <c r="AG32" i="1" s="1"/>
  <c r="U22" i="52"/>
  <c r="B4" i="2" l="1"/>
  <c r="B11" i="2" s="1"/>
  <c r="AG34" i="1"/>
</calcChain>
</file>

<file path=xl/sharedStrings.xml><?xml version="1.0" encoding="utf-8"?>
<sst xmlns="http://schemas.openxmlformats.org/spreadsheetml/2006/main" count="4757" uniqueCount="632">
  <si>
    <t>Source Selection Information - See FAR 2.101 and 3.104</t>
  </si>
  <si>
    <t>A subtotal price will be automatically calculated at the bottom of each contract period/year</t>
  </si>
  <si>
    <t>CLIN</t>
  </si>
  <si>
    <t>DESCRIPTION</t>
  </si>
  <si>
    <t>CALCULATION METHODOLOGY</t>
  </si>
  <si>
    <t xml:space="preserve"> </t>
  </si>
  <si>
    <t>Offeror:</t>
  </si>
  <si>
    <t>CLIN Description</t>
  </si>
  <si>
    <t>Unit of Issue</t>
  </si>
  <si>
    <t xml:space="preserve">Basic Period CLIN
</t>
  </si>
  <si>
    <t xml:space="preserve">
BEQ</t>
  </si>
  <si>
    <t xml:space="preserve">
Unit
Price</t>
  </si>
  <si>
    <t xml:space="preserve">
Extended
Price</t>
  </si>
  <si>
    <t xml:space="preserve">
Extended Price</t>
  </si>
  <si>
    <t xml:space="preserve">Option Period I CLIN
</t>
  </si>
  <si>
    <t>TOTAL EVALUATED PRICE</t>
  </si>
  <si>
    <t>Month</t>
  </si>
  <si>
    <t>Support Equipment</t>
  </si>
  <si>
    <t>Each</t>
  </si>
  <si>
    <t>NSP</t>
  </si>
  <si>
    <t>Over &amp; Above</t>
  </si>
  <si>
    <t>TOTAL</t>
  </si>
  <si>
    <t>Double Check</t>
  </si>
  <si>
    <t>Difference should be $0</t>
  </si>
  <si>
    <t>PERIOD OF PERFORMANCE</t>
  </si>
  <si>
    <t>PRICE</t>
  </si>
  <si>
    <t>Development</t>
  </si>
  <si>
    <t>Simulator Kit</t>
  </si>
  <si>
    <t>Systems Integration Laboratory (SIL)</t>
  </si>
  <si>
    <t>Contract Data Requirements Lists (CDRLs)</t>
  </si>
  <si>
    <t>Travel - EMD</t>
  </si>
  <si>
    <t>Data/Intellectual Property</t>
  </si>
  <si>
    <t>Contract Type</t>
  </si>
  <si>
    <t>Cost Plus Incentive Fee (CPIF)</t>
  </si>
  <si>
    <t>CPIF</t>
  </si>
  <si>
    <t>Not Separately Priced (NSP)</t>
  </si>
  <si>
    <t>Cost Reimbursable - No Fee (CR-NF)</t>
  </si>
  <si>
    <t>Production A-Kits</t>
  </si>
  <si>
    <t>Production B-Kits</t>
  </si>
  <si>
    <t>Installations</t>
  </si>
  <si>
    <t>Production Configuratiaon Control/Engineering Change Orders</t>
  </si>
  <si>
    <t>Maintenance &amp; Repair Support</t>
  </si>
  <si>
    <t>Technical Orders</t>
  </si>
  <si>
    <t>Simulator Kits</t>
  </si>
  <si>
    <t>Training</t>
  </si>
  <si>
    <t>Travel - Production</t>
  </si>
  <si>
    <t>FFP</t>
  </si>
  <si>
    <t>CR-NF</t>
  </si>
  <si>
    <t xml:space="preserve">Option Period II CLIN
</t>
  </si>
  <si>
    <t xml:space="preserve">Option Period III CLIN
</t>
  </si>
  <si>
    <t xml:space="preserve">Option Period IV CLIN
</t>
  </si>
  <si>
    <t xml:space="preserve">Option Period V CLIN
</t>
  </si>
  <si>
    <t xml:space="preserve">Option Period VI CLIN
</t>
  </si>
  <si>
    <t>Option Period I Performance
(12 months)</t>
  </si>
  <si>
    <t>Option Period II Performance
(12 months)</t>
  </si>
  <si>
    <t>Option Period III Performance
(12 months)</t>
  </si>
  <si>
    <t>Option Period IV Performance
(12 months)</t>
  </si>
  <si>
    <t>Option Period V Performance
(12 months)</t>
  </si>
  <si>
    <t>Option Period VI Performance
(12 months)</t>
  </si>
  <si>
    <t>Period</t>
  </si>
  <si>
    <t>Description</t>
  </si>
  <si>
    <t>BEQ</t>
  </si>
  <si>
    <t>Target Cost</t>
  </si>
  <si>
    <t>Under Target</t>
  </si>
  <si>
    <t>Over Target</t>
  </si>
  <si>
    <t>Basic</t>
  </si>
  <si>
    <t>Government</t>
  </si>
  <si>
    <t>Contractor</t>
  </si>
  <si>
    <t>0001</t>
  </si>
  <si>
    <t>0002</t>
  </si>
  <si>
    <t>0003</t>
  </si>
  <si>
    <t>PRODUCTION CLINs</t>
  </si>
  <si>
    <t>0008</t>
  </si>
  <si>
    <t>0009</t>
  </si>
  <si>
    <t>0010</t>
  </si>
  <si>
    <t>0011</t>
  </si>
  <si>
    <t>0012</t>
  </si>
  <si>
    <t>0013</t>
  </si>
  <si>
    <t>0014</t>
  </si>
  <si>
    <t>0015</t>
  </si>
  <si>
    <t>0016</t>
  </si>
  <si>
    <t>0020</t>
  </si>
  <si>
    <t>0021</t>
  </si>
  <si>
    <t>ESTIMATED TOTAL PRICE FOR OPTION PERIOD I (12 MONTHS)</t>
  </si>
  <si>
    <t>ESTIMATED TOTAL PRICE FOR OPTION PERIOD II (12 MONTHS)</t>
  </si>
  <si>
    <t>ESTIMATED TOTAL PRICE FOR OPTION PERIOD III (12 MONTHS)</t>
  </si>
  <si>
    <t>ESTIMATED TOTAL PRICE FOR OPTION PERIOD IV (12 MONTHS)</t>
  </si>
  <si>
    <t>ESTIMATED TOTAL PRICE FOR OPTION PERIOD V (12 MONTHS)</t>
  </si>
  <si>
    <t>ESTIMATED TOTAL PRICE FOR OPTION PERIOD VI (12 MONTHS)</t>
  </si>
  <si>
    <t>EMD</t>
  </si>
  <si>
    <t>PRODUCTION</t>
  </si>
  <si>
    <t>Labor Hours</t>
  </si>
  <si>
    <t>Development through PDR</t>
  </si>
  <si>
    <t>Development from PDR to CDR</t>
  </si>
  <si>
    <t>System Test and Evaluation</t>
  </si>
  <si>
    <t>Material - Development Kits (COTS and Developmental)</t>
  </si>
  <si>
    <t>Prototype Support, Installation, and Checkout</t>
  </si>
  <si>
    <t>Qualification, Developmental, and Operational Testing</t>
  </si>
  <si>
    <t>Material - Development Spares</t>
  </si>
  <si>
    <t>Black Label HW &amp; SW Certification</t>
  </si>
  <si>
    <t>Systems Engineering and Program Management</t>
  </si>
  <si>
    <t>Aircrew and maintenance training</t>
  </si>
  <si>
    <t>Support required to determine elements of Simulator Kit</t>
  </si>
  <si>
    <t>Material - 1 Simulator kit (Ref Section L)</t>
  </si>
  <si>
    <t>Delivery of material to Simulator SPO</t>
  </si>
  <si>
    <t>Systems Integration Laboratory</t>
  </si>
  <si>
    <t>Delivery of SIL to Government</t>
  </si>
  <si>
    <t>TOTAL FFP</t>
  </si>
  <si>
    <t>TOTAL EVALUATED PRICE - FFP</t>
  </si>
  <si>
    <t>1.0</t>
  </si>
  <si>
    <t>Labor Category</t>
  </si>
  <si>
    <t>Labor Category and Indirect Rate Descriptions</t>
  </si>
  <si>
    <t>Conducts comprehensive system-wide review and analysis of all aspects of the development life cycle.  Provides expertise in the transition of legacy systems to modernized systems.</t>
  </si>
  <si>
    <t>Example Labor Category:  Systems Engineer/Integrator</t>
  </si>
  <si>
    <t>Indirect Rate Category</t>
  </si>
  <si>
    <t>General &amp; Administrative (G&amp;A)</t>
  </si>
  <si>
    <t>Facilities Capital Cost of Money (FCCOM)</t>
  </si>
  <si>
    <t>Example:  Labor Fringe</t>
  </si>
  <si>
    <t>Labor Fringe</t>
  </si>
  <si>
    <t>Includes employee retirement plans, health insurance, and paid time off for sick leave and vacation</t>
  </si>
  <si>
    <t>The base for Labor Fringe is total direct labor costs</t>
  </si>
  <si>
    <t>KC-135 Center Console Refresh (CCR)                                                          Prime Contractor Direct Labor and Indirect Rates</t>
  </si>
  <si>
    <t>Rates</t>
  </si>
  <si>
    <t>Cost</t>
  </si>
  <si>
    <t>Base</t>
  </si>
  <si>
    <t>Proposed Add-on Factor (Overhead)</t>
  </si>
  <si>
    <t>Proposed Add-on Factor (G&amp;A)</t>
  </si>
  <si>
    <t>Proposed Add-on Factor (Fee)</t>
  </si>
  <si>
    <t>Total Proposed COM</t>
  </si>
  <si>
    <t>Proposed Prices (Labor, Material, and ODC)</t>
  </si>
  <si>
    <t xml:space="preserve">Notes:  </t>
  </si>
  <si>
    <t>Extended Target Cost</t>
  </si>
  <si>
    <t>KC-135 Center Console Refresh (CCR) Competitive Pricing Matrix                                                                                                                      CLIN X001:  Development (CPIF)</t>
  </si>
  <si>
    <t>Labor Rates</t>
  </si>
  <si>
    <t>PROPOSED COSTS/PRICES - LABOR</t>
  </si>
  <si>
    <t>Base Costs</t>
  </si>
  <si>
    <t>Total Proposed Target Fee</t>
  </si>
  <si>
    <t>Total Proposed FCCOM</t>
  </si>
  <si>
    <t>Total Proposed Labor Price (Target)</t>
  </si>
  <si>
    <t>Direct Labor Cost</t>
  </si>
  <si>
    <t>Proposed Direct Labor Rates</t>
  </si>
  <si>
    <t>Hourly Rate</t>
  </si>
  <si>
    <t>Proposed Indirect Rates/Factors</t>
  </si>
  <si>
    <t>Proposed Material Rates/Factors</t>
  </si>
  <si>
    <t>Proposed Other Direct Cost (ODC) Rates/Factors</t>
  </si>
  <si>
    <t>PROPOSED COSTS/PRICES - MATERIAL</t>
  </si>
  <si>
    <t>PROPOSED COSTS/PRICES - OTHER DIRECT COSTS (ODC)</t>
  </si>
  <si>
    <t>PROPOSED COSTS/PRICES - ODC</t>
  </si>
  <si>
    <t>Lot</t>
  </si>
  <si>
    <t xml:space="preserve">  </t>
  </si>
  <si>
    <t>Basic Period CLIN</t>
  </si>
  <si>
    <t>TOTAL DIRECT LABOR HOURS/COST</t>
  </si>
  <si>
    <t>Material Cost</t>
  </si>
  <si>
    <t>Other Direct Cost</t>
  </si>
  <si>
    <t>Overhead (Labor)</t>
  </si>
  <si>
    <t>Overhead (Material)</t>
  </si>
  <si>
    <t>Indirect Rate Category (Labor)</t>
  </si>
  <si>
    <t>Indirect Rate Category (Material)</t>
  </si>
  <si>
    <t>Indirect ODC Category (Other)</t>
  </si>
  <si>
    <t>KC-135 Center Console Refresh (CCR) Competitive Pricing Matrix                                                                                                                      CLIN X002:  Simulator Kit (CPIF)                                                                                              WBS 1.02 Material -1 Simulator Kit</t>
  </si>
  <si>
    <t>Development Labor to Have an Operational SIL</t>
  </si>
  <si>
    <t>Material - Contractor Procured Material for SIL</t>
  </si>
  <si>
    <t>Material - Anticipated Required GFE</t>
  </si>
  <si>
    <t xml:space="preserve">1. No inputs required by Offeror </t>
  </si>
  <si>
    <t>KC-135 Center Console Refresh (CCR) Competitive Pricing Matrix                                                                                                                      CLIN X002:  Simulator Kit (CPIF) - TOTAL</t>
  </si>
  <si>
    <t>Option Period V CLIN</t>
  </si>
  <si>
    <t>Option Period VI CLIN</t>
  </si>
  <si>
    <t>0004</t>
  </si>
  <si>
    <t>0005</t>
  </si>
  <si>
    <t>0006</t>
  </si>
  <si>
    <t>0007</t>
  </si>
  <si>
    <t>0017</t>
  </si>
  <si>
    <t>0018</t>
  </si>
  <si>
    <t>0019</t>
  </si>
  <si>
    <t>N/A</t>
  </si>
  <si>
    <t>1.01.01</t>
  </si>
  <si>
    <t>1.01.02</t>
  </si>
  <si>
    <t>1.01.03</t>
  </si>
  <si>
    <t>Labor Category : [INSERT LABOR CATEGORY NAME HERE]</t>
  </si>
  <si>
    <t>Indirect Labor Category: [G&amp;A]</t>
  </si>
  <si>
    <t>Indirect Labor Category: [Labor Overhead]</t>
  </si>
  <si>
    <t>Indirect Labor Category:  [Labor Fringe]</t>
  </si>
  <si>
    <t>Indirect Labor Category: [FCCOM]</t>
  </si>
  <si>
    <t>Indirect Labor Category: [Target Fee]</t>
  </si>
  <si>
    <t>Indirect Category: [Material Overhead]</t>
  </si>
  <si>
    <t>Indirect Category: [G&amp;A]</t>
  </si>
  <si>
    <t>Indirect Category: [FCCOM]</t>
  </si>
  <si>
    <t>Indirect Category: [Target Fee]</t>
  </si>
  <si>
    <t>Indirect Category: [Overhead]</t>
  </si>
  <si>
    <t xml:space="preserve">Indirect Category: [FCCOM] </t>
  </si>
  <si>
    <t xml:space="preserve">Indirect Category: [Target Fee] </t>
  </si>
  <si>
    <t>Target Fee</t>
  </si>
  <si>
    <t>1.02.01</t>
  </si>
  <si>
    <t>1.02.02</t>
  </si>
  <si>
    <t>1.02.03</t>
  </si>
  <si>
    <t>1.03.01</t>
  </si>
  <si>
    <t>1.03.02</t>
  </si>
  <si>
    <t>1.03.03</t>
  </si>
  <si>
    <t>1.04.01</t>
  </si>
  <si>
    <t>1.04.02</t>
  </si>
  <si>
    <t>1.04.03</t>
  </si>
  <si>
    <t>1.05.01</t>
  </si>
  <si>
    <t>1.05.02</t>
  </si>
  <si>
    <t>1.05.03</t>
  </si>
  <si>
    <t>1.06.01</t>
  </si>
  <si>
    <t>1.06.02</t>
  </si>
  <si>
    <t>1.06.03</t>
  </si>
  <si>
    <t>1.07.01</t>
  </si>
  <si>
    <t>1.07.02</t>
  </si>
  <si>
    <t>1.07.03</t>
  </si>
  <si>
    <t>1.08.01</t>
  </si>
  <si>
    <t>1.08.02</t>
  </si>
  <si>
    <t>1.08.03</t>
  </si>
  <si>
    <t>1.09.01</t>
  </si>
  <si>
    <t>1.09.02</t>
  </si>
  <si>
    <t>1.09.03</t>
  </si>
  <si>
    <t>1.10.01</t>
  </si>
  <si>
    <t>1.10.02</t>
  </si>
  <si>
    <t>1.10.03</t>
  </si>
  <si>
    <t>1.11.01</t>
  </si>
  <si>
    <t>1.11.02</t>
  </si>
  <si>
    <t>1.11.03</t>
  </si>
  <si>
    <t>2.01.01</t>
  </si>
  <si>
    <t>2.01.02</t>
  </si>
  <si>
    <t>2.01.03</t>
  </si>
  <si>
    <t>2.02.01</t>
  </si>
  <si>
    <t>2.02.02</t>
  </si>
  <si>
    <t>2.02.03</t>
  </si>
  <si>
    <t>2.03.01</t>
  </si>
  <si>
    <t>2.03.02</t>
  </si>
  <si>
    <t>2.03.03</t>
  </si>
  <si>
    <t>3.01.01</t>
  </si>
  <si>
    <t>3.01.02</t>
  </si>
  <si>
    <t>3.01.03</t>
  </si>
  <si>
    <t>3.02.01</t>
  </si>
  <si>
    <t>3.02.02</t>
  </si>
  <si>
    <t>3.02.03</t>
  </si>
  <si>
    <t>3.03.01</t>
  </si>
  <si>
    <t>3.03.02</t>
  </si>
  <si>
    <t>3.03.03</t>
  </si>
  <si>
    <t>3.04.01</t>
  </si>
  <si>
    <t>3.04.02</t>
  </si>
  <si>
    <t>3.04.03</t>
  </si>
  <si>
    <t>Total Proposed Material Price (Target)</t>
  </si>
  <si>
    <t>Total Proposed ODC Price (Target)</t>
  </si>
  <si>
    <t># FTEs/Hours</t>
  </si>
  <si>
    <t>Development Thru PDR</t>
  </si>
  <si>
    <t>ADD TITLE HERE</t>
  </si>
  <si>
    <t>ENGINEER I</t>
  </si>
  <si>
    <t>To develop engineering plans</t>
  </si>
  <si>
    <t>ENGINEER II</t>
  </si>
  <si>
    <t>To evaluate engineering plans</t>
  </si>
  <si>
    <t>QUALITY SPECIALIST</t>
  </si>
  <si>
    <t>Item Description</t>
  </si>
  <si>
    <t>Qty</t>
  </si>
  <si>
    <t>Unit Price</t>
  </si>
  <si>
    <t>Task</t>
  </si>
  <si>
    <t>Other Direct Costs</t>
  </si>
  <si>
    <t>Total Proposed Target Labor Cost</t>
  </si>
  <si>
    <t>Total Proposed Target Material Cost</t>
  </si>
  <si>
    <t>Total Proposed Target Other Direct Costs</t>
  </si>
  <si>
    <t>Total Proposed Target Cost (Direct and Indirect)</t>
  </si>
  <si>
    <t xml:space="preserve">KC-135 Center Console Refresh (CCR) Competitive Pricing Matrix                                                                                                                      CLIN X002:  Simulator Kit (CPIF)                                                                                              </t>
  </si>
  <si>
    <t>LOT</t>
  </si>
  <si>
    <t>Target Fee ($)</t>
  </si>
  <si>
    <t xml:space="preserve">Target Fee (%) </t>
  </si>
  <si>
    <t>Target FCCOM</t>
  </si>
  <si>
    <t>Target
Unit Price</t>
  </si>
  <si>
    <t>Minimum Fee (%)</t>
  </si>
  <si>
    <t>Maximum Fee (%)</t>
  </si>
  <si>
    <t>Assigned Share Ratios</t>
  </si>
  <si>
    <t>Assigned Minimum/Maximum Fees</t>
  </si>
  <si>
    <t>NSN</t>
  </si>
  <si>
    <t>P/N</t>
  </si>
  <si>
    <t>Production Configuration Control/Engineering Change Orders</t>
  </si>
  <si>
    <t>KC-135 Center Console Refresh (CCR) Source Selection</t>
  </si>
  <si>
    <t>SIL</t>
  </si>
  <si>
    <t>Option Period I</t>
  </si>
  <si>
    <t>Option Period II</t>
  </si>
  <si>
    <t>Option Period III</t>
  </si>
  <si>
    <t>Option Period IV</t>
  </si>
  <si>
    <t>Option Period V</t>
  </si>
  <si>
    <t>Option Period VI</t>
  </si>
  <si>
    <t>Basic Period (48 months)</t>
  </si>
  <si>
    <t>Basic (Year 1)</t>
  </si>
  <si>
    <t>Basic (Year 2)</t>
  </si>
  <si>
    <t>Basic (Year 3)</t>
  </si>
  <si>
    <t>Basic (Year 4)</t>
  </si>
  <si>
    <t>ESTIMATED TOTAL PRICE FOR BASIC PERIOD (48 MONTHS)</t>
  </si>
  <si>
    <t xml:space="preserve">TOTAL EVALUATED PRICE (TEP) = (1) 4-YEAR BASIC PERIOD + (6) 1-YEAR OPTION PERIODS </t>
  </si>
  <si>
    <t>Basic Period</t>
  </si>
  <si>
    <t>Basic Period (Year 1)</t>
  </si>
  <si>
    <t>Basic Period (Year 3)</t>
  </si>
  <si>
    <t>Basic Period (Year 4)</t>
  </si>
  <si>
    <t>CLIN 0001: Basic Period (Year 1)</t>
  </si>
  <si>
    <t>CLIN 0001: Basic Period (Year 2)</t>
  </si>
  <si>
    <t>CLIN 0001: Basic Period (Year 4)</t>
  </si>
  <si>
    <t>CLIN 0001: Basic Period (Year 3)</t>
  </si>
  <si>
    <t>Total Proposed Target FCCOM</t>
  </si>
  <si>
    <t>CLIN 0001 - Basic Period (Year 1)</t>
  </si>
  <si>
    <t>CLIN 0001 - Basic Period (Year 2)</t>
  </si>
  <si>
    <t>CLIN 0001 - Basic Period (Year 3)</t>
  </si>
  <si>
    <t>CLIN 0001 - Basic Period (Year 4)</t>
  </si>
  <si>
    <t>KC-135 Center Console Refresh (CCR) Competitive Pricing Matrix                                                                                                                      CLIN 0001:  Development (CPIF)</t>
  </si>
  <si>
    <t>CLIN 0001:  Basic Period (Year 4)</t>
  </si>
  <si>
    <t>Basic Period (Year 2)</t>
  </si>
  <si>
    <t>X009</t>
  </si>
  <si>
    <t>X010</t>
  </si>
  <si>
    <t>X011</t>
  </si>
  <si>
    <t>X012</t>
  </si>
  <si>
    <t>X013</t>
  </si>
  <si>
    <t>X014</t>
  </si>
  <si>
    <t>X015</t>
  </si>
  <si>
    <t>X016</t>
  </si>
  <si>
    <t>X017</t>
  </si>
  <si>
    <t>X021</t>
  </si>
  <si>
    <t>CONTRACT TYPE</t>
  </si>
  <si>
    <t>Not evaluated</t>
  </si>
  <si>
    <t>PROPOSED COSTS/PRICES - SUBCONTRACTOR</t>
  </si>
  <si>
    <t>Proposed Prices (Labor, Material, Subcontractor, and ODC)</t>
  </si>
  <si>
    <t>Total Proposed Target Subcontractor Costs</t>
  </si>
  <si>
    <t>Total Proposed Subcontractor Price (Target)</t>
  </si>
  <si>
    <t>Indirect Rate Category (Subcontractor)</t>
  </si>
  <si>
    <t>Overhead (Subcontractor)</t>
  </si>
  <si>
    <t>Overhead (ODC)</t>
  </si>
  <si>
    <t>CLIN 0002 - Basic Period (Year 1)</t>
  </si>
  <si>
    <t>CLIN 0002 - Basic Period (Year 2)</t>
  </si>
  <si>
    <t>CLIN 0002 - Basic Period (Year 3)</t>
  </si>
  <si>
    <t>CLIN 0002 - Basic Period (Year 4)</t>
  </si>
  <si>
    <t>CLIN 0001 (CPIF)                                                 TOTAL</t>
  </si>
  <si>
    <t>Extended Target Price</t>
  </si>
  <si>
    <t>KC-135 Center Console Refresh (CCR) - Proposed Subcontractor Summary                                                                                                                              CLINs 0001, 0002, and 0003 (CPIF)</t>
  </si>
  <si>
    <t>Basic Period - Year 1</t>
  </si>
  <si>
    <t>Basic Period - Year 2</t>
  </si>
  <si>
    <t>Basic Period - Year 3</t>
  </si>
  <si>
    <t>Basic Period - Year 4</t>
  </si>
  <si>
    <t>TOTAL CPIF CLIN 0001</t>
  </si>
  <si>
    <t>TOTAL CPIF CLIN 0001 (Year 1)</t>
  </si>
  <si>
    <t>TOTAL CPIF CLIN 0001 (Year 2)</t>
  </si>
  <si>
    <t>TOTAL CPIF CLIN 0001 (Year 3)</t>
  </si>
  <si>
    <t>TOTAL CPIF CLIN 0001 (Year 4)</t>
  </si>
  <si>
    <t>Total Subcontractor Costs (CPIF)</t>
  </si>
  <si>
    <t>Total Proposed Subcontractor Costs (CPIF)</t>
  </si>
  <si>
    <t>Total CPIF CLIN 0001</t>
  </si>
  <si>
    <t>CLIN 0002: Basic Period (Year 1)</t>
  </si>
  <si>
    <t>CLIN 0002: Basic Period (Year 4)</t>
  </si>
  <si>
    <t>CLIN 0002: Basic Period (Year 3)</t>
  </si>
  <si>
    <t>CLIN 0002: Basic Period (Year 2)</t>
  </si>
  <si>
    <t>CLIN 0002 (CPIF)                                                     TOTAL</t>
  </si>
  <si>
    <t>Total CPIF CLIN 0002</t>
  </si>
  <si>
    <t>Total CPIF CLIN 0003</t>
  </si>
  <si>
    <t>Total Proposed Target Price - CLIN 0002</t>
  </si>
  <si>
    <t>KC-135 Center Console Refresh (CCR) Competitive Pricing Matrix                                                                                                 CLIN 0002:  Simulator Kit (CPIF)</t>
  </si>
  <si>
    <t>TOTAL CPIF CLIN 0002 (Year 1)</t>
  </si>
  <si>
    <t>TOTAL CPIF CLIN 0002 (Year 2)</t>
  </si>
  <si>
    <t>TOTAL CPIF CLIN 0002 (Year 3)</t>
  </si>
  <si>
    <t>TOTAL CPIF CLIN 0002 (Year 4)</t>
  </si>
  <si>
    <t>TOTAL CPIF CLIN 0002</t>
  </si>
  <si>
    <t>KC-135 Center Console Refresh (CCR) Competitive Pricing Matrix                                                                                                 CLIN 0001:  Development (CPIF)</t>
  </si>
  <si>
    <t>KC-135 Center Console Refresh (CCR) Competitive Pricing Matrix                                                                                                                      CLIN 0001:  Development (CPIF) - TOTAL</t>
  </si>
  <si>
    <t>Total Proposed Target Price - CLIN 0001</t>
  </si>
  <si>
    <t>KC-135 Center Console Refresh (CCR) Competitive Pricing Matrix                                                                                                 CLIN 0003:  Systems Integration Laboratory (CPIF)</t>
  </si>
  <si>
    <t>TOTAL CPIF CLIN 0003</t>
  </si>
  <si>
    <t>TOTAL CPIF CLIN 0003 (Year 1)</t>
  </si>
  <si>
    <t>TOTAL CPIF CLIN 0003 (Year 2)</t>
  </si>
  <si>
    <t>TOTAL CPIF CLIN 0003 (Year 3)</t>
  </si>
  <si>
    <t>TOTAL CPIF CLIN 0003 (Year 4)</t>
  </si>
  <si>
    <t>CLIN 0003 - Basic Period (Year 1)</t>
  </si>
  <si>
    <t>CLIN 0003 - Basic Period (Year 2)</t>
  </si>
  <si>
    <t>CLIN 0003 - Basic Period (Year 3)</t>
  </si>
  <si>
    <t>CLIN 0003 - Basic Period (Year 4)</t>
  </si>
  <si>
    <t>CLIN 0003: Basic Period (Year 1)</t>
  </si>
  <si>
    <t>CLIN 0003: Basic Period (Year 2)</t>
  </si>
  <si>
    <t>CLIN 0003: Basic Period (Year 3)</t>
  </si>
  <si>
    <t>CLIN 0003: Basic Period (Year 4)</t>
  </si>
  <si>
    <t xml:space="preserve">KC-135 Center Console Refresh (CCR) Competitive Pricing Matrix                                                                                                                      CLIN 0003:  Systems Integrated Laboratory (CPIF) </t>
  </si>
  <si>
    <t xml:space="preserve">KC-135 Center Console Refresh (CCR) Competitive Pricing Matrix                                                                                                                      CLIN 0003:  Systems Integrated Laboratory (CPIF)                                                                                              </t>
  </si>
  <si>
    <t>CLIN 0003 (CPIF)                                                  TOTAL</t>
  </si>
  <si>
    <t>KC-135 Center Console Refresh (CCR) Competitive Pricing Matrix                                                                                                                      CLIN 0003:  Systems Integration Laboratory (CPIF) - TOTAL</t>
  </si>
  <si>
    <t>Total Proposed Target Price - CLIN 0003</t>
  </si>
  <si>
    <t>CLIN X021 - LRU Spares (for B-Kits)</t>
  </si>
  <si>
    <t>Instructions for completing this Pricing Matrix/Cost Model:</t>
  </si>
  <si>
    <r>
      <t xml:space="preserve">Offerors are required to input the proposed unit prices into the "FFP CLINs X007-X021" worksheet in </t>
    </r>
    <r>
      <rPr>
        <b/>
        <u/>
        <sz val="12"/>
        <rFont val="Calibri"/>
        <family val="2"/>
        <scheme val="minor"/>
      </rPr>
      <t>ALL</t>
    </r>
    <r>
      <rPr>
        <sz val="12"/>
        <rFont val="Calibri"/>
        <family val="2"/>
        <scheme val="minor"/>
      </rPr>
      <t xml:space="preserve"> yellow highlighted cells (Offeror Name in Cell B1 and dollar amounts in Columns F, J, N, R, V, Z, and AD)</t>
    </r>
  </si>
  <si>
    <t>X007</t>
  </si>
  <si>
    <t>Proposed Subcontractor Rates/Factors (Burdens added by Prime to Subcontractor Costs)</t>
  </si>
  <si>
    <t>KC-135 Center Console Refresh (CCR) Competitive Pricing Matrix                                                                                                                        SUMMARY</t>
  </si>
  <si>
    <t>KC-135 Center Console Refresh (CCR) - Proposed Material Summary                                                                                                                              CLINs 0001, 0002, and 0003 (CPIF)</t>
  </si>
  <si>
    <t>Total Proposed Material Costs (CPIF)</t>
  </si>
  <si>
    <t>Total Material Costs (CPIF)</t>
  </si>
  <si>
    <t>Insert all indirect categories that apply to material; make changes to indirect categories in Column B accordingly and amend links in Columns C, G, K, and O as needed. Also ensure rates in Columns D, H, L and P are properly linked to 'PRIME-CPIF Rates (All)' worksheet</t>
  </si>
  <si>
    <t>2. Proposed costs for Labor, Material, Subcontractor, and Other Direct Costs (ODCs) are linked to corresponding worksheets as specified below - no input required</t>
  </si>
  <si>
    <t>TOTAL PROPOSED TARGET PRICE FOR BASIC PERIOD - CLIN 0001</t>
  </si>
  <si>
    <t>TOTAL PROPOSED TARGET PRICE FOR BASIC PERIOD - CLIN 0002</t>
  </si>
  <si>
    <t>TOTAL PROPOSED TARGET PRICE FOR BASIC PERIOD - CLIN 0003</t>
  </si>
  <si>
    <t>NAME</t>
  </si>
  <si>
    <t>`</t>
  </si>
  <si>
    <t>Rate</t>
  </si>
  <si>
    <t>Subcontractor Cost</t>
  </si>
  <si>
    <t>Labor Cost</t>
  </si>
  <si>
    <t>Base Cost</t>
  </si>
  <si>
    <t xml:space="preserve"> Labor Cost</t>
  </si>
  <si>
    <t>2. For CLINs 0001, 0002, and 0003, the Target Cost, Target Fee, and Target FCCOM are linked to the 'CPIF CLIN 000X - TOTAL' worksheets.</t>
  </si>
  <si>
    <t>3.  The Target Fee % and Target Unit Price will automatically populate.</t>
  </si>
  <si>
    <t>4.  The Minimum Fee %, Maximum Fee %, and Under/Over Target Share Ratios for CLINs 0001, 0002, and 0003 are assigned by the Government and are provided below.</t>
  </si>
  <si>
    <t>Notes:</t>
  </si>
  <si>
    <t xml:space="preserve">3.  The Offeror shall provide the required information in the table below (amend as necessary).  Additional information may be provided in contractor format.  If contractor format is utilized, the information shown in the table below must be included at a minimum.  </t>
  </si>
  <si>
    <t>Extended</t>
  </si>
  <si>
    <t>2.  The unit prices for B-Kit parts will be multiplied by the proposed quantity to arrive at a total amount for CLIN X021 LRU Spares for each performance period; the total proposed amount for CLIN X021 LRU Spares cannot exceed the total price for the individual B-Kit parts</t>
  </si>
  <si>
    <t>5.  The total proposed price for CLIN X021 LRU Spares cannot exceed the cumulative price for the individual B-Kit parts</t>
  </si>
  <si>
    <t>1.  Insert proposed unit prices in all yellow-highlighted cells</t>
  </si>
  <si>
    <t>2.  All proposed prices shall be rounded to the nearest dollar</t>
  </si>
  <si>
    <t>4. The Prime Offeror shall provide descriptions of the labor categories and indirect rates in the "PRIME CPIF Rate Desc (All)" worksheet, in addition to base costs upon which indirect rates apply</t>
  </si>
  <si>
    <t>1. The format of this worksheet may be revised as required to be consistent with the Prime Offeror's approved Accounting System to include, but not limited to, inserting additional labor categories and revising the indirect rate structure</t>
  </si>
  <si>
    <t>2. The Prime Offeror shall propose labor rates and indirect rates in the yellow-highlighted cells below.  All proposed labor rates shall be rounded to two (2) decimal places.  All rates in percentages shall be rounded to four decimal places (ex. .0755 = 7.55%)</t>
  </si>
  <si>
    <t>2. The Prime Offeror shall list all proposed labor categories and provide a summary description for each labor category</t>
  </si>
  <si>
    <t>3. The Prime Offeror shall list all proposed indirect rate categories, and provide a summary description of each indirect rate category along with the base cost upon which the indirect rate is applied</t>
  </si>
  <si>
    <t xml:space="preserve">4. The Prime Offeror shall ensure that all labor and indirect rate categories included in the proposal for EMD CLINs 0001, 0002, and 0003 are included in this worksheet  </t>
  </si>
  <si>
    <t xml:space="preserve">5. The Prime Offeror shall ensure that all labor and indirect rate categories included in the proposal for EMD CLINs 0001, 0002, and 0003 are included in this worksheet  </t>
  </si>
  <si>
    <t>Rationale</t>
  </si>
  <si>
    <t>2 FTEs x 1,784 hours</t>
  </si>
  <si>
    <t>Example - For Illustrative Purposes Only</t>
  </si>
  <si>
    <t>To evaluate quality of the engineering plans</t>
  </si>
  <si>
    <t>3.  An example input has been provided in the template below (for illustrative purposes only); offerors shall delete the example in their proposal submission</t>
  </si>
  <si>
    <t>4. The Prime Offeror shall ensure that all labor categories included in the proposal for EMD CLINs 0001, 0002, and 0003 are included in this worksheet</t>
  </si>
  <si>
    <t>2. At the sub-WBS level, the Prime Offeror shall provide the task to be performed, the labor category proposed to perform this task, the number of Full-Time Equivalents (FTEs) and corresponding labor hours to be utilized, and rationale to support the proposed labor</t>
  </si>
  <si>
    <t>Note:  Offerors shall ensure the proposed unit prices are properly linked to the corresponding "CPIF CLIN 0002-WBS 1.XX INPUTS" worksheets</t>
  </si>
  <si>
    <t>Pricing Matrix - FFP CLINs X007 - X016, X020, and X021:</t>
  </si>
  <si>
    <t>Cost Model - CPIF CLINs 0001 - 0003:</t>
  </si>
  <si>
    <t>2.  All proposed dollar amounts and labor rates shall be rounded to two decimal places.  All proposed rates in percentages shall be rounded to four decimal places (ex. .0755 = 7.55%)</t>
  </si>
  <si>
    <t>Refer to the "Notes" on each CPIF worksheet for specific information/instructions</t>
  </si>
  <si>
    <t>3.  The Total Evaluated Price (TEP) is calculated by multiplying the Best Estimated Quantities (BEQs) by the amounts proposed for the FFP and CPIF CLINs.  The TEP will automatically calculate in the "SUMMARY" worksheet</t>
  </si>
  <si>
    <t>4.  No format changes on this worksheet are permitted</t>
  </si>
  <si>
    <t>3.  All proposed prices shall be proposed sufficiently to ensure adequate coverage of all labor costs, all subcontractor costs, all indirect costs, including G&amp;A, COM, and so forth as well as prime and subcontractor profit in every contract out-year</t>
  </si>
  <si>
    <t xml:space="preserve">Installations </t>
  </si>
  <si>
    <t>KC-135 Center Console Refresh (CCR) Competitive Pricing Matrix                                                                        FFP CLINS</t>
  </si>
  <si>
    <t>Production Program Management</t>
  </si>
  <si>
    <t>Intellectual Property</t>
  </si>
  <si>
    <t>Data - EMD</t>
  </si>
  <si>
    <t>Program Management - Production</t>
  </si>
  <si>
    <t>Data - Production</t>
  </si>
  <si>
    <t>A-Kits - Production</t>
  </si>
  <si>
    <t>B-Kits - Production</t>
  </si>
  <si>
    <t>Aircrew and Maintenance Training</t>
  </si>
  <si>
    <t>Development Tasks</t>
  </si>
  <si>
    <t>Simulator Kit Tasks</t>
  </si>
  <si>
    <t xml:space="preserve">Production Spares* </t>
  </si>
  <si>
    <t>Production Software Integration Laboratory (SIL)</t>
  </si>
  <si>
    <t>Production Simulator Kits</t>
  </si>
  <si>
    <t>Maintenance &amp; Repair Support (including Production SIL)</t>
  </si>
  <si>
    <t>Production Support Equipment</t>
  </si>
  <si>
    <t>TASK</t>
  </si>
  <si>
    <t xml:space="preserve">1. The format of this worksheet shall be revised to include every WBS (at the sub-task level) with proposed labor (if a WBS does not include proposed labor, do not include below) </t>
  </si>
  <si>
    <t>Task Number</t>
  </si>
  <si>
    <t>1. The format of this worksheet should be revised as required to include all proposed labor by task</t>
  </si>
  <si>
    <t>KC-135 Center Console Refresh (CCR)                                                          Prime Contractor Labor by Task</t>
  </si>
  <si>
    <t>CLIN 0001 DEVELOPMENT, TASK 1.01 DEVELOPMENT THROUGH PDR</t>
  </si>
  <si>
    <t>CLIN 0001 DEVELOPMENT, TASK 1.02 DEVELOPMENT FROM PDR TO CDR</t>
  </si>
  <si>
    <t>CLIN 0001 DEVELOPMENT, TASK 1.03 SYSTEM TEST AND EVALUATION</t>
  </si>
  <si>
    <t>CLIN 0001 DEVELOPMENT, TASK 1.04 DEVELOPMENT KITS (COTS AND DEVELOPMENTAL)</t>
  </si>
  <si>
    <t>CLIN 0001 DEVELOPMENT, TASK 1.05 PROTOTYPE SUPPORT, INSTALLATION, AND CHECKOUT</t>
  </si>
  <si>
    <t>CLIN 0001 DEVELOPMENT, TASK 1.06 QUALIFICATION, DEVELOPMENTAL, AND OPERATIONAL TESTING</t>
  </si>
  <si>
    <t>CLIN 0001 DEVELOPMENT, TASK 1.07 MATERIAL - DEVELOPMENT SPARES</t>
  </si>
  <si>
    <t>CLIN 0001 DEVELOPMENT, TASK 1.08 BLACK LABEL HARDWARE AND SOFTWARE CERTIFICATION</t>
  </si>
  <si>
    <t>CLIN 0001 DEVELOPMENT, TASK 1.09 SYSTEMS ENGINEERING AND PROGRAM MANAGEMENT</t>
  </si>
  <si>
    <t>CLIN 0001 DEVELOPMENT, TASK 1.10 AIRCREW AND MAINTENANCE TRAINING</t>
  </si>
  <si>
    <t>CLIN 0001 DEVELOPMENT, TASK 1.11 SUPPORT EQUIPMENT</t>
  </si>
  <si>
    <t>Insert applicable task by labor category at sub-task level (ex. 1.01.01, 1.01.02, and so forth); ensure consistency with the 'PRIME LABOR by TASK' worksheet</t>
  </si>
  <si>
    <t>2. Populate the yellow-highlighted cells below to summarize the proposed material costs by CLIN/Task (the totals by CLIN/Task shall match the other than cost and pricing data provided in the CBOM)</t>
  </si>
  <si>
    <t>2. Populate the yellow-highlighted cells below to summarize the proposed ODC by CLIN/Task (the totals by CLIN/Task shall match the other than cost and pricing data provided in Contractor format)</t>
  </si>
  <si>
    <t xml:space="preserve">2. Populate the yellow-highlighted cells below to summarize the proposed subcontractor costs by CLIN/Task </t>
  </si>
  <si>
    <t>Note:  Offerors shall ensure the proposed unit prices are properly linked to the corresponding "CPIF CLIN 0001-TASK 1.XX INPUTS" worksheets</t>
  </si>
  <si>
    <t>6.  The total target price for CLIN 0001, TASK 1.01 will automatically calculate for the Basic Period</t>
  </si>
  <si>
    <t>CLIN 0001 (CPIF)                                                    TASK 1.01 DEVELOPMENT THROUGH PDR</t>
  </si>
  <si>
    <t>Total Proposed Target Price (CLIN 0001, TASK 1.01)</t>
  </si>
  <si>
    <t>TOTAL TARGET PRICE - CLIN 0001, TASK 1.01</t>
  </si>
  <si>
    <t>6.  The total target price for CLIN 0001, TASK 1.02 will automatically calculate for the Basic Period</t>
  </si>
  <si>
    <t>CLIN 0001 (CPIF)                                                    TASK 1.02 DEVELOPMENT FROM PDR TO CDR</t>
  </si>
  <si>
    <t>Total Proposed Target Price (CLIN 0001, TASK 1.02)</t>
  </si>
  <si>
    <t>TOTAL TARGET PRICE - CLIN 0001, TASK 1.02</t>
  </si>
  <si>
    <t>6.  The total target price for CLIN 0001, TASK 1.03 will automatically calculate for the Basic Period</t>
  </si>
  <si>
    <t>CLIN 0001 (CPIF)                                                    TASK 1.03 SYSTEM TEST AND EVALUATION</t>
  </si>
  <si>
    <t>Total Proposed Target Price (CLIN 0001, TASK 1.03)</t>
  </si>
  <si>
    <t>TOTAL TARGET PRICE - CLIN 0001, TASK 1.03</t>
  </si>
  <si>
    <t>6.  The total target price for CLIN 0001, TASK 1.04 will automatically calculate for the Basic Period</t>
  </si>
  <si>
    <t>CLIN 0001 (CPIF)                                                    TASK 1.04 MATERIAL - DEVELOPMENT KITS (COTS AND DEVELOPMENTAL)</t>
  </si>
  <si>
    <t>Total Proposed Target Price (CLIN 0001, TASK 1.04)</t>
  </si>
  <si>
    <t>TOTAL TARGET PRICE - CLIN 0001, TASK 1.04</t>
  </si>
  <si>
    <t>6.  The total target price for CLIN 0001, TASK 1.05 will automatically calculate for the Basic Period</t>
  </si>
  <si>
    <t>CLIN 0001 (CPIF)                                                    TASK 1.05 PROTOTYPE SUPPORT, INSTALLATION, AND CHECKOUT</t>
  </si>
  <si>
    <t>Total Proposed Target Price (CLIN 0001, TASK 1.05)</t>
  </si>
  <si>
    <t>TOTAL TARGET PRICE - CLIN 0001, TASK 1.05</t>
  </si>
  <si>
    <t>6.  The total target price for CLIN 0001, TASK 1.06 will automatically calculate for the Basic Period</t>
  </si>
  <si>
    <t>CLIN 0001 (CPIF)                                                    TASK 1.06 QUALIFICATION, DEVELOPMENTAL, AND OPERATIONAL TESTING</t>
  </si>
  <si>
    <t>Total Proposed Target Price (CLIN 0001, TASK 1.06)</t>
  </si>
  <si>
    <t>TOTAL TARGET PRICE - CLIN 0001, TASK 1.06</t>
  </si>
  <si>
    <t>6.  The total target price for CLIN 0001, TASK 1.07 will automatically calculate for the Basic Period</t>
  </si>
  <si>
    <t>CLIN 0001 (CPIF)                                                    TASK 1.07 MATERIAL - DEVELOPMENTAL SPARES</t>
  </si>
  <si>
    <t>Total Proposed Target Price (CLIN 0001, TASK 1.07)</t>
  </si>
  <si>
    <t>TOTAL TARGET PRICE - CLIN 0001, TASK 1.07</t>
  </si>
  <si>
    <t>6.  The total target price for CLIN 0001, TASK 1.08 will automatically calculate for the Basic Period</t>
  </si>
  <si>
    <t>CLIN 0001 (CPIF)                                                    TASK 1.08 BLACK LABEL HARDWARE &amp; SOFTWARE CERTIFICATION</t>
  </si>
  <si>
    <t>Total Proposed Target Price (CLIN 0001, TASK 1.08)</t>
  </si>
  <si>
    <t>TOTAL TARGET PRICE - CLIN 0001, TASK 1.08</t>
  </si>
  <si>
    <t>6.  The total target price for CLIN 0001, TASK 1.09 will automatically calculate for the Basic Period</t>
  </si>
  <si>
    <t>CLIN 0001 (CPIF)                                                    TASK 1.09 SYSTEMS ENGINEERING AND PROGRAM MANAGEMENT</t>
  </si>
  <si>
    <t>Total Proposed Target Price (CLIN 0001, TASK 1.09)</t>
  </si>
  <si>
    <t>TOTAL TARGET PRICE - CLIN 0001, TASK 1.09</t>
  </si>
  <si>
    <t>6.  The total target price for CLIN 0001, TASK 1.10 will automatically calculate for the Basic Period</t>
  </si>
  <si>
    <t>CLIN 0001 (CPIF)                                                    TASK 1.10 AIRCREW AND MAINTENANCE TRAINING</t>
  </si>
  <si>
    <t>Total Proposed Target Price (CLIN 0001, TASK 1.10)</t>
  </si>
  <si>
    <t>TOTAL TARGET PRICE - CLIN 0001, TASK 1.10</t>
  </si>
  <si>
    <t>6.  The total target price for CLIN 0001, TASK 1.11 will automatically calculate for the Basic Period</t>
  </si>
  <si>
    <t>CLIN 0001 (CPIF)                                                    TASK 1.11 SUPPORT EQUIPMENT</t>
  </si>
  <si>
    <t>Total Proposed Target Price (CLIN 0001, TASK 1.11)</t>
  </si>
  <si>
    <t>TOTAL TARGET PRICE - CLIN 0001, TASK 1.11</t>
  </si>
  <si>
    <t>6.  The total target price for CLIN 0002, TASK 1.01 will automatically calculate for the Basic Period</t>
  </si>
  <si>
    <t>CLIN 0002 (CPIF)                                                    TASK 1.01 SUPPORT REQUIRED TO DETERMINE ELEMENTS OF SIMULATOR KIT</t>
  </si>
  <si>
    <t>Total Proposed Target Price (CLIN 0002, TASK 1.01)</t>
  </si>
  <si>
    <t>TOTAL TARGET PRICE - CLIN 0002, TASK 1.01</t>
  </si>
  <si>
    <t>6.  The total target price for CLIN 0002, TASK 1.02 will automatically calculate for the Basic Period</t>
  </si>
  <si>
    <t>CLIN 0002 (CPIF)                                                    TASK 1.02 MATERIAL -1 SIMULATOR KIT</t>
  </si>
  <si>
    <t>Total Proposed Target Price (CLIN 0002, TASK 1.02)</t>
  </si>
  <si>
    <t>TOTAL TARGET PRICE - CLIN 0002, TASK 1.02</t>
  </si>
  <si>
    <t>KC-135 Center Console Refresh (CCR) Competitive Pricing Matrix                                                                                                                      CLIN X002:  Simulator Kit (CPIF)                                                                                              TASK 1.03 Material -1 Delivery of Material to Simulator SPO</t>
  </si>
  <si>
    <t>6.  The total target price for CLIN 0002, TASK 1.03 will automatically calculate for the Basic Period</t>
  </si>
  <si>
    <t>CLIN 0002 (CPIF)                                                     TASK 1.03 DELIVERY OF MATERIAL TO SIMULATOR SPO</t>
  </si>
  <si>
    <t>Total Proposed Target Price (CLIN 0002, TASK 1.03)</t>
  </si>
  <si>
    <t>TOTAL TARGET PRICE - CLIN 0002, TASK 1.03</t>
  </si>
  <si>
    <t>Note:  Offerors shall ensure the proposed unit prices are properly linked to the corresponding "CPIF CLIN 0003-TASK 1.XX INPUTS" worksheets</t>
  </si>
  <si>
    <t>KC-135 Center Console Refresh (CCR) Competitive Pricing Matrix                                                                                                                      CLIN 0003:  Systems Integrated Laboratory (CPIF)                                                                                              TASK 1.01 Development Labor to Have an Operational SIL</t>
  </si>
  <si>
    <t>6.  The total target price for CLIN 0003, TASK 1.01 will automatically calculate for the Basic Period</t>
  </si>
  <si>
    <t>CLIN 0003 (CPIF)                                                    TASK 1.01 DEVELOPMENT LABOR TO HAVE AN OPERATIONAL SIL</t>
  </si>
  <si>
    <t>Total Proposed Target Price (CLIN 0003, TASK 1.01)</t>
  </si>
  <si>
    <t>TOTAL TARGET PRICE - CLIN 0003, TASK 1.01</t>
  </si>
  <si>
    <t>6.  The total target price for CLIN 0003, TASK 1.02 will automatically calculate for the Basic Period</t>
  </si>
  <si>
    <t>CLIN 0003 (CPIF)                                                    TASK 1.02 MATERIAL - CONTRACTOR-PROCURED MATERIAL FOR SIL</t>
  </si>
  <si>
    <t>Total Proposed Target Price (CLIN 0003, TASK 1.02)</t>
  </si>
  <si>
    <t>TOTAL TARGET PRICE - CLIN 0003, TASK 1.02</t>
  </si>
  <si>
    <t>6.  The total target price for CLIN 0003, TASK 1.03 will automatically calculate for the Basic Period</t>
  </si>
  <si>
    <t>CLIN 0003 (CPIF)                                                    TASK 1.03 MATERIAL - ANTICIPATED REQUIRED GFE</t>
  </si>
  <si>
    <t>Total Proposed Target Price (CLIN 0003, TASK 1.03)</t>
  </si>
  <si>
    <t>TOTAL TARGET PRICE - CLIN 0003, TASK 1.03</t>
  </si>
  <si>
    <t>KC-135 Center Console Refresh (CCR) Competitive Pricing Matrix                                                                                                                      CLIN 0003:  Systems Integrated Laboratory (CPIF)                                                                                              TASK 1.04 Material - Delivery of SIL to Government</t>
  </si>
  <si>
    <t>6.  The total target price for CLIN 0003, TASK 1.04 will automatically calculate for the Basic Period</t>
  </si>
  <si>
    <t>CLIN 0003 (CPIF)                                                    TASK 1.04 Material - DELIVERY OF SIL TO TO GOVERNMENT</t>
  </si>
  <si>
    <t>Total Proposed Target Price (CLIN 0003, TASK 1.04)</t>
  </si>
  <si>
    <t>TOTAL TARGET PRICE - CLIN 0003, TASK 1.04</t>
  </si>
  <si>
    <t>The "CPIF CLIN 000X SUMMARY" worksheets includes links to the "CPIF CLIN 000X-TASK 1.XX INPUTS" worksheets; no inputs required</t>
  </si>
  <si>
    <t>3. The Prime Offeror shall input the proposed rates and indirect rates below and ensure these cells are linked correctly to the relevant CPIF rate cells on the "CPIF CLIN 0001 - TASK 1.0X" INPUTS", "CPIF CLIN 0002 - TASK 1.0X INPUTS", and "CPIF CLIN 0003 - TASK 1.0X INPUTS" worksheets</t>
  </si>
  <si>
    <t>Insert all direct labor categories that apply (add more rows if necessary); make changes to below categories accordingly and ensure cells properly link to the 'CPIF CLIN 000X - TASK 1.XX INPUTS' worksheets for CLINs 0001,0002, and 0003</t>
  </si>
  <si>
    <t>The extended price for CLINs X007 - X021 will be automatically calculated by multiplying the proposed unit price by the best estimated evaluation quantity</t>
  </si>
  <si>
    <t>The "CPIF CLIN 000X TOTAL" worksheets are linked to the "CPIF CLIN 000X-TASK 1.XX INPUTS" worksheets; no inputs are required, but the format of these worksheets should be revised to align with "CPIF 000X-TASK 1.XX INPUTS" worksheets, if necessary</t>
  </si>
  <si>
    <t xml:space="preserve">The total proposed amounts for the FFP CLINs will automatically populate the "SUMMARY" worksheet, which will ultimately calculate the Total Evaluated Price (TEP) </t>
  </si>
  <si>
    <t>The total proposed amounts for the CPIF CLINs will automatically populate the "SUMMARY" worksheet, which will ultimately calculate the TEP; no inputs required</t>
  </si>
  <si>
    <t>Insert all indirect categories that apply to labor costs; make changes to below categories accordingly and ensure cells properly link to the 'CPIF CLIN 000X - TASK 1.XX INPUTS' worksheets (Columns E, I, and M  for CLINs 0001,0002, and 0003) and align with the rates reflected in the 'PRIME CPIF Rate Desc (All)' work sheet</t>
  </si>
  <si>
    <t>Insert all indirect categories that the prime offeror will apply to subcontractor costs; make changes to below categories accordingly and ensure cells link properly to the 'CPIF CLIN 000X - TASK 1.XX INPUTS' worksheets (Columns E, I, and M for CLINs 0001, 0002, and 0003) and align with the rates reflected in the 'PRIME CPIF Rate Desc (All)' work sheet</t>
  </si>
  <si>
    <t>Insert all indirect categories that apply to material costs; make changes to below categories accordingly and ensure cells link properly to the 'CPIF CLIN 000X - TASK 1.XX INPUTS' worksheets (Columns, E, I, and M for CLINs 0001, 0002, and 0003) and align with the rates reflected in the 'PRIME CPIF Rate Desc (All)' work sheet</t>
  </si>
  <si>
    <t>Insert all indirect categories that apply to ODC; make changes to below categories accordingly and ensure cells link properly to the 'CPIF CLIN 000X - TASK 1.XX INPUTS' worksheets (Columns, E, I, and M for CLINs 0001, 0002, and 0003) and align with the rates reflected in the 'PRIME CPIF Rate Desc (All)' work sheet</t>
  </si>
  <si>
    <t>No input - total labor (labor hours and total labor costs) linked to the 'PRIME CPIF LABOR INPUTS' worksheet</t>
  </si>
  <si>
    <t>Systems Integration Laboratory (SIL) Tasks</t>
  </si>
  <si>
    <t xml:space="preserve">No input - subcontractor costs linked to the 'PRIME CPIF TOTAL SUB' worksheet   </t>
  </si>
  <si>
    <t xml:space="preserve">No input - total costs associated with ODC linked to the 'PRIME CPIF ODC' worksheet </t>
  </si>
  <si>
    <t>3. Total Material costs by Task provided below are linked to each applicable worksheet (ex. "CPIF CLIN 0001 - TASK 1.01 INPUTS", "CPIF CLIN 0001 - TASK 1.02 INPUTS" and so forth); the Offeror shall ensure the cells are properly linked.</t>
  </si>
  <si>
    <t>3. Total ODC by Task provided below are linked to each applicable worksheet (ex. "CPIF CLIN 0001 - TASK 1.01 INPUTS", "CPIF CLIN 0001 - TASK 1.02 INPUTS" and so forth); the Offeror shall ensure the cells are properly linked.</t>
  </si>
  <si>
    <t>4. The Total Evaluated Price (TEP) by performance period will automatically calculate on the "TOTAL EVALUATED PRICE ROLLUP" worksheet</t>
  </si>
  <si>
    <t>Insert proposed labor hours by labor category and sub-task</t>
  </si>
  <si>
    <t>Proposed Add-on Factor (FCCOM)</t>
  </si>
  <si>
    <t>CLIN 0002 SIMULATOR KIT, TASK 1.01 SUPPORT REQUIRED TO DETERMINE ELEMENTS OF SIMULATOR KIT</t>
  </si>
  <si>
    <t>CLIN 0002 SIMULATOR KIT, TASK 1.02 MATERIAL -1 SIMULATOR KIT (REFERENCE SECTION L)</t>
  </si>
  <si>
    <t>CLIN 0002 SIMULATOR KIT, TASK 1.03 DELIVERY OF MATERIAL TO SIMULATOR SPO</t>
  </si>
  <si>
    <t>CLIN 0003 SYSTEMS INTEGRATION LABORATORY (SIL), TASK 1.01 DEVELOPMENT LABOR TO HAVE AN OPERATIONAL SIL</t>
  </si>
  <si>
    <t>CLIN 0003 SIL, TASK 1.02 MATERIAL - CONTRACTOR PROCURED MATERIAL FOR SIL</t>
  </si>
  <si>
    <t>CLIN 0003 SIL, TASK 1.03 MATERIAL - ANTICIPATED REQUIRED GFE</t>
  </si>
  <si>
    <t>CLIN 0003 SIL, TASK 1.04 DELIVERY OF SIL TO GOVERNMENT</t>
  </si>
  <si>
    <t>1.  The Offeror is required to list the individual parts within the B-Kit below, along with unit pricing and quantities for the individual parts in each shipset; reference Statement of Work (SOW) Paragraph 13.7.1</t>
  </si>
  <si>
    <t>X008</t>
  </si>
  <si>
    <t>X018</t>
  </si>
  <si>
    <t>X019</t>
  </si>
  <si>
    <t>X020</t>
  </si>
  <si>
    <t>Proposed monthly price (fully burdened) multiplied by quantity of months in the performance period</t>
  </si>
  <si>
    <t>Production Spares</t>
  </si>
  <si>
    <t>Over &amp; Above (O&amp;A)</t>
  </si>
  <si>
    <t>Proposed target price for EMD CLIN 0001 based on inputs from EMD CPIF worksheets (lot price)</t>
  </si>
  <si>
    <t>Proposed target price for EMD CLIN 0002 based on inputs from EMD CPIF worksheets (lot price)</t>
  </si>
  <si>
    <t>Proposed target price for EMD CLIN 0003 based on inputs from EMD CPIF worksheets (lot price)</t>
  </si>
  <si>
    <t>Proposed lot price (fully burdened) for Support Equipment for each performance period</t>
  </si>
  <si>
    <t>Proposed unit price (fully burdened) multiplied by best estimated quantity of A-Kits for each performance period</t>
  </si>
  <si>
    <t>Proposed unit price (fully burdened) multiplied by best estimated quantity of B-Kits for each performance period</t>
  </si>
  <si>
    <t>Proposed unit price (fully burdened) multiplied by best estimated quantity of Installations for each performance period</t>
  </si>
  <si>
    <t>Proposed unit price (fully burdened) multiplied by best estimated quantity of Simulator Kits for each performance period</t>
  </si>
  <si>
    <t>Proposed unit price (fully burdened) multiplied by best estimated quantity of SILs for each performance period</t>
  </si>
  <si>
    <t>Proposed unit price (fully burdened) multiplied by best estimated quantity of Production Spare Kits (unit price calculated by inputs in the "Spares-FFP CLIN X021 INPUTS" worksheet) for each performance period</t>
  </si>
  <si>
    <t>Allocation Base  (Provide the base upon which the Indirect Rate is applied)</t>
  </si>
  <si>
    <t>Simulator Kits - Production</t>
  </si>
  <si>
    <t>SIL - Production</t>
  </si>
  <si>
    <t>Support Equipment - Production</t>
  </si>
  <si>
    <t>Maintenance &amp; Repair Support - Production</t>
  </si>
  <si>
    <t>Technical Orders - Production</t>
  </si>
  <si>
    <t>2. The Prime Offeror shall input the proposed labor categories and corresponding labor hours by task (at the sub-task level) in the yellow-highlighted cells below; ensure consistency with the "PRIME LABOR by TASK" worksheet</t>
  </si>
  <si>
    <t>3.  The Prime Offeror shall ensure that the proposed labor rates properly link to the corresponding labor rates reflected in the "PRIME-CPIF RATES (ALL)" worksheet</t>
  </si>
  <si>
    <t>Link corresponding proposed labor rate; ensure the labor rate aligns with 'PRIME CPIF RATES (ALL)' worksheet</t>
  </si>
  <si>
    <t>Insert all labor categories that apply; add/delete rows as necessary and ensure cells in Columns E, I, and M are properly linked to the rates in the 'PRIME-CPIF RATES (ALL)' worksheet</t>
  </si>
  <si>
    <t>1. In Contractor format, the Prime Offeror shall provide data other than cost or pricing data in a Consolidated Bill of Material (CBOM) for all Material costs associated with EMD CLINs 0001, 0002, and 0003 (at the subtask level), in accordance with RFP Section L, Paragraph 7.3.2.</t>
  </si>
  <si>
    <t xml:space="preserve">1. The Prime Offeror shall provide other than cost and pricing data for all proposed subcontractor costs associated with EMD CLINs 0001, 0002, and 0003; for each Major Subcontractor (valued at $2.5M+), a separate cost model shall be submitted (see file entitled "ATTACHMENT 3B EXCEL PRICING WORKBOOK - SUB")  </t>
  </si>
  <si>
    <t>3. Total subcontractor costs by Task provided below are linked to each applicable worksheet (ex. "CPIF CLIN 0001 - TASK 1.01 INPUTS", "CPIF CLIN 0001 - TASK 1.02 INPUTS" and so forth); the Offeror shall ensure the cells are properly linked.</t>
  </si>
  <si>
    <t>1. In Contractor format, the Prime Offeror shall provide data other than cost or pricing data (at the sub-Task level) for all Other Direct Costs associated with EMD CLINs 0001, 0002, and 0003, if applicable.  Data may be provided as an additional worksheet in this EPW or as an attachment</t>
  </si>
  <si>
    <t>1. The format of this worksheet may be revised as required to be consistent with the Prime Offeror's approved accounting system; amend base costs and direct/indirect rates as necessary</t>
  </si>
  <si>
    <t>3. The proposed indirect rates are linked to the "PRIME CPIF RATES (ALL)" worksheet and will automatically be applied to the proposed amounts for labor, material, ODC, and subcontractor costs (CPIF Target Cost, Target FCCOM, Target Fee, and Total Price will automatically calculate)</t>
  </si>
  <si>
    <t>4.  The Prime Offeror shall amend the indirect categories as needed, and ensure the proposed indirect rates are properly linked to the "PRIME CPIF RATES (ALL)" worksheet</t>
  </si>
  <si>
    <t>5.  Definitions of the labor categories and indirect rates are included in the "PRIME CPIF RATE DESC (ALL)" worksheet; the Offeror shall amend as necessary</t>
  </si>
  <si>
    <t>CLIN 0001 (CPIF)                                                     TASK 1.01 DEVELOPMENT THROUGH PDR</t>
  </si>
  <si>
    <t>Insert all indirect categories that apply to labor; make changes to indirect categories in Column B accordingly and amend links in Columns C, G, K, and O as needed. Also ensure rates in Columns D, H, L and P are properly linked to 'PRIME-CPIF RATES (ALL)' worksheet</t>
  </si>
  <si>
    <t>No input - material costs linked to the 'PRIME CPIF TOTAL MATERIAL' worksheet (amounts shall also match total material in Consolidated Bill of Materials (CBOM) in RFP Section L, Paragraph 7.3.2</t>
  </si>
  <si>
    <t>Insert all indirect categories that the prime contractor will apply to subcontractor costs; make changes to indirect categories in Column B accordingly and amend links in Columns C, G, K, and O as needed. Also ensure rates in Columns D, H, L and P are properly linked to 'PRIME-CPIF RATES (ALL)' worksheet</t>
  </si>
  <si>
    <t>Insert all indirect categories that the prime contractor will apply to ODC; make changes to indirect categories in Column B accordingly and amend links in Columns C, G, K, and O as needed. Also ensure rates in Columns D, H, L and P are properly linked to 'PRIME-CPIF RATES (ALL)' worksheet</t>
  </si>
  <si>
    <t>2. The Prime Offeror shall ensure the totals for CLINs 0001 are calculated properly based on the links to the 'CPIF CLIN 0001-TASK 1.XX INPUTS' worksheets</t>
  </si>
  <si>
    <t>2. The Prime Offeror shall ensure the totals for CLINs 0002 are calculated properly based on the links to the 'CPIF CLIN 0002-TASK 1.XX INPUTS' worksheets</t>
  </si>
  <si>
    <t>2. The Prime Offeror shall ensure the totals for CLINs 0003 are calculated properly based on the links to the "CPIF CLIN 0003-TASK 1.XX INPUTS" worksheets</t>
  </si>
  <si>
    <t>Offerors are required to input the supporting information and proposed quantities/unit prices for the Production Spares for the B-Kit in the "SPARES-FFP CLIN X021 INPUTS" worksheet.  The total amount by period will automatically populate the "FFP CLINs X007-X021" worksheet for CLIN X021</t>
  </si>
  <si>
    <t>The "CPIF CLIN 000X-TASK 1.XX INPUTS" worksheets are linked to the "PRIME CPIF RATES (ALL)", "PRIME CPIF LABOR INPUTS", "PRIME CPIF TOTAL MATERIAL", "PRIME CPIF TOTAL SUB", and "PRIME CPIF TOTAL ODC" worksheets.  Inputs in the "CPIF CLIN 000X-TASK 1.XX INPUTS" worksheets are not required, but the format of these worksheets may be revised, if necessary</t>
  </si>
  <si>
    <t>Attachment 3A, EPW - PRIME</t>
  </si>
  <si>
    <t>1.  The worksheet tabs highlighted in yellow within Attachment 3A require Offeror input; the cells within each worksheet requiring input are highlighted in yellow</t>
  </si>
  <si>
    <t>KC-135 CCR EXCEL PRICING WORKBOOK (EPW) - CALCULATION METHODOLOGY - PRIME OFFEROR</t>
  </si>
  <si>
    <t xml:space="preserve">The format of the Cost Model worksheets entitled "PRIME CPIF RATES (ALL)", "PRIME CPIF RATE DESC (ALL)", "PRIME CPIF LABOR by TASK", "PRIME CPIF LABOR INPUTS", "PRIME CPIF TOTAL MATERIAL", "PRIME CPIF TOTAL SUB", "PRIME CPIF TOTAL ODC" and "CPIF CLIN 000X-TASK 1.XX INPUTS" may be revised by the Offeror as necessary; if revisions are made, Offerors shall ensure properly linking to corresponding worksheets </t>
  </si>
  <si>
    <t>*See 'SPARES-FFP CLIN X021 INPUTS' worksheet to input individual components of the spare B-Kits; the extended totals will automatically populate in cells F17, J17, N17, R17, V17, Z17, and AD17)</t>
  </si>
  <si>
    <t>Notes:  Proposed CLIN unit costs/prices are linked to the "CPIF CLIN 000X TOTAL" and "FFP CLINs X007 - X021" worksheets; no input required</t>
  </si>
  <si>
    <t>PRIME OFFEROR</t>
  </si>
  <si>
    <t xml:space="preserve">
Qty/BEQ</t>
  </si>
  <si>
    <t>Total Proposed Other Direct Costs (CPIF)</t>
  </si>
  <si>
    <t>Total Other Direct Costs (CPIF)</t>
  </si>
  <si>
    <t xml:space="preserve">The minimum fees, maximum fees, and share ratios are provided by the Government in the "CPIF CLIN BREAKDOWN" worksheet.  The CPIF CLIN breakout by Target Cost, Target Fee, Target FCCOM, and Target Price will automatically populate the "CPIF CLIN BREAKDOWN" worksheet for each CPIF CLIN based on the Offeror's inputs in the above worksheets; no inputs required.  </t>
  </si>
  <si>
    <t>4.  The Offeror shall ensure the total proposed amounts by period properly link to the "FFP CLINs X007-X021" worksheet for CLIN X021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</si>
</sst>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4" formatCode="_(&quot;$&quot;* #,##0.00_);_(&quot;$&quot;* \(#,##0.00\);_(&quot;$&quot;* &quot;-&quot;??_);_(@_)"/>
    <numFmt numFmtId="43" formatCode="_(* #,##0.00_);_(* \(#,##0.00\);_(* &quot;-&quot;??_);_(@_)"/>
    <numFmt numFmtId="164" formatCode="#,##0.0000"/>
    <numFmt numFmtId="165" formatCode="0.000000"/>
    <numFmt numFmtId="166" formatCode="&quot;$&quot;#,##0.00"/>
    <numFmt numFmtId="167" formatCode="&quot;$&quot;#,##0"/>
    <numFmt numFmtId="168" formatCode="&quot;$&quot;#,##0.0"/>
    <numFmt numFmtId="169" formatCode="_(* #,##0.000000_);_(* \(#,##0.000000\);_(* &quot;-&quot;??_);_(@_)"/>
    <numFmt numFmtId="170" formatCode="_(&quot;$&quot;* #,##0.00000_);_(&quot;$&quot;* \(#,##0.00000\);_(&quot;$&quot;* &quot;-&quot;??_);_(@_)"/>
    <numFmt numFmtId="171" formatCode="0.000%"/>
  </numFmts>
  <fonts count="40" x14ac:knownFonts="1">
    <font>
      <sz val="11"/>
      <color theme="1"/>
      <name val="Calibri"/>
      <family val="2"/>
      <scheme val="minor"/>
    </font>
    <font>
      <sz val="11"/>
      <color theme="1"/>
      <name val="Calibri"/>
      <family val="2"/>
      <scheme val="minor"/>
    </font>
    <font>
      <b/>
      <sz val="11"/>
      <color theme="1"/>
      <name val="Calibri"/>
      <family val="2"/>
      <scheme val="minor"/>
    </font>
    <font>
      <b/>
      <sz val="12"/>
      <color theme="1"/>
      <name val="Calibri"/>
      <family val="2"/>
      <scheme val="minor"/>
    </font>
    <font>
      <sz val="11"/>
      <name val="Calibri"/>
      <family val="2"/>
      <scheme val="minor"/>
    </font>
    <font>
      <b/>
      <sz val="11"/>
      <name val="Calibri"/>
      <family val="2"/>
      <scheme val="minor"/>
    </font>
    <font>
      <b/>
      <sz val="12"/>
      <name val="Calibri"/>
      <family val="2"/>
      <scheme val="minor"/>
    </font>
    <font>
      <sz val="11"/>
      <color rgb="FFFF0000"/>
      <name val="Calibri"/>
      <family val="2"/>
      <scheme val="minor"/>
    </font>
    <font>
      <sz val="12"/>
      <name val="Calibri"/>
      <family val="2"/>
      <scheme val="minor"/>
    </font>
    <font>
      <b/>
      <sz val="8"/>
      <name val="Calibri"/>
      <family val="2"/>
      <scheme val="minor"/>
    </font>
    <font>
      <sz val="8"/>
      <color theme="1"/>
      <name val="Calibri"/>
      <family val="2"/>
      <scheme val="minor"/>
    </font>
    <font>
      <sz val="10"/>
      <color theme="1"/>
      <name val="Calibri"/>
      <family val="2"/>
      <scheme val="minor"/>
    </font>
    <font>
      <b/>
      <sz val="14"/>
      <color theme="1"/>
      <name val="Calibri"/>
      <family val="2"/>
      <scheme val="minor"/>
    </font>
    <font>
      <sz val="10"/>
      <name val="Calibri"/>
      <family val="2"/>
      <scheme val="minor"/>
    </font>
    <font>
      <sz val="10"/>
      <color rgb="FFFF0000"/>
      <name val="Calibri"/>
      <family val="2"/>
      <scheme val="minor"/>
    </font>
    <font>
      <b/>
      <sz val="11"/>
      <color rgb="FFFF0000"/>
      <name val="Calibri"/>
      <family val="2"/>
      <scheme val="minor"/>
    </font>
    <font>
      <sz val="12"/>
      <color rgb="FFFF0000"/>
      <name val="Calibri"/>
      <family val="2"/>
      <scheme val="minor"/>
    </font>
    <font>
      <sz val="11"/>
      <color rgb="FF3F3F3F"/>
      <name val="Calibri"/>
      <family val="2"/>
      <scheme val="minor"/>
    </font>
    <font>
      <sz val="10"/>
      <name val="Arial"/>
      <family val="2"/>
    </font>
    <font>
      <sz val="11"/>
      <color theme="0" tint="-0.499984740745262"/>
      <name val="Calibri"/>
      <family val="2"/>
      <scheme val="minor"/>
    </font>
    <font>
      <b/>
      <sz val="12"/>
      <color rgb="FF000000"/>
      <name val="Calibri"/>
      <family val="2"/>
      <scheme val="minor"/>
    </font>
    <font>
      <b/>
      <sz val="9"/>
      <color theme="1"/>
      <name val="Calibri"/>
      <family val="2"/>
      <scheme val="minor"/>
    </font>
    <font>
      <sz val="10"/>
      <color rgb="FF000000"/>
      <name val="Calibri"/>
      <family val="2"/>
      <scheme val="minor"/>
    </font>
    <font>
      <b/>
      <u/>
      <sz val="9"/>
      <color theme="1"/>
      <name val="Calibri"/>
      <family val="2"/>
      <scheme val="minor"/>
    </font>
    <font>
      <sz val="12"/>
      <color theme="1"/>
      <name val="Calibri"/>
      <family val="2"/>
      <scheme val="minor"/>
    </font>
    <font>
      <b/>
      <sz val="12"/>
      <color rgb="FFFF0000"/>
      <name val="Calibri"/>
      <family val="2"/>
      <scheme val="minor"/>
    </font>
    <font>
      <sz val="10"/>
      <color theme="0" tint="-0.499984740745262"/>
      <name val="Calibri"/>
      <family val="2"/>
      <scheme val="minor"/>
    </font>
    <font>
      <b/>
      <sz val="9"/>
      <name val="Calibri"/>
      <family val="2"/>
      <scheme val="minor"/>
    </font>
    <font>
      <b/>
      <u/>
      <sz val="9"/>
      <name val="Calibri"/>
      <family val="2"/>
      <scheme val="minor"/>
    </font>
    <font>
      <sz val="8"/>
      <name val="Calibri"/>
      <family val="2"/>
      <scheme val="minor"/>
    </font>
    <font>
      <b/>
      <u/>
      <sz val="10"/>
      <name val="Arial"/>
      <family val="2"/>
    </font>
    <font>
      <sz val="10"/>
      <color theme="2" tint="-0.249977111117893"/>
      <name val="Calibri"/>
      <family val="2"/>
      <scheme val="minor"/>
    </font>
    <font>
      <sz val="10"/>
      <color theme="2" tint="-0.499984740745262"/>
      <name val="Calibri"/>
      <family val="2"/>
      <scheme val="minor"/>
    </font>
    <font>
      <sz val="12"/>
      <color theme="2" tint="-0.499984740745262"/>
      <name val="Calibri"/>
      <family val="2"/>
      <scheme val="minor"/>
    </font>
    <font>
      <b/>
      <sz val="14"/>
      <color rgb="FFFF0000"/>
      <name val="Arial"/>
      <family val="2"/>
    </font>
    <font>
      <sz val="11"/>
      <color rgb="FF00B0F0"/>
      <name val="Calibri"/>
      <family val="2"/>
      <scheme val="minor"/>
    </font>
    <font>
      <b/>
      <u/>
      <sz val="10"/>
      <color theme="1"/>
      <name val="Arial"/>
      <family val="2"/>
    </font>
    <font>
      <b/>
      <u/>
      <sz val="12"/>
      <name val="Calibri"/>
      <family val="2"/>
      <scheme val="minor"/>
    </font>
    <font>
      <sz val="11"/>
      <color theme="2" tint="-0.249977111117893"/>
      <name val="Calibri"/>
      <family val="2"/>
      <scheme val="minor"/>
    </font>
    <font>
      <b/>
      <sz val="9"/>
      <color rgb="FFFF0000"/>
      <name val="Calibri"/>
      <family val="2"/>
      <scheme val="minor"/>
    </font>
  </fonts>
  <fills count="19">
    <fill>
      <patternFill patternType="none"/>
    </fill>
    <fill>
      <patternFill patternType="gray125"/>
    </fill>
    <fill>
      <patternFill patternType="solid">
        <fgColor rgb="FFFFFF00"/>
        <bgColor indexed="64"/>
      </patternFill>
    </fill>
    <fill>
      <patternFill patternType="solid">
        <fgColor theme="9" tint="0.59999389629810485"/>
        <bgColor indexed="64"/>
      </patternFill>
    </fill>
    <fill>
      <patternFill patternType="solid">
        <fgColor theme="1"/>
        <bgColor indexed="64"/>
      </patternFill>
    </fill>
    <fill>
      <patternFill patternType="solid">
        <fgColor theme="9" tint="0.79998168889431442"/>
        <bgColor indexed="64"/>
      </patternFill>
    </fill>
    <fill>
      <patternFill patternType="solid">
        <fgColor theme="8" tint="0.59999389629810485"/>
        <bgColor indexed="64"/>
      </patternFill>
    </fill>
    <fill>
      <patternFill patternType="solid">
        <fgColor theme="4" tint="0.79998168889431442"/>
        <bgColor indexed="64"/>
      </patternFill>
    </fill>
    <fill>
      <patternFill patternType="solid">
        <fgColor theme="5" tint="0.39997558519241921"/>
        <bgColor indexed="64"/>
      </patternFill>
    </fill>
    <fill>
      <patternFill patternType="solid">
        <fgColor theme="4" tint="0.59999389629810485"/>
        <bgColor indexed="64"/>
      </patternFill>
    </fill>
    <fill>
      <patternFill patternType="solid">
        <fgColor theme="2" tint="-0.249977111117893"/>
        <bgColor indexed="64"/>
      </patternFill>
    </fill>
    <fill>
      <patternFill patternType="solid">
        <fgColor rgb="FFBAA4B7"/>
        <bgColor indexed="64"/>
      </patternFill>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solid">
        <fgColor theme="5" tint="0.59999389629810485"/>
        <bgColor indexed="64"/>
      </patternFill>
    </fill>
    <fill>
      <patternFill patternType="solid">
        <fgColor rgb="FFD5C6E0"/>
        <bgColor indexed="64"/>
      </patternFill>
    </fill>
    <fill>
      <patternFill patternType="solid">
        <fgColor rgb="FF92D050"/>
        <bgColor indexed="64"/>
      </patternFill>
    </fill>
    <fill>
      <patternFill patternType="solid">
        <fgColor theme="7" tint="0.59999389629810485"/>
        <bgColor indexed="64"/>
      </patternFill>
    </fill>
  </fills>
  <borders count="85">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ck">
        <color indexed="64"/>
      </left>
      <right style="thick">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ck">
        <color auto="1"/>
      </left>
      <right style="thin">
        <color indexed="64"/>
      </right>
      <top style="thin">
        <color indexed="64"/>
      </top>
      <bottom style="thin">
        <color indexed="64"/>
      </bottom>
      <diagonal/>
    </border>
    <border>
      <left style="thick">
        <color auto="1"/>
      </left>
      <right/>
      <top/>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double">
        <color indexed="64"/>
      </bottom>
      <diagonal/>
    </border>
    <border>
      <left style="medium">
        <color indexed="64"/>
      </left>
      <right style="medium">
        <color indexed="64"/>
      </right>
      <top/>
      <bottom style="thin">
        <color indexed="64"/>
      </bottom>
      <diagonal/>
    </border>
    <border>
      <left style="medium">
        <color theme="1"/>
      </left>
      <right/>
      <top style="medium">
        <color theme="1"/>
      </top>
      <bottom style="medium">
        <color theme="1"/>
      </bottom>
      <diagonal/>
    </border>
    <border>
      <left/>
      <right/>
      <top style="medium">
        <color theme="1"/>
      </top>
      <bottom style="medium">
        <color theme="1"/>
      </bottom>
      <diagonal/>
    </border>
    <border>
      <left/>
      <right style="medium">
        <color theme="1"/>
      </right>
      <top style="medium">
        <color theme="1"/>
      </top>
      <bottom style="medium">
        <color theme="1"/>
      </bottom>
      <diagonal/>
    </border>
    <border>
      <left style="thin">
        <color theme="1"/>
      </left>
      <right style="thin">
        <color theme="1"/>
      </right>
      <top/>
      <bottom style="thin">
        <color theme="1"/>
      </bottom>
      <diagonal/>
    </border>
    <border>
      <left style="thin">
        <color indexed="64"/>
      </left>
      <right style="thin">
        <color indexed="64"/>
      </right>
      <top/>
      <bottom/>
      <diagonal/>
    </border>
    <border>
      <left style="thin">
        <color indexed="64"/>
      </left>
      <right/>
      <top/>
      <bottom/>
      <diagonal/>
    </border>
    <border>
      <left/>
      <right/>
      <top style="thin">
        <color indexed="64"/>
      </top>
      <bottom/>
      <diagonal/>
    </border>
    <border>
      <left style="thick">
        <color auto="1"/>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medium">
        <color indexed="64"/>
      </bottom>
      <diagonal/>
    </border>
    <border>
      <left style="thin">
        <color rgb="FF3F3F3F"/>
      </left>
      <right style="thin">
        <color rgb="FF3F3F3F"/>
      </right>
      <top style="thin">
        <color rgb="FF3F3F3F"/>
      </top>
      <bottom style="thin">
        <color rgb="FF3F3F3F"/>
      </bottom>
      <diagonal/>
    </border>
    <border>
      <left style="medium">
        <color indexed="64"/>
      </left>
      <right style="medium">
        <color indexed="64"/>
      </right>
      <top style="medium">
        <color indexed="64"/>
      </top>
      <bottom/>
      <diagonal/>
    </border>
    <border>
      <left/>
      <right style="thin">
        <color indexed="64"/>
      </right>
      <top style="thin">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top style="thin">
        <color indexed="64"/>
      </top>
      <bottom style="thin">
        <color indexed="64"/>
      </bottom>
      <diagonal/>
    </border>
    <border>
      <left style="medium">
        <color indexed="64"/>
      </left>
      <right/>
      <top style="thin">
        <color indexed="64"/>
      </top>
      <bottom style="thin">
        <color indexed="64"/>
      </bottom>
      <diagonal/>
    </border>
    <border>
      <left style="thin">
        <color indexed="64"/>
      </left>
      <right/>
      <top style="thin">
        <color indexed="64"/>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style="thin">
        <color indexed="64"/>
      </top>
      <bottom style="medium">
        <color indexed="64"/>
      </bottom>
      <diagonal/>
    </border>
    <border>
      <left style="medium">
        <color indexed="64"/>
      </left>
      <right/>
      <top style="thin">
        <color indexed="64"/>
      </top>
      <bottom/>
      <diagonal/>
    </border>
    <border>
      <left style="medium">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bottom/>
      <diagonal/>
    </border>
    <border>
      <left/>
      <right style="thin">
        <color indexed="64"/>
      </right>
      <top/>
      <bottom/>
      <diagonal/>
    </border>
    <border>
      <left style="medium">
        <color indexed="64"/>
      </left>
      <right style="thin">
        <color indexed="64"/>
      </right>
      <top/>
      <bottom style="medium">
        <color indexed="64"/>
      </bottom>
      <diagonal/>
    </border>
    <border>
      <left/>
      <right style="thin">
        <color indexed="64"/>
      </right>
      <top/>
      <bottom style="medium">
        <color indexed="64"/>
      </bottom>
      <diagonal/>
    </border>
    <border>
      <left/>
      <right style="medium">
        <color indexed="64"/>
      </right>
      <top style="thin">
        <color indexed="64"/>
      </top>
      <bottom style="medium">
        <color indexed="64"/>
      </bottom>
      <diagonal/>
    </border>
    <border>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right style="thin">
        <color indexed="64"/>
      </right>
      <top style="medium">
        <color indexed="64"/>
      </top>
      <bottom/>
      <diagonal/>
    </border>
    <border>
      <left style="thin">
        <color indexed="64"/>
      </left>
      <right/>
      <top style="medium">
        <color indexed="64"/>
      </top>
      <bottom style="thin">
        <color indexed="64"/>
      </bottom>
      <diagonal/>
    </border>
    <border>
      <left style="thin">
        <color theme="1"/>
      </left>
      <right/>
      <top/>
      <bottom style="thin">
        <color theme="1"/>
      </bottom>
      <diagonal/>
    </border>
    <border>
      <left/>
      <right/>
      <top/>
      <bottom style="thin">
        <color theme="1"/>
      </bottom>
      <diagonal/>
    </border>
    <border>
      <left style="thin">
        <color theme="1"/>
      </left>
      <right style="thin">
        <color theme="1"/>
      </right>
      <top/>
      <bottom/>
      <diagonal/>
    </border>
    <border>
      <left style="thin">
        <color theme="1"/>
      </left>
      <right/>
      <top style="thin">
        <color theme="1"/>
      </top>
      <bottom/>
      <diagonal/>
    </border>
    <border>
      <left style="thin">
        <color rgb="FF3F3F3F"/>
      </left>
      <right style="thin">
        <color rgb="FF3F3F3F"/>
      </right>
      <top style="thin">
        <color rgb="FF3F3F3F"/>
      </top>
      <bottom/>
      <diagonal/>
    </border>
    <border>
      <left style="thin">
        <color rgb="FF3F3F3F"/>
      </left>
      <right/>
      <top style="thin">
        <color rgb="FF3F3F3F"/>
      </top>
      <bottom style="thin">
        <color rgb="FF3F3F3F"/>
      </bottom>
      <diagonal/>
    </border>
    <border>
      <left/>
      <right style="medium">
        <color indexed="64"/>
      </right>
      <top/>
      <bottom/>
      <diagonal/>
    </border>
    <border>
      <left/>
      <right/>
      <top style="medium">
        <color indexed="64"/>
      </top>
      <bottom style="thin">
        <color indexed="64"/>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right/>
      <top style="thin">
        <color indexed="64"/>
      </top>
      <bottom style="double">
        <color indexed="64"/>
      </bottom>
      <diagonal/>
    </border>
  </borders>
  <cellStyleXfs count="8">
    <xf numFmtId="0" fontId="0" fillId="0" borderId="0"/>
    <xf numFmtId="44" fontId="1" fillId="0" borderId="0" applyFont="0" applyFill="0" applyBorder="0" applyAlignment="0" applyProtection="0"/>
    <xf numFmtId="9" fontId="1" fillId="0" borderId="0" applyFont="0" applyFill="0" applyBorder="0" applyAlignment="0" applyProtection="0"/>
    <xf numFmtId="0" fontId="18" fillId="0" borderId="0"/>
    <xf numFmtId="0" fontId="1" fillId="0" borderId="0"/>
    <xf numFmtId="43" fontId="18" fillId="0" borderId="0" applyFont="0" applyFill="0" applyBorder="0" applyAlignment="0" applyProtection="0"/>
    <xf numFmtId="0" fontId="18" fillId="0" borderId="0"/>
    <xf numFmtId="43" fontId="1" fillId="0" borderId="0" applyFont="0" applyFill="0" applyBorder="0" applyAlignment="0" applyProtection="0"/>
  </cellStyleXfs>
  <cellXfs count="652">
    <xf numFmtId="0" fontId="0" fillId="0" borderId="0" xfId="0"/>
    <xf numFmtId="44" fontId="4" fillId="2" borderId="10" xfId="1" applyNumberFormat="1" applyFont="1" applyFill="1" applyBorder="1" applyAlignment="1" applyProtection="1">
      <alignment horizontal="center"/>
      <protection locked="0"/>
    </xf>
    <xf numFmtId="44" fontId="4" fillId="0" borderId="10" xfId="1" applyNumberFormat="1" applyFont="1" applyFill="1" applyBorder="1" applyAlignment="1" applyProtection="1">
      <alignment horizontal="center"/>
    </xf>
    <xf numFmtId="1" fontId="4" fillId="0" borderId="12" xfId="0" applyNumberFormat="1" applyFont="1" applyBorder="1" applyAlignment="1" applyProtection="1">
      <alignment horizontal="center" vertical="center"/>
    </xf>
    <xf numFmtId="0" fontId="4" fillId="0" borderId="12" xfId="0" applyFont="1" applyBorder="1" applyAlignment="1" applyProtection="1">
      <alignment horizontal="center" vertical="center"/>
    </xf>
    <xf numFmtId="0" fontId="0" fillId="0" borderId="0" xfId="0" applyAlignment="1" applyProtection="1">
      <alignment horizontal="center" vertical="center"/>
    </xf>
    <xf numFmtId="0" fontId="2" fillId="10" borderId="0" xfId="0" applyFont="1" applyFill="1" applyBorder="1" applyAlignment="1" applyProtection="1">
      <alignment horizontal="center" vertical="center" wrapText="1"/>
    </xf>
    <xf numFmtId="0" fontId="2" fillId="0" borderId="0" xfId="0" applyFont="1" applyFill="1" applyBorder="1" applyAlignment="1" applyProtection="1">
      <alignment horizontal="center" vertical="center" wrapText="1"/>
    </xf>
    <xf numFmtId="0" fontId="2" fillId="0" borderId="0" xfId="0" applyFont="1" applyFill="1" applyBorder="1" applyAlignment="1" applyProtection="1">
      <alignment vertical="center" wrapText="1"/>
    </xf>
    <xf numFmtId="0" fontId="3" fillId="0" borderId="0" xfId="0" applyFont="1" applyBorder="1" applyAlignment="1" applyProtection="1">
      <alignment vertical="center" wrapText="1"/>
    </xf>
    <xf numFmtId="0" fontId="0" fillId="0" borderId="0" xfId="0" applyProtection="1"/>
    <xf numFmtId="0" fontId="5" fillId="0" borderId="0" xfId="0" applyFont="1" applyFill="1" applyBorder="1" applyAlignment="1" applyProtection="1">
      <alignment horizontal="center" vertical="center" wrapText="1"/>
    </xf>
    <xf numFmtId="0" fontId="2" fillId="0" borderId="4" xfId="0" applyFont="1" applyBorder="1" applyAlignment="1" applyProtection="1">
      <alignment horizontal="center" wrapText="1"/>
    </xf>
    <xf numFmtId="0" fontId="2" fillId="0" borderId="11" xfId="0" applyFont="1" applyBorder="1" applyAlignment="1" applyProtection="1">
      <alignment horizontal="left" wrapText="1"/>
    </xf>
    <xf numFmtId="164" fontId="2" fillId="0" borderId="10" xfId="0" applyNumberFormat="1" applyFont="1" applyBorder="1" applyAlignment="1" applyProtection="1">
      <alignment horizontal="center" wrapText="1"/>
    </xf>
    <xf numFmtId="0" fontId="2" fillId="0" borderId="10" xfId="0" applyFont="1" applyBorder="1" applyAlignment="1" applyProtection="1">
      <alignment horizontal="left" wrapText="1"/>
    </xf>
    <xf numFmtId="0" fontId="3" fillId="11" borderId="15" xfId="0" applyFont="1" applyFill="1" applyBorder="1" applyAlignment="1" applyProtection="1">
      <alignment horizontal="center" vertical="center" wrapText="1"/>
    </xf>
    <xf numFmtId="0" fontId="4" fillId="0" borderId="10" xfId="0" applyFont="1" applyBorder="1" applyAlignment="1" applyProtection="1">
      <alignment horizontal="center" vertical="center" wrapText="1"/>
    </xf>
    <xf numFmtId="1" fontId="4" fillId="0" borderId="9" xfId="0" applyNumberFormat="1" applyFont="1" applyBorder="1" applyAlignment="1" applyProtection="1">
      <alignment horizontal="center" vertical="center"/>
    </xf>
    <xf numFmtId="44" fontId="5" fillId="0" borderId="17" xfId="0" applyNumberFormat="1" applyFont="1" applyBorder="1" applyAlignment="1" applyProtection="1">
      <alignment horizontal="center"/>
    </xf>
    <xf numFmtId="0" fontId="0" fillId="0" borderId="0" xfId="0" applyBorder="1" applyAlignment="1" applyProtection="1">
      <alignment horizontal="center" vertical="center" wrapText="1"/>
    </xf>
    <xf numFmtId="0" fontId="5" fillId="0" borderId="0" xfId="0" applyFont="1" applyBorder="1" applyAlignment="1" applyProtection="1">
      <alignment horizontal="center" vertical="center" wrapText="1"/>
    </xf>
    <xf numFmtId="0" fontId="0" fillId="0" borderId="0" xfId="0" applyFill="1" applyBorder="1" applyAlignment="1" applyProtection="1">
      <alignment horizontal="center" vertical="center" wrapText="1"/>
    </xf>
    <xf numFmtId="164" fontId="5" fillId="3" borderId="1" xfId="0" applyNumberFormat="1" applyFont="1" applyFill="1" applyBorder="1" applyAlignment="1" applyProtection="1">
      <alignment horizontal="center" vertical="center" wrapText="1"/>
    </xf>
    <xf numFmtId="44" fontId="5" fillId="3" borderId="14" xfId="0" applyNumberFormat="1" applyFont="1" applyFill="1" applyBorder="1" applyAlignment="1" applyProtection="1">
      <alignment horizontal="center" vertical="center" wrapText="1"/>
    </xf>
    <xf numFmtId="44" fontId="0" fillId="0" borderId="0" xfId="0" applyNumberFormat="1" applyProtection="1"/>
    <xf numFmtId="166" fontId="5" fillId="0" borderId="0" xfId="0" applyNumberFormat="1" applyFont="1" applyFill="1" applyBorder="1" applyAlignment="1" applyProtection="1">
      <alignment horizontal="center" vertical="center" wrapText="1"/>
    </xf>
    <xf numFmtId="0" fontId="5" fillId="10" borderId="9" xfId="0" applyFont="1" applyFill="1" applyBorder="1" applyAlignment="1" applyProtection="1">
      <alignment vertical="center" wrapText="1"/>
    </xf>
    <xf numFmtId="44" fontId="2" fillId="11" borderId="15" xfId="0" applyNumberFormat="1" applyFont="1" applyFill="1" applyBorder="1" applyAlignment="1" applyProtection="1">
      <alignment horizontal="center" vertical="center"/>
    </xf>
    <xf numFmtId="0" fontId="2" fillId="11" borderId="15" xfId="0" applyFont="1" applyFill="1" applyBorder="1" applyAlignment="1" applyProtection="1">
      <alignment horizontal="center" wrapText="1"/>
    </xf>
    <xf numFmtId="0" fontId="0" fillId="0" borderId="0" xfId="0" applyBorder="1" applyProtection="1"/>
    <xf numFmtId="0" fontId="0" fillId="0" borderId="0" xfId="0" applyBorder="1" applyAlignment="1" applyProtection="1">
      <alignment horizontal="center"/>
    </xf>
    <xf numFmtId="0" fontId="0" fillId="0" borderId="0" xfId="0" applyBorder="1" applyAlignment="1" applyProtection="1">
      <alignment horizontal="center" vertical="center"/>
    </xf>
    <xf numFmtId="0" fontId="4" fillId="0" borderId="0" xfId="0" applyFont="1" applyBorder="1" applyAlignment="1" applyProtection="1">
      <alignment horizontal="center" vertical="center"/>
    </xf>
    <xf numFmtId="164" fontId="4" fillId="0" borderId="0" xfId="0" applyNumberFormat="1" applyFont="1" applyBorder="1" applyAlignment="1" applyProtection="1">
      <alignment horizontal="center"/>
    </xf>
    <xf numFmtId="0" fontId="4" fillId="0" borderId="0" xfId="0" applyFont="1" applyBorder="1" applyProtection="1"/>
    <xf numFmtId="0" fontId="2" fillId="0" borderId="0" xfId="0" applyFont="1" applyBorder="1" applyAlignment="1" applyProtection="1">
      <alignment horizontal="center" vertical="center"/>
    </xf>
    <xf numFmtId="167" fontId="0" fillId="0" borderId="0" xfId="0" applyNumberFormat="1" applyBorder="1" applyAlignment="1" applyProtection="1">
      <alignment horizontal="center"/>
    </xf>
    <xf numFmtId="168" fontId="0" fillId="0" borderId="0" xfId="0" applyNumberFormat="1" applyBorder="1" applyProtection="1"/>
    <xf numFmtId="164" fontId="7" fillId="0" borderId="0" xfId="0" applyNumberFormat="1" applyFont="1" applyBorder="1" applyAlignment="1" applyProtection="1">
      <alignment horizontal="center"/>
    </xf>
    <xf numFmtId="165" fontId="0" fillId="0" borderId="0" xfId="0" applyNumberFormat="1" applyBorder="1" applyProtection="1"/>
    <xf numFmtId="164" fontId="0" fillId="0" borderId="0" xfId="0" applyNumberFormat="1" applyBorder="1" applyAlignment="1" applyProtection="1">
      <alignment horizontal="center"/>
    </xf>
    <xf numFmtId="44" fontId="9" fillId="11" borderId="15" xfId="0" applyNumberFormat="1" applyFont="1" applyFill="1" applyBorder="1" applyAlignment="1" applyProtection="1">
      <alignment horizontal="center" vertical="center"/>
    </xf>
    <xf numFmtId="0" fontId="9" fillId="11" borderId="15" xfId="0" applyFont="1" applyFill="1" applyBorder="1" applyAlignment="1" applyProtection="1">
      <alignment horizontal="center" vertical="center" wrapText="1"/>
    </xf>
    <xf numFmtId="44" fontId="10" fillId="0" borderId="0" xfId="0" applyNumberFormat="1" applyFont="1" applyBorder="1" applyProtection="1"/>
    <xf numFmtId="165" fontId="10" fillId="0" borderId="0" xfId="0" applyNumberFormat="1" applyFont="1" applyBorder="1" applyProtection="1"/>
    <xf numFmtId="44" fontId="0" fillId="0" borderId="0" xfId="0" applyNumberFormat="1" applyBorder="1" applyProtection="1"/>
    <xf numFmtId="0" fontId="2" fillId="0" borderId="0" xfId="0" applyFont="1" applyAlignment="1" applyProtection="1">
      <alignment horizontal="center" vertical="center"/>
    </xf>
    <xf numFmtId="0" fontId="0" fillId="0" borderId="0" xfId="0" applyAlignment="1" applyProtection="1">
      <alignment horizontal="center"/>
    </xf>
    <xf numFmtId="0" fontId="0" fillId="0" borderId="13" xfId="0" applyBorder="1" applyAlignment="1" applyProtection="1">
      <alignment horizontal="center" vertical="center"/>
    </xf>
    <xf numFmtId="164" fontId="0" fillId="0" borderId="0" xfId="0" applyNumberFormat="1" applyAlignment="1" applyProtection="1">
      <alignment horizontal="center"/>
    </xf>
    <xf numFmtId="0" fontId="0" fillId="0" borderId="7" xfId="0" applyBorder="1" applyProtection="1"/>
    <xf numFmtId="0" fontId="6" fillId="9" borderId="10" xfId="0" applyFont="1" applyFill="1" applyBorder="1" applyAlignment="1" applyProtection="1">
      <alignment horizontal="center" vertical="center" wrapText="1"/>
    </xf>
    <xf numFmtId="3" fontId="6" fillId="3" borderId="10" xfId="0" applyNumberFormat="1" applyFont="1" applyFill="1" applyBorder="1" applyAlignment="1" applyProtection="1">
      <alignment horizontal="center" vertical="center" wrapText="1"/>
    </xf>
    <xf numFmtId="0" fontId="8" fillId="7" borderId="10" xfId="0" applyFont="1" applyFill="1" applyBorder="1" applyAlignment="1" applyProtection="1">
      <alignment horizontal="center" vertical="center" wrapText="1"/>
    </xf>
    <xf numFmtId="166" fontId="8" fillId="5" borderId="10" xfId="0" applyNumberFormat="1" applyFont="1" applyFill="1" applyBorder="1" applyAlignment="1" applyProtection="1">
      <alignment horizontal="center" vertical="center" wrapText="1"/>
    </xf>
    <xf numFmtId="166" fontId="8" fillId="5" borderId="3" xfId="0" applyNumberFormat="1" applyFont="1" applyFill="1" applyBorder="1" applyAlignment="1" applyProtection="1">
      <alignment horizontal="center" vertical="center" wrapText="1"/>
    </xf>
    <xf numFmtId="0" fontId="6" fillId="7" borderId="10" xfId="0" applyFont="1" applyFill="1" applyBorder="1" applyAlignment="1" applyProtection="1">
      <alignment horizontal="center" vertical="center" wrapText="1"/>
    </xf>
    <xf numFmtId="166" fontId="6" fillId="5" borderId="16" xfId="0" applyNumberFormat="1" applyFont="1" applyFill="1" applyBorder="1" applyAlignment="1" applyProtection="1">
      <alignment horizontal="center" vertical="center" wrapText="1"/>
    </xf>
    <xf numFmtId="0" fontId="4" fillId="0" borderId="10" xfId="0" applyFont="1" applyBorder="1" applyAlignment="1" applyProtection="1">
      <alignment horizontal="left" vertical="center" wrapText="1"/>
    </xf>
    <xf numFmtId="0" fontId="4" fillId="0" borderId="10" xfId="0" applyFont="1" applyBorder="1" applyAlignment="1" applyProtection="1">
      <alignment horizontal="left" wrapText="1"/>
    </xf>
    <xf numFmtId="0" fontId="7" fillId="0" borderId="0" xfId="0" applyFont="1" applyProtection="1"/>
    <xf numFmtId="0" fontId="7" fillId="0" borderId="0" xfId="0" applyFont="1" applyAlignment="1" applyProtection="1">
      <alignment wrapText="1"/>
    </xf>
    <xf numFmtId="0" fontId="0" fillId="0" borderId="0" xfId="0"/>
    <xf numFmtId="0" fontId="2" fillId="0" borderId="10" xfId="0" quotePrefix="1" applyFont="1" applyBorder="1" applyAlignment="1" applyProtection="1">
      <alignment horizontal="center" vertical="center"/>
    </xf>
    <xf numFmtId="0" fontId="4" fillId="0" borderId="11" xfId="0" applyFont="1" applyBorder="1" applyAlignment="1" applyProtection="1">
      <alignment horizontal="center" vertical="center" wrapText="1"/>
    </xf>
    <xf numFmtId="0" fontId="5" fillId="0" borderId="10" xfId="0" quotePrefix="1" applyFont="1" applyBorder="1" applyAlignment="1" applyProtection="1">
      <alignment horizontal="center" vertical="center"/>
    </xf>
    <xf numFmtId="0" fontId="4" fillId="0" borderId="10" xfId="0" applyFont="1" applyBorder="1" applyAlignment="1" applyProtection="1">
      <alignment horizontal="center" wrapText="1"/>
    </xf>
    <xf numFmtId="0" fontId="2" fillId="0" borderId="22" xfId="0" applyFont="1" applyBorder="1" applyAlignment="1" applyProtection="1">
      <alignment horizontal="center" wrapText="1"/>
    </xf>
    <xf numFmtId="0" fontId="2" fillId="0" borderId="23" xfId="0" applyFont="1" applyBorder="1" applyAlignment="1" applyProtection="1">
      <alignment horizontal="center" wrapText="1"/>
    </xf>
    <xf numFmtId="0" fontId="4" fillId="0" borderId="11" xfId="0" applyFont="1" applyBorder="1" applyAlignment="1" applyProtection="1">
      <alignment horizontal="left" vertical="center" wrapText="1"/>
    </xf>
    <xf numFmtId="0" fontId="2" fillId="0" borderId="25" xfId="0" applyFont="1" applyBorder="1" applyAlignment="1" applyProtection="1">
      <alignment horizontal="center" wrapText="1"/>
    </xf>
    <xf numFmtId="164" fontId="2" fillId="0" borderId="11" xfId="0" applyNumberFormat="1" applyFont="1" applyBorder="1" applyAlignment="1" applyProtection="1">
      <alignment horizontal="center" wrapText="1"/>
    </xf>
    <xf numFmtId="0" fontId="2" fillId="0" borderId="11" xfId="0" applyFont="1" applyBorder="1" applyAlignment="1" applyProtection="1">
      <alignment horizontal="center" vertical="top" wrapText="1"/>
    </xf>
    <xf numFmtId="164" fontId="2" fillId="0" borderId="11" xfId="0" applyNumberFormat="1" applyFont="1" applyBorder="1" applyAlignment="1" applyProtection="1">
      <alignment horizontal="center" vertical="top" wrapText="1"/>
    </xf>
    <xf numFmtId="0" fontId="2" fillId="0" borderId="4" xfId="0" applyFont="1" applyBorder="1" applyAlignment="1" applyProtection="1">
      <alignment horizontal="center" vertical="top" wrapText="1"/>
    </xf>
    <xf numFmtId="0" fontId="2" fillId="0" borderId="0" xfId="0" applyFont="1"/>
    <xf numFmtId="49" fontId="0" fillId="0" borderId="10" xfId="0" applyNumberFormat="1" applyBorder="1" applyAlignment="1">
      <alignment horizontal="center"/>
    </xf>
    <xf numFmtId="0" fontId="0" fillId="0" borderId="10" xfId="0" applyBorder="1" applyAlignment="1">
      <alignment horizontal="left"/>
    </xf>
    <xf numFmtId="0" fontId="0" fillId="0" borderId="10" xfId="0" applyBorder="1" applyAlignment="1">
      <alignment horizontal="center"/>
    </xf>
    <xf numFmtId="0" fontId="0" fillId="0" borderId="10" xfId="0" applyBorder="1" applyAlignment="1">
      <alignment horizontal="center" vertical="center"/>
    </xf>
    <xf numFmtId="166" fontId="0" fillId="0" borderId="10" xfId="0" applyNumberFormat="1" applyBorder="1" applyAlignment="1">
      <alignment horizontal="center"/>
    </xf>
    <xf numFmtId="0" fontId="0" fillId="4" borderId="0" xfId="0" applyFill="1" applyAlignment="1">
      <alignment horizontal="center"/>
    </xf>
    <xf numFmtId="0" fontId="0" fillId="4" borderId="0" xfId="0" applyFill="1"/>
    <xf numFmtId="0" fontId="0" fillId="0" borderId="0" xfId="0" applyAlignment="1">
      <alignment horizontal="center"/>
    </xf>
    <xf numFmtId="49" fontId="5" fillId="5" borderId="10" xfId="0" applyNumberFormat="1" applyFont="1" applyFill="1" applyBorder="1" applyAlignment="1">
      <alignment horizontal="center" vertical="center"/>
    </xf>
    <xf numFmtId="0" fontId="5" fillId="5" borderId="10" xfId="0" applyFont="1" applyFill="1" applyBorder="1" applyAlignment="1">
      <alignment horizontal="center" vertical="center" wrapText="1"/>
    </xf>
    <xf numFmtId="0" fontId="5" fillId="5" borderId="10" xfId="0" applyFont="1" applyFill="1" applyBorder="1" applyAlignment="1">
      <alignment vertical="center"/>
    </xf>
    <xf numFmtId="0" fontId="5" fillId="5" borderId="9" xfId="0" applyFont="1" applyFill="1" applyBorder="1" applyAlignment="1">
      <alignment vertical="center"/>
    </xf>
    <xf numFmtId="44" fontId="4" fillId="0" borderId="10" xfId="1" applyNumberFormat="1" applyFont="1" applyFill="1" applyBorder="1" applyAlignment="1" applyProtection="1">
      <alignment horizontal="center"/>
      <protection locked="0"/>
    </xf>
    <xf numFmtId="44" fontId="2" fillId="9" borderId="15" xfId="0" applyNumberFormat="1" applyFont="1" applyFill="1" applyBorder="1" applyAlignment="1" applyProtection="1">
      <alignment horizontal="center" vertical="center"/>
    </xf>
    <xf numFmtId="0" fontId="2" fillId="9" borderId="15" xfId="0" applyFont="1" applyFill="1" applyBorder="1" applyAlignment="1" applyProtection="1">
      <alignment horizontal="center" wrapText="1"/>
    </xf>
    <xf numFmtId="0" fontId="2" fillId="2" borderId="1" xfId="0" applyFont="1" applyFill="1" applyBorder="1" applyAlignment="1" applyProtection="1">
      <alignment vertical="center"/>
      <protection locked="0"/>
    </xf>
    <xf numFmtId="0" fontId="2" fillId="2" borderId="14" xfId="0" applyFont="1" applyFill="1" applyBorder="1" applyAlignment="1" applyProtection="1">
      <alignment vertical="center"/>
      <protection locked="0"/>
    </xf>
    <xf numFmtId="0" fontId="3" fillId="9" borderId="31" xfId="0" applyFont="1" applyFill="1" applyBorder="1" applyAlignment="1" applyProtection="1">
      <alignment horizontal="center" vertical="center" wrapText="1"/>
    </xf>
    <xf numFmtId="0" fontId="3" fillId="0" borderId="10" xfId="0" applyFont="1" applyFill="1" applyBorder="1" applyAlignment="1" applyProtection="1">
      <alignment horizontal="center" vertical="center" wrapText="1"/>
    </xf>
    <xf numFmtId="44" fontId="5" fillId="0" borderId="10" xfId="0" applyNumberFormat="1" applyFont="1" applyBorder="1" applyAlignment="1" applyProtection="1">
      <alignment horizontal="center"/>
    </xf>
    <xf numFmtId="0" fontId="5" fillId="0" borderId="8" xfId="0" quotePrefix="1" applyFont="1" applyBorder="1" applyAlignment="1" applyProtection="1">
      <alignment horizontal="center" vertical="center"/>
    </xf>
    <xf numFmtId="0" fontId="2" fillId="0" borderId="4" xfId="0" applyFont="1" applyBorder="1" applyAlignment="1" applyProtection="1">
      <alignment horizontal="left" wrapText="1"/>
    </xf>
    <xf numFmtId="0" fontId="2" fillId="0" borderId="5" xfId="0" applyFont="1" applyBorder="1" applyAlignment="1" applyProtection="1">
      <alignment horizontal="left" wrapText="1"/>
    </xf>
    <xf numFmtId="0" fontId="5" fillId="0" borderId="5" xfId="0" quotePrefix="1" applyFont="1" applyBorder="1" applyAlignment="1" applyProtection="1">
      <alignment horizontal="center" vertical="center"/>
    </xf>
    <xf numFmtId="164" fontId="5" fillId="3" borderId="33" xfId="0" applyNumberFormat="1" applyFont="1" applyFill="1" applyBorder="1" applyAlignment="1" applyProtection="1">
      <alignment horizontal="center" vertical="center" wrapText="1"/>
    </xf>
    <xf numFmtId="44" fontId="5" fillId="3" borderId="34" xfId="0" applyNumberFormat="1" applyFont="1" applyFill="1" applyBorder="1" applyAlignment="1" applyProtection="1">
      <alignment horizontal="center" vertical="center" wrapText="1"/>
    </xf>
    <xf numFmtId="0" fontId="2" fillId="0" borderId="35" xfId="0" applyFont="1" applyBorder="1" applyAlignment="1" applyProtection="1">
      <alignment horizontal="center" wrapText="1"/>
    </xf>
    <xf numFmtId="0" fontId="2" fillId="0" borderId="37" xfId="0" applyFont="1" applyBorder="1" applyAlignment="1" applyProtection="1">
      <alignment horizontal="center" wrapText="1"/>
    </xf>
    <xf numFmtId="0" fontId="2" fillId="0" borderId="38" xfId="0" applyFont="1" applyBorder="1" applyAlignment="1" applyProtection="1">
      <alignment horizontal="center" wrapText="1"/>
    </xf>
    <xf numFmtId="44" fontId="4" fillId="0" borderId="38" xfId="1" applyNumberFormat="1" applyFont="1" applyFill="1" applyBorder="1" applyAlignment="1" applyProtection="1">
      <alignment horizontal="center"/>
    </xf>
    <xf numFmtId="1" fontId="7" fillId="4" borderId="37" xfId="0" applyNumberFormat="1" applyFont="1" applyFill="1" applyBorder="1" applyAlignment="1" applyProtection="1">
      <alignment horizontal="center" vertical="center"/>
    </xf>
    <xf numFmtId="44" fontId="4" fillId="4" borderId="38" xfId="1" applyNumberFormat="1" applyFont="1" applyFill="1" applyBorder="1" applyAlignment="1" applyProtection="1">
      <alignment horizontal="center"/>
    </xf>
    <xf numFmtId="1" fontId="7" fillId="4" borderId="39" xfId="0" applyNumberFormat="1" applyFont="1" applyFill="1" applyBorder="1" applyAlignment="1" applyProtection="1">
      <alignment horizontal="center" vertical="center"/>
    </xf>
    <xf numFmtId="44" fontId="4" fillId="0" borderId="41" xfId="1" applyNumberFormat="1" applyFont="1" applyFill="1" applyBorder="1" applyAlignment="1" applyProtection="1">
      <alignment horizontal="center"/>
      <protection locked="0"/>
    </xf>
    <xf numFmtId="44" fontId="4" fillId="0" borderId="42" xfId="1" applyNumberFormat="1" applyFont="1" applyFill="1" applyBorder="1" applyAlignment="1" applyProtection="1">
      <alignment horizontal="center"/>
    </xf>
    <xf numFmtId="0" fontId="5" fillId="0" borderId="50" xfId="0" quotePrefix="1" applyFont="1" applyBorder="1" applyAlignment="1" applyProtection="1">
      <alignment horizontal="center" vertical="center"/>
    </xf>
    <xf numFmtId="44" fontId="5" fillId="3" borderId="33" xfId="0" applyNumberFormat="1" applyFont="1" applyFill="1" applyBorder="1" applyAlignment="1" applyProtection="1">
      <alignment horizontal="center" vertical="center" wrapText="1"/>
    </xf>
    <xf numFmtId="44" fontId="4" fillId="0" borderId="53" xfId="1" applyNumberFormat="1" applyFont="1" applyFill="1" applyBorder="1" applyAlignment="1" applyProtection="1">
      <alignment horizontal="center"/>
    </xf>
    <xf numFmtId="44" fontId="4" fillId="4" borderId="53" xfId="1" applyNumberFormat="1" applyFont="1" applyFill="1" applyBorder="1" applyAlignment="1" applyProtection="1">
      <alignment horizontal="center"/>
    </xf>
    <xf numFmtId="44" fontId="4" fillId="4" borderId="54" xfId="1" applyNumberFormat="1" applyFont="1" applyFill="1" applyBorder="1" applyAlignment="1" applyProtection="1">
      <alignment horizontal="center"/>
    </xf>
    <xf numFmtId="49" fontId="7" fillId="0" borderId="0" xfId="0" applyNumberFormat="1" applyFont="1" applyBorder="1" applyProtection="1"/>
    <xf numFmtId="0" fontId="7" fillId="0" borderId="0" xfId="0" applyFont="1" applyBorder="1" applyAlignment="1" applyProtection="1">
      <alignment wrapText="1"/>
    </xf>
    <xf numFmtId="0" fontId="2" fillId="0" borderId="10" xfId="0" applyFont="1" applyFill="1" applyBorder="1" applyAlignment="1" applyProtection="1">
      <alignment wrapText="1"/>
    </xf>
    <xf numFmtId="49" fontId="2" fillId="0" borderId="10" xfId="0" applyNumberFormat="1" applyFont="1" applyFill="1" applyBorder="1" applyAlignment="1" applyProtection="1">
      <alignment horizontal="right" wrapText="1"/>
    </xf>
    <xf numFmtId="0" fontId="2" fillId="0" borderId="10" xfId="0" applyFont="1" applyFill="1" applyBorder="1" applyAlignment="1" applyProtection="1">
      <alignment horizontal="right" wrapText="1"/>
    </xf>
    <xf numFmtId="0" fontId="5" fillId="0" borderId="10" xfId="0" applyFont="1" applyBorder="1" applyAlignment="1" applyProtection="1">
      <alignment horizontal="right" vertical="center" wrapText="1"/>
    </xf>
    <xf numFmtId="0" fontId="5" fillId="0" borderId="11" xfId="0" applyFont="1" applyBorder="1" applyAlignment="1" applyProtection="1">
      <alignment horizontal="right" vertical="center" wrapText="1"/>
    </xf>
    <xf numFmtId="2" fontId="5" fillId="0" borderId="10" xfId="0" applyNumberFormat="1" applyFont="1" applyBorder="1" applyAlignment="1" applyProtection="1">
      <alignment horizontal="right" wrapText="1"/>
    </xf>
    <xf numFmtId="0" fontId="17" fillId="0" borderId="30" xfId="0" applyFont="1" applyFill="1" applyBorder="1"/>
    <xf numFmtId="0" fontId="2" fillId="0" borderId="0" xfId="0" applyFont="1" applyAlignment="1" applyProtection="1">
      <alignment horizontal="right" vertical="center"/>
    </xf>
    <xf numFmtId="0" fontId="0" fillId="2" borderId="10" xfId="0" applyFill="1" applyBorder="1"/>
    <xf numFmtId="0" fontId="0" fillId="13" borderId="0" xfId="0" applyFill="1" applyBorder="1"/>
    <xf numFmtId="0" fontId="0" fillId="13" borderId="0" xfId="0" applyFill="1"/>
    <xf numFmtId="0" fontId="2" fillId="0" borderId="0" xfId="0" applyFont="1" applyBorder="1" applyAlignment="1"/>
    <xf numFmtId="0" fontId="0" fillId="2" borderId="11" xfId="0" applyFill="1" applyBorder="1"/>
    <xf numFmtId="0" fontId="11" fillId="2" borderId="35" xfId="3" applyFont="1" applyFill="1" applyBorder="1" applyAlignment="1">
      <alignment horizontal="left" vertical="center"/>
    </xf>
    <xf numFmtId="0" fontId="0" fillId="2" borderId="38" xfId="0" applyFill="1" applyBorder="1"/>
    <xf numFmtId="0" fontId="11" fillId="2" borderId="37" xfId="3" applyFont="1" applyFill="1" applyBorder="1" applyAlignment="1">
      <alignment horizontal="left" vertical="center"/>
    </xf>
    <xf numFmtId="0" fontId="11" fillId="2" borderId="40" xfId="0" applyFont="1" applyFill="1" applyBorder="1"/>
    <xf numFmtId="0" fontId="0" fillId="2" borderId="41" xfId="0" applyFill="1" applyBorder="1"/>
    <xf numFmtId="0" fontId="0" fillId="2" borderId="42" xfId="0" applyFill="1" applyBorder="1"/>
    <xf numFmtId="0" fontId="5" fillId="8" borderId="15" xfId="0" applyFont="1" applyFill="1" applyBorder="1" applyAlignment="1" applyProtection="1">
      <alignment vertical="center" wrapText="1"/>
    </xf>
    <xf numFmtId="0" fontId="5" fillId="0" borderId="0" xfId="0" applyFont="1" applyFill="1" applyBorder="1" applyAlignment="1" applyProtection="1">
      <alignment vertical="center" wrapText="1"/>
    </xf>
    <xf numFmtId="0" fontId="2" fillId="0" borderId="46" xfId="0" applyFont="1" applyFill="1" applyBorder="1" applyAlignment="1">
      <alignment horizontal="center"/>
    </xf>
    <xf numFmtId="0" fontId="2" fillId="0" borderId="0" xfId="0" applyFont="1" applyFill="1" applyBorder="1" applyAlignment="1">
      <alignment horizontal="center"/>
    </xf>
    <xf numFmtId="0" fontId="2" fillId="0" borderId="0" xfId="0" applyFont="1" applyFill="1" applyBorder="1" applyAlignment="1"/>
    <xf numFmtId="0" fontId="0" fillId="0" borderId="0" xfId="0" applyFill="1"/>
    <xf numFmtId="0" fontId="2" fillId="7" borderId="47" xfId="0" applyFont="1" applyFill="1" applyBorder="1"/>
    <xf numFmtId="0" fontId="2" fillId="7" borderId="48" xfId="0" applyFont="1" applyFill="1" applyBorder="1"/>
    <xf numFmtId="0" fontId="2" fillId="7" borderId="49" xfId="0" applyFont="1" applyFill="1" applyBorder="1"/>
    <xf numFmtId="0" fontId="0" fillId="2" borderId="36" xfId="0" applyFill="1" applyBorder="1"/>
    <xf numFmtId="0" fontId="19" fillId="0" borderId="10" xfId="0" applyFont="1" applyBorder="1" applyAlignment="1">
      <alignment wrapText="1"/>
    </xf>
    <xf numFmtId="0" fontId="2" fillId="7" borderId="43" xfId="0" applyFont="1" applyFill="1" applyBorder="1"/>
    <xf numFmtId="0" fontId="2" fillId="7" borderId="45" xfId="0" applyFont="1" applyFill="1" applyBorder="1"/>
    <xf numFmtId="166" fontId="3" fillId="4" borderId="44" xfId="3" applyNumberFormat="1" applyFont="1" applyFill="1" applyBorder="1" applyAlignment="1">
      <alignment horizontal="center" vertical="center"/>
    </xf>
    <xf numFmtId="0" fontId="20" fillId="4" borderId="29" xfId="3" quotePrefix="1" applyFont="1" applyFill="1" applyBorder="1" applyAlignment="1">
      <alignment horizontal="center" vertical="center"/>
    </xf>
    <xf numFmtId="0" fontId="20" fillId="0" borderId="57" xfId="3" quotePrefix="1" applyFont="1" applyBorder="1" applyAlignment="1">
      <alignment horizontal="center" vertical="center"/>
    </xf>
    <xf numFmtId="0" fontId="20" fillId="0" borderId="58" xfId="3" quotePrefix="1" applyFont="1" applyBorder="1" applyAlignment="1">
      <alignment horizontal="center" vertical="center"/>
    </xf>
    <xf numFmtId="0" fontId="20" fillId="0" borderId="59" xfId="3" quotePrefix="1" applyFont="1" applyBorder="1" applyAlignment="1">
      <alignment horizontal="center" vertical="center"/>
    </xf>
    <xf numFmtId="0" fontId="20" fillId="4" borderId="0" xfId="3" quotePrefix="1" applyFont="1" applyFill="1" applyAlignment="1">
      <alignment horizontal="center" vertical="center"/>
    </xf>
    <xf numFmtId="3" fontId="21" fillId="2" borderId="37" xfId="4" applyNumberFormat="1" applyFont="1" applyFill="1" applyBorder="1" applyAlignment="1">
      <alignment horizontal="right" vertical="center" wrapText="1"/>
    </xf>
    <xf numFmtId="166" fontId="21" fillId="0" borderId="38" xfId="4" applyNumberFormat="1" applyFont="1" applyBorder="1" applyAlignment="1">
      <alignment vertical="center" wrapText="1"/>
    </xf>
    <xf numFmtId="166" fontId="21" fillId="4" borderId="23" xfId="4" applyNumberFormat="1" applyFont="1" applyFill="1" applyBorder="1" applyAlignment="1">
      <alignment vertical="center" wrapText="1"/>
    </xf>
    <xf numFmtId="166" fontId="21" fillId="0" borderId="42" xfId="4" applyNumberFormat="1" applyFont="1" applyBorder="1" applyAlignment="1">
      <alignment vertical="center" wrapText="1"/>
    </xf>
    <xf numFmtId="166" fontId="21" fillId="4" borderId="60" xfId="4" applyNumberFormat="1" applyFont="1" applyFill="1" applyBorder="1" applyAlignment="1">
      <alignment vertical="center" wrapText="1"/>
    </xf>
    <xf numFmtId="0" fontId="22" fillId="0" borderId="43" xfId="3" applyFont="1" applyBorder="1" applyAlignment="1">
      <alignment horizontal="center" wrapText="1"/>
    </xf>
    <xf numFmtId="3" fontId="21" fillId="0" borderId="61" xfId="4" applyNumberFormat="1" applyFont="1" applyBorder="1" applyAlignment="1">
      <alignment horizontal="right" vertical="center" wrapText="1"/>
    </xf>
    <xf numFmtId="166" fontId="21" fillId="0" borderId="61" xfId="4" applyNumberFormat="1" applyFont="1" applyBorder="1" applyAlignment="1">
      <alignment vertical="center" wrapText="1"/>
    </xf>
    <xf numFmtId="166" fontId="21" fillId="4" borderId="0" xfId="4" applyNumberFormat="1" applyFont="1" applyFill="1" applyAlignment="1">
      <alignment vertical="center" wrapText="1"/>
    </xf>
    <xf numFmtId="0" fontId="20" fillId="4" borderId="5" xfId="3" quotePrefix="1" applyFont="1" applyFill="1" applyBorder="1" applyAlignment="1">
      <alignment horizontal="center" vertical="center"/>
    </xf>
    <xf numFmtId="0" fontId="22" fillId="0" borderId="62" xfId="3" applyFont="1" applyBorder="1" applyAlignment="1">
      <alignment horizontal="left" wrapText="1"/>
    </xf>
    <xf numFmtId="166" fontId="21" fillId="0" borderId="63" xfId="4" applyNumberFormat="1" applyFont="1" applyBorder="1" applyAlignment="1">
      <alignment vertical="center" wrapText="1"/>
    </xf>
    <xf numFmtId="166" fontId="23" fillId="0" borderId="63" xfId="4" applyNumberFormat="1" applyFont="1" applyBorder="1" applyAlignment="1">
      <alignment vertical="center" wrapText="1"/>
    </xf>
    <xf numFmtId="166" fontId="23" fillId="4" borderId="0" xfId="4" applyNumberFormat="1" applyFont="1" applyFill="1" applyAlignment="1">
      <alignment vertical="center" wrapText="1"/>
    </xf>
    <xf numFmtId="166" fontId="21" fillId="4" borderId="29" xfId="4" applyNumberFormat="1" applyFont="1" applyFill="1" applyBorder="1" applyAlignment="1">
      <alignment vertical="center" wrapText="1"/>
    </xf>
    <xf numFmtId="0" fontId="22" fillId="0" borderId="0" xfId="3" applyFont="1" applyAlignment="1">
      <alignment horizontal="left" wrapText="1"/>
    </xf>
    <xf numFmtId="166" fontId="21" fillId="0" borderId="0" xfId="4" applyNumberFormat="1" applyFont="1" applyAlignment="1">
      <alignment vertical="center" wrapText="1"/>
    </xf>
    <xf numFmtId="0" fontId="3" fillId="0" borderId="0" xfId="3" applyFont="1" applyAlignment="1">
      <alignment vertical="center" wrapText="1"/>
    </xf>
    <xf numFmtId="166" fontId="3" fillId="4" borderId="45" xfId="3" applyNumberFormat="1" applyFont="1" applyFill="1" applyBorder="1" applyAlignment="1">
      <alignment horizontal="center" vertical="center"/>
    </xf>
    <xf numFmtId="0" fontId="20" fillId="4" borderId="34" xfId="3" quotePrefix="1" applyFont="1" applyFill="1" applyBorder="1" applyAlignment="1">
      <alignment horizontal="center" vertical="center"/>
    </xf>
    <xf numFmtId="166" fontId="3" fillId="14" borderId="46" xfId="3" applyNumberFormat="1" applyFont="1" applyFill="1" applyBorder="1" applyAlignment="1">
      <alignment horizontal="center" vertical="center"/>
    </xf>
    <xf numFmtId="166" fontId="21" fillId="4" borderId="24" xfId="4" applyNumberFormat="1" applyFont="1" applyFill="1" applyBorder="1" applyAlignment="1">
      <alignment vertical="center" wrapText="1"/>
    </xf>
    <xf numFmtId="166" fontId="3" fillId="14" borderId="56" xfId="3" applyNumberFormat="1" applyFont="1" applyFill="1" applyBorder="1" applyAlignment="1">
      <alignment horizontal="center" vertical="center"/>
    </xf>
    <xf numFmtId="166" fontId="3" fillId="14" borderId="32" xfId="3" applyNumberFormat="1" applyFont="1" applyFill="1" applyBorder="1" applyAlignment="1">
      <alignment horizontal="center" vertical="center"/>
    </xf>
    <xf numFmtId="166" fontId="3" fillId="14" borderId="65" xfId="3" applyNumberFormat="1" applyFont="1" applyFill="1" applyBorder="1" applyAlignment="1">
      <alignment horizontal="center" vertical="center"/>
    </xf>
    <xf numFmtId="166" fontId="23" fillId="0" borderId="38" xfId="4" applyNumberFormat="1" applyFont="1" applyBorder="1" applyAlignment="1">
      <alignment vertical="center" wrapText="1"/>
    </xf>
    <xf numFmtId="166" fontId="23" fillId="4" borderId="23" xfId="4" applyNumberFormat="1" applyFont="1" applyFill="1" applyBorder="1" applyAlignment="1">
      <alignment vertical="center" wrapText="1"/>
    </xf>
    <xf numFmtId="166" fontId="3" fillId="14" borderId="33" xfId="3" applyNumberFormat="1" applyFont="1" applyFill="1" applyBorder="1" applyAlignment="1">
      <alignment horizontal="center" vertical="center"/>
    </xf>
    <xf numFmtId="166" fontId="3" fillId="14" borderId="67" xfId="3" applyNumberFormat="1" applyFont="1" applyFill="1" applyBorder="1" applyAlignment="1">
      <alignment horizontal="center" vertical="center"/>
    </xf>
    <xf numFmtId="0" fontId="3" fillId="0" borderId="0" xfId="3" applyFont="1" applyAlignment="1">
      <alignment vertical="center"/>
    </xf>
    <xf numFmtId="0" fontId="3" fillId="4" borderId="0" xfId="3" applyFont="1" applyFill="1" applyAlignment="1">
      <alignment vertical="center"/>
    </xf>
    <xf numFmtId="0" fontId="20" fillId="0" borderId="61" xfId="3" quotePrefix="1" applyFont="1" applyBorder="1" applyAlignment="1">
      <alignment horizontal="center" vertical="center"/>
    </xf>
    <xf numFmtId="0" fontId="20" fillId="4" borderId="61" xfId="3" quotePrefix="1" applyFont="1" applyFill="1" applyBorder="1" applyAlignment="1">
      <alignment horizontal="center" vertical="center"/>
    </xf>
    <xf numFmtId="166" fontId="21" fillId="0" borderId="69" xfId="4" applyNumberFormat="1" applyFont="1" applyBorder="1" applyAlignment="1">
      <alignment vertical="center" wrapText="1"/>
    </xf>
    <xf numFmtId="0" fontId="3" fillId="0" borderId="0" xfId="3" applyFont="1" applyAlignment="1">
      <alignment horizontal="center" vertical="center"/>
    </xf>
    <xf numFmtId="0" fontId="2" fillId="0" borderId="0" xfId="3" applyFont="1"/>
    <xf numFmtId="0" fontId="3" fillId="0" borderId="0" xfId="3" applyFont="1"/>
    <xf numFmtId="0" fontId="25" fillId="0" borderId="0" xfId="3" applyFont="1" applyAlignment="1">
      <alignment vertical="center"/>
    </xf>
    <xf numFmtId="0" fontId="15" fillId="0" borderId="0" xfId="3" applyFont="1"/>
    <xf numFmtId="0" fontId="14" fillId="0" borderId="0" xfId="0" applyFont="1" applyBorder="1" applyAlignment="1" applyProtection="1">
      <alignment vertical="center"/>
    </xf>
    <xf numFmtId="0" fontId="7" fillId="0" borderId="0" xfId="0" applyFont="1" applyBorder="1" applyAlignment="1" applyProtection="1">
      <alignment vertical="center"/>
    </xf>
    <xf numFmtId="0" fontId="7" fillId="0" borderId="0" xfId="0" applyFont="1" applyBorder="1" applyAlignment="1" applyProtection="1">
      <alignment horizontal="center"/>
    </xf>
    <xf numFmtId="0" fontId="20" fillId="0" borderId="35" xfId="3" quotePrefix="1" applyFont="1" applyBorder="1" applyAlignment="1">
      <alignment horizontal="center" vertical="center"/>
    </xf>
    <xf numFmtId="0" fontId="20" fillId="0" borderId="6" xfId="3" quotePrefix="1" applyFont="1" applyBorder="1" applyAlignment="1">
      <alignment horizontal="center" vertical="center"/>
    </xf>
    <xf numFmtId="0" fontId="20" fillId="0" borderId="69" xfId="3" quotePrefix="1" applyFont="1" applyBorder="1" applyAlignment="1">
      <alignment horizontal="center" vertical="center"/>
    </xf>
    <xf numFmtId="0" fontId="20" fillId="4" borderId="0" xfId="3" quotePrefix="1" applyFont="1" applyFill="1" applyBorder="1" applyAlignment="1">
      <alignment horizontal="center" vertical="center"/>
    </xf>
    <xf numFmtId="0" fontId="26" fillId="0" borderId="62" xfId="3" applyFont="1" applyBorder="1" applyAlignment="1">
      <alignment horizontal="left" wrapText="1"/>
    </xf>
    <xf numFmtId="0" fontId="22" fillId="4" borderId="51" xfId="3" applyFont="1" applyFill="1" applyBorder="1" applyAlignment="1">
      <alignment horizontal="left" wrapText="1"/>
    </xf>
    <xf numFmtId="0" fontId="22" fillId="4" borderId="5" xfId="3" applyFont="1" applyFill="1" applyBorder="1" applyAlignment="1">
      <alignment horizontal="left" wrapText="1"/>
    </xf>
    <xf numFmtId="0" fontId="22" fillId="4" borderId="64" xfId="3" applyFont="1" applyFill="1" applyBorder="1" applyAlignment="1">
      <alignment horizontal="left" wrapText="1"/>
    </xf>
    <xf numFmtId="0" fontId="22" fillId="4" borderId="65" xfId="3" applyFont="1" applyFill="1" applyBorder="1" applyAlignment="1">
      <alignment horizontal="left" wrapText="1"/>
    </xf>
    <xf numFmtId="0" fontId="22" fillId="4" borderId="66" xfId="3" applyFont="1" applyFill="1" applyBorder="1" applyAlignment="1">
      <alignment horizontal="left" wrapText="1"/>
    </xf>
    <xf numFmtId="0" fontId="22" fillId="4" borderId="67" xfId="3" applyFont="1" applyFill="1" applyBorder="1" applyAlignment="1">
      <alignment horizontal="left" wrapText="1"/>
    </xf>
    <xf numFmtId="0" fontId="14" fillId="4" borderId="64" xfId="3" applyFont="1" applyFill="1" applyBorder="1" applyAlignment="1">
      <alignment horizontal="left" wrapText="1"/>
    </xf>
    <xf numFmtId="0" fontId="14" fillId="4" borderId="65" xfId="3" applyFont="1" applyFill="1" applyBorder="1" applyAlignment="1">
      <alignment horizontal="left" wrapText="1"/>
    </xf>
    <xf numFmtId="0" fontId="14" fillId="4" borderId="66" xfId="3" applyFont="1" applyFill="1" applyBorder="1" applyAlignment="1">
      <alignment horizontal="left" wrapText="1"/>
    </xf>
    <xf numFmtId="0" fontId="14" fillId="4" borderId="67" xfId="3" applyFont="1" applyFill="1" applyBorder="1" applyAlignment="1">
      <alignment horizontal="left" wrapText="1"/>
    </xf>
    <xf numFmtId="166" fontId="21" fillId="0" borderId="10" xfId="4" applyNumberFormat="1" applyFont="1" applyFill="1" applyBorder="1" applyAlignment="1">
      <alignment vertical="center" wrapText="1"/>
    </xf>
    <xf numFmtId="166" fontId="21" fillId="0" borderId="37" xfId="4" applyNumberFormat="1" applyFont="1" applyFill="1" applyBorder="1" applyAlignment="1">
      <alignment vertical="center" wrapText="1"/>
    </xf>
    <xf numFmtId="166" fontId="21" fillId="0" borderId="63" xfId="4" applyNumberFormat="1" applyFont="1" applyFill="1" applyBorder="1" applyAlignment="1">
      <alignment vertical="center" wrapText="1"/>
    </xf>
    <xf numFmtId="0" fontId="18" fillId="0" borderId="0" xfId="3"/>
    <xf numFmtId="0" fontId="20" fillId="0" borderId="15" xfId="3" quotePrefix="1" applyFont="1" applyBorder="1" applyAlignment="1">
      <alignment horizontal="center" vertical="center"/>
    </xf>
    <xf numFmtId="0" fontId="20" fillId="0" borderId="70" xfId="3" quotePrefix="1" applyFont="1" applyBorder="1" applyAlignment="1">
      <alignment horizontal="center" vertical="center"/>
    </xf>
    <xf numFmtId="0" fontId="20" fillId="0" borderId="71" xfId="3" quotePrefix="1" applyFont="1" applyBorder="1" applyAlignment="1">
      <alignment horizontal="center" vertical="center"/>
    </xf>
    <xf numFmtId="166" fontId="21" fillId="2" borderId="53" xfId="4" applyNumberFormat="1" applyFont="1" applyFill="1" applyBorder="1" applyAlignment="1">
      <alignment vertical="center" wrapText="1"/>
    </xf>
    <xf numFmtId="0" fontId="22" fillId="2" borderId="62" xfId="3" applyFont="1" applyFill="1" applyBorder="1" applyAlignment="1">
      <alignment horizontal="left"/>
    </xf>
    <xf numFmtId="0" fontId="22" fillId="2" borderId="62" xfId="3" applyFont="1" applyFill="1" applyBorder="1" applyAlignment="1">
      <alignment horizontal="left" wrapText="1"/>
    </xf>
    <xf numFmtId="0" fontId="3" fillId="4" borderId="43" xfId="3" applyFont="1" applyFill="1" applyBorder="1" applyAlignment="1">
      <alignment vertical="center" wrapText="1"/>
    </xf>
    <xf numFmtId="0" fontId="3" fillId="0" borderId="33" xfId="3" applyFont="1" applyFill="1" applyBorder="1" applyAlignment="1">
      <alignment horizontal="center" vertical="center" wrapText="1"/>
    </xf>
    <xf numFmtId="0" fontId="22" fillId="2" borderId="8" xfId="3" applyFont="1" applyFill="1" applyBorder="1" applyAlignment="1">
      <alignment horizontal="left" wrapText="1"/>
    </xf>
    <xf numFmtId="0" fontId="20" fillId="0" borderId="31" xfId="3" quotePrefix="1" applyFont="1" applyBorder="1" applyAlignment="1">
      <alignment horizontal="center" vertical="center"/>
    </xf>
    <xf numFmtId="0" fontId="26" fillId="0" borderId="1" xfId="3" applyFont="1" applyBorder="1" applyAlignment="1">
      <alignment horizontal="left" wrapText="1"/>
    </xf>
    <xf numFmtId="0" fontId="20" fillId="0" borderId="17" xfId="3" quotePrefix="1" applyFont="1" applyBorder="1" applyAlignment="1">
      <alignment horizontal="center" vertical="center"/>
    </xf>
    <xf numFmtId="166" fontId="27" fillId="0" borderId="63" xfId="4" applyNumberFormat="1" applyFont="1" applyBorder="1" applyAlignment="1">
      <alignment vertical="center" wrapText="1"/>
    </xf>
    <xf numFmtId="166" fontId="3" fillId="4" borderId="46" xfId="3" applyNumberFormat="1" applyFont="1" applyFill="1" applyBorder="1" applyAlignment="1">
      <alignment horizontal="center" vertical="center"/>
    </xf>
    <xf numFmtId="166" fontId="3" fillId="4" borderId="0" xfId="3" applyNumberFormat="1" applyFont="1" applyFill="1" applyAlignment="1">
      <alignment horizontal="center" vertical="center"/>
    </xf>
    <xf numFmtId="166" fontId="3" fillId="4" borderId="56" xfId="3" applyNumberFormat="1" applyFont="1" applyFill="1" applyBorder="1" applyAlignment="1">
      <alignment horizontal="center" vertical="center"/>
    </xf>
    <xf numFmtId="166" fontId="3" fillId="4" borderId="32" xfId="3" applyNumberFormat="1" applyFont="1" applyFill="1" applyBorder="1" applyAlignment="1">
      <alignment horizontal="center" vertical="center"/>
    </xf>
    <xf numFmtId="166" fontId="3" fillId="4" borderId="65" xfId="3" applyNumberFormat="1" applyFont="1" applyFill="1" applyBorder="1" applyAlignment="1">
      <alignment horizontal="center" vertical="center"/>
    </xf>
    <xf numFmtId="166" fontId="3" fillId="4" borderId="33" xfId="3" applyNumberFormat="1" applyFont="1" applyFill="1" applyBorder="1" applyAlignment="1">
      <alignment horizontal="center" vertical="center"/>
    </xf>
    <xf numFmtId="166" fontId="3" fillId="4" borderId="67" xfId="3" applyNumberFormat="1" applyFont="1" applyFill="1" applyBorder="1" applyAlignment="1">
      <alignment horizontal="center" vertical="center"/>
    </xf>
    <xf numFmtId="9" fontId="21" fillId="2" borderId="71" xfId="2" applyFont="1" applyFill="1" applyBorder="1" applyAlignment="1">
      <alignment vertical="center" wrapText="1"/>
    </xf>
    <xf numFmtId="9" fontId="21" fillId="2" borderId="53" xfId="2" applyFont="1" applyFill="1" applyBorder="1" applyAlignment="1">
      <alignment vertical="center" wrapText="1"/>
    </xf>
    <xf numFmtId="9" fontId="21" fillId="2" borderId="55" xfId="2" applyFont="1" applyFill="1" applyBorder="1" applyAlignment="1">
      <alignment vertical="center" wrapText="1"/>
    </xf>
    <xf numFmtId="0" fontId="22" fillId="0" borderId="62" xfId="3" applyFont="1" applyBorder="1" applyAlignment="1">
      <alignment horizontal="right" wrapText="1"/>
    </xf>
    <xf numFmtId="0" fontId="22" fillId="0" borderId="33" xfId="3" applyFont="1" applyBorder="1" applyAlignment="1">
      <alignment horizontal="right" wrapText="1"/>
    </xf>
    <xf numFmtId="10" fontId="21" fillId="0" borderId="9" xfId="2" applyNumberFormat="1" applyFont="1" applyFill="1" applyBorder="1" applyAlignment="1">
      <alignment vertical="center" wrapText="1"/>
    </xf>
    <xf numFmtId="169" fontId="21" fillId="0" borderId="9" xfId="5" applyNumberFormat="1" applyFont="1" applyFill="1" applyBorder="1" applyAlignment="1">
      <alignment vertical="center" wrapText="1"/>
    </xf>
    <xf numFmtId="166" fontId="28" fillId="0" borderId="63" xfId="4" applyNumberFormat="1" applyFont="1" applyBorder="1" applyAlignment="1">
      <alignment vertical="center" wrapText="1"/>
    </xf>
    <xf numFmtId="166" fontId="27" fillId="0" borderId="68" xfId="4" applyNumberFormat="1" applyFont="1" applyBorder="1" applyAlignment="1">
      <alignment vertical="center" wrapText="1"/>
    </xf>
    <xf numFmtId="0" fontId="6" fillId="4" borderId="51" xfId="3" applyFont="1" applyFill="1" applyBorder="1" applyAlignment="1">
      <alignment horizontal="center" vertical="center" wrapText="1"/>
    </xf>
    <xf numFmtId="0" fontId="3" fillId="4" borderId="51" xfId="3" applyFont="1" applyFill="1" applyBorder="1" applyAlignment="1">
      <alignment horizontal="center" vertical="center" wrapText="1"/>
    </xf>
    <xf numFmtId="0" fontId="0" fillId="0" borderId="0" xfId="0" applyFill="1" applyBorder="1" applyAlignment="1" applyProtection="1">
      <alignment horizontal="center" vertical="center"/>
    </xf>
    <xf numFmtId="49" fontId="5" fillId="0" borderId="10" xfId="0" quotePrefix="1" applyNumberFormat="1" applyFont="1" applyBorder="1" applyAlignment="1" applyProtection="1">
      <alignment horizontal="center" vertical="center"/>
    </xf>
    <xf numFmtId="0" fontId="3" fillId="0" borderId="0" xfId="3" applyFont="1" applyFill="1" applyAlignment="1">
      <alignment vertical="center"/>
    </xf>
    <xf numFmtId="0" fontId="11" fillId="2" borderId="37" xfId="3" applyFont="1" applyFill="1" applyBorder="1" applyAlignment="1">
      <alignment horizontal="left" vertical="center" wrapText="1"/>
    </xf>
    <xf numFmtId="0" fontId="19" fillId="0" borderId="37" xfId="0" applyFont="1" applyBorder="1"/>
    <xf numFmtId="0" fontId="19" fillId="0" borderId="38" xfId="0" applyFont="1" applyBorder="1"/>
    <xf numFmtId="0" fontId="11" fillId="13" borderId="0" xfId="3" applyFont="1" applyFill="1" applyBorder="1" applyAlignment="1">
      <alignment horizontal="left" vertical="center"/>
    </xf>
    <xf numFmtId="166" fontId="21" fillId="0" borderId="0" xfId="4" applyNumberFormat="1" applyFont="1" applyFill="1" applyAlignment="1">
      <alignment vertical="center" wrapText="1"/>
    </xf>
    <xf numFmtId="1" fontId="21" fillId="0" borderId="61" xfId="7" applyNumberFormat="1" applyFont="1" applyBorder="1" applyAlignment="1">
      <alignment horizontal="right" vertical="center" wrapText="1"/>
    </xf>
    <xf numFmtId="0" fontId="5" fillId="0" borderId="0" xfId="3" applyFont="1"/>
    <xf numFmtId="0" fontId="6" fillId="0" borderId="0" xfId="3" applyFont="1" applyAlignment="1">
      <alignment vertical="center"/>
    </xf>
    <xf numFmtId="0" fontId="6" fillId="0" borderId="0" xfId="3" applyFont="1" applyAlignment="1">
      <alignment horizontal="center" vertical="center"/>
    </xf>
    <xf numFmtId="0" fontId="30" fillId="0" borderId="0" xfId="6" applyFont="1"/>
    <xf numFmtId="0" fontId="13" fillId="0" borderId="62" xfId="3" applyFont="1" applyBorder="1" applyAlignment="1">
      <alignment horizontal="right" wrapText="1"/>
    </xf>
    <xf numFmtId="0" fontId="13" fillId="0" borderId="33" xfId="3" applyFont="1" applyBorder="1" applyAlignment="1">
      <alignment horizontal="right" wrapText="1"/>
    </xf>
    <xf numFmtId="0" fontId="2" fillId="0" borderId="1" xfId="0" applyFont="1" applyFill="1" applyBorder="1" applyAlignment="1" applyProtection="1">
      <alignment vertical="center"/>
      <protection locked="0"/>
    </xf>
    <xf numFmtId="0" fontId="20" fillId="0" borderId="33" xfId="3" applyFont="1" applyBorder="1" applyAlignment="1">
      <alignment horizontal="left" wrapText="1"/>
    </xf>
    <xf numFmtId="166" fontId="3" fillId="0" borderId="68" xfId="4" applyNumberFormat="1" applyFont="1" applyBorder="1" applyAlignment="1">
      <alignment vertical="center" wrapText="1"/>
    </xf>
    <xf numFmtId="0" fontId="20" fillId="0" borderId="33" xfId="3" applyFont="1" applyBorder="1" applyAlignment="1">
      <alignment horizontal="right" wrapText="1"/>
    </xf>
    <xf numFmtId="0" fontId="3" fillId="0" borderId="53" xfId="0" applyFont="1" applyFill="1" applyBorder="1" applyAlignment="1" applyProtection="1">
      <alignment horizontal="center" vertical="center" wrapText="1"/>
    </xf>
    <xf numFmtId="44" fontId="4" fillId="4" borderId="36" xfId="1" applyNumberFormat="1" applyFont="1" applyFill="1" applyBorder="1" applyAlignment="1" applyProtection="1">
      <alignment horizontal="center"/>
    </xf>
    <xf numFmtId="0" fontId="2" fillId="0" borderId="0" xfId="0" applyFont="1" applyFill="1" applyBorder="1" applyAlignment="1" applyProtection="1">
      <alignment vertical="center"/>
      <protection locked="0"/>
    </xf>
    <xf numFmtId="0" fontId="2" fillId="0" borderId="0" xfId="0" applyNumberFormat="1" applyFont="1" applyFill="1" applyBorder="1" applyAlignment="1" applyProtection="1">
      <alignment horizontal="center" vertical="center"/>
      <protection locked="0"/>
    </xf>
    <xf numFmtId="0" fontId="0" fillId="13" borderId="0" xfId="0" applyFill="1" applyBorder="1" applyProtection="1"/>
    <xf numFmtId="0" fontId="0" fillId="13" borderId="0" xfId="0" applyFill="1" applyBorder="1" applyAlignment="1" applyProtection="1">
      <alignment horizontal="center" vertical="center"/>
    </xf>
    <xf numFmtId="0" fontId="32" fillId="0" borderId="35" xfId="3" applyFont="1" applyBorder="1" applyAlignment="1">
      <alignment horizontal="left" wrapText="1"/>
    </xf>
    <xf numFmtId="0" fontId="11" fillId="2" borderId="37" xfId="3" applyFont="1" applyFill="1" applyBorder="1" applyAlignment="1">
      <alignment horizontal="center" vertical="center" wrapText="1"/>
    </xf>
    <xf numFmtId="1" fontId="33" fillId="4" borderId="22" xfId="3" applyNumberFormat="1" applyFont="1" applyFill="1" applyBorder="1" applyAlignment="1">
      <alignment horizontal="center" vertical="center" wrapText="1"/>
    </xf>
    <xf numFmtId="1" fontId="33" fillId="4" borderId="0" xfId="3" applyNumberFormat="1" applyFont="1" applyFill="1" applyAlignment="1">
      <alignment horizontal="center" vertical="center" wrapText="1"/>
    </xf>
    <xf numFmtId="1" fontId="33" fillId="4" borderId="65" xfId="3" applyNumberFormat="1" applyFont="1" applyFill="1" applyBorder="1" applyAlignment="1">
      <alignment horizontal="center" vertical="center" wrapText="1"/>
    </xf>
    <xf numFmtId="1" fontId="33" fillId="4" borderId="67" xfId="3" applyNumberFormat="1" applyFont="1" applyFill="1" applyBorder="1" applyAlignment="1">
      <alignment horizontal="center" vertical="center" wrapText="1"/>
    </xf>
    <xf numFmtId="1" fontId="24" fillId="4" borderId="22" xfId="3" applyNumberFormat="1" applyFont="1" applyFill="1" applyBorder="1" applyAlignment="1">
      <alignment horizontal="center" vertical="center" wrapText="1"/>
    </xf>
    <xf numFmtId="1" fontId="24" fillId="4" borderId="0" xfId="3" applyNumberFormat="1" applyFont="1" applyFill="1" applyAlignment="1">
      <alignment horizontal="center" vertical="center" wrapText="1"/>
    </xf>
    <xf numFmtId="1" fontId="24" fillId="4" borderId="65" xfId="3" applyNumberFormat="1" applyFont="1" applyFill="1" applyBorder="1" applyAlignment="1">
      <alignment horizontal="center" vertical="center" wrapText="1"/>
    </xf>
    <xf numFmtId="1" fontId="24" fillId="4" borderId="67" xfId="3" applyNumberFormat="1" applyFont="1" applyFill="1" applyBorder="1" applyAlignment="1">
      <alignment horizontal="center" vertical="center" wrapText="1"/>
    </xf>
    <xf numFmtId="0" fontId="31" fillId="2" borderId="37" xfId="3" applyFont="1" applyFill="1" applyBorder="1" applyAlignment="1">
      <alignment horizontal="center" vertical="center" wrapText="1"/>
    </xf>
    <xf numFmtId="166" fontId="3" fillId="4" borderId="0" xfId="3" applyNumberFormat="1" applyFont="1" applyFill="1" applyBorder="1" applyAlignment="1">
      <alignment horizontal="center" vertical="center"/>
    </xf>
    <xf numFmtId="166" fontId="21" fillId="0" borderId="9" xfId="4" applyNumberFormat="1" applyFont="1" applyFill="1" applyBorder="1" applyAlignment="1">
      <alignment vertical="center" wrapText="1"/>
    </xf>
    <xf numFmtId="0" fontId="22" fillId="0" borderId="37" xfId="3" applyFont="1" applyBorder="1" applyAlignment="1">
      <alignment horizontal="left" wrapText="1"/>
    </xf>
    <xf numFmtId="166" fontId="21" fillId="4" borderId="0" xfId="4" applyNumberFormat="1" applyFont="1" applyFill="1" applyBorder="1" applyAlignment="1">
      <alignment vertical="center" wrapText="1"/>
    </xf>
    <xf numFmtId="0" fontId="20" fillId="4" borderId="35" xfId="3" quotePrefix="1" applyFont="1" applyFill="1" applyBorder="1" applyAlignment="1">
      <alignment horizontal="center" vertical="center"/>
    </xf>
    <xf numFmtId="0" fontId="20" fillId="4" borderId="6" xfId="3" quotePrefix="1" applyFont="1" applyFill="1" applyBorder="1" applyAlignment="1">
      <alignment horizontal="center" vertical="center"/>
    </xf>
    <xf numFmtId="0" fontId="20" fillId="4" borderId="69" xfId="3" quotePrefix="1" applyFont="1" applyFill="1" applyBorder="1" applyAlignment="1">
      <alignment horizontal="center" vertical="center"/>
    </xf>
    <xf numFmtId="44" fontId="4" fillId="0" borderId="17" xfId="1" applyNumberFormat="1" applyFont="1" applyFill="1" applyBorder="1" applyAlignment="1" applyProtection="1">
      <alignment horizontal="center"/>
    </xf>
    <xf numFmtId="44" fontId="4" fillId="6" borderId="15" xfId="1" applyNumberFormat="1" applyFont="1" applyFill="1" applyBorder="1" applyAlignment="1" applyProtection="1">
      <alignment horizontal="center"/>
    </xf>
    <xf numFmtId="0" fontId="11" fillId="2" borderId="39" xfId="3" applyFont="1" applyFill="1" applyBorder="1" applyAlignment="1">
      <alignment horizontal="left" vertical="center" wrapText="1"/>
    </xf>
    <xf numFmtId="0" fontId="11" fillId="2" borderId="39" xfId="3" applyFont="1" applyFill="1" applyBorder="1" applyAlignment="1">
      <alignment horizontal="center" vertical="center" wrapText="1"/>
    </xf>
    <xf numFmtId="0" fontId="22" fillId="0" borderId="15" xfId="3" applyFont="1" applyBorder="1" applyAlignment="1">
      <alignment horizontal="center" wrapText="1"/>
    </xf>
    <xf numFmtId="0" fontId="2" fillId="0" borderId="10" xfId="0" applyFont="1" applyBorder="1"/>
    <xf numFmtId="0" fontId="22" fillId="0" borderId="1" xfId="3" applyFont="1" applyBorder="1" applyAlignment="1">
      <alignment horizontal="right" wrapText="1"/>
    </xf>
    <xf numFmtId="0" fontId="22" fillId="0" borderId="43" xfId="3" applyFont="1" applyBorder="1" applyAlignment="1">
      <alignment horizontal="right" wrapText="1"/>
    </xf>
    <xf numFmtId="0" fontId="32" fillId="0" borderId="62" xfId="3" applyFont="1" applyBorder="1" applyAlignment="1">
      <alignment horizontal="left" wrapText="1"/>
    </xf>
    <xf numFmtId="0" fontId="20" fillId="0" borderId="47" xfId="3" quotePrefix="1" applyFont="1" applyBorder="1" applyAlignment="1">
      <alignment horizontal="center" vertical="center"/>
    </xf>
    <xf numFmtId="0" fontId="20" fillId="0" borderId="72" xfId="3" quotePrefix="1" applyFont="1" applyBorder="1" applyAlignment="1">
      <alignment horizontal="center" vertical="center"/>
    </xf>
    <xf numFmtId="166" fontId="21" fillId="0" borderId="35" xfId="4" applyNumberFormat="1" applyFont="1" applyFill="1" applyBorder="1" applyAlignment="1">
      <alignment vertical="center" wrapText="1"/>
    </xf>
    <xf numFmtId="166" fontId="0" fillId="0" borderId="10" xfId="0" applyNumberFormat="1" applyFill="1" applyBorder="1" applyAlignment="1" applyProtection="1">
      <alignment horizontal="center"/>
      <protection locked="0"/>
    </xf>
    <xf numFmtId="166" fontId="0" fillId="0" borderId="10" xfId="2" applyNumberFormat="1" applyFont="1" applyBorder="1" applyAlignment="1">
      <alignment horizontal="center"/>
    </xf>
    <xf numFmtId="0" fontId="5" fillId="4" borderId="11" xfId="0" applyFont="1" applyFill="1" applyBorder="1" applyAlignment="1"/>
    <xf numFmtId="0" fontId="4" fillId="0" borderId="0" xfId="0" applyFont="1"/>
    <xf numFmtId="0" fontId="5" fillId="0" borderId="21" xfId="0" applyFont="1" applyBorder="1" applyProtection="1"/>
    <xf numFmtId="49" fontId="4" fillId="0" borderId="10" xfId="0" applyNumberFormat="1" applyFont="1" applyBorder="1" applyProtection="1"/>
    <xf numFmtId="0" fontId="5" fillId="0" borderId="76" xfId="0" applyFont="1" applyBorder="1" applyAlignment="1" applyProtection="1">
      <alignment wrapText="1"/>
    </xf>
    <xf numFmtId="0" fontId="5" fillId="4" borderId="10" xfId="0" applyFont="1" applyFill="1" applyBorder="1" applyAlignment="1" applyProtection="1">
      <alignment wrapText="1"/>
    </xf>
    <xf numFmtId="0" fontId="7" fillId="4" borderId="75" xfId="0" applyFont="1" applyFill="1" applyBorder="1" applyProtection="1"/>
    <xf numFmtId="49" fontId="5" fillId="0" borderId="8" xfId="0" quotePrefix="1" applyNumberFormat="1" applyFont="1" applyBorder="1" applyAlignment="1" applyProtection="1">
      <alignment horizontal="center" vertical="center"/>
    </xf>
    <xf numFmtId="166" fontId="27" fillId="0" borderId="61" xfId="4" applyNumberFormat="1" applyFont="1" applyBorder="1" applyAlignment="1">
      <alignment vertical="center" wrapText="1"/>
    </xf>
    <xf numFmtId="0" fontId="0" fillId="0" borderId="0" xfId="0" applyFill="1" applyBorder="1" applyProtection="1"/>
    <xf numFmtId="0" fontId="36" fillId="0" borderId="0" xfId="6" applyFont="1"/>
    <xf numFmtId="1" fontId="7" fillId="4" borderId="35" xfId="0" applyNumberFormat="1" applyFont="1" applyFill="1" applyBorder="1" applyAlignment="1" applyProtection="1">
      <alignment horizontal="center" vertical="center"/>
    </xf>
    <xf numFmtId="0" fontId="5" fillId="0" borderId="52" xfId="0" quotePrefix="1" applyFont="1" applyBorder="1" applyAlignment="1" applyProtection="1">
      <alignment horizontal="center" vertical="center"/>
    </xf>
    <xf numFmtId="0" fontId="4" fillId="0" borderId="0" xfId="0" applyFont="1" applyFill="1" applyBorder="1" applyProtection="1"/>
    <xf numFmtId="49" fontId="2" fillId="0" borderId="5" xfId="0" applyNumberFormat="1" applyFont="1" applyBorder="1" applyAlignment="1" applyProtection="1">
      <alignment horizontal="center" wrapText="1"/>
    </xf>
    <xf numFmtId="49" fontId="5" fillId="0" borderId="50" xfId="0" quotePrefix="1" applyNumberFormat="1" applyFont="1" applyBorder="1" applyAlignment="1" applyProtection="1">
      <alignment horizontal="center" vertical="center"/>
    </xf>
    <xf numFmtId="0" fontId="2" fillId="0" borderId="36" xfId="0" applyFont="1" applyBorder="1" applyAlignment="1" applyProtection="1">
      <alignment horizontal="center" wrapText="1"/>
    </xf>
    <xf numFmtId="1" fontId="4" fillId="0" borderId="37" xfId="0" applyNumberFormat="1" applyFont="1" applyBorder="1" applyAlignment="1" applyProtection="1">
      <alignment horizontal="center" vertical="center"/>
    </xf>
    <xf numFmtId="1" fontId="4" fillId="0" borderId="40" xfId="0" applyNumberFormat="1" applyFont="1" applyBorder="1" applyAlignment="1" applyProtection="1">
      <alignment horizontal="center" vertical="center"/>
    </xf>
    <xf numFmtId="1" fontId="4" fillId="0" borderId="37" xfId="0" applyNumberFormat="1" applyFont="1" applyFill="1" applyBorder="1" applyAlignment="1" applyProtection="1">
      <alignment horizontal="center" vertical="center"/>
    </xf>
    <xf numFmtId="44" fontId="5" fillId="3" borderId="11" xfId="0" applyNumberFormat="1" applyFont="1" applyFill="1" applyBorder="1" applyAlignment="1" applyProtection="1">
      <alignment horizontal="center" vertical="center" wrapText="1"/>
    </xf>
    <xf numFmtId="164" fontId="5" fillId="3" borderId="11" xfId="0" applyNumberFormat="1" applyFont="1" applyFill="1" applyBorder="1" applyAlignment="1" applyProtection="1">
      <alignment horizontal="center" vertical="center" wrapText="1"/>
    </xf>
    <xf numFmtId="0" fontId="2" fillId="0" borderId="0" xfId="0" applyFont="1" applyBorder="1" applyAlignment="1" applyProtection="1">
      <alignment horizontal="left" wrapText="1"/>
    </xf>
    <xf numFmtId="49" fontId="2" fillId="0" borderId="0" xfId="0" applyNumberFormat="1" applyFont="1" applyBorder="1" applyAlignment="1" applyProtection="1">
      <alignment horizontal="center" wrapText="1"/>
    </xf>
    <xf numFmtId="49" fontId="2" fillId="0" borderId="0" xfId="0" applyNumberFormat="1" applyFont="1" applyFill="1" applyBorder="1" applyAlignment="1" applyProtection="1">
      <alignment horizontal="center" wrapText="1"/>
    </xf>
    <xf numFmtId="49" fontId="4" fillId="0" borderId="0" xfId="0" applyNumberFormat="1" applyFont="1" applyBorder="1" applyProtection="1"/>
    <xf numFmtId="49" fontId="4" fillId="0" borderId="8" xfId="0" applyNumberFormat="1" applyFont="1" applyBorder="1" applyProtection="1"/>
    <xf numFmtId="49" fontId="4" fillId="0" borderId="74" xfId="0" applyNumberFormat="1" applyFont="1" applyBorder="1" applyProtection="1"/>
    <xf numFmtId="49" fontId="4" fillId="0" borderId="77" xfId="0" applyNumberFormat="1" applyFont="1" applyBorder="1" applyProtection="1"/>
    <xf numFmtId="0" fontId="7" fillId="4" borderId="11" xfId="0" applyFont="1" applyFill="1" applyBorder="1" applyAlignment="1" applyProtection="1">
      <alignment wrapText="1"/>
    </xf>
    <xf numFmtId="0" fontId="5" fillId="4" borderId="75" xfId="0" applyFont="1" applyFill="1" applyBorder="1" applyProtection="1"/>
    <xf numFmtId="0" fontId="5" fillId="0" borderId="76" xfId="0" applyFont="1" applyBorder="1" applyProtection="1"/>
    <xf numFmtId="0" fontId="5" fillId="0" borderId="76" xfId="0" applyFont="1" applyBorder="1" applyAlignment="1" applyProtection="1">
      <alignment horizontal="left" wrapText="1"/>
    </xf>
    <xf numFmtId="49" fontId="4" fillId="0" borderId="11" xfId="0" applyNumberFormat="1" applyFont="1" applyBorder="1" applyProtection="1"/>
    <xf numFmtId="0" fontId="4" fillId="0" borderId="3" xfId="0" applyFont="1" applyBorder="1" applyAlignment="1" applyProtection="1">
      <alignment horizontal="left" vertical="center" wrapText="1"/>
    </xf>
    <xf numFmtId="49" fontId="4" fillId="0" borderId="4" xfId="0" applyNumberFormat="1" applyFont="1" applyBorder="1" applyProtection="1"/>
    <xf numFmtId="0" fontId="0" fillId="0" borderId="10" xfId="0" applyFont="1" applyBorder="1" applyAlignment="1" applyProtection="1">
      <alignment wrapText="1"/>
    </xf>
    <xf numFmtId="0" fontId="0" fillId="0" borderId="11" xfId="0" applyFont="1" applyBorder="1" applyAlignment="1" applyProtection="1">
      <alignment wrapText="1"/>
    </xf>
    <xf numFmtId="0" fontId="13" fillId="0" borderId="62" xfId="3" applyFont="1" applyBorder="1" applyAlignment="1">
      <alignment horizontal="left" wrapText="1"/>
    </xf>
    <xf numFmtId="166" fontId="21" fillId="13" borderId="10" xfId="4" applyNumberFormat="1" applyFont="1" applyFill="1" applyBorder="1" applyAlignment="1">
      <alignment vertical="center" wrapText="1"/>
    </xf>
    <xf numFmtId="10" fontId="4" fillId="0" borderId="10" xfId="0" applyNumberFormat="1" applyFont="1" applyBorder="1" applyAlignment="1">
      <alignment horizontal="center"/>
    </xf>
    <xf numFmtId="9" fontId="4" fillId="5" borderId="10" xfId="2" applyFont="1" applyFill="1" applyBorder="1" applyAlignment="1" applyProtection="1">
      <alignment horizontal="center" vertical="center"/>
    </xf>
    <xf numFmtId="0" fontId="13" fillId="0" borderId="0" xfId="3" applyFont="1" applyAlignment="1">
      <alignment horizontal="left" wrapText="1"/>
    </xf>
    <xf numFmtId="0" fontId="6" fillId="0" borderId="0" xfId="3" applyFont="1" applyFill="1" applyAlignment="1">
      <alignment vertical="center"/>
    </xf>
    <xf numFmtId="0" fontId="6" fillId="4" borderId="0" xfId="3" applyFont="1" applyFill="1" applyAlignment="1">
      <alignment vertical="center"/>
    </xf>
    <xf numFmtId="0" fontId="22" fillId="0" borderId="51" xfId="3" applyFont="1" applyBorder="1" applyAlignment="1">
      <alignment horizontal="left" wrapText="1"/>
    </xf>
    <xf numFmtId="44" fontId="21" fillId="0" borderId="10" xfId="2" applyNumberFormat="1" applyFont="1" applyFill="1" applyBorder="1" applyAlignment="1">
      <alignment vertical="center" wrapText="1"/>
    </xf>
    <xf numFmtId="166" fontId="21" fillId="0" borderId="10" xfId="4" applyNumberFormat="1" applyFont="1" applyBorder="1" applyAlignment="1">
      <alignment vertical="center" wrapText="1"/>
    </xf>
    <xf numFmtId="10" fontId="21" fillId="0" borderId="10" xfId="2" applyNumberFormat="1" applyFont="1" applyFill="1" applyBorder="1" applyAlignment="1">
      <alignment vertical="center" wrapText="1"/>
    </xf>
    <xf numFmtId="0" fontId="2" fillId="5" borderId="15" xfId="0" applyFont="1" applyFill="1" applyBorder="1" applyAlignment="1" applyProtection="1">
      <alignment horizontal="center" vertical="center" wrapText="1"/>
    </xf>
    <xf numFmtId="44" fontId="5" fillId="3" borderId="15" xfId="0" applyNumberFormat="1" applyFont="1" applyFill="1" applyBorder="1" applyAlignment="1" applyProtection="1">
      <alignment horizontal="center" vertical="center" wrapText="1"/>
    </xf>
    <xf numFmtId="44" fontId="4" fillId="2" borderId="38" xfId="1" applyNumberFormat="1" applyFont="1" applyFill="1" applyBorder="1" applyAlignment="1" applyProtection="1">
      <alignment horizontal="center"/>
    </xf>
    <xf numFmtId="0" fontId="17" fillId="0" borderId="0" xfId="0" applyFont="1" applyFill="1" applyBorder="1"/>
    <xf numFmtId="49" fontId="5" fillId="0" borderId="0" xfId="0" quotePrefix="1" applyNumberFormat="1" applyFont="1" applyBorder="1" applyAlignment="1" applyProtection="1">
      <alignment horizontal="center" vertical="center"/>
    </xf>
    <xf numFmtId="0" fontId="5" fillId="0" borderId="0" xfId="0" applyFont="1" applyFill="1" applyBorder="1" applyAlignment="1" applyProtection="1">
      <alignment horizontal="right" vertical="center" wrapText="1"/>
    </xf>
    <xf numFmtId="0" fontId="4" fillId="0" borderId="0" xfId="0" applyFont="1" applyFill="1" applyBorder="1" applyAlignment="1" applyProtection="1">
      <alignment horizontal="center" vertical="center" wrapText="1"/>
    </xf>
    <xf numFmtId="49" fontId="5" fillId="0" borderId="0" xfId="0" quotePrefix="1" applyNumberFormat="1" applyFont="1" applyFill="1" applyBorder="1" applyAlignment="1" applyProtection="1">
      <alignment horizontal="center" vertical="center"/>
    </xf>
    <xf numFmtId="0" fontId="17" fillId="0" borderId="78" xfId="0" applyFont="1" applyFill="1" applyBorder="1"/>
    <xf numFmtId="44" fontId="4" fillId="0" borderId="0" xfId="1" applyNumberFormat="1" applyFont="1" applyFill="1" applyBorder="1" applyAlignment="1" applyProtection="1">
      <alignment horizontal="center"/>
    </xf>
    <xf numFmtId="44" fontId="5" fillId="0" borderId="0" xfId="0" applyNumberFormat="1" applyFont="1" applyFill="1" applyBorder="1" applyAlignment="1" applyProtection="1">
      <alignment horizontal="center"/>
    </xf>
    <xf numFmtId="0" fontId="3" fillId="0" borderId="0" xfId="0" applyFont="1" applyFill="1" applyBorder="1" applyAlignment="1" applyProtection="1">
      <alignment horizontal="center" vertical="center" wrapText="1"/>
    </xf>
    <xf numFmtId="44" fontId="5" fillId="0" borderId="71" xfId="0" applyNumberFormat="1" applyFont="1" applyBorder="1" applyAlignment="1" applyProtection="1">
      <alignment horizontal="center"/>
    </xf>
    <xf numFmtId="44" fontId="5" fillId="0" borderId="53" xfId="0" applyNumberFormat="1" applyFont="1" applyBorder="1" applyAlignment="1" applyProtection="1">
      <alignment horizontal="center"/>
    </xf>
    <xf numFmtId="44" fontId="5" fillId="0" borderId="55" xfId="0" applyNumberFormat="1" applyFont="1" applyBorder="1" applyAlignment="1" applyProtection="1">
      <alignment horizontal="center"/>
    </xf>
    <xf numFmtId="0" fontId="3" fillId="9" borderId="15" xfId="0" applyFont="1" applyFill="1" applyBorder="1" applyAlignment="1" applyProtection="1">
      <alignment horizontal="center" vertical="center" wrapText="1"/>
    </xf>
    <xf numFmtId="49" fontId="5" fillId="0" borderId="10" xfId="0" applyNumberFormat="1" applyFont="1" applyFill="1" applyBorder="1" applyAlignment="1" applyProtection="1">
      <alignment horizontal="right" wrapText="1"/>
    </xf>
    <xf numFmtId="0" fontId="5" fillId="0" borderId="10" xfId="0" applyFont="1" applyFill="1" applyBorder="1" applyAlignment="1" applyProtection="1">
      <alignment horizontal="right" wrapText="1"/>
    </xf>
    <xf numFmtId="0" fontId="17" fillId="0" borderId="79" xfId="0" applyFont="1" applyFill="1" applyBorder="1"/>
    <xf numFmtId="49" fontId="5" fillId="0" borderId="10" xfId="0" quotePrefix="1" applyNumberFormat="1" applyFont="1" applyFill="1" applyBorder="1" applyAlignment="1" applyProtection="1">
      <alignment horizontal="center" vertical="center"/>
    </xf>
    <xf numFmtId="0" fontId="17" fillId="0" borderId="10" xfId="0" applyFont="1" applyFill="1" applyBorder="1" applyAlignment="1">
      <alignment horizontal="right"/>
    </xf>
    <xf numFmtId="44" fontId="4" fillId="0" borderId="55" xfId="0" applyNumberFormat="1" applyFont="1" applyBorder="1" applyAlignment="1" applyProtection="1">
      <alignment horizontal="center"/>
    </xf>
    <xf numFmtId="0" fontId="14" fillId="0" borderId="0" xfId="0" applyFont="1" applyAlignment="1" applyProtection="1">
      <alignment horizontal="left" vertical="top" wrapText="1"/>
    </xf>
    <xf numFmtId="0" fontId="5" fillId="5" borderId="10" xfId="0" applyFont="1" applyFill="1" applyBorder="1" applyAlignment="1">
      <alignment horizontal="center" vertical="center"/>
    </xf>
    <xf numFmtId="0" fontId="17" fillId="0" borderId="0" xfId="0" applyFont="1" applyFill="1" applyBorder="1" applyAlignment="1">
      <alignment horizontal="right"/>
    </xf>
    <xf numFmtId="0" fontId="5" fillId="0" borderId="0" xfId="0" applyFont="1" applyBorder="1" applyAlignment="1" applyProtection="1">
      <alignment horizontal="right" vertical="center" wrapText="1"/>
    </xf>
    <xf numFmtId="0" fontId="4" fillId="0" borderId="0" xfId="0" applyFont="1" applyBorder="1" applyAlignment="1" applyProtection="1">
      <alignment horizontal="center" vertical="center" wrapText="1"/>
    </xf>
    <xf numFmtId="44" fontId="4" fillId="13" borderId="10" xfId="1" applyNumberFormat="1" applyFont="1" applyFill="1" applyBorder="1" applyAlignment="1" applyProtection="1">
      <alignment horizontal="center"/>
      <protection locked="0"/>
    </xf>
    <xf numFmtId="0" fontId="2" fillId="0" borderId="36" xfId="0" applyFont="1" applyBorder="1" applyAlignment="1" applyProtection="1">
      <alignment horizontal="center"/>
    </xf>
    <xf numFmtId="0" fontId="2" fillId="0" borderId="5" xfId="0" applyFont="1" applyBorder="1" applyAlignment="1" applyProtection="1">
      <alignment horizontal="center" wrapText="1"/>
    </xf>
    <xf numFmtId="1" fontId="0" fillId="13" borderId="37" xfId="0" applyNumberFormat="1" applyFont="1" applyFill="1" applyBorder="1" applyAlignment="1" applyProtection="1">
      <alignment horizontal="center" vertical="center"/>
    </xf>
    <xf numFmtId="44" fontId="4" fillId="13" borderId="38" xfId="1" applyNumberFormat="1" applyFont="1" applyFill="1" applyBorder="1" applyAlignment="1" applyProtection="1">
      <alignment horizontal="center"/>
    </xf>
    <xf numFmtId="0" fontId="0" fillId="13" borderId="37" xfId="0" applyFont="1" applyFill="1" applyBorder="1" applyAlignment="1" applyProtection="1">
      <alignment horizontal="center" vertical="center"/>
    </xf>
    <xf numFmtId="0" fontId="4" fillId="13" borderId="40" xfId="0" applyFont="1" applyFill="1" applyBorder="1" applyAlignment="1" applyProtection="1">
      <alignment horizontal="center" vertical="center"/>
    </xf>
    <xf numFmtId="44" fontId="4" fillId="13" borderId="41" xfId="1" applyNumberFormat="1" applyFont="1" applyFill="1" applyBorder="1" applyAlignment="1" applyProtection="1">
      <alignment horizontal="center"/>
      <protection locked="0"/>
    </xf>
    <xf numFmtId="49" fontId="5" fillId="0" borderId="5" xfId="0" applyNumberFormat="1" applyFont="1" applyBorder="1" applyAlignment="1" applyProtection="1">
      <alignment horizontal="center" wrapText="1"/>
    </xf>
    <xf numFmtId="164" fontId="5" fillId="0" borderId="11" xfId="0" applyNumberFormat="1" applyFont="1" applyBorder="1" applyAlignment="1" applyProtection="1">
      <alignment horizontal="center" wrapText="1"/>
    </xf>
    <xf numFmtId="166" fontId="21" fillId="13" borderId="37" xfId="4" applyNumberFormat="1" applyFont="1" applyFill="1" applyBorder="1" applyAlignment="1">
      <alignment vertical="center" wrapText="1"/>
    </xf>
    <xf numFmtId="10" fontId="4" fillId="0" borderId="10" xfId="2" applyNumberFormat="1" applyFont="1" applyBorder="1" applyAlignment="1">
      <alignment horizontal="center"/>
    </xf>
    <xf numFmtId="0" fontId="4" fillId="2" borderId="10" xfId="0" applyFont="1" applyFill="1" applyBorder="1"/>
    <xf numFmtId="49" fontId="5" fillId="0" borderId="15" xfId="0" quotePrefix="1" applyNumberFormat="1" applyFont="1" applyBorder="1" applyAlignment="1" applyProtection="1">
      <alignment horizontal="center" vertical="center"/>
    </xf>
    <xf numFmtId="49" fontId="5" fillId="0" borderId="4" xfId="0" quotePrefix="1" applyNumberFormat="1" applyFont="1" applyBorder="1" applyAlignment="1" applyProtection="1">
      <alignment horizontal="center" vertical="center"/>
    </xf>
    <xf numFmtId="0" fontId="5" fillId="0" borderId="0" xfId="0" applyFont="1"/>
    <xf numFmtId="0" fontId="2" fillId="0" borderId="80" xfId="0" applyFont="1" applyFill="1" applyBorder="1" applyAlignment="1" applyProtection="1">
      <alignment vertical="center"/>
      <protection locked="0"/>
    </xf>
    <xf numFmtId="0" fontId="2" fillId="13" borderId="0" xfId="0" applyFont="1" applyFill="1" applyBorder="1" applyAlignment="1" applyProtection="1">
      <alignment vertical="center"/>
      <protection locked="0"/>
    </xf>
    <xf numFmtId="166" fontId="21" fillId="13" borderId="63" xfId="4" applyNumberFormat="1" applyFont="1" applyFill="1" applyBorder="1" applyAlignment="1">
      <alignment vertical="center" wrapText="1"/>
    </xf>
    <xf numFmtId="166" fontId="21" fillId="13" borderId="9" xfId="4" applyNumberFormat="1" applyFont="1" applyFill="1" applyBorder="1" applyAlignment="1">
      <alignment vertical="center" wrapText="1"/>
    </xf>
    <xf numFmtId="0" fontId="13" fillId="0" borderId="0" xfId="0" applyFont="1" applyBorder="1" applyAlignment="1" applyProtection="1">
      <alignment vertical="center"/>
    </xf>
    <xf numFmtId="166" fontId="21" fillId="13" borderId="50" xfId="4" applyNumberFormat="1" applyFont="1" applyFill="1" applyBorder="1" applyAlignment="1">
      <alignment vertical="center" wrapText="1"/>
    </xf>
    <xf numFmtId="166" fontId="3" fillId="13" borderId="0" xfId="3" applyNumberFormat="1" applyFont="1" applyFill="1" applyBorder="1" applyAlignment="1">
      <alignment horizontal="center" vertical="center"/>
    </xf>
    <xf numFmtId="166" fontId="3" fillId="13" borderId="46" xfId="3" applyNumberFormat="1" applyFont="1" applyFill="1" applyBorder="1" applyAlignment="1">
      <alignment horizontal="center" vertical="center"/>
    </xf>
    <xf numFmtId="166" fontId="3" fillId="13" borderId="0" xfId="3" applyNumberFormat="1" applyFont="1" applyFill="1" applyAlignment="1">
      <alignment horizontal="center" vertical="center"/>
    </xf>
    <xf numFmtId="166" fontId="3" fillId="0" borderId="0" xfId="3" applyNumberFormat="1" applyFont="1" applyBorder="1" applyAlignment="1">
      <alignment vertical="center"/>
    </xf>
    <xf numFmtId="0" fontId="3" fillId="18" borderId="15" xfId="3" applyFont="1" applyFill="1" applyBorder="1" applyAlignment="1">
      <alignment vertical="center" wrapText="1"/>
    </xf>
    <xf numFmtId="166" fontId="3" fillId="18" borderId="14" xfId="3" applyNumberFormat="1" applyFont="1" applyFill="1" applyBorder="1" applyAlignment="1">
      <alignment horizontal="center" vertical="center"/>
    </xf>
    <xf numFmtId="166" fontId="3" fillId="18" borderId="55" xfId="3" applyNumberFormat="1" applyFont="1" applyFill="1" applyBorder="1" applyAlignment="1">
      <alignment vertical="center"/>
    </xf>
    <xf numFmtId="0" fontId="3" fillId="18" borderId="71" xfId="3" applyFont="1" applyFill="1" applyBorder="1" applyAlignment="1">
      <alignment horizontal="right" vertical="center" wrapText="1"/>
    </xf>
    <xf numFmtId="0" fontId="5" fillId="0" borderId="0" xfId="0" applyFont="1" applyFill="1" applyBorder="1" applyAlignment="1"/>
    <xf numFmtId="0" fontId="2" fillId="0" borderId="0" xfId="0" applyFont="1" applyFill="1" applyAlignment="1" applyProtection="1">
      <alignment horizontal="right" vertical="center"/>
    </xf>
    <xf numFmtId="0" fontId="2" fillId="0" borderId="0" xfId="0" applyFont="1" applyFill="1" applyAlignment="1" applyProtection="1">
      <alignment horizontal="left" vertical="center"/>
    </xf>
    <xf numFmtId="0" fontId="2" fillId="0" borderId="0" xfId="0" applyFont="1" applyAlignment="1" applyProtection="1">
      <alignment horizontal="left" vertical="center"/>
    </xf>
    <xf numFmtId="0" fontId="19" fillId="0" borderId="39" xfId="0" applyFont="1" applyBorder="1"/>
    <xf numFmtId="0" fontId="19" fillId="0" borderId="82" xfId="0" applyFont="1" applyBorder="1" applyAlignment="1">
      <alignment wrapText="1"/>
    </xf>
    <xf numFmtId="0" fontId="11" fillId="2" borderId="40" xfId="3" applyFont="1" applyFill="1" applyBorder="1" applyAlignment="1">
      <alignment horizontal="left" vertical="center" wrapText="1"/>
    </xf>
    <xf numFmtId="0" fontId="2" fillId="0" borderId="10" xfId="0" applyFont="1" applyBorder="1" applyAlignment="1">
      <alignment wrapText="1"/>
    </xf>
    <xf numFmtId="0" fontId="5" fillId="0" borderId="0" xfId="0" applyFont="1" applyAlignment="1" applyProtection="1">
      <alignment horizontal="left" vertical="center"/>
    </xf>
    <xf numFmtId="0" fontId="5" fillId="0" borderId="0" xfId="0" applyFont="1" applyAlignment="1" applyProtection="1">
      <alignment horizontal="right" vertical="center"/>
    </xf>
    <xf numFmtId="0" fontId="38" fillId="2" borderId="10" xfId="0" applyFont="1" applyFill="1" applyBorder="1"/>
    <xf numFmtId="0" fontId="5" fillId="0" borderId="0" xfId="0" applyFont="1" applyFill="1" applyBorder="1" applyAlignment="1" applyProtection="1">
      <alignment vertical="center"/>
      <protection locked="0"/>
    </xf>
    <xf numFmtId="0" fontId="4" fillId="0" borderId="0" xfId="0" applyFont="1" applyAlignment="1" applyProtection="1">
      <alignment horizontal="center" vertical="center"/>
    </xf>
    <xf numFmtId="0" fontId="4" fillId="0" borderId="0" xfId="0" applyFont="1" applyProtection="1"/>
    <xf numFmtId="164" fontId="4" fillId="0" borderId="0" xfId="0" applyNumberFormat="1" applyFont="1" applyAlignment="1" applyProtection="1">
      <alignment horizontal="center"/>
    </xf>
    <xf numFmtId="0" fontId="5" fillId="0" borderId="0" xfId="0" applyFont="1" applyAlignment="1" applyProtection="1">
      <alignment horizontal="center" vertical="center"/>
    </xf>
    <xf numFmtId="0" fontId="4" fillId="0" borderId="0" xfId="0" applyFont="1" applyAlignment="1" applyProtection="1">
      <alignment horizontal="center"/>
    </xf>
    <xf numFmtId="44" fontId="4" fillId="4" borderId="10" xfId="1" applyNumberFormat="1" applyFont="1" applyFill="1" applyBorder="1" applyAlignment="1" applyProtection="1">
      <alignment horizontal="center"/>
    </xf>
    <xf numFmtId="0" fontId="2" fillId="0" borderId="22" xfId="0" applyFont="1" applyBorder="1" applyAlignment="1" applyProtection="1">
      <alignment horizontal="left" wrapText="1"/>
    </xf>
    <xf numFmtId="0" fontId="0" fillId="0" borderId="8" xfId="0" applyFont="1" applyFill="1" applyBorder="1" applyAlignment="1" applyProtection="1">
      <alignment horizontal="center" vertical="center"/>
    </xf>
    <xf numFmtId="0" fontId="0" fillId="0" borderId="8" xfId="0" applyFont="1" applyBorder="1" applyAlignment="1" applyProtection="1">
      <alignment horizontal="center" vertical="center"/>
    </xf>
    <xf numFmtId="1" fontId="0" fillId="0" borderId="12" xfId="0" applyNumberFormat="1" applyFont="1" applyBorder="1" applyAlignment="1" applyProtection="1">
      <alignment horizontal="center" vertical="center"/>
    </xf>
    <xf numFmtId="1" fontId="0" fillId="4" borderId="12" xfId="0" applyNumberFormat="1" applyFont="1" applyFill="1" applyBorder="1" applyAlignment="1" applyProtection="1">
      <alignment horizontal="center" vertical="center"/>
    </xf>
    <xf numFmtId="0" fontId="0" fillId="0" borderId="12" xfId="0" applyFont="1" applyBorder="1" applyAlignment="1" applyProtection="1">
      <alignment horizontal="center" vertical="center"/>
    </xf>
    <xf numFmtId="0" fontId="0" fillId="4" borderId="12" xfId="0" applyFont="1" applyFill="1" applyBorder="1" applyAlignment="1" applyProtection="1">
      <alignment horizontal="center" vertical="center"/>
    </xf>
    <xf numFmtId="1" fontId="0" fillId="0" borderId="9" xfId="0" applyNumberFormat="1" applyFont="1" applyBorder="1" applyAlignment="1" applyProtection="1">
      <alignment horizontal="center" vertical="center"/>
    </xf>
    <xf numFmtId="1" fontId="0" fillId="4" borderId="9" xfId="0" applyNumberFormat="1" applyFont="1" applyFill="1" applyBorder="1" applyAlignment="1" applyProtection="1">
      <alignment horizontal="center" vertical="center"/>
    </xf>
    <xf numFmtId="1" fontId="0" fillId="0" borderId="0" xfId="0" applyNumberFormat="1" applyFill="1" applyBorder="1" applyProtection="1"/>
    <xf numFmtId="0" fontId="0" fillId="0" borderId="4" xfId="0" applyFont="1" applyBorder="1" applyAlignment="1" applyProtection="1">
      <alignment horizontal="center" vertical="center"/>
    </xf>
    <xf numFmtId="1" fontId="0" fillId="0" borderId="37" xfId="0" applyNumberFormat="1" applyFont="1" applyBorder="1" applyAlignment="1" applyProtection="1">
      <alignment horizontal="center" vertical="center"/>
    </xf>
    <xf numFmtId="44" fontId="0" fillId="0" borderId="38" xfId="1" applyNumberFormat="1" applyFont="1" applyFill="1" applyBorder="1" applyAlignment="1" applyProtection="1">
      <alignment horizontal="center"/>
    </xf>
    <xf numFmtId="1" fontId="0" fillId="4" borderId="37" xfId="0" applyNumberFormat="1" applyFont="1" applyFill="1" applyBorder="1" applyAlignment="1" applyProtection="1">
      <alignment horizontal="center" vertical="center"/>
    </xf>
    <xf numFmtId="44" fontId="0" fillId="4" borderId="38" xfId="1" applyNumberFormat="1" applyFont="1" applyFill="1" applyBorder="1" applyAlignment="1" applyProtection="1">
      <alignment horizontal="center"/>
    </xf>
    <xf numFmtId="1" fontId="0" fillId="4" borderId="39" xfId="0" applyNumberFormat="1" applyFont="1" applyFill="1" applyBorder="1" applyAlignment="1" applyProtection="1">
      <alignment horizontal="center" vertical="center"/>
    </xf>
    <xf numFmtId="44" fontId="0" fillId="4" borderId="52" xfId="1" applyNumberFormat="1" applyFont="1" applyFill="1" applyBorder="1" applyAlignment="1" applyProtection="1">
      <alignment horizontal="center"/>
    </xf>
    <xf numFmtId="44" fontId="0" fillId="0" borderId="8" xfId="1" applyNumberFormat="1" applyFont="1" applyFill="1" applyBorder="1" applyAlignment="1" applyProtection="1">
      <alignment horizontal="center"/>
    </xf>
    <xf numFmtId="1" fontId="0" fillId="0" borderId="40" xfId="0" applyNumberFormat="1" applyFont="1" applyBorder="1" applyAlignment="1" applyProtection="1">
      <alignment horizontal="center" vertical="center"/>
    </xf>
    <xf numFmtId="0" fontId="4" fillId="0" borderId="37" xfId="0" applyFont="1" applyBorder="1" applyAlignment="1" applyProtection="1">
      <alignment horizontal="center" vertical="center"/>
    </xf>
    <xf numFmtId="1" fontId="4" fillId="4" borderId="37" xfId="0" applyNumberFormat="1" applyFont="1" applyFill="1" applyBorder="1" applyAlignment="1" applyProtection="1">
      <alignment horizontal="center" vertical="center"/>
    </xf>
    <xf numFmtId="0" fontId="4" fillId="0" borderId="40" xfId="0" applyFont="1" applyBorder="1" applyAlignment="1" applyProtection="1">
      <alignment horizontal="center" vertical="center"/>
    </xf>
    <xf numFmtId="0" fontId="4" fillId="4" borderId="37" xfId="0" applyFont="1" applyFill="1" applyBorder="1" applyAlignment="1" applyProtection="1">
      <alignment horizontal="center" vertical="center"/>
    </xf>
    <xf numFmtId="44" fontId="4" fillId="4" borderId="82" xfId="1" applyNumberFormat="1" applyFont="1" applyFill="1" applyBorder="1" applyAlignment="1" applyProtection="1">
      <alignment horizontal="center"/>
    </xf>
    <xf numFmtId="0" fontId="2" fillId="0" borderId="50" xfId="0" applyFont="1" applyBorder="1" applyAlignment="1" applyProtection="1">
      <alignment horizontal="left" wrapText="1"/>
    </xf>
    <xf numFmtId="0" fontId="2" fillId="0" borderId="50" xfId="0" applyFont="1" applyFill="1" applyBorder="1" applyAlignment="1" applyProtection="1">
      <alignment horizontal="left" wrapText="1"/>
    </xf>
    <xf numFmtId="0" fontId="5" fillId="0" borderId="50" xfId="0" quotePrefix="1" applyFont="1" applyFill="1" applyBorder="1" applyAlignment="1" applyProtection="1">
      <alignment horizontal="center" vertical="center"/>
    </xf>
    <xf numFmtId="0" fontId="2" fillId="0" borderId="50" xfId="0" quotePrefix="1" applyFont="1" applyBorder="1" applyAlignment="1" applyProtection="1">
      <alignment horizontal="center" vertical="center"/>
    </xf>
    <xf numFmtId="0" fontId="2" fillId="0" borderId="10" xfId="0" applyFont="1" applyFill="1" applyBorder="1" applyAlignment="1" applyProtection="1">
      <alignment horizontal="center" wrapText="1"/>
    </xf>
    <xf numFmtId="0" fontId="4" fillId="0" borderId="37" xfId="0" applyFont="1" applyFill="1" applyBorder="1" applyAlignment="1" applyProtection="1">
      <alignment horizontal="center" vertical="center"/>
    </xf>
    <xf numFmtId="44" fontId="0" fillId="2" borderId="10" xfId="1" applyNumberFormat="1" applyFont="1" applyFill="1" applyBorder="1" applyAlignment="1" applyProtection="1">
      <alignment horizontal="center"/>
      <protection locked="0"/>
    </xf>
    <xf numFmtId="44" fontId="0" fillId="0" borderId="10" xfId="1" applyNumberFormat="1" applyFont="1" applyFill="1" applyBorder="1" applyAlignment="1" applyProtection="1">
      <alignment horizontal="center"/>
    </xf>
    <xf numFmtId="166" fontId="21" fillId="2" borderId="10" xfId="4" applyNumberFormat="1" applyFont="1" applyFill="1" applyBorder="1" applyAlignment="1">
      <alignment vertical="center" wrapText="1"/>
    </xf>
    <xf numFmtId="166" fontId="21" fillId="13" borderId="3" xfId="4" applyNumberFormat="1" applyFont="1" applyFill="1" applyBorder="1" applyAlignment="1">
      <alignment vertical="center" wrapText="1"/>
    </xf>
    <xf numFmtId="10" fontId="21" fillId="0" borderId="6" xfId="2" applyNumberFormat="1" applyFont="1" applyFill="1" applyBorder="1" applyAlignment="1">
      <alignment vertical="center" wrapText="1"/>
    </xf>
    <xf numFmtId="166" fontId="21" fillId="13" borderId="83" xfId="4" applyNumberFormat="1" applyFont="1" applyFill="1" applyBorder="1" applyAlignment="1">
      <alignment vertical="center" wrapText="1"/>
    </xf>
    <xf numFmtId="166" fontId="21" fillId="0" borderId="57" xfId="4" applyNumberFormat="1" applyFont="1" applyFill="1" applyBorder="1" applyAlignment="1">
      <alignment vertical="center" wrapText="1"/>
    </xf>
    <xf numFmtId="10" fontId="21" fillId="0" borderId="58" xfId="2" applyNumberFormat="1" applyFont="1" applyFill="1" applyBorder="1" applyAlignment="1">
      <alignment vertical="center" wrapText="1"/>
    </xf>
    <xf numFmtId="166" fontId="21" fillId="0" borderId="40" xfId="4" applyNumberFormat="1" applyFont="1" applyFill="1" applyBorder="1" applyAlignment="1">
      <alignment vertical="center" wrapText="1"/>
    </xf>
    <xf numFmtId="10" fontId="21" fillId="0" borderId="41" xfId="2" applyNumberFormat="1" applyFont="1" applyFill="1" applyBorder="1" applyAlignment="1">
      <alignment vertical="center" wrapText="1"/>
    </xf>
    <xf numFmtId="166" fontId="3" fillId="0" borderId="0" xfId="3" applyNumberFormat="1" applyFont="1" applyAlignment="1">
      <alignment vertical="center"/>
    </xf>
    <xf numFmtId="170" fontId="21" fillId="0" borderId="9" xfId="5" applyNumberFormat="1" applyFont="1" applyFill="1" applyBorder="1" applyAlignment="1">
      <alignment vertical="center" wrapText="1"/>
    </xf>
    <xf numFmtId="170" fontId="21" fillId="0" borderId="10" xfId="2" applyNumberFormat="1" applyFont="1" applyFill="1" applyBorder="1" applyAlignment="1">
      <alignment vertical="center" wrapText="1"/>
    </xf>
    <xf numFmtId="170" fontId="21" fillId="0" borderId="9" xfId="1" applyNumberFormat="1" applyFont="1" applyFill="1" applyBorder="1" applyAlignment="1">
      <alignment vertical="center" wrapText="1"/>
    </xf>
    <xf numFmtId="170" fontId="21" fillId="0" borderId="10" xfId="1" applyNumberFormat="1" applyFont="1" applyFill="1" applyBorder="1" applyAlignment="1">
      <alignment vertical="center" wrapText="1"/>
    </xf>
    <xf numFmtId="2" fontId="25" fillId="0" borderId="0" xfId="3" applyNumberFormat="1" applyFont="1" applyAlignment="1">
      <alignment vertical="center"/>
    </xf>
    <xf numFmtId="166" fontId="39" fillId="0" borderId="0" xfId="4" applyNumberFormat="1" applyFont="1" applyFill="1" applyAlignment="1">
      <alignment vertical="center" wrapText="1"/>
    </xf>
    <xf numFmtId="166" fontId="39" fillId="0" borderId="0" xfId="4" applyNumberFormat="1" applyFont="1" applyAlignment="1">
      <alignment vertical="center" wrapText="1"/>
    </xf>
    <xf numFmtId="2" fontId="25" fillId="0" borderId="0" xfId="3" applyNumberFormat="1" applyFont="1" applyFill="1" applyAlignment="1">
      <alignment vertical="center"/>
    </xf>
    <xf numFmtId="166" fontId="3" fillId="0" borderId="84" xfId="3" applyNumberFormat="1" applyFont="1" applyBorder="1" applyAlignment="1">
      <alignment vertical="center"/>
    </xf>
    <xf numFmtId="0" fontId="3" fillId="0" borderId="15" xfId="3" applyFont="1" applyBorder="1" applyAlignment="1">
      <alignment horizontal="center" vertical="center"/>
    </xf>
    <xf numFmtId="0" fontId="5" fillId="0" borderId="0" xfId="3" applyFont="1" applyFill="1" applyAlignment="1">
      <alignment horizontal="right" vertical="center" wrapText="1"/>
    </xf>
    <xf numFmtId="166" fontId="5" fillId="0" borderId="0" xfId="3" applyNumberFormat="1" applyFont="1" applyFill="1" applyBorder="1" applyAlignment="1">
      <alignment horizontal="center" vertical="center"/>
    </xf>
    <xf numFmtId="0" fontId="4" fillId="0" borderId="10" xfId="0" applyFont="1" applyBorder="1" applyAlignment="1" applyProtection="1">
      <alignment wrapText="1"/>
    </xf>
    <xf numFmtId="0" fontId="4" fillId="12" borderId="10" xfId="0" applyFont="1" applyFill="1" applyBorder="1" applyAlignment="1" applyProtection="1">
      <alignment wrapText="1"/>
    </xf>
    <xf numFmtId="0" fontId="20" fillId="0" borderId="45" xfId="3" quotePrefix="1" applyFont="1" applyBorder="1" applyAlignment="1">
      <alignment horizontal="center" vertical="center"/>
    </xf>
    <xf numFmtId="166" fontId="21" fillId="0" borderId="36" xfId="4" applyNumberFormat="1" applyFont="1" applyBorder="1" applyAlignment="1">
      <alignment vertical="center" wrapText="1"/>
    </xf>
    <xf numFmtId="3" fontId="21" fillId="2" borderId="35" xfId="4" applyNumberFormat="1" applyFont="1" applyFill="1" applyBorder="1" applyAlignment="1">
      <alignment horizontal="right" vertical="center" wrapText="1"/>
    </xf>
    <xf numFmtId="166" fontId="21" fillId="2" borderId="11" xfId="4" applyNumberFormat="1" applyFont="1" applyFill="1" applyBorder="1" applyAlignment="1">
      <alignment vertical="center" wrapText="1"/>
    </xf>
    <xf numFmtId="0" fontId="26" fillId="0" borderId="71" xfId="3" applyFont="1" applyBorder="1" applyAlignment="1">
      <alignment horizontal="left" wrapText="1"/>
    </xf>
    <xf numFmtId="0" fontId="13" fillId="0" borderId="37" xfId="3" applyFont="1" applyBorder="1" applyAlignment="1">
      <alignment horizontal="left" wrapText="1"/>
    </xf>
    <xf numFmtId="0" fontId="2" fillId="13" borderId="15" xfId="0" applyFont="1" applyFill="1" applyBorder="1" applyAlignment="1" applyProtection="1">
      <alignment vertical="center"/>
      <protection locked="0"/>
    </xf>
    <xf numFmtId="0" fontId="2" fillId="0" borderId="15" xfId="0" applyFont="1" applyFill="1" applyBorder="1" applyAlignment="1" applyProtection="1">
      <alignment vertical="center"/>
      <protection locked="0"/>
    </xf>
    <xf numFmtId="0" fontId="2" fillId="0" borderId="15" xfId="0" applyFont="1" applyBorder="1"/>
    <xf numFmtId="0" fontId="2" fillId="0" borderId="15" xfId="0" applyNumberFormat="1" applyFont="1" applyFill="1" applyBorder="1" applyAlignment="1" applyProtection="1">
      <alignment horizontal="left" vertical="center"/>
      <protection locked="0"/>
    </xf>
    <xf numFmtId="0" fontId="2" fillId="0" borderId="0" xfId="0" applyFont="1" applyFill="1" applyAlignment="1" applyProtection="1">
      <alignment horizontal="left" vertical="top" wrapText="1"/>
    </xf>
    <xf numFmtId="0" fontId="2" fillId="13" borderId="0" xfId="0" applyFont="1" applyFill="1" applyBorder="1" applyAlignment="1" applyProtection="1">
      <alignment horizontal="center" vertical="center" wrapText="1"/>
    </xf>
    <xf numFmtId="0" fontId="2" fillId="13" borderId="0" xfId="0" applyFont="1" applyFill="1" applyBorder="1" applyAlignment="1" applyProtection="1">
      <alignment horizontal="center" wrapText="1"/>
    </xf>
    <xf numFmtId="44" fontId="2" fillId="13" borderId="3" xfId="1" applyFont="1" applyFill="1" applyBorder="1"/>
    <xf numFmtId="0" fontId="2" fillId="0" borderId="11" xfId="0" applyFont="1" applyFill="1" applyBorder="1" applyAlignment="1" applyProtection="1">
      <alignment wrapText="1"/>
    </xf>
    <xf numFmtId="49" fontId="5" fillId="0" borderId="8" xfId="0" quotePrefix="1" applyNumberFormat="1" applyFont="1" applyFill="1" applyBorder="1" applyAlignment="1" applyProtection="1">
      <alignment horizontal="center" vertical="center"/>
    </xf>
    <xf numFmtId="171" fontId="3" fillId="0" borderId="0" xfId="2" applyNumberFormat="1" applyFont="1" applyAlignment="1">
      <alignment vertical="center"/>
    </xf>
    <xf numFmtId="10" fontId="21" fillId="0" borderId="9" xfId="1" applyNumberFormat="1" applyFont="1" applyFill="1" applyBorder="1" applyAlignment="1">
      <alignment vertical="center" wrapText="1"/>
    </xf>
    <xf numFmtId="0" fontId="2" fillId="13" borderId="15" xfId="0" applyNumberFormat="1" applyFont="1" applyFill="1" applyBorder="1" applyAlignment="1" applyProtection="1">
      <alignment horizontal="center" vertical="center"/>
    </xf>
    <xf numFmtId="0" fontId="2" fillId="0" borderId="0" xfId="0" applyFont="1" applyFill="1" applyBorder="1" applyAlignment="1" applyProtection="1">
      <alignment vertical="center"/>
    </xf>
    <xf numFmtId="0" fontId="11" fillId="0" borderId="0" xfId="0" applyFont="1" applyAlignment="1" applyProtection="1">
      <alignment vertical="center"/>
    </xf>
    <xf numFmtId="0" fontId="0" fillId="0" borderId="0" xfId="0" applyAlignment="1" applyProtection="1">
      <alignment vertical="center"/>
    </xf>
    <xf numFmtId="0" fontId="2" fillId="0" borderId="0" xfId="0" applyFont="1" applyFill="1" applyAlignment="1" applyProtection="1">
      <alignment horizontal="center" vertical="center" wrapText="1"/>
    </xf>
    <xf numFmtId="0" fontId="2" fillId="13" borderId="15" xfId="0" applyNumberFormat="1" applyFont="1" applyFill="1" applyBorder="1" applyAlignment="1" applyProtection="1">
      <alignment horizontal="left" vertical="center"/>
    </xf>
    <xf numFmtId="0" fontId="2" fillId="0" borderId="0" xfId="0" applyFont="1" applyProtection="1"/>
    <xf numFmtId="0" fontId="5" fillId="0" borderId="0" xfId="0" applyFont="1" applyProtection="1"/>
    <xf numFmtId="0" fontId="35" fillId="0" borderId="0" xfId="0" applyFont="1" applyProtection="1"/>
    <xf numFmtId="0" fontId="0" fillId="0" borderId="11" xfId="0" applyBorder="1" applyProtection="1"/>
    <xf numFmtId="0" fontId="0" fillId="0" borderId="11" xfId="0" applyBorder="1" applyAlignment="1" applyProtection="1">
      <alignment horizontal="center"/>
    </xf>
    <xf numFmtId="0" fontId="0" fillId="0" borderId="11" xfId="0" applyBorder="1" applyAlignment="1" applyProtection="1">
      <alignment horizontal="right"/>
    </xf>
    <xf numFmtId="166" fontId="0" fillId="13" borderId="10" xfId="0" applyNumberFormat="1" applyFill="1" applyBorder="1" applyProtection="1"/>
    <xf numFmtId="166" fontId="2" fillId="7" borderId="10" xfId="0" applyNumberFormat="1" applyFont="1" applyFill="1" applyBorder="1" applyProtection="1"/>
    <xf numFmtId="0" fontId="0" fillId="0" borderId="0" xfId="0" applyFill="1" applyProtection="1"/>
    <xf numFmtId="0" fontId="0" fillId="2" borderId="10" xfId="0" applyFill="1" applyBorder="1" applyProtection="1">
      <protection locked="0"/>
    </xf>
    <xf numFmtId="0" fontId="0" fillId="2" borderId="10" xfId="0" applyFill="1" applyBorder="1" applyAlignment="1" applyProtection="1">
      <alignment horizontal="center"/>
      <protection locked="0"/>
    </xf>
    <xf numFmtId="166" fontId="0" fillId="2" borderId="10" xfId="0" applyNumberFormat="1" applyFill="1" applyBorder="1" applyProtection="1">
      <protection locked="0"/>
    </xf>
    <xf numFmtId="0" fontId="8" fillId="0" borderId="0" xfId="0" applyFont="1" applyProtection="1"/>
    <xf numFmtId="0" fontId="24" fillId="0" borderId="0" xfId="0" applyFont="1" applyProtection="1"/>
    <xf numFmtId="0" fontId="16" fillId="0" borderId="0" xfId="0" applyFont="1" applyProtection="1"/>
    <xf numFmtId="0" fontId="6" fillId="0" borderId="0" xfId="0" applyFont="1" applyProtection="1"/>
    <xf numFmtId="0" fontId="8" fillId="0" borderId="0" xfId="0" applyFont="1" applyAlignment="1" applyProtection="1">
      <alignment wrapText="1"/>
    </xf>
    <xf numFmtId="0" fontId="8" fillId="0" borderId="0" xfId="0" applyFont="1" applyFill="1" applyBorder="1" applyAlignment="1" applyProtection="1">
      <alignment horizontal="left"/>
    </xf>
    <xf numFmtId="0" fontId="6" fillId="0" borderId="0" xfId="0" applyFont="1" applyFill="1" applyBorder="1" applyAlignment="1" applyProtection="1">
      <alignment horizontal="left"/>
    </xf>
    <xf numFmtId="0" fontId="6" fillId="0" borderId="0" xfId="0" applyFont="1" applyFill="1" applyProtection="1"/>
    <xf numFmtId="0" fontId="8" fillId="0" borderId="0" xfId="0" applyFont="1" applyFill="1" applyBorder="1" applyAlignment="1" applyProtection="1">
      <alignment horizontal="left" wrapText="1"/>
    </xf>
    <xf numFmtId="0" fontId="0" fillId="0" borderId="8" xfId="0" applyBorder="1" applyAlignment="1" applyProtection="1">
      <alignment horizontal="left"/>
    </xf>
    <xf numFmtId="44" fontId="4" fillId="4" borderId="11" xfId="1" applyNumberFormat="1" applyFont="1" applyFill="1" applyBorder="1" applyAlignment="1" applyProtection="1">
      <alignment horizontal="center"/>
    </xf>
    <xf numFmtId="44" fontId="0" fillId="4" borderId="10" xfId="1" applyNumberFormat="1" applyFont="1" applyFill="1" applyBorder="1" applyAlignment="1" applyProtection="1">
      <alignment horizontal="center"/>
    </xf>
    <xf numFmtId="44" fontId="0" fillId="4" borderId="3" xfId="1" applyNumberFormat="1" applyFont="1" applyFill="1" applyBorder="1" applyAlignment="1" applyProtection="1">
      <alignment horizontal="center"/>
    </xf>
    <xf numFmtId="44" fontId="4" fillId="4" borderId="3" xfId="1" applyNumberFormat="1" applyFont="1" applyFill="1" applyBorder="1" applyAlignment="1" applyProtection="1">
      <alignment horizontal="center"/>
    </xf>
    <xf numFmtId="44" fontId="4" fillId="0" borderId="41" xfId="1" applyNumberFormat="1" applyFont="1" applyFill="1" applyBorder="1" applyAlignment="1" applyProtection="1">
      <alignment horizontal="center"/>
    </xf>
    <xf numFmtId="0" fontId="6" fillId="17" borderId="1" xfId="0" applyFont="1" applyFill="1" applyBorder="1" applyAlignment="1" applyProtection="1">
      <alignment horizontal="left"/>
    </xf>
    <xf numFmtId="0" fontId="6" fillId="17" borderId="2" xfId="0" applyFont="1" applyFill="1" applyBorder="1" applyAlignment="1" applyProtection="1">
      <alignment horizontal="left"/>
    </xf>
    <xf numFmtId="0" fontId="6" fillId="17" borderId="14" xfId="0" applyFont="1" applyFill="1" applyBorder="1" applyAlignment="1" applyProtection="1">
      <alignment horizontal="left"/>
    </xf>
    <xf numFmtId="0" fontId="8" fillId="0" borderId="0" xfId="0" applyFont="1" applyAlignment="1" applyProtection="1">
      <alignment horizontal="center"/>
    </xf>
    <xf numFmtId="0" fontId="8" fillId="0" borderId="0" xfId="0" applyFont="1" applyAlignment="1" applyProtection="1">
      <alignment horizontal="left" wrapText="1"/>
    </xf>
    <xf numFmtId="0" fontId="4" fillId="0" borderId="0" xfId="0" applyFont="1" applyAlignment="1" applyProtection="1"/>
    <xf numFmtId="0" fontId="5" fillId="0" borderId="18" xfId="0" applyFont="1" applyBorder="1" applyAlignment="1" applyProtection="1">
      <alignment horizontal="center"/>
    </xf>
    <xf numFmtId="0" fontId="5" fillId="0" borderId="19" xfId="0" applyFont="1" applyBorder="1" applyAlignment="1" applyProtection="1">
      <alignment horizontal="center"/>
    </xf>
    <xf numFmtId="0" fontId="5" fillId="0" borderId="20" xfId="0" applyFont="1" applyBorder="1" applyAlignment="1" applyProtection="1">
      <alignment horizontal="center"/>
    </xf>
    <xf numFmtId="0" fontId="5" fillId="9" borderId="1" xfId="0" applyFont="1" applyFill="1" applyBorder="1" applyAlignment="1" applyProtection="1">
      <alignment horizontal="center"/>
    </xf>
    <xf numFmtId="0" fontId="5" fillId="9" borderId="14" xfId="0" applyFont="1" applyFill="1" applyBorder="1" applyAlignment="1" applyProtection="1">
      <alignment horizontal="center"/>
    </xf>
    <xf numFmtId="0" fontId="2" fillId="5" borderId="26" xfId="0" applyFont="1" applyFill="1" applyBorder="1" applyAlignment="1" applyProtection="1">
      <alignment horizontal="center" vertical="center" wrapText="1"/>
    </xf>
    <xf numFmtId="0" fontId="2" fillId="5" borderId="27" xfId="0" applyFont="1" applyFill="1" applyBorder="1" applyAlignment="1" applyProtection="1">
      <alignment horizontal="center" vertical="center" wrapText="1"/>
    </xf>
    <xf numFmtId="0" fontId="2" fillId="5" borderId="28" xfId="0" applyFont="1" applyFill="1" applyBorder="1" applyAlignment="1" applyProtection="1">
      <alignment horizontal="center" vertical="center" wrapText="1"/>
    </xf>
    <xf numFmtId="0" fontId="12" fillId="6" borderId="43" xfId="0" applyFont="1" applyFill="1" applyBorder="1" applyAlignment="1" applyProtection="1">
      <alignment horizontal="center" wrapText="1"/>
    </xf>
    <xf numFmtId="0" fontId="12" fillId="6" borderId="44" xfId="0" applyFont="1" applyFill="1" applyBorder="1" applyAlignment="1" applyProtection="1">
      <alignment horizontal="center" wrapText="1"/>
    </xf>
    <xf numFmtId="0" fontId="12" fillId="6" borderId="45" xfId="0" applyFont="1" applyFill="1" applyBorder="1" applyAlignment="1" applyProtection="1">
      <alignment horizontal="center" wrapText="1"/>
    </xf>
    <xf numFmtId="0" fontId="12" fillId="6" borderId="1" xfId="0" applyFont="1" applyFill="1" applyBorder="1" applyAlignment="1" applyProtection="1">
      <alignment horizontal="center" wrapText="1"/>
    </xf>
    <xf numFmtId="0" fontId="12" fillId="6" borderId="2" xfId="0" applyFont="1" applyFill="1" applyBorder="1" applyAlignment="1" applyProtection="1">
      <alignment horizontal="center" wrapText="1"/>
    </xf>
    <xf numFmtId="0" fontId="12" fillId="6" borderId="14" xfId="0" applyFont="1" applyFill="1" applyBorder="1" applyAlignment="1" applyProtection="1">
      <alignment horizontal="center" wrapText="1"/>
    </xf>
    <xf numFmtId="0" fontId="0" fillId="0" borderId="0" xfId="0" applyBorder="1" applyAlignment="1" applyProtection="1">
      <alignment horizontal="left" vertical="center"/>
    </xf>
    <xf numFmtId="0" fontId="5" fillId="8" borderId="1" xfId="0" applyFont="1" applyFill="1" applyBorder="1" applyAlignment="1" applyProtection="1">
      <alignment horizontal="center" vertical="center" wrapText="1"/>
    </xf>
    <xf numFmtId="0" fontId="5" fillId="8" borderId="2" xfId="0" applyFont="1" applyFill="1" applyBorder="1" applyAlignment="1" applyProtection="1">
      <alignment horizontal="center" vertical="center" wrapText="1"/>
    </xf>
    <xf numFmtId="0" fontId="5" fillId="8" borderId="14" xfId="0" applyFont="1" applyFill="1" applyBorder="1" applyAlignment="1" applyProtection="1">
      <alignment horizontal="center" vertical="center" wrapText="1"/>
    </xf>
    <xf numFmtId="0" fontId="2" fillId="5" borderId="43" xfId="0" applyFont="1" applyFill="1" applyBorder="1" applyAlignment="1" applyProtection="1">
      <alignment horizontal="center" vertical="center" wrapText="1"/>
    </xf>
    <xf numFmtId="0" fontId="2" fillId="5" borderId="44" xfId="0" applyFont="1" applyFill="1" applyBorder="1" applyAlignment="1" applyProtection="1">
      <alignment horizontal="center" vertical="center" wrapText="1"/>
    </xf>
    <xf numFmtId="0" fontId="2" fillId="5" borderId="45" xfId="0" applyFont="1" applyFill="1" applyBorder="1" applyAlignment="1" applyProtection="1">
      <alignment horizontal="center" vertical="center" wrapText="1"/>
    </xf>
    <xf numFmtId="0" fontId="2" fillId="5" borderId="47" xfId="0" applyFont="1" applyFill="1" applyBorder="1" applyAlignment="1" applyProtection="1">
      <alignment horizontal="center" vertical="center" wrapText="1"/>
    </xf>
    <xf numFmtId="0" fontId="2" fillId="5" borderId="48" xfId="0" applyFont="1" applyFill="1" applyBorder="1" applyAlignment="1" applyProtection="1">
      <alignment horizontal="center" vertical="center" wrapText="1"/>
    </xf>
    <xf numFmtId="0" fontId="2" fillId="5" borderId="49" xfId="0" applyFont="1" applyFill="1" applyBorder="1" applyAlignment="1" applyProtection="1">
      <alignment horizontal="center" vertical="center" wrapText="1"/>
    </xf>
    <xf numFmtId="0" fontId="13" fillId="0" borderId="0" xfId="0" applyFont="1" applyAlignment="1" applyProtection="1">
      <alignment horizontal="left" vertical="top" wrapText="1"/>
    </xf>
    <xf numFmtId="0" fontId="2" fillId="0" borderId="0" xfId="0" applyFont="1" applyFill="1" applyAlignment="1" applyProtection="1">
      <alignment horizontal="left" vertical="top" wrapText="1"/>
    </xf>
    <xf numFmtId="0" fontId="2" fillId="6" borderId="1" xfId="0" applyFont="1" applyFill="1" applyBorder="1" applyAlignment="1" applyProtection="1">
      <alignment horizontal="center" wrapText="1"/>
    </xf>
    <xf numFmtId="0" fontId="2" fillId="6" borderId="2" xfId="0" applyFont="1" applyFill="1" applyBorder="1" applyAlignment="1" applyProtection="1">
      <alignment horizontal="center" wrapText="1"/>
    </xf>
    <xf numFmtId="0" fontId="2" fillId="6" borderId="14" xfId="0" applyFont="1" applyFill="1" applyBorder="1" applyAlignment="1" applyProtection="1">
      <alignment horizontal="center" wrapText="1"/>
    </xf>
    <xf numFmtId="0" fontId="2" fillId="5" borderId="1" xfId="0" applyFont="1" applyFill="1" applyBorder="1" applyAlignment="1" applyProtection="1">
      <alignment horizontal="center" vertical="center" wrapText="1"/>
    </xf>
    <xf numFmtId="0" fontId="2" fillId="5" borderId="2" xfId="0" applyFont="1" applyFill="1" applyBorder="1" applyAlignment="1" applyProtection="1">
      <alignment horizontal="center" vertical="center" wrapText="1"/>
    </xf>
    <xf numFmtId="0" fontId="2" fillId="5" borderId="14" xfId="0" applyFont="1" applyFill="1" applyBorder="1" applyAlignment="1" applyProtection="1">
      <alignment horizontal="center" vertical="center" wrapText="1"/>
    </xf>
    <xf numFmtId="0" fontId="2" fillId="9" borderId="1" xfId="0" applyFont="1" applyFill="1" applyBorder="1" applyAlignment="1" applyProtection="1">
      <alignment horizontal="center"/>
    </xf>
    <xf numFmtId="0" fontId="2" fillId="9" borderId="14" xfId="0" applyFont="1" applyFill="1" applyBorder="1" applyAlignment="1" applyProtection="1">
      <alignment horizontal="center"/>
    </xf>
    <xf numFmtId="0" fontId="2" fillId="7" borderId="8" xfId="0" applyFont="1" applyFill="1" applyBorder="1" applyAlignment="1" applyProtection="1">
      <alignment horizontal="right"/>
    </xf>
    <xf numFmtId="0" fontId="2" fillId="7" borderId="50" xfId="0" applyFont="1" applyFill="1" applyBorder="1" applyAlignment="1" applyProtection="1">
      <alignment horizontal="right"/>
    </xf>
    <xf numFmtId="0" fontId="2" fillId="7" borderId="9" xfId="0" applyFont="1" applyFill="1" applyBorder="1" applyAlignment="1" applyProtection="1">
      <alignment horizontal="right"/>
    </xf>
    <xf numFmtId="0" fontId="2" fillId="9" borderId="2" xfId="0" applyFont="1" applyFill="1" applyBorder="1" applyAlignment="1" applyProtection="1">
      <alignment horizontal="center"/>
    </xf>
    <xf numFmtId="0" fontId="3" fillId="4" borderId="43" xfId="3" applyFont="1" applyFill="1" applyBorder="1" applyAlignment="1">
      <alignment horizontal="center" vertical="center" wrapText="1"/>
    </xf>
    <xf numFmtId="0" fontId="3" fillId="4" borderId="33" xfId="3" applyFont="1" applyFill="1" applyBorder="1" applyAlignment="1">
      <alignment horizontal="center" vertical="center" wrapText="1"/>
    </xf>
    <xf numFmtId="166" fontId="3" fillId="9" borderId="1" xfId="3" applyNumberFormat="1" applyFont="1" applyFill="1" applyBorder="1" applyAlignment="1">
      <alignment horizontal="center" vertical="center"/>
    </xf>
    <xf numFmtId="166" fontId="3" fillId="9" borderId="2" xfId="3" applyNumberFormat="1" applyFont="1" applyFill="1" applyBorder="1" applyAlignment="1">
      <alignment horizontal="center" vertical="center"/>
    </xf>
    <xf numFmtId="166" fontId="3" fillId="9" borderId="14" xfId="3" applyNumberFormat="1" applyFont="1" applyFill="1" applyBorder="1" applyAlignment="1">
      <alignment horizontal="center" vertical="center"/>
    </xf>
    <xf numFmtId="0" fontId="2" fillId="9" borderId="1" xfId="0" applyFont="1" applyFill="1" applyBorder="1" applyAlignment="1">
      <alignment horizontal="center"/>
    </xf>
    <xf numFmtId="0" fontId="2" fillId="9" borderId="2" xfId="0" applyFont="1" applyFill="1" applyBorder="1" applyAlignment="1">
      <alignment horizontal="center"/>
    </xf>
    <xf numFmtId="0" fontId="2" fillId="9" borderId="14" xfId="0" applyFont="1" applyFill="1" applyBorder="1" applyAlignment="1">
      <alignment horizontal="center"/>
    </xf>
    <xf numFmtId="0" fontId="38" fillId="2" borderId="8" xfId="0" applyFont="1" applyFill="1" applyBorder="1" applyAlignment="1">
      <alignment horizontal="center"/>
    </xf>
    <xf numFmtId="0" fontId="38" fillId="2" borderId="50" xfId="0" applyFont="1" applyFill="1" applyBorder="1" applyAlignment="1">
      <alignment horizontal="center"/>
    </xf>
    <xf numFmtId="0" fontId="38" fillId="2" borderId="9" xfId="0" applyFont="1" applyFill="1" applyBorder="1" applyAlignment="1">
      <alignment horizontal="center"/>
    </xf>
    <xf numFmtId="0" fontId="20" fillId="5" borderId="1" xfId="3" quotePrefix="1" applyFont="1" applyFill="1" applyBorder="1" applyAlignment="1">
      <alignment horizontal="center" vertical="center" wrapText="1"/>
    </xf>
    <xf numFmtId="0" fontId="20" fillId="5" borderId="2" xfId="3" quotePrefix="1" applyFont="1" applyFill="1" applyBorder="1" applyAlignment="1">
      <alignment horizontal="center" vertical="center" wrapText="1"/>
    </xf>
    <xf numFmtId="0" fontId="20" fillId="5" borderId="14" xfId="3" quotePrefix="1" applyFont="1" applyFill="1" applyBorder="1" applyAlignment="1">
      <alignment horizontal="center" vertical="center" wrapText="1"/>
    </xf>
    <xf numFmtId="166" fontId="3" fillId="3" borderId="1" xfId="3" applyNumberFormat="1" applyFont="1" applyFill="1" applyBorder="1" applyAlignment="1">
      <alignment horizontal="center" vertical="center"/>
    </xf>
    <xf numFmtId="166" fontId="3" fillId="3" borderId="2" xfId="3" applyNumberFormat="1" applyFont="1" applyFill="1" applyBorder="1" applyAlignment="1">
      <alignment horizontal="center" vertical="center"/>
    </xf>
    <xf numFmtId="166" fontId="3" fillId="3" borderId="14" xfId="3" applyNumberFormat="1" applyFont="1" applyFill="1" applyBorder="1" applyAlignment="1">
      <alignment horizontal="center" vertical="center"/>
    </xf>
    <xf numFmtId="0" fontId="5" fillId="9" borderId="43" xfId="0" applyFont="1" applyFill="1" applyBorder="1" applyAlignment="1">
      <alignment horizontal="center" vertical="center"/>
    </xf>
    <xf numFmtId="0" fontId="5" fillId="9" borderId="45" xfId="0" applyFont="1" applyFill="1" applyBorder="1" applyAlignment="1">
      <alignment horizontal="center" vertical="center"/>
    </xf>
    <xf numFmtId="0" fontId="5" fillId="9" borderId="33" xfId="0" applyFont="1" applyFill="1" applyBorder="1" applyAlignment="1">
      <alignment horizontal="center" vertical="center"/>
    </xf>
    <xf numFmtId="0" fontId="5" fillId="9" borderId="34" xfId="0" applyFont="1" applyFill="1" applyBorder="1" applyAlignment="1">
      <alignment horizontal="center" vertical="center"/>
    </xf>
    <xf numFmtId="0" fontId="5" fillId="9" borderId="43" xfId="0" applyFont="1" applyFill="1" applyBorder="1" applyAlignment="1">
      <alignment horizontal="center" vertical="center" wrapText="1"/>
    </xf>
    <xf numFmtId="0" fontId="5" fillId="9" borderId="45" xfId="0" applyFont="1" applyFill="1" applyBorder="1" applyAlignment="1">
      <alignment horizontal="center" vertical="center" wrapText="1"/>
    </xf>
    <xf numFmtId="0" fontId="5" fillId="9" borderId="33" xfId="0" applyFont="1" applyFill="1" applyBorder="1" applyAlignment="1">
      <alignment horizontal="center" vertical="center" wrapText="1"/>
    </xf>
    <xf numFmtId="0" fontId="5" fillId="9" borderId="34" xfId="0" applyFont="1" applyFill="1" applyBorder="1" applyAlignment="1">
      <alignment horizontal="center" vertical="center" wrapText="1"/>
    </xf>
    <xf numFmtId="0" fontId="5" fillId="15" borderId="43" xfId="0" applyFont="1" applyFill="1" applyBorder="1" applyAlignment="1">
      <alignment horizontal="center" vertical="center" wrapText="1"/>
    </xf>
    <xf numFmtId="0" fontId="5" fillId="15" borderId="45" xfId="0" applyFont="1" applyFill="1" applyBorder="1" applyAlignment="1">
      <alignment horizontal="center" vertical="center" wrapText="1"/>
    </xf>
    <xf numFmtId="0" fontId="5" fillId="15" borderId="33" xfId="0" applyFont="1" applyFill="1" applyBorder="1" applyAlignment="1">
      <alignment horizontal="center" vertical="center" wrapText="1"/>
    </xf>
    <xf numFmtId="0" fontId="5" fillId="15" borderId="34" xfId="0" applyFont="1" applyFill="1" applyBorder="1" applyAlignment="1">
      <alignment horizontal="center" vertical="center" wrapText="1"/>
    </xf>
    <xf numFmtId="0" fontId="5" fillId="16" borderId="43" xfId="0" applyFont="1" applyFill="1" applyBorder="1" applyAlignment="1">
      <alignment horizontal="center" vertical="center" wrapText="1"/>
    </xf>
    <xf numFmtId="0" fontId="5" fillId="16" borderId="45" xfId="0" applyFont="1" applyFill="1" applyBorder="1" applyAlignment="1">
      <alignment horizontal="center" vertical="center" wrapText="1"/>
    </xf>
    <xf numFmtId="0" fontId="5" fillId="16" borderId="33" xfId="0" applyFont="1" applyFill="1" applyBorder="1" applyAlignment="1">
      <alignment horizontal="center" vertical="center" wrapText="1"/>
    </xf>
    <xf numFmtId="0" fontId="5" fillId="16" borderId="34" xfId="0" applyFont="1" applyFill="1" applyBorder="1" applyAlignment="1">
      <alignment horizontal="center" vertical="center" wrapText="1"/>
    </xf>
    <xf numFmtId="0" fontId="14" fillId="0" borderId="0" xfId="0" applyFont="1" applyAlignment="1" applyProtection="1">
      <alignment horizontal="left" vertical="top" wrapText="1"/>
    </xf>
    <xf numFmtId="166" fontId="3" fillId="14" borderId="1" xfId="3" applyNumberFormat="1" applyFont="1" applyFill="1" applyBorder="1" applyAlignment="1">
      <alignment horizontal="center" vertical="center"/>
    </xf>
    <xf numFmtId="166" fontId="3" fillId="14" borderId="2" xfId="3" applyNumberFormat="1" applyFont="1" applyFill="1" applyBorder="1" applyAlignment="1">
      <alignment horizontal="center" vertical="center"/>
    </xf>
    <xf numFmtId="166" fontId="3" fillId="14" borderId="14" xfId="3" applyNumberFormat="1" applyFont="1" applyFill="1" applyBorder="1" applyAlignment="1">
      <alignment horizontal="center" vertical="center"/>
    </xf>
    <xf numFmtId="0" fontId="20" fillId="5" borderId="1" xfId="3" quotePrefix="1" applyFont="1" applyFill="1" applyBorder="1" applyAlignment="1">
      <alignment horizontal="center" vertical="center"/>
    </xf>
    <xf numFmtId="0" fontId="20" fillId="5" borderId="2" xfId="3" quotePrefix="1" applyFont="1" applyFill="1" applyBorder="1" applyAlignment="1">
      <alignment horizontal="center" vertical="center"/>
    </xf>
    <xf numFmtId="0" fontId="20" fillId="5" borderId="14" xfId="3" quotePrefix="1" applyFont="1" applyFill="1" applyBorder="1" applyAlignment="1">
      <alignment horizontal="center" vertical="center"/>
    </xf>
    <xf numFmtId="0" fontId="3" fillId="3" borderId="43" xfId="3" applyFont="1" applyFill="1" applyBorder="1" applyAlignment="1">
      <alignment horizontal="center" vertical="center" wrapText="1"/>
    </xf>
    <xf numFmtId="0" fontId="3" fillId="3" borderId="33" xfId="3" applyFont="1" applyFill="1" applyBorder="1" applyAlignment="1">
      <alignment horizontal="center" vertical="center" wrapText="1"/>
    </xf>
    <xf numFmtId="0" fontId="3" fillId="14" borderId="31" xfId="3" applyFont="1" applyFill="1" applyBorder="1" applyAlignment="1">
      <alignment horizontal="center" vertical="center" wrapText="1"/>
    </xf>
    <xf numFmtId="0" fontId="3" fillId="14" borderId="61" xfId="3" applyFont="1" applyFill="1" applyBorder="1" applyAlignment="1">
      <alignment horizontal="center" vertical="center" wrapText="1"/>
    </xf>
    <xf numFmtId="166" fontId="21" fillId="0" borderId="8" xfId="4" applyNumberFormat="1" applyFont="1" applyFill="1" applyBorder="1" applyAlignment="1">
      <alignment horizontal="center" vertical="center" wrapText="1"/>
    </xf>
    <xf numFmtId="166" fontId="21" fillId="0" borderId="50" xfId="4" applyNumberFormat="1" applyFont="1" applyFill="1" applyBorder="1" applyAlignment="1">
      <alignment horizontal="center" vertical="center" wrapText="1"/>
    </xf>
    <xf numFmtId="166" fontId="21" fillId="0" borderId="63" xfId="4" applyNumberFormat="1" applyFont="1" applyFill="1" applyBorder="1" applyAlignment="1">
      <alignment horizontal="center" vertical="center" wrapText="1"/>
    </xf>
    <xf numFmtId="166" fontId="21" fillId="0" borderId="51" xfId="4" applyNumberFormat="1" applyFont="1" applyFill="1" applyBorder="1" applyAlignment="1">
      <alignment horizontal="center" vertical="center" wrapText="1"/>
    </xf>
    <xf numFmtId="0" fontId="3" fillId="14" borderId="43" xfId="3" applyFont="1" applyFill="1" applyBorder="1" applyAlignment="1">
      <alignment horizontal="center" vertical="center" wrapText="1"/>
    </xf>
    <xf numFmtId="0" fontId="3" fillId="14" borderId="33" xfId="3" applyFont="1" applyFill="1" applyBorder="1" applyAlignment="1">
      <alignment horizontal="center" vertical="center" wrapText="1"/>
    </xf>
    <xf numFmtId="166" fontId="21" fillId="0" borderId="1" xfId="4" applyNumberFormat="1" applyFont="1" applyFill="1" applyBorder="1" applyAlignment="1">
      <alignment horizontal="center" vertical="center" wrapText="1"/>
    </xf>
    <xf numFmtId="166" fontId="21" fillId="0" borderId="2" xfId="4" applyNumberFormat="1" applyFont="1" applyFill="1" applyBorder="1" applyAlignment="1">
      <alignment horizontal="center" vertical="center" wrapText="1"/>
    </xf>
    <xf numFmtId="166" fontId="21" fillId="0" borderId="14" xfId="4" applyNumberFormat="1" applyFont="1" applyFill="1" applyBorder="1" applyAlignment="1">
      <alignment horizontal="center" vertical="center" wrapText="1"/>
    </xf>
    <xf numFmtId="0" fontId="6" fillId="3" borderId="43" xfId="3" applyFont="1" applyFill="1" applyBorder="1" applyAlignment="1">
      <alignment horizontal="center" vertical="center" wrapText="1"/>
    </xf>
    <xf numFmtId="0" fontId="6" fillId="3" borderId="33" xfId="3" applyFont="1" applyFill="1" applyBorder="1" applyAlignment="1">
      <alignment horizontal="center" vertical="center" wrapText="1"/>
    </xf>
    <xf numFmtId="0" fontId="3" fillId="3" borderId="31" xfId="3" applyFont="1" applyFill="1" applyBorder="1" applyAlignment="1">
      <alignment horizontal="center" vertical="center" wrapText="1"/>
    </xf>
    <xf numFmtId="0" fontId="3" fillId="3" borderId="61" xfId="3" applyFont="1" applyFill="1" applyBorder="1" applyAlignment="1">
      <alignment horizontal="center" vertical="center" wrapText="1"/>
    </xf>
    <xf numFmtId="49" fontId="12" fillId="6" borderId="24" xfId="0" applyNumberFormat="1" applyFont="1" applyFill="1" applyBorder="1" applyAlignment="1">
      <alignment horizontal="center" vertical="center" textRotation="90"/>
    </xf>
    <xf numFmtId="49" fontId="12" fillId="6" borderId="0" xfId="0" applyNumberFormat="1" applyFont="1" applyFill="1" applyAlignment="1">
      <alignment horizontal="center" vertical="center" textRotation="90"/>
    </xf>
    <xf numFmtId="49" fontId="5" fillId="6" borderId="8" xfId="0" applyNumberFormat="1" applyFont="1" applyFill="1" applyBorder="1" applyAlignment="1">
      <alignment horizontal="center" vertical="center"/>
    </xf>
    <xf numFmtId="49" fontId="5" fillId="6" borderId="50" xfId="0" applyNumberFormat="1" applyFont="1" applyFill="1" applyBorder="1" applyAlignment="1">
      <alignment horizontal="center" vertical="center"/>
    </xf>
    <xf numFmtId="49" fontId="5" fillId="6" borderId="9" xfId="0" applyNumberFormat="1" applyFont="1" applyFill="1" applyBorder="1" applyAlignment="1">
      <alignment horizontal="center" vertical="center"/>
    </xf>
    <xf numFmtId="0" fontId="34" fillId="3" borderId="1" xfId="0" applyFont="1" applyFill="1" applyBorder="1" applyAlignment="1">
      <alignment horizontal="center" vertical="center" wrapText="1"/>
    </xf>
    <xf numFmtId="0" fontId="34" fillId="3" borderId="2" xfId="0" applyFont="1" applyFill="1" applyBorder="1" applyAlignment="1">
      <alignment horizontal="center" vertical="center" wrapText="1"/>
    </xf>
    <xf numFmtId="0" fontId="34" fillId="3" borderId="14" xfId="0" applyFont="1" applyFill="1" applyBorder="1" applyAlignment="1">
      <alignment horizontal="center" vertical="center" wrapText="1"/>
    </xf>
    <xf numFmtId="0" fontId="5" fillId="5" borderId="73" xfId="0" applyFont="1" applyFill="1" applyBorder="1" applyAlignment="1">
      <alignment horizontal="center" vertical="center"/>
    </xf>
    <xf numFmtId="0" fontId="5" fillId="5" borderId="81" xfId="0" applyFont="1" applyFill="1" applyBorder="1" applyAlignment="1">
      <alignment horizontal="center" vertical="center"/>
    </xf>
    <xf numFmtId="0" fontId="5" fillId="5" borderId="58" xfId="0" applyFont="1" applyFill="1" applyBorder="1" applyAlignment="1">
      <alignment horizontal="center" vertical="center"/>
    </xf>
    <xf numFmtId="0" fontId="5" fillId="5" borderId="8" xfId="0" applyFont="1" applyFill="1" applyBorder="1" applyAlignment="1">
      <alignment horizontal="center" vertical="center"/>
    </xf>
    <xf numFmtId="0" fontId="5" fillId="5" borderId="9" xfId="0" applyFont="1" applyFill="1" applyBorder="1" applyAlignment="1">
      <alignment horizontal="center" vertical="center"/>
    </xf>
    <xf numFmtId="0" fontId="5" fillId="5" borderId="73" xfId="0" applyFont="1" applyFill="1" applyBorder="1" applyAlignment="1">
      <alignment horizontal="center" wrapText="1"/>
    </xf>
    <xf numFmtId="0" fontId="5" fillId="5" borderId="58" xfId="0" applyFont="1" applyFill="1" applyBorder="1" applyAlignment="1">
      <alignment horizontal="center" wrapText="1"/>
    </xf>
  </cellXfs>
  <cellStyles count="8">
    <cellStyle name="Comma" xfId="7" builtinId="3"/>
    <cellStyle name="Comma 2" xfId="5" xr:uid="{926DB012-571D-4A3A-A36B-A5B3F764A647}"/>
    <cellStyle name="Currency" xfId="1" builtinId="4"/>
    <cellStyle name="Normal" xfId="0" builtinId="0"/>
    <cellStyle name="Normal 2" xfId="3" xr:uid="{8A7BF804-617E-461F-9D93-5F2996C38C14}"/>
    <cellStyle name="Normal 3" xfId="4" xr:uid="{F9B84AC7-CD2D-4A3D-9C9D-8E1648510225}"/>
    <cellStyle name="Normal 4 5" xfId="6" xr:uid="{8AD1B8A3-0997-4A37-A5A8-1E2786EFFF9F}"/>
    <cellStyle name="Percent" xfId="2" builtinId="5"/>
  </cellStyles>
  <dxfs count="0"/>
  <tableStyles count="0" defaultTableStyle="TableStyleMedium2" defaultPivotStyle="PivotStyleLight16"/>
  <colors>
    <mruColors>
      <color rgb="FF66FF99"/>
      <color rgb="FFD5C6E0"/>
      <color rgb="FFA4F8DE"/>
      <color rgb="FFBAA4B7"/>
      <color rgb="FFD886D4"/>
      <color rgb="FFC797B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theme" Target="theme/theme1.xml"/><Relationship Id="rId45"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customXml" Target="../customXml/item3.xml"/><Relationship Id="rId20" Type="http://schemas.openxmlformats.org/officeDocument/2006/relationships/worksheet" Target="worksheets/sheet20.xml"/><Relationship Id="rId41"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tinker-2K\dfs1\OCALC-PK\Group_Files\Pkc\Source%20Selection\Dee\25-ZBB-xx%20KC-135%20CCR\PREVIOUS\2nd%20Round%20CCR\NEW%20KC-135%20CCR%20Pricing%20Matrix%20Amendment%2001%20-%2018%20Mar%2024%20-%20UNLOCKED.xlsx" TargetMode="External"/><Relationship Id="rId1" Type="http://schemas.openxmlformats.org/officeDocument/2006/relationships/externalLinkPath" Target="/OCALC-PK/Group_Files/Pkc/Source%20Selection/Dee/25-ZBB-xx%20KC-135%20CCR/PREVIOUS/2nd%20Round%20CCR/NEW%20KC-135%20CCR%20Pricing%20Matrix%20Amendment%2001%20-%2018%20Mar%2024%20-%20UNLOCKE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ummary of Changes"/>
      <sheetName val="Instructions"/>
      <sheetName val="Calculation Methodology"/>
      <sheetName val="Summary"/>
      <sheetName val="X019, X025 and X034 Parts"/>
      <sheetName val="FPIF"/>
    </sheetNames>
    <sheetDataSet>
      <sheetData sheetId="0"/>
      <sheetData sheetId="1"/>
      <sheetData sheetId="2"/>
      <sheetData sheetId="3">
        <row r="8">
          <cell r="D8" t="str">
            <v>LOT</v>
          </cell>
          <cell r="E8">
            <v>1</v>
          </cell>
        </row>
        <row r="9">
          <cell r="D9" t="str">
            <v>LOT</v>
          </cell>
          <cell r="E9">
            <v>1</v>
          </cell>
        </row>
      </sheetData>
      <sheetData sheetId="4"/>
      <sheetData sheetId="5"/>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E4A6AF-74D3-44F3-BEC6-7BF475E6394F}">
  <dimension ref="B1:T27"/>
  <sheetViews>
    <sheetView zoomScale="110" zoomScaleNormal="110" workbookViewId="0">
      <selection sqref="A1:XFD1048576"/>
    </sheetView>
    <sheetView workbookViewId="1"/>
  </sheetViews>
  <sheetFormatPr defaultColWidth="9.140625" defaultRowHeight="15" x14ac:dyDescent="0.25"/>
  <cols>
    <col min="1" max="1" width="1.5703125" style="61" customWidth="1"/>
    <col min="2" max="2" width="4.28515625" style="61" customWidth="1"/>
    <col min="3" max="3" width="220.42578125" style="61" customWidth="1"/>
    <col min="4" max="6" width="9.140625" style="61"/>
    <col min="7" max="7" width="13.42578125" style="61" customWidth="1"/>
    <col min="8" max="17" width="9.140625" style="61"/>
    <col min="18" max="18" width="25.85546875" style="61" customWidth="1"/>
    <col min="19" max="19" width="9.140625" style="61"/>
    <col min="20" max="20" width="25.42578125" style="61" customWidth="1"/>
    <col min="21" max="16384" width="9.140625" style="61"/>
  </cols>
  <sheetData>
    <row r="1" spans="2:20" s="425" customFormat="1" ht="15.75" x14ac:dyDescent="0.25">
      <c r="B1" s="539" t="s">
        <v>0</v>
      </c>
      <c r="C1" s="539"/>
      <c r="D1" s="539"/>
      <c r="E1" s="539"/>
      <c r="F1" s="539"/>
      <c r="G1" s="539"/>
      <c r="H1" s="539"/>
      <c r="I1" s="539"/>
      <c r="J1" s="539"/>
      <c r="K1" s="539"/>
      <c r="L1" s="539"/>
      <c r="M1" s="539"/>
      <c r="N1" s="539"/>
      <c r="O1" s="539"/>
    </row>
    <row r="2" spans="2:20" s="425" customFormat="1" ht="15.75" x14ac:dyDescent="0.25">
      <c r="B2" s="539" t="s">
        <v>275</v>
      </c>
      <c r="C2" s="539"/>
      <c r="D2" s="539"/>
      <c r="E2" s="539"/>
      <c r="F2" s="539"/>
      <c r="G2" s="539"/>
      <c r="H2" s="539"/>
      <c r="I2" s="539"/>
      <c r="J2" s="539"/>
      <c r="K2" s="539"/>
      <c r="L2" s="539"/>
      <c r="M2" s="539"/>
      <c r="N2" s="539"/>
      <c r="O2" s="539"/>
    </row>
    <row r="3" spans="2:20" ht="15.75" x14ac:dyDescent="0.25">
      <c r="B3" s="539" t="s">
        <v>620</v>
      </c>
      <c r="C3" s="539"/>
      <c r="D3" s="539"/>
      <c r="E3" s="539"/>
      <c r="F3" s="539"/>
      <c r="G3" s="539"/>
      <c r="H3" s="539"/>
      <c r="I3" s="539"/>
      <c r="J3" s="539"/>
      <c r="K3" s="539"/>
      <c r="L3" s="539"/>
      <c r="M3" s="539"/>
      <c r="N3" s="539"/>
      <c r="O3" s="539"/>
    </row>
    <row r="4" spans="2:20" x14ac:dyDescent="0.25">
      <c r="B4" s="510" t="s">
        <v>130</v>
      </c>
      <c r="C4" s="425"/>
      <c r="D4" s="425"/>
      <c r="E4" s="425"/>
      <c r="F4" s="425"/>
      <c r="G4" s="425"/>
      <c r="H4" s="425"/>
      <c r="I4" s="425"/>
      <c r="J4" s="425"/>
      <c r="K4" s="425"/>
      <c r="L4" s="425"/>
      <c r="M4" s="425"/>
      <c r="N4" s="425"/>
      <c r="O4" s="425"/>
      <c r="P4" s="425"/>
      <c r="Q4" s="425"/>
    </row>
    <row r="5" spans="2:20" s="521" customFormat="1" ht="15.75" x14ac:dyDescent="0.25">
      <c r="B5" s="521" t="s">
        <v>621</v>
      </c>
    </row>
    <row r="6" spans="2:20" s="521" customFormat="1" ht="15.75" x14ac:dyDescent="0.25">
      <c r="B6" s="521" t="s">
        <v>428</v>
      </c>
    </row>
    <row r="7" spans="2:20" s="521" customFormat="1" ht="15.75" x14ac:dyDescent="0.25">
      <c r="B7" s="521" t="s">
        <v>430</v>
      </c>
    </row>
    <row r="8" spans="2:20" s="522" customFormat="1" ht="15.75" x14ac:dyDescent="0.25">
      <c r="B8" s="522" t="s">
        <v>564</v>
      </c>
    </row>
    <row r="9" spans="2:20" ht="15.75" x14ac:dyDescent="0.25">
      <c r="B9" s="523"/>
    </row>
    <row r="10" spans="2:20" s="425" customFormat="1" ht="15.75" x14ac:dyDescent="0.25">
      <c r="B10" s="524" t="s">
        <v>381</v>
      </c>
      <c r="C10" s="524"/>
      <c r="D10" s="524"/>
      <c r="E10" s="524"/>
      <c r="F10" s="524"/>
      <c r="G10" s="524"/>
      <c r="H10" s="524"/>
      <c r="I10" s="521"/>
      <c r="J10" s="521"/>
      <c r="K10" s="521"/>
      <c r="L10" s="521"/>
      <c r="M10" s="521"/>
      <c r="N10" s="521"/>
    </row>
    <row r="11" spans="2:20" s="425" customFormat="1" ht="16.5" thickBot="1" x14ac:dyDescent="0.3">
      <c r="B11" s="521"/>
      <c r="C11" s="521"/>
      <c r="D11" s="521"/>
      <c r="E11" s="521"/>
      <c r="F11" s="521"/>
      <c r="G11" s="521"/>
      <c r="H11" s="521"/>
      <c r="I11" s="521"/>
      <c r="J11" s="521"/>
      <c r="K11" s="521"/>
      <c r="L11" s="521"/>
      <c r="M11" s="521"/>
      <c r="N11" s="521"/>
    </row>
    <row r="12" spans="2:20" s="510" customFormat="1" ht="16.5" thickBot="1" x14ac:dyDescent="0.3">
      <c r="B12" s="536" t="s">
        <v>426</v>
      </c>
      <c r="C12" s="537"/>
      <c r="D12" s="537"/>
      <c r="E12" s="537"/>
      <c r="F12" s="537"/>
      <c r="G12" s="538"/>
      <c r="H12" s="524"/>
      <c r="I12" s="524"/>
      <c r="J12" s="524"/>
      <c r="K12" s="524"/>
      <c r="L12" s="524"/>
      <c r="M12" s="524"/>
      <c r="N12" s="524"/>
      <c r="O12" s="524"/>
    </row>
    <row r="13" spans="2:20" s="425" customFormat="1" ht="15.75" x14ac:dyDescent="0.25">
      <c r="B13" s="425">
        <v>1</v>
      </c>
      <c r="C13" s="540" t="s">
        <v>382</v>
      </c>
      <c r="D13" s="540"/>
      <c r="E13" s="540"/>
      <c r="F13" s="540"/>
      <c r="G13" s="540"/>
      <c r="H13" s="540"/>
      <c r="I13" s="540"/>
      <c r="J13" s="540"/>
      <c r="K13" s="540"/>
      <c r="L13" s="540"/>
      <c r="M13" s="540"/>
      <c r="N13" s="540"/>
      <c r="O13" s="540"/>
      <c r="P13" s="540"/>
      <c r="Q13" s="541"/>
      <c r="R13" s="541"/>
      <c r="S13" s="541"/>
      <c r="T13" s="541"/>
    </row>
    <row r="14" spans="2:20" s="425" customFormat="1" ht="31.5" customHeight="1" x14ac:dyDescent="0.25">
      <c r="B14" s="425">
        <v>2</v>
      </c>
      <c r="C14" s="525" t="s">
        <v>618</v>
      </c>
      <c r="D14" s="525"/>
      <c r="E14" s="525"/>
      <c r="F14" s="525"/>
      <c r="G14" s="525"/>
      <c r="H14" s="525"/>
      <c r="I14" s="525"/>
      <c r="J14" s="525"/>
      <c r="K14" s="525"/>
      <c r="L14" s="525"/>
      <c r="M14" s="525"/>
      <c r="N14" s="525"/>
      <c r="O14" s="525"/>
      <c r="P14" s="525"/>
      <c r="Q14" s="525"/>
      <c r="R14" s="525"/>
      <c r="S14" s="525"/>
      <c r="T14" s="525"/>
    </row>
    <row r="15" spans="2:20" s="425" customFormat="1" ht="15.75" x14ac:dyDescent="0.25">
      <c r="B15" s="425">
        <v>3</v>
      </c>
      <c r="C15" s="521" t="s">
        <v>550</v>
      </c>
      <c r="D15" s="521"/>
      <c r="E15" s="521"/>
      <c r="F15" s="521"/>
      <c r="G15" s="521"/>
      <c r="H15" s="521"/>
      <c r="I15" s="521"/>
      <c r="J15" s="521"/>
      <c r="K15" s="521"/>
      <c r="L15" s="521"/>
      <c r="M15" s="521"/>
      <c r="N15" s="521"/>
      <c r="O15" s="521"/>
    </row>
    <row r="16" spans="2:20" s="425" customFormat="1" ht="15.75" x14ac:dyDescent="0.25">
      <c r="B16" s="425">
        <v>4</v>
      </c>
      <c r="C16" s="521" t="s">
        <v>1</v>
      </c>
      <c r="D16" s="521"/>
      <c r="E16" s="521"/>
      <c r="F16" s="521"/>
      <c r="G16" s="521"/>
      <c r="H16" s="521"/>
      <c r="I16" s="521"/>
      <c r="J16" s="521"/>
      <c r="K16" s="521"/>
      <c r="L16" s="521"/>
      <c r="M16" s="521"/>
      <c r="N16" s="521"/>
      <c r="O16" s="521"/>
    </row>
    <row r="17" spans="2:16" s="521" customFormat="1" ht="15.75" x14ac:dyDescent="0.25">
      <c r="B17" s="521">
        <v>5</v>
      </c>
      <c r="C17" s="521" t="s">
        <v>552</v>
      </c>
    </row>
    <row r="18" spans="2:16" ht="15.75" thickBot="1" x14ac:dyDescent="0.3"/>
    <row r="19" spans="2:16" s="524" customFormat="1" ht="15.75" customHeight="1" thickBot="1" x14ac:dyDescent="0.3">
      <c r="B19" s="536" t="s">
        <v>427</v>
      </c>
      <c r="C19" s="537"/>
      <c r="D19" s="537"/>
      <c r="E19" s="537"/>
      <c r="F19" s="537"/>
      <c r="G19" s="538"/>
    </row>
    <row r="20" spans="2:16" s="524" customFormat="1" ht="15.75" customHeight="1" x14ac:dyDescent="0.25">
      <c r="B20" s="425">
        <v>1</v>
      </c>
      <c r="C20" s="526" t="s">
        <v>429</v>
      </c>
      <c r="D20" s="527"/>
      <c r="E20" s="527"/>
      <c r="F20" s="527"/>
      <c r="G20" s="527"/>
      <c r="H20" s="528"/>
    </row>
    <row r="21" spans="2:16" s="524" customFormat="1" ht="31.5" x14ac:dyDescent="0.25">
      <c r="B21" s="425">
        <v>2</v>
      </c>
      <c r="C21" s="529" t="s">
        <v>623</v>
      </c>
      <c r="D21" s="527"/>
      <c r="E21" s="527"/>
      <c r="F21" s="527"/>
      <c r="G21" s="527"/>
      <c r="H21" s="528"/>
    </row>
    <row r="22" spans="2:16" s="524" customFormat="1" ht="31.5" x14ac:dyDescent="0.25">
      <c r="B22" s="425">
        <v>3</v>
      </c>
      <c r="C22" s="529" t="s">
        <v>619</v>
      </c>
      <c r="D22" s="527"/>
      <c r="E22" s="527"/>
      <c r="F22" s="527"/>
      <c r="G22" s="527"/>
      <c r="H22" s="528"/>
    </row>
    <row r="23" spans="2:16" ht="31.5" x14ac:dyDescent="0.25">
      <c r="B23" s="521">
        <v>4</v>
      </c>
      <c r="C23" s="525" t="s">
        <v>551</v>
      </c>
      <c r="D23" s="521"/>
      <c r="E23" s="521"/>
      <c r="F23" s="521"/>
      <c r="G23" s="521"/>
      <c r="H23" s="521"/>
      <c r="I23" s="521"/>
      <c r="J23" s="521"/>
      <c r="K23" s="521"/>
      <c r="L23" s="521"/>
      <c r="M23" s="521"/>
      <c r="N23" s="521"/>
      <c r="O23" s="521"/>
      <c r="P23" s="521"/>
    </row>
    <row r="24" spans="2:16" ht="15.75" x14ac:dyDescent="0.25">
      <c r="B24" s="521">
        <v>5</v>
      </c>
      <c r="C24" s="521" t="s">
        <v>547</v>
      </c>
      <c r="D24" s="521"/>
      <c r="E24" s="521"/>
      <c r="F24" s="521"/>
      <c r="G24" s="521"/>
      <c r="H24" s="521"/>
      <c r="I24" s="521"/>
      <c r="J24" s="521"/>
      <c r="K24" s="521"/>
      <c r="L24" s="521"/>
      <c r="M24" s="521"/>
      <c r="N24" s="521"/>
      <c r="O24" s="521"/>
      <c r="P24" s="521"/>
    </row>
    <row r="25" spans="2:16" ht="15.75" x14ac:dyDescent="0.25">
      <c r="B25" s="521">
        <v>6</v>
      </c>
      <c r="C25" s="521" t="s">
        <v>553</v>
      </c>
      <c r="D25" s="521"/>
      <c r="E25" s="521"/>
      <c r="F25" s="521"/>
      <c r="G25" s="521"/>
      <c r="H25" s="521"/>
      <c r="I25" s="521"/>
      <c r="J25" s="521"/>
      <c r="K25" s="521"/>
      <c r="L25" s="521"/>
      <c r="M25" s="521"/>
      <c r="N25" s="521"/>
      <c r="O25" s="521"/>
      <c r="P25" s="521"/>
    </row>
    <row r="26" spans="2:16" ht="31.5" x14ac:dyDescent="0.25">
      <c r="B26" s="521">
        <v>7</v>
      </c>
      <c r="C26" s="525" t="s">
        <v>630</v>
      </c>
      <c r="D26" s="521"/>
      <c r="E26" s="521"/>
      <c r="F26" s="521"/>
      <c r="G26" s="521"/>
      <c r="H26" s="521"/>
      <c r="I26" s="521"/>
      <c r="J26" s="521"/>
      <c r="K26" s="521"/>
      <c r="L26" s="521"/>
      <c r="M26" s="521"/>
      <c r="N26" s="521"/>
      <c r="O26" s="521"/>
      <c r="P26" s="521"/>
    </row>
    <row r="27" spans="2:16" ht="15.75" x14ac:dyDescent="0.25">
      <c r="B27" s="521"/>
      <c r="C27" s="521"/>
      <c r="D27" s="521"/>
      <c r="E27" s="521"/>
      <c r="F27" s="521"/>
      <c r="G27" s="521"/>
      <c r="H27" s="521"/>
      <c r="I27" s="521"/>
      <c r="J27" s="521"/>
      <c r="K27" s="521"/>
      <c r="L27" s="521"/>
      <c r="M27" s="521"/>
      <c r="N27" s="521"/>
      <c r="O27" s="521"/>
      <c r="P27" s="521"/>
    </row>
  </sheetData>
  <sheetProtection algorithmName="SHA-512" hashValue="TbilZJOxFwefP26KitVR9ryxJz6QbqohdeOdK1hrWcu5n8sOIUH5j7Mzj63G379HVi0GVJg8PwNDYjxSziOx9g==" saltValue="SWw0yD/DU7sZolLvizfPZg==" spinCount="100000" sheet="1" objects="1" scenarios="1" selectLockedCells="1"/>
  <mergeCells count="6">
    <mergeCell ref="B19:G19"/>
    <mergeCell ref="B1:O1"/>
    <mergeCell ref="B2:O2"/>
    <mergeCell ref="B3:O3"/>
    <mergeCell ref="C13:T13"/>
    <mergeCell ref="B12:G12"/>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A56036-A00D-4F0B-A2FB-BD4AEF3F3F1D}">
  <dimension ref="A1:D31"/>
  <sheetViews>
    <sheetView zoomScaleNormal="100" workbookViewId="0">
      <selection sqref="A1:XFD1048576"/>
    </sheetView>
    <sheetView workbookViewId="1">
      <selection sqref="A1:D1"/>
    </sheetView>
  </sheetViews>
  <sheetFormatPr defaultColWidth="9.140625" defaultRowHeight="15" x14ac:dyDescent="0.25"/>
  <cols>
    <col min="1" max="1" width="17.85546875" style="61" customWidth="1"/>
    <col min="2" max="2" width="10.28515625" style="61" customWidth="1"/>
    <col min="3" max="3" width="74.5703125" style="61" customWidth="1"/>
    <col min="4" max="4" width="114.5703125" style="61" customWidth="1"/>
    <col min="5" max="7" width="9.140625" style="61"/>
    <col min="8" max="8" width="30" style="61" customWidth="1"/>
    <col min="9" max="16384" width="9.140625" style="61"/>
  </cols>
  <sheetData>
    <row r="1" spans="1:4" ht="15.75" thickBot="1" x14ac:dyDescent="0.3">
      <c r="A1" s="542" t="s">
        <v>622</v>
      </c>
      <c r="B1" s="543"/>
      <c r="C1" s="543"/>
      <c r="D1" s="544"/>
    </row>
    <row r="2" spans="1:4" ht="30.75" thickBot="1" x14ac:dyDescent="0.3">
      <c r="A2" s="337" t="s">
        <v>2</v>
      </c>
      <c r="B2" s="338" t="s">
        <v>316</v>
      </c>
      <c r="C2" s="308" t="s">
        <v>3</v>
      </c>
      <c r="D2" s="310" t="s">
        <v>4</v>
      </c>
    </row>
    <row r="3" spans="1:4" ht="15.75" thickBot="1" x14ac:dyDescent="0.3">
      <c r="A3" s="545" t="s">
        <v>89</v>
      </c>
      <c r="B3" s="546"/>
      <c r="C3" s="336"/>
      <c r="D3" s="311"/>
    </row>
    <row r="4" spans="1:4" x14ac:dyDescent="0.25">
      <c r="A4" s="333" t="s">
        <v>68</v>
      </c>
      <c r="B4" s="339" t="s">
        <v>34</v>
      </c>
      <c r="C4" s="530" t="s">
        <v>26</v>
      </c>
      <c r="D4" s="483" t="s">
        <v>582</v>
      </c>
    </row>
    <row r="5" spans="1:4" x14ac:dyDescent="0.25">
      <c r="A5" s="334" t="s">
        <v>69</v>
      </c>
      <c r="B5" s="309" t="s">
        <v>34</v>
      </c>
      <c r="C5" s="530" t="s">
        <v>27</v>
      </c>
      <c r="D5" s="483" t="s">
        <v>583</v>
      </c>
    </row>
    <row r="6" spans="1:4" x14ac:dyDescent="0.25">
      <c r="A6" s="332" t="s">
        <v>70</v>
      </c>
      <c r="B6" s="309" t="s">
        <v>34</v>
      </c>
      <c r="C6" s="530" t="s">
        <v>28</v>
      </c>
      <c r="D6" s="483" t="s">
        <v>584</v>
      </c>
    </row>
    <row r="7" spans="1:4" x14ac:dyDescent="0.25">
      <c r="A7" s="309" t="s">
        <v>167</v>
      </c>
      <c r="B7" s="60" t="s">
        <v>19</v>
      </c>
      <c r="C7" s="59" t="s">
        <v>29</v>
      </c>
      <c r="D7" s="342" t="s">
        <v>317</v>
      </c>
    </row>
    <row r="8" spans="1:4" x14ac:dyDescent="0.25">
      <c r="A8" s="309" t="s">
        <v>168</v>
      </c>
      <c r="B8" s="59" t="s">
        <v>47</v>
      </c>
      <c r="C8" s="59" t="s">
        <v>30</v>
      </c>
      <c r="D8" s="342" t="s">
        <v>317</v>
      </c>
    </row>
    <row r="9" spans="1:4" ht="15.75" thickBot="1" x14ac:dyDescent="0.3">
      <c r="A9" s="331" t="s">
        <v>169</v>
      </c>
      <c r="B9" s="340" t="s">
        <v>19</v>
      </c>
      <c r="C9" s="59" t="s">
        <v>31</v>
      </c>
      <c r="D9" s="343" t="s">
        <v>317</v>
      </c>
    </row>
    <row r="10" spans="1:4" ht="15.75" customHeight="1" thickBot="1" x14ac:dyDescent="0.3">
      <c r="A10" s="545" t="s">
        <v>90</v>
      </c>
      <c r="B10" s="546"/>
      <c r="C10" s="312"/>
      <c r="D10" s="335"/>
    </row>
    <row r="11" spans="1:4" x14ac:dyDescent="0.25">
      <c r="A11" s="339" t="s">
        <v>383</v>
      </c>
      <c r="B11" s="341" t="s">
        <v>46</v>
      </c>
      <c r="C11" s="59" t="s">
        <v>37</v>
      </c>
      <c r="D11" s="483" t="s">
        <v>586</v>
      </c>
    </row>
    <row r="12" spans="1:4" x14ac:dyDescent="0.25">
      <c r="A12" s="309" t="s">
        <v>575</v>
      </c>
      <c r="B12" s="332" t="s">
        <v>46</v>
      </c>
      <c r="C12" s="59" t="s">
        <v>38</v>
      </c>
      <c r="D12" s="483" t="s">
        <v>587</v>
      </c>
    </row>
    <row r="13" spans="1:4" x14ac:dyDescent="0.25">
      <c r="A13" s="309" t="s">
        <v>306</v>
      </c>
      <c r="B13" s="332" t="s">
        <v>46</v>
      </c>
      <c r="C13" s="59" t="s">
        <v>17</v>
      </c>
      <c r="D13" s="483" t="s">
        <v>585</v>
      </c>
    </row>
    <row r="14" spans="1:4" ht="15" customHeight="1" x14ac:dyDescent="0.25">
      <c r="A14" s="309" t="s">
        <v>307</v>
      </c>
      <c r="B14" s="332" t="s">
        <v>46</v>
      </c>
      <c r="C14" s="59" t="s">
        <v>39</v>
      </c>
      <c r="D14" s="483" t="s">
        <v>588</v>
      </c>
    </row>
    <row r="15" spans="1:4" x14ac:dyDescent="0.25">
      <c r="A15" s="309" t="s">
        <v>308</v>
      </c>
      <c r="B15" s="332" t="s">
        <v>46</v>
      </c>
      <c r="C15" s="59" t="s">
        <v>40</v>
      </c>
      <c r="D15" s="483" t="s">
        <v>579</v>
      </c>
    </row>
    <row r="16" spans="1:4" x14ac:dyDescent="0.25">
      <c r="A16" s="309" t="s">
        <v>309</v>
      </c>
      <c r="B16" s="332" t="s">
        <v>46</v>
      </c>
      <c r="C16" s="59" t="s">
        <v>41</v>
      </c>
      <c r="D16" s="483" t="s">
        <v>579</v>
      </c>
    </row>
    <row r="17" spans="1:4" x14ac:dyDescent="0.25">
      <c r="A17" s="309" t="s">
        <v>310</v>
      </c>
      <c r="B17" s="332" t="s">
        <v>46</v>
      </c>
      <c r="C17" s="59" t="s">
        <v>42</v>
      </c>
      <c r="D17" s="483" t="s">
        <v>579</v>
      </c>
    </row>
    <row r="18" spans="1:4" x14ac:dyDescent="0.25">
      <c r="A18" s="309" t="s">
        <v>311</v>
      </c>
      <c r="B18" s="332" t="s">
        <v>46</v>
      </c>
      <c r="C18" s="60" t="s">
        <v>43</v>
      </c>
      <c r="D18" s="484" t="s">
        <v>589</v>
      </c>
    </row>
    <row r="19" spans="1:4" x14ac:dyDescent="0.25">
      <c r="A19" s="309" t="s">
        <v>312</v>
      </c>
      <c r="B19" s="332" t="s">
        <v>46</v>
      </c>
      <c r="C19" s="60" t="s">
        <v>276</v>
      </c>
      <c r="D19" s="484" t="s">
        <v>590</v>
      </c>
    </row>
    <row r="20" spans="1:4" x14ac:dyDescent="0.25">
      <c r="A20" s="309" t="s">
        <v>313</v>
      </c>
      <c r="B20" s="332" t="s">
        <v>46</v>
      </c>
      <c r="C20" s="59" t="s">
        <v>44</v>
      </c>
      <c r="D20" s="483" t="s">
        <v>579</v>
      </c>
    </row>
    <row r="21" spans="1:4" x14ac:dyDescent="0.25">
      <c r="A21" s="309" t="s">
        <v>314</v>
      </c>
      <c r="B21" s="332" t="s">
        <v>19</v>
      </c>
      <c r="C21" s="59" t="s">
        <v>439</v>
      </c>
      <c r="D21" s="483" t="s">
        <v>317</v>
      </c>
    </row>
    <row r="22" spans="1:4" x14ac:dyDescent="0.25">
      <c r="A22" s="309" t="s">
        <v>576</v>
      </c>
      <c r="B22" s="332" t="s">
        <v>47</v>
      </c>
      <c r="C22" s="59" t="s">
        <v>45</v>
      </c>
      <c r="D22" s="483" t="s">
        <v>317</v>
      </c>
    </row>
    <row r="23" spans="1:4" x14ac:dyDescent="0.25">
      <c r="A23" s="309" t="s">
        <v>577</v>
      </c>
      <c r="B23" s="332" t="s">
        <v>47</v>
      </c>
      <c r="C23" s="59" t="s">
        <v>581</v>
      </c>
      <c r="D23" s="483" t="s">
        <v>317</v>
      </c>
    </row>
    <row r="24" spans="1:4" x14ac:dyDescent="0.25">
      <c r="A24" s="309" t="s">
        <v>578</v>
      </c>
      <c r="B24" s="332" t="s">
        <v>46</v>
      </c>
      <c r="C24" s="59" t="s">
        <v>438</v>
      </c>
      <c r="D24" s="483" t="s">
        <v>579</v>
      </c>
    </row>
    <row r="25" spans="1:4" ht="30" x14ac:dyDescent="0.25">
      <c r="A25" s="309" t="s">
        <v>315</v>
      </c>
      <c r="B25" s="332" t="s">
        <v>46</v>
      </c>
      <c r="C25" s="60" t="s">
        <v>580</v>
      </c>
      <c r="D25" s="483" t="s">
        <v>591</v>
      </c>
    </row>
    <row r="26" spans="1:4" x14ac:dyDescent="0.25">
      <c r="A26" s="117"/>
      <c r="B26" s="117"/>
      <c r="C26" s="118"/>
      <c r="D26" s="118"/>
    </row>
    <row r="29" spans="1:4" x14ac:dyDescent="0.25">
      <c r="C29" s="62"/>
    </row>
    <row r="31" spans="1:4" x14ac:dyDescent="0.25">
      <c r="A31" s="61" t="s">
        <v>5</v>
      </c>
    </row>
  </sheetData>
  <sheetProtection algorithmName="SHA-512" hashValue="h037XhxnNb+RRY1TBkAxmz5/5GJ19AXngOMjTkmiOJpHZVecLj0muqrtgwUZ94puikbcozeV1BQckKZV2gRb0w==" saltValue="/FXaPakpFSkDXh6AgmymFg==" spinCount="100000" sheet="1" objects="1" scenarios="1" selectLockedCells="1"/>
  <mergeCells count="3">
    <mergeCell ref="A1:D1"/>
    <mergeCell ref="A3:B3"/>
    <mergeCell ref="A10:B10"/>
  </mergeCells>
  <pageMargins left="0.7" right="0.7" top="0.75" bottom="0.75" header="0.3" footer="0.3"/>
  <pageSetup orientation="portrait" verticalDpi="597" r:id="rId1"/>
  <headerFooter>
    <oddHeader>&amp;CSOURCE SELECTION INFORMATION - SEE FAR 2.101 and 3.104</oddHeader>
    <oddFooter>&amp;CSOURCE SELECTION INFORMATION - SEE FAR 2.101 and 3.104</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005C0D-4D77-4189-8278-6296F927FC05}">
  <sheetPr>
    <tabColor theme="0"/>
  </sheetPr>
  <dimension ref="A1:AI791"/>
  <sheetViews>
    <sheetView zoomScale="90" zoomScaleNormal="90" workbookViewId="0">
      <pane xSplit="3" ySplit="8" topLeftCell="M9" activePane="bottomRight" state="frozen"/>
      <selection pane="topRight" activeCell="E1" sqref="E1"/>
      <selection pane="bottomLeft" activeCell="A5" sqref="A5"/>
      <selection pane="bottomRight" sqref="A1:XFD1048576"/>
    </sheetView>
    <sheetView workbookViewId="1"/>
  </sheetViews>
  <sheetFormatPr defaultColWidth="9.140625" defaultRowHeight="15" x14ac:dyDescent="0.25"/>
  <cols>
    <col min="1" max="1" width="62.28515625" style="47" customWidth="1"/>
    <col min="2" max="2" width="36.7109375" style="48" bestFit="1" customWidth="1"/>
    <col min="3" max="3" width="15" style="48" customWidth="1"/>
    <col min="4" max="4" width="10.7109375" style="5" customWidth="1"/>
    <col min="5" max="5" width="12.28515625" style="10" customWidth="1"/>
    <col min="6" max="6" width="15.7109375" style="10" customWidth="1"/>
    <col min="7" max="7" width="20.85546875" style="10" customWidth="1"/>
    <col min="8" max="8" width="9.28515625" style="5" bestFit="1" customWidth="1"/>
    <col min="9" max="9" width="12.28515625" style="10" bestFit="1" customWidth="1"/>
    <col min="10" max="10" width="15.7109375" style="49" customWidth="1"/>
    <col min="11" max="11" width="20.5703125" style="50" customWidth="1"/>
    <col min="12" max="12" width="9.28515625" style="5" bestFit="1" customWidth="1"/>
    <col min="13" max="13" width="12.28515625" style="10" bestFit="1" customWidth="1"/>
    <col min="14" max="14" width="15.7109375" style="49" customWidth="1"/>
    <col min="15" max="15" width="20.7109375" style="50" customWidth="1"/>
    <col min="16" max="16" width="9.7109375" style="5" customWidth="1"/>
    <col min="17" max="17" width="12.28515625" style="10" bestFit="1" customWidth="1"/>
    <col min="18" max="18" width="15.7109375" style="49" customWidth="1"/>
    <col min="19" max="19" width="20.7109375" style="50" customWidth="1"/>
    <col min="20" max="20" width="10" style="5" bestFit="1" customWidth="1"/>
    <col min="21" max="21" width="12.28515625" style="10" bestFit="1" customWidth="1"/>
    <col min="22" max="22" width="15.7109375" style="49" customWidth="1"/>
    <col min="23" max="23" width="20.7109375" style="50" customWidth="1"/>
    <col min="24" max="24" width="9.140625" style="5" bestFit="1" customWidth="1"/>
    <col min="25" max="25" width="12.28515625" style="10" bestFit="1" customWidth="1"/>
    <col min="26" max="26" width="15.7109375" style="49" customWidth="1"/>
    <col min="27" max="27" width="20.85546875" style="50" customWidth="1"/>
    <col min="28" max="28" width="9.28515625" style="50" bestFit="1" customWidth="1"/>
    <col min="29" max="29" width="12.28515625" style="10" bestFit="1" customWidth="1"/>
    <col min="30" max="30" width="15.7109375" style="49" customWidth="1"/>
    <col min="31" max="31" width="20.7109375" style="50" customWidth="1"/>
    <col min="32" max="32" width="1.140625" style="30" customWidth="1"/>
    <col min="33" max="33" width="22.7109375" style="10" customWidth="1"/>
    <col min="34" max="34" width="18.28515625" style="51" customWidth="1"/>
    <col min="35" max="35" width="15.7109375" style="10" customWidth="1"/>
    <col min="36" max="16384" width="9.140625" style="10"/>
  </cols>
  <sheetData>
    <row r="1" spans="1:34" ht="15.75" thickBot="1" x14ac:dyDescent="0.3">
      <c r="A1" s="126" t="s">
        <v>626</v>
      </c>
      <c r="B1" s="508" t="str">
        <f>'FFP CLINs X007-X021'!B1</f>
        <v>NAME</v>
      </c>
      <c r="C1" s="48" t="s">
        <v>5</v>
      </c>
      <c r="J1" s="32"/>
      <c r="N1" s="32"/>
      <c r="R1" s="32"/>
      <c r="V1" s="32"/>
      <c r="Z1" s="32"/>
      <c r="AD1" s="32"/>
      <c r="AH1" s="30"/>
    </row>
    <row r="2" spans="1:34" x14ac:dyDescent="0.25">
      <c r="J2" s="32"/>
      <c r="N2" s="32"/>
      <c r="R2" s="32"/>
      <c r="V2" s="32"/>
      <c r="Z2" s="32"/>
      <c r="AD2" s="32"/>
      <c r="AH2" s="30"/>
    </row>
    <row r="3" spans="1:34" x14ac:dyDescent="0.25">
      <c r="A3" s="415" t="s">
        <v>625</v>
      </c>
      <c r="J3" s="32"/>
      <c r="N3" s="32"/>
      <c r="R3" s="32"/>
      <c r="V3" s="32"/>
      <c r="Z3" s="32"/>
      <c r="AD3" s="32"/>
      <c r="AH3" s="30"/>
    </row>
    <row r="4" spans="1:34" x14ac:dyDescent="0.25">
      <c r="A4" s="415"/>
      <c r="J4" s="32"/>
      <c r="N4" s="32"/>
      <c r="R4" s="32"/>
      <c r="V4" s="32"/>
      <c r="Z4" s="32"/>
      <c r="AD4" s="32"/>
      <c r="AH4" s="30"/>
    </row>
    <row r="5" spans="1:34" x14ac:dyDescent="0.25">
      <c r="J5" s="32"/>
      <c r="N5" s="32"/>
      <c r="R5" s="32"/>
      <c r="V5" s="32"/>
      <c r="Z5" s="32"/>
      <c r="AD5" s="32"/>
      <c r="AH5" s="30"/>
    </row>
    <row r="6" spans="1:34" ht="15.75" thickBot="1" x14ac:dyDescent="0.3">
      <c r="J6" s="32"/>
      <c r="N6" s="32"/>
      <c r="R6" s="32"/>
      <c r="V6" s="32"/>
      <c r="Z6" s="32"/>
      <c r="AD6" s="32"/>
      <c r="AH6" s="30"/>
    </row>
    <row r="7" spans="1:34" ht="48" customHeight="1" thickBot="1" x14ac:dyDescent="0.3">
      <c r="A7" s="557" t="s">
        <v>385</v>
      </c>
      <c r="B7" s="558"/>
      <c r="C7" s="559"/>
      <c r="D7" s="8"/>
      <c r="E7" s="560" t="s">
        <v>283</v>
      </c>
      <c r="F7" s="561"/>
      <c r="G7" s="562"/>
      <c r="H7" s="8"/>
      <c r="I7" s="563" t="s">
        <v>53</v>
      </c>
      <c r="J7" s="564"/>
      <c r="K7" s="565"/>
      <c r="L7" s="8"/>
      <c r="M7" s="547" t="s">
        <v>54</v>
      </c>
      <c r="N7" s="548"/>
      <c r="O7" s="549"/>
      <c r="P7" s="8"/>
      <c r="Q7" s="547" t="s">
        <v>55</v>
      </c>
      <c r="R7" s="548"/>
      <c r="S7" s="549"/>
      <c r="T7" s="8"/>
      <c r="U7" s="547" t="s">
        <v>56</v>
      </c>
      <c r="V7" s="548"/>
      <c r="W7" s="549"/>
      <c r="X7" s="8"/>
      <c r="Y7" s="547" t="s">
        <v>57</v>
      </c>
      <c r="Z7" s="548"/>
      <c r="AA7" s="549"/>
      <c r="AB7" s="7"/>
      <c r="AC7" s="547" t="s">
        <v>58</v>
      </c>
      <c r="AD7" s="548"/>
      <c r="AE7" s="549"/>
      <c r="AF7" s="6"/>
      <c r="AG7" s="8"/>
      <c r="AH7" s="9"/>
    </row>
    <row r="8" spans="1:34" ht="60.75" thickBot="1" x14ac:dyDescent="0.3">
      <c r="A8" s="68" t="s">
        <v>7</v>
      </c>
      <c r="B8" s="68" t="s">
        <v>32</v>
      </c>
      <c r="C8" s="69" t="s">
        <v>8</v>
      </c>
      <c r="D8" s="98" t="s">
        <v>9</v>
      </c>
      <c r="E8" s="104" t="s">
        <v>627</v>
      </c>
      <c r="F8" s="14" t="s">
        <v>11</v>
      </c>
      <c r="G8" s="105" t="s">
        <v>12</v>
      </c>
      <c r="H8" s="99" t="s">
        <v>14</v>
      </c>
      <c r="I8" s="104" t="s">
        <v>627</v>
      </c>
      <c r="J8" s="14" t="s">
        <v>11</v>
      </c>
      <c r="K8" s="105" t="s">
        <v>12</v>
      </c>
      <c r="L8" s="99" t="s">
        <v>48</v>
      </c>
      <c r="M8" s="104" t="s">
        <v>627</v>
      </c>
      <c r="N8" s="72" t="s">
        <v>11</v>
      </c>
      <c r="O8" s="322" t="s">
        <v>12</v>
      </c>
      <c r="P8" s="454" t="s">
        <v>49</v>
      </c>
      <c r="Q8" s="104" t="s">
        <v>627</v>
      </c>
      <c r="R8" s="72" t="s">
        <v>11</v>
      </c>
      <c r="S8" s="322" t="s">
        <v>12</v>
      </c>
      <c r="T8" s="454" t="s">
        <v>50</v>
      </c>
      <c r="U8" s="104" t="s">
        <v>627</v>
      </c>
      <c r="V8" s="72" t="s">
        <v>11</v>
      </c>
      <c r="W8" s="322" t="s">
        <v>12</v>
      </c>
      <c r="X8" s="455" t="s">
        <v>165</v>
      </c>
      <c r="Y8" s="104" t="s">
        <v>627</v>
      </c>
      <c r="Z8" s="72" t="s">
        <v>11</v>
      </c>
      <c r="AA8" s="322" t="s">
        <v>12</v>
      </c>
      <c r="AB8" s="455" t="s">
        <v>166</v>
      </c>
      <c r="AC8" s="104" t="s">
        <v>627</v>
      </c>
      <c r="AD8" s="72" t="s">
        <v>11</v>
      </c>
      <c r="AE8" s="322" t="s">
        <v>12</v>
      </c>
      <c r="AF8" s="6"/>
      <c r="AG8" s="16" t="s">
        <v>15</v>
      </c>
      <c r="AH8" s="10"/>
    </row>
    <row r="9" spans="1:34" ht="19.5" thickBot="1" x14ac:dyDescent="0.35">
      <c r="A9" s="553" t="s">
        <v>89</v>
      </c>
      <c r="B9" s="554"/>
      <c r="C9" s="555"/>
      <c r="D9" s="99"/>
      <c r="E9" s="553" t="s">
        <v>89</v>
      </c>
      <c r="F9" s="554"/>
      <c r="G9" s="555"/>
      <c r="H9" s="99"/>
      <c r="I9" s="553" t="s">
        <v>89</v>
      </c>
      <c r="J9" s="554"/>
      <c r="K9" s="555"/>
      <c r="L9" s="99"/>
      <c r="M9" s="550" t="s">
        <v>89</v>
      </c>
      <c r="N9" s="551"/>
      <c r="O9" s="552"/>
      <c r="P9" s="454"/>
      <c r="Q9" s="550" t="s">
        <v>89</v>
      </c>
      <c r="R9" s="551"/>
      <c r="S9" s="552"/>
      <c r="T9" s="455"/>
      <c r="U9" s="550" t="s">
        <v>89</v>
      </c>
      <c r="V9" s="551"/>
      <c r="W9" s="552"/>
      <c r="X9" s="455"/>
      <c r="Y9" s="550" t="s">
        <v>89</v>
      </c>
      <c r="Z9" s="551"/>
      <c r="AA9" s="552"/>
      <c r="AB9" s="455"/>
      <c r="AC9" s="550" t="s">
        <v>89</v>
      </c>
      <c r="AD9" s="551"/>
      <c r="AE9" s="552"/>
      <c r="AF9" s="6"/>
      <c r="AG9" s="293"/>
      <c r="AH9" s="10"/>
    </row>
    <row r="10" spans="1:34" x14ac:dyDescent="0.25">
      <c r="A10" s="70" t="s">
        <v>26</v>
      </c>
      <c r="B10" s="65" t="s">
        <v>33</v>
      </c>
      <c r="C10" s="440" t="s">
        <v>148</v>
      </c>
      <c r="D10" s="97" t="s">
        <v>68</v>
      </c>
      <c r="E10" s="441">
        <v>1</v>
      </c>
      <c r="F10" s="461">
        <f>'CPIF CLIN 0001 TOTAL'!Q73</f>
        <v>0</v>
      </c>
      <c r="G10" s="442">
        <f>ROUND(E10*F10,0)</f>
        <v>0</v>
      </c>
      <c r="H10" s="112"/>
      <c r="I10" s="317"/>
      <c r="J10" s="531"/>
      <c r="K10" s="269"/>
      <c r="L10" s="112"/>
      <c r="M10" s="107"/>
      <c r="N10" s="429"/>
      <c r="O10" s="108"/>
      <c r="P10" s="112" t="s">
        <v>5</v>
      </c>
      <c r="Q10" s="107"/>
      <c r="R10" s="429"/>
      <c r="S10" s="108"/>
      <c r="T10" s="456"/>
      <c r="U10" s="107"/>
      <c r="V10" s="429"/>
      <c r="W10" s="108"/>
      <c r="X10" s="456"/>
      <c r="Y10" s="107"/>
      <c r="Z10" s="429"/>
      <c r="AA10" s="108"/>
      <c r="AB10" s="456"/>
      <c r="AC10" s="107"/>
      <c r="AD10" s="429"/>
      <c r="AE10" s="108"/>
      <c r="AF10" s="6"/>
      <c r="AG10" s="114">
        <f>G10</f>
        <v>0</v>
      </c>
      <c r="AH10" s="10"/>
    </row>
    <row r="11" spans="1:34" x14ac:dyDescent="0.25">
      <c r="A11" s="59" t="s">
        <v>27</v>
      </c>
      <c r="B11" s="67" t="s">
        <v>34</v>
      </c>
      <c r="C11" s="440" t="s">
        <v>148</v>
      </c>
      <c r="D11" s="97" t="s">
        <v>69</v>
      </c>
      <c r="E11" s="441">
        <v>1</v>
      </c>
      <c r="F11" s="461">
        <f>'CPIF CLIN 0002 TOTAL'!Q72</f>
        <v>0</v>
      </c>
      <c r="G11" s="442">
        <f>ROUND(E11*F11,0)</f>
        <v>0</v>
      </c>
      <c r="H11" s="112"/>
      <c r="I11" s="107"/>
      <c r="J11" s="429"/>
      <c r="K11" s="108"/>
      <c r="L11" s="112"/>
      <c r="M11" s="107"/>
      <c r="N11" s="429"/>
      <c r="O11" s="108"/>
      <c r="P11" s="112" t="s">
        <v>5</v>
      </c>
      <c r="Q11" s="107"/>
      <c r="R11" s="429"/>
      <c r="S11" s="108"/>
      <c r="T11" s="456"/>
      <c r="U11" s="107"/>
      <c r="V11" s="429"/>
      <c r="W11" s="108"/>
      <c r="X11" s="456"/>
      <c r="Y11" s="107"/>
      <c r="Z11" s="429"/>
      <c r="AA11" s="108"/>
      <c r="AB11" s="456"/>
      <c r="AC11" s="107"/>
      <c r="AD11" s="429"/>
      <c r="AE11" s="108"/>
      <c r="AF11" s="6"/>
      <c r="AG11" s="114">
        <f t="shared" ref="AG11:AG12" si="0">G11</f>
        <v>0</v>
      </c>
      <c r="AH11" s="10"/>
    </row>
    <row r="12" spans="1:34" x14ac:dyDescent="0.25">
      <c r="A12" s="59" t="s">
        <v>28</v>
      </c>
      <c r="B12" s="67" t="s">
        <v>34</v>
      </c>
      <c r="C12" s="440" t="s">
        <v>148</v>
      </c>
      <c r="D12" s="97" t="s">
        <v>70</v>
      </c>
      <c r="E12" s="441">
        <v>1</v>
      </c>
      <c r="F12" s="461">
        <f>'CPIF CLIN 0003 TOTAL'!Q73</f>
        <v>0</v>
      </c>
      <c r="G12" s="442">
        <f>ROUND(E12*F12,0)</f>
        <v>0</v>
      </c>
      <c r="H12" s="112"/>
      <c r="I12" s="107"/>
      <c r="J12" s="429"/>
      <c r="K12" s="108"/>
      <c r="L12" s="112"/>
      <c r="M12" s="107"/>
      <c r="N12" s="429"/>
      <c r="O12" s="108"/>
      <c r="P12" s="112" t="s">
        <v>5</v>
      </c>
      <c r="Q12" s="107"/>
      <c r="R12" s="429"/>
      <c r="S12" s="108"/>
      <c r="T12" s="456"/>
      <c r="U12" s="107"/>
      <c r="V12" s="429"/>
      <c r="W12" s="108"/>
      <c r="X12" s="456"/>
      <c r="Y12" s="107"/>
      <c r="Z12" s="429"/>
      <c r="AA12" s="108"/>
      <c r="AB12" s="456"/>
      <c r="AC12" s="107"/>
      <c r="AD12" s="429"/>
      <c r="AE12" s="108"/>
      <c r="AF12" s="6"/>
      <c r="AG12" s="114">
        <f t="shared" si="0"/>
        <v>0</v>
      </c>
      <c r="AH12" s="10"/>
    </row>
    <row r="13" spans="1:34" x14ac:dyDescent="0.25">
      <c r="A13" s="59" t="s">
        <v>437</v>
      </c>
      <c r="B13" s="67" t="s">
        <v>35</v>
      </c>
      <c r="C13" s="440" t="s">
        <v>174</v>
      </c>
      <c r="D13" s="97" t="s">
        <v>167</v>
      </c>
      <c r="E13" s="443" t="s">
        <v>5</v>
      </c>
      <c r="F13" s="532" t="s">
        <v>5</v>
      </c>
      <c r="G13" s="444" t="s">
        <v>5</v>
      </c>
      <c r="H13" s="112"/>
      <c r="I13" s="107" t="s">
        <v>5</v>
      </c>
      <c r="J13" s="429" t="s">
        <v>5</v>
      </c>
      <c r="K13" s="108" t="s">
        <v>5</v>
      </c>
      <c r="L13" s="112"/>
      <c r="M13" s="107" t="s">
        <v>5</v>
      </c>
      <c r="N13" s="429" t="s">
        <v>5</v>
      </c>
      <c r="O13" s="108" t="s">
        <v>5</v>
      </c>
      <c r="P13" s="112"/>
      <c r="Q13" s="107" t="s">
        <v>5</v>
      </c>
      <c r="R13" s="429" t="s">
        <v>5</v>
      </c>
      <c r="S13" s="108" t="s">
        <v>5</v>
      </c>
      <c r="T13" s="100"/>
      <c r="U13" s="107" t="s">
        <v>5</v>
      </c>
      <c r="V13" s="429" t="s">
        <v>5</v>
      </c>
      <c r="W13" s="108" t="s">
        <v>5</v>
      </c>
      <c r="X13" s="100"/>
      <c r="Y13" s="107" t="s">
        <v>5</v>
      </c>
      <c r="Z13" s="429" t="s">
        <v>5</v>
      </c>
      <c r="AA13" s="108" t="s">
        <v>5</v>
      </c>
      <c r="AB13" s="457"/>
      <c r="AC13" s="107" t="s">
        <v>5</v>
      </c>
      <c r="AD13" s="429" t="s">
        <v>5</v>
      </c>
      <c r="AE13" s="108" t="s">
        <v>5</v>
      </c>
      <c r="AF13" s="6"/>
      <c r="AG13" s="115" t="s">
        <v>5</v>
      </c>
      <c r="AH13" s="10"/>
    </row>
    <row r="14" spans="1:34" x14ac:dyDescent="0.25">
      <c r="A14" s="59" t="s">
        <v>30</v>
      </c>
      <c r="B14" s="17" t="s">
        <v>36</v>
      </c>
      <c r="C14" s="440" t="s">
        <v>174</v>
      </c>
      <c r="D14" s="313" t="s">
        <v>168</v>
      </c>
      <c r="E14" s="443" t="s">
        <v>5</v>
      </c>
      <c r="F14" s="532" t="s">
        <v>5</v>
      </c>
      <c r="G14" s="444" t="s">
        <v>5</v>
      </c>
      <c r="H14" s="112"/>
      <c r="I14" s="107" t="s">
        <v>5</v>
      </c>
      <c r="J14" s="429" t="s">
        <v>5</v>
      </c>
      <c r="K14" s="108" t="s">
        <v>5</v>
      </c>
      <c r="L14" s="112"/>
      <c r="M14" s="107" t="s">
        <v>5</v>
      </c>
      <c r="N14" s="429" t="s">
        <v>5</v>
      </c>
      <c r="O14" s="108" t="s">
        <v>5</v>
      </c>
      <c r="P14" s="112"/>
      <c r="Q14" s="107" t="s">
        <v>5</v>
      </c>
      <c r="R14" s="429" t="s">
        <v>5</v>
      </c>
      <c r="S14" s="108" t="s">
        <v>5</v>
      </c>
      <c r="T14" s="112"/>
      <c r="U14" s="107" t="s">
        <v>5</v>
      </c>
      <c r="V14" s="429" t="s">
        <v>5</v>
      </c>
      <c r="W14" s="108" t="s">
        <v>5</v>
      </c>
      <c r="X14" s="112"/>
      <c r="Y14" s="107" t="s">
        <v>5</v>
      </c>
      <c r="Z14" s="429" t="s">
        <v>5</v>
      </c>
      <c r="AA14" s="108" t="s">
        <v>5</v>
      </c>
      <c r="AB14" s="457"/>
      <c r="AC14" s="107" t="s">
        <v>5</v>
      </c>
      <c r="AD14" s="429" t="s">
        <v>5</v>
      </c>
      <c r="AE14" s="108" t="s">
        <v>5</v>
      </c>
      <c r="AF14" s="6"/>
      <c r="AG14" s="115" t="s">
        <v>5</v>
      </c>
      <c r="AH14" s="10"/>
    </row>
    <row r="15" spans="1:34" ht="15.75" thickBot="1" x14ac:dyDescent="0.3">
      <c r="A15" s="59" t="s">
        <v>436</v>
      </c>
      <c r="B15" s="17" t="s">
        <v>19</v>
      </c>
      <c r="C15" s="440" t="s">
        <v>174</v>
      </c>
      <c r="D15" s="313" t="s">
        <v>169</v>
      </c>
      <c r="E15" s="445" t="s">
        <v>5</v>
      </c>
      <c r="F15" s="533" t="s">
        <v>5</v>
      </c>
      <c r="G15" s="446" t="s">
        <v>5</v>
      </c>
      <c r="H15" s="112"/>
      <c r="I15" s="109" t="s">
        <v>5</v>
      </c>
      <c r="J15" s="534" t="s">
        <v>5</v>
      </c>
      <c r="K15" s="453" t="s">
        <v>5</v>
      </c>
      <c r="L15" s="112"/>
      <c r="M15" s="109" t="s">
        <v>5</v>
      </c>
      <c r="N15" s="534" t="s">
        <v>5</v>
      </c>
      <c r="O15" s="453" t="s">
        <v>5</v>
      </c>
      <c r="P15" s="112"/>
      <c r="Q15" s="109" t="s">
        <v>5</v>
      </c>
      <c r="R15" s="534" t="s">
        <v>5</v>
      </c>
      <c r="S15" s="453" t="s">
        <v>5</v>
      </c>
      <c r="T15" s="112"/>
      <c r="U15" s="109" t="s">
        <v>5</v>
      </c>
      <c r="V15" s="534" t="s">
        <v>5</v>
      </c>
      <c r="W15" s="453" t="s">
        <v>5</v>
      </c>
      <c r="X15" s="112"/>
      <c r="Y15" s="109" t="s">
        <v>5</v>
      </c>
      <c r="Z15" s="534" t="s">
        <v>5</v>
      </c>
      <c r="AA15" s="453" t="s">
        <v>5</v>
      </c>
      <c r="AB15" s="457"/>
      <c r="AC15" s="109" t="s">
        <v>5</v>
      </c>
      <c r="AD15" s="534" t="s">
        <v>5</v>
      </c>
      <c r="AE15" s="453" t="s">
        <v>5</v>
      </c>
      <c r="AF15" s="6"/>
      <c r="AG15" s="116" t="s">
        <v>5</v>
      </c>
      <c r="AH15" s="10"/>
    </row>
    <row r="16" spans="1:34" ht="19.5" customHeight="1" thickBot="1" x14ac:dyDescent="0.35">
      <c r="A16" s="553" t="s">
        <v>90</v>
      </c>
      <c r="B16" s="554"/>
      <c r="C16" s="555"/>
      <c r="D16" s="318"/>
      <c r="E16" s="553" t="s">
        <v>90</v>
      </c>
      <c r="F16" s="554"/>
      <c r="G16" s="554"/>
      <c r="H16" s="97"/>
      <c r="I16" s="553" t="s">
        <v>90</v>
      </c>
      <c r="J16" s="554"/>
      <c r="K16" s="555"/>
      <c r="L16" s="112"/>
      <c r="M16" s="553" t="s">
        <v>90</v>
      </c>
      <c r="N16" s="554"/>
      <c r="O16" s="555"/>
      <c r="P16" s="112"/>
      <c r="Q16" s="553" t="s">
        <v>90</v>
      </c>
      <c r="R16" s="554"/>
      <c r="S16" s="555"/>
      <c r="T16" s="112"/>
      <c r="U16" s="553" t="s">
        <v>90</v>
      </c>
      <c r="V16" s="554"/>
      <c r="W16" s="555"/>
      <c r="X16" s="112"/>
      <c r="Y16" s="553" t="s">
        <v>90</v>
      </c>
      <c r="Z16" s="554"/>
      <c r="AA16" s="555"/>
      <c r="AB16" s="457"/>
      <c r="AC16" s="553" t="s">
        <v>90</v>
      </c>
      <c r="AD16" s="554"/>
      <c r="AE16" s="555"/>
      <c r="AF16" s="6"/>
      <c r="AG16" s="293"/>
      <c r="AH16" s="10"/>
    </row>
    <row r="17" spans="1:35" ht="15.75" thickBot="1" x14ac:dyDescent="0.3">
      <c r="A17" s="59" t="s">
        <v>440</v>
      </c>
      <c r="B17" s="17" t="s">
        <v>46</v>
      </c>
      <c r="C17" s="432" t="s">
        <v>18</v>
      </c>
      <c r="D17" s="395" t="s">
        <v>170</v>
      </c>
      <c r="E17" s="437">
        <f>'FFP CLINs X007-X021'!E12</f>
        <v>16</v>
      </c>
      <c r="F17" s="461">
        <f>'FFP CLINs X007-X021'!F12</f>
        <v>0</v>
      </c>
      <c r="G17" s="447">
        <f t="shared" ref="G17:G26" si="1">ROUND(E17*F17,0)</f>
        <v>0</v>
      </c>
      <c r="H17" s="97">
        <v>1007</v>
      </c>
      <c r="I17" s="441">
        <f>'FFP CLINs X007-X021'!I12</f>
        <v>50</v>
      </c>
      <c r="J17" s="2">
        <f>'FFP CLINs X007-X021'!J12</f>
        <v>0</v>
      </c>
      <c r="K17" s="106">
        <f t="shared" ref="K17:K26" si="2">ROUND(I17*J17,0)</f>
        <v>0</v>
      </c>
      <c r="L17" s="112">
        <v>2007</v>
      </c>
      <c r="M17" s="441">
        <f>'FFP CLINs X007-X021'!M12</f>
        <v>50</v>
      </c>
      <c r="N17" s="2">
        <f>'FFP CLINs X007-X021'!N12</f>
        <v>0</v>
      </c>
      <c r="O17" s="106">
        <f t="shared" ref="O17:O26" si="3">ROUND(M17*N17,0)</f>
        <v>0</v>
      </c>
      <c r="P17" s="112">
        <v>3007</v>
      </c>
      <c r="Q17" s="449">
        <f>'FFP CLINs X007-X021'!Q12</f>
        <v>47</v>
      </c>
      <c r="R17" s="2">
        <f>'FFP CLINs X007-X021'!R12</f>
        <v>0</v>
      </c>
      <c r="S17" s="106">
        <f t="shared" ref="S17:S26" si="4">ROUND(Q17*R17,0)</f>
        <v>0</v>
      </c>
      <c r="T17" s="112">
        <v>4007</v>
      </c>
      <c r="U17" s="449">
        <f>'FFP CLINs X007-X021'!U12</f>
        <v>45</v>
      </c>
      <c r="V17" s="2">
        <f>'FFP CLINs X007-X021'!V12</f>
        <v>0</v>
      </c>
      <c r="W17" s="106">
        <f t="shared" ref="W17:W26" si="5">ROUND(U17*V17,0)</f>
        <v>0</v>
      </c>
      <c r="X17" s="112">
        <v>5007</v>
      </c>
      <c r="Y17" s="449">
        <f>'FFP CLINs X007-X021'!Y12</f>
        <v>45</v>
      </c>
      <c r="Z17" s="2">
        <f>'FFP CLINs X007-X021'!Z12</f>
        <v>0</v>
      </c>
      <c r="AA17" s="106">
        <f t="shared" ref="AA17:AA26" si="6">ROUND(Y17*Z17,0)</f>
        <v>0</v>
      </c>
      <c r="AB17" s="112">
        <v>6007</v>
      </c>
      <c r="AC17" s="323">
        <f>'FFP CLINs X007-X021'!AC12</f>
        <v>53</v>
      </c>
      <c r="AD17" s="2">
        <f>'FFP CLINs X007-X021'!AD12</f>
        <v>0</v>
      </c>
      <c r="AE17" s="106">
        <f t="shared" ref="AE17:AE26" si="7">ROUND(AC17*AD17,0)</f>
        <v>0</v>
      </c>
      <c r="AF17" s="6"/>
      <c r="AG17" s="292">
        <f>G17+K17+O17+S17+W17+AA17+AE17</f>
        <v>0</v>
      </c>
      <c r="AH17" s="10"/>
    </row>
    <row r="18" spans="1:35" x14ac:dyDescent="0.25">
      <c r="A18" s="59" t="s">
        <v>441</v>
      </c>
      <c r="B18" s="17" t="s">
        <v>46</v>
      </c>
      <c r="C18" s="432" t="s">
        <v>18</v>
      </c>
      <c r="D18" s="396" t="s">
        <v>72</v>
      </c>
      <c r="E18" s="441">
        <f>'FFP CLINs X007-X021'!E13</f>
        <v>12</v>
      </c>
      <c r="F18" s="461">
        <f>'FFP CLINs X007-X021'!F13</f>
        <v>0</v>
      </c>
      <c r="G18" s="442">
        <f t="shared" si="1"/>
        <v>0</v>
      </c>
      <c r="H18" s="97">
        <v>1008</v>
      </c>
      <c r="I18" s="441">
        <f>'FFP CLINs X007-X021'!I13</f>
        <v>45</v>
      </c>
      <c r="J18" s="2">
        <f>'FFP CLINs X007-X021'!J13</f>
        <v>0</v>
      </c>
      <c r="K18" s="106">
        <f t="shared" si="2"/>
        <v>0</v>
      </c>
      <c r="L18" s="112">
        <v>2008</v>
      </c>
      <c r="M18" s="441">
        <f>'FFP CLINs X007-X021'!M13</f>
        <v>45</v>
      </c>
      <c r="N18" s="2">
        <f>'FFP CLINs X007-X021'!N13</f>
        <v>0</v>
      </c>
      <c r="O18" s="106">
        <f t="shared" si="3"/>
        <v>0</v>
      </c>
      <c r="P18" s="112">
        <v>3008</v>
      </c>
      <c r="Q18" s="449">
        <f>'FFP CLINs X007-X021'!Q13</f>
        <v>45</v>
      </c>
      <c r="R18" s="2">
        <f>'FFP CLINs X007-X021'!R13</f>
        <v>0</v>
      </c>
      <c r="S18" s="106">
        <f t="shared" si="4"/>
        <v>0</v>
      </c>
      <c r="T18" s="112">
        <v>4008</v>
      </c>
      <c r="U18" s="449">
        <f>'FFP CLINs X007-X021'!U13</f>
        <v>45</v>
      </c>
      <c r="V18" s="2">
        <f>'FFP CLINs X007-X021'!V13</f>
        <v>0</v>
      </c>
      <c r="W18" s="106">
        <f t="shared" si="5"/>
        <v>0</v>
      </c>
      <c r="X18" s="112">
        <v>5008</v>
      </c>
      <c r="Y18" s="449">
        <f>'FFP CLINs X007-X021'!Y13</f>
        <v>45</v>
      </c>
      <c r="Z18" s="2">
        <f>'FFP CLINs X007-X021'!Z13</f>
        <v>0</v>
      </c>
      <c r="AA18" s="106">
        <f t="shared" si="6"/>
        <v>0</v>
      </c>
      <c r="AB18" s="112">
        <v>6008</v>
      </c>
      <c r="AC18" s="323">
        <f>'FFP CLINs X007-X021'!AC13</f>
        <v>53</v>
      </c>
      <c r="AD18" s="2">
        <f>'FFP CLINs X007-X021'!AD13</f>
        <v>0</v>
      </c>
      <c r="AE18" s="106">
        <f t="shared" si="7"/>
        <v>0</v>
      </c>
      <c r="AF18" s="6"/>
      <c r="AG18" s="292">
        <f>G18+K18+O18+S18+W18+AA18+AE18</f>
        <v>0</v>
      </c>
      <c r="AH18" s="10"/>
    </row>
    <row r="19" spans="1:35" x14ac:dyDescent="0.25">
      <c r="A19" s="59" t="s">
        <v>595</v>
      </c>
      <c r="B19" s="17" t="s">
        <v>46</v>
      </c>
      <c r="C19" s="432" t="s">
        <v>148</v>
      </c>
      <c r="D19" s="313" t="s">
        <v>73</v>
      </c>
      <c r="E19" s="441">
        <f>'FFP CLINs X007-X021'!E14</f>
        <v>1</v>
      </c>
      <c r="F19" s="461">
        <f>'FFP CLINs X007-X021'!F14</f>
        <v>0</v>
      </c>
      <c r="G19" s="442">
        <f t="shared" si="1"/>
        <v>0</v>
      </c>
      <c r="H19" s="97">
        <v>1009</v>
      </c>
      <c r="I19" s="441">
        <f>'FFP CLINs X007-X021'!I14</f>
        <v>1</v>
      </c>
      <c r="J19" s="2">
        <f>'FFP CLINs X007-X021'!J14</f>
        <v>0</v>
      </c>
      <c r="K19" s="106">
        <f t="shared" si="2"/>
        <v>0</v>
      </c>
      <c r="L19" s="112">
        <v>2009</v>
      </c>
      <c r="M19" s="441">
        <f>'FFP CLINs X007-X021'!M14</f>
        <v>1</v>
      </c>
      <c r="N19" s="2">
        <f>'FFP CLINs X007-X021'!N14</f>
        <v>0</v>
      </c>
      <c r="O19" s="106">
        <f t="shared" si="3"/>
        <v>0</v>
      </c>
      <c r="P19" s="112">
        <v>3009</v>
      </c>
      <c r="Q19" s="459">
        <f>'FFP CLINs X007-X021'!Q14</f>
        <v>1</v>
      </c>
      <c r="R19" s="2">
        <f>'FFP CLINs X007-X021'!R14</f>
        <v>0</v>
      </c>
      <c r="S19" s="106">
        <f t="shared" si="4"/>
        <v>0</v>
      </c>
      <c r="T19" s="112">
        <v>4009</v>
      </c>
      <c r="U19" s="459">
        <f>'FFP CLINs X007-X021'!U14</f>
        <v>1</v>
      </c>
      <c r="V19" s="2">
        <f>'FFP CLINs X007-X021'!V14</f>
        <v>0</v>
      </c>
      <c r="W19" s="106">
        <f t="shared" si="5"/>
        <v>0</v>
      </c>
      <c r="X19" s="112">
        <v>5009</v>
      </c>
      <c r="Y19" s="459">
        <f>'FFP CLINs X007-X021'!Y14</f>
        <v>1</v>
      </c>
      <c r="Z19" s="2">
        <f>'FFP CLINs X007-X021'!Z14</f>
        <v>0</v>
      </c>
      <c r="AA19" s="106">
        <f t="shared" si="6"/>
        <v>0</v>
      </c>
      <c r="AB19" s="112">
        <v>6009</v>
      </c>
      <c r="AC19" s="325">
        <f>'FFP CLINs X007-X021'!AC14</f>
        <v>1</v>
      </c>
      <c r="AD19" s="2">
        <f>'FFP CLINs X007-X021'!AD14</f>
        <v>0</v>
      </c>
      <c r="AE19" s="106">
        <f t="shared" si="7"/>
        <v>0</v>
      </c>
      <c r="AF19" s="6"/>
      <c r="AG19" s="292">
        <f>G19+K19+O19+S19+W19+AA19+AE19</f>
        <v>0</v>
      </c>
      <c r="AH19" s="10"/>
    </row>
    <row r="20" spans="1:35" x14ac:dyDescent="0.25">
      <c r="A20" s="59" t="s">
        <v>39</v>
      </c>
      <c r="B20" s="17" t="s">
        <v>46</v>
      </c>
      <c r="C20" s="432" t="s">
        <v>18</v>
      </c>
      <c r="D20" s="313" t="s">
        <v>74</v>
      </c>
      <c r="E20" s="443" t="s">
        <v>5</v>
      </c>
      <c r="F20" s="532" t="s">
        <v>5</v>
      </c>
      <c r="G20" s="444" t="s">
        <v>5</v>
      </c>
      <c r="H20" s="97">
        <v>1010</v>
      </c>
      <c r="I20" s="441">
        <f>'FFP CLINs X007-X021'!I15</f>
        <v>12</v>
      </c>
      <c r="J20" s="2">
        <f>'FFP CLINs X007-X021'!J15</f>
        <v>0</v>
      </c>
      <c r="K20" s="106">
        <f t="shared" si="2"/>
        <v>0</v>
      </c>
      <c r="L20" s="112">
        <v>2010</v>
      </c>
      <c r="M20" s="441">
        <f>'FFP CLINs X007-X021'!M15</f>
        <v>45</v>
      </c>
      <c r="N20" s="2">
        <f>'FFP CLINs X007-X021'!N15</f>
        <v>0</v>
      </c>
      <c r="O20" s="106">
        <f t="shared" si="3"/>
        <v>0</v>
      </c>
      <c r="P20" s="112">
        <v>3010</v>
      </c>
      <c r="Q20" s="449">
        <f>'FFP CLINs X007-X021'!Q15</f>
        <v>45</v>
      </c>
      <c r="R20" s="2">
        <f>'FFP CLINs X007-X021'!R15</f>
        <v>0</v>
      </c>
      <c r="S20" s="106">
        <f t="shared" si="4"/>
        <v>0</v>
      </c>
      <c r="T20" s="112">
        <v>4010</v>
      </c>
      <c r="U20" s="449">
        <f>'FFP CLINs X007-X021'!U15</f>
        <v>45</v>
      </c>
      <c r="V20" s="2">
        <f>'FFP CLINs X007-X021'!V15</f>
        <v>0</v>
      </c>
      <c r="W20" s="106">
        <f t="shared" si="5"/>
        <v>0</v>
      </c>
      <c r="X20" s="112">
        <v>5010</v>
      </c>
      <c r="Y20" s="449">
        <f>'FFP CLINs X007-X021'!Y15</f>
        <v>45</v>
      </c>
      <c r="Z20" s="2">
        <f>'FFP CLINs X007-X021'!Z15</f>
        <v>0</v>
      </c>
      <c r="AA20" s="106">
        <f t="shared" si="6"/>
        <v>0</v>
      </c>
      <c r="AB20" s="112">
        <v>6010</v>
      </c>
      <c r="AC20" s="323">
        <f>'FFP CLINs X007-X021'!AC15</f>
        <v>45</v>
      </c>
      <c r="AD20" s="2">
        <f>'FFP CLINs X007-X021'!AD15</f>
        <v>0</v>
      </c>
      <c r="AE20" s="106">
        <f t="shared" si="7"/>
        <v>0</v>
      </c>
      <c r="AF20" s="6"/>
      <c r="AG20" s="292">
        <f t="shared" ref="AG20:AG23" si="8">K20+O20+S20+W20+AA20+AE20</f>
        <v>0</v>
      </c>
      <c r="AH20" s="10"/>
    </row>
    <row r="21" spans="1:35" x14ac:dyDescent="0.25">
      <c r="A21" s="59" t="s">
        <v>40</v>
      </c>
      <c r="B21" s="17" t="s">
        <v>46</v>
      </c>
      <c r="C21" s="432" t="s">
        <v>16</v>
      </c>
      <c r="D21" s="313" t="s">
        <v>75</v>
      </c>
      <c r="E21" s="443" t="s">
        <v>5</v>
      </c>
      <c r="F21" s="532" t="s">
        <v>5</v>
      </c>
      <c r="G21" s="444" t="s">
        <v>5</v>
      </c>
      <c r="H21" s="97">
        <v>1011</v>
      </c>
      <c r="I21" s="441">
        <f>'FFP CLINs X007-X021'!I16</f>
        <v>12</v>
      </c>
      <c r="J21" s="2">
        <f>'FFP CLINs X007-X021'!J16</f>
        <v>0</v>
      </c>
      <c r="K21" s="106">
        <f t="shared" si="2"/>
        <v>0</v>
      </c>
      <c r="L21" s="112">
        <v>2011</v>
      </c>
      <c r="M21" s="441">
        <f>'FFP CLINs X007-X021'!M16</f>
        <v>12</v>
      </c>
      <c r="N21" s="2">
        <f>'FFP CLINs X007-X021'!N16</f>
        <v>0</v>
      </c>
      <c r="O21" s="106">
        <f t="shared" si="3"/>
        <v>0</v>
      </c>
      <c r="P21" s="112">
        <v>3011</v>
      </c>
      <c r="Q21" s="449">
        <f>'FFP CLINs X007-X021'!Q16</f>
        <v>12</v>
      </c>
      <c r="R21" s="2">
        <f>'FFP CLINs X007-X021'!R16</f>
        <v>0</v>
      </c>
      <c r="S21" s="106">
        <f t="shared" si="4"/>
        <v>0</v>
      </c>
      <c r="T21" s="112">
        <v>4011</v>
      </c>
      <c r="U21" s="449">
        <f>'FFP CLINs X007-X021'!U16</f>
        <v>12</v>
      </c>
      <c r="V21" s="2">
        <f>'FFP CLINs X007-X021'!V16</f>
        <v>0</v>
      </c>
      <c r="W21" s="106">
        <f t="shared" si="5"/>
        <v>0</v>
      </c>
      <c r="X21" s="112">
        <v>5011</v>
      </c>
      <c r="Y21" s="449">
        <f>'FFP CLINs X007-X021'!Y16</f>
        <v>12</v>
      </c>
      <c r="Z21" s="2">
        <f>'FFP CLINs X007-X021'!Z16</f>
        <v>0</v>
      </c>
      <c r="AA21" s="106">
        <f t="shared" si="6"/>
        <v>0</v>
      </c>
      <c r="AB21" s="112">
        <v>6011</v>
      </c>
      <c r="AC21" s="323">
        <f>'FFP CLINs X007-X021'!AC16</f>
        <v>12</v>
      </c>
      <c r="AD21" s="2">
        <f>'FFP CLINs X007-X021'!AD16</f>
        <v>0</v>
      </c>
      <c r="AE21" s="106">
        <f t="shared" si="7"/>
        <v>0</v>
      </c>
      <c r="AF21" s="6"/>
      <c r="AG21" s="292">
        <f t="shared" si="8"/>
        <v>0</v>
      </c>
      <c r="AH21" s="10"/>
    </row>
    <row r="22" spans="1:35" x14ac:dyDescent="0.25">
      <c r="A22" s="59" t="s">
        <v>596</v>
      </c>
      <c r="B22" s="17" t="s">
        <v>46</v>
      </c>
      <c r="C22" s="432" t="s">
        <v>16</v>
      </c>
      <c r="D22" s="313" t="s">
        <v>76</v>
      </c>
      <c r="E22" s="443" t="s">
        <v>5</v>
      </c>
      <c r="F22" s="532" t="s">
        <v>5</v>
      </c>
      <c r="G22" s="444" t="s">
        <v>5</v>
      </c>
      <c r="H22" s="97">
        <v>1012</v>
      </c>
      <c r="I22" s="441">
        <f>'FFP CLINs X007-X021'!I17</f>
        <v>12</v>
      </c>
      <c r="J22" s="2">
        <f>'FFP CLINs X007-X021'!J17</f>
        <v>0</v>
      </c>
      <c r="K22" s="106">
        <f t="shared" si="2"/>
        <v>0</v>
      </c>
      <c r="L22" s="112">
        <v>2012</v>
      </c>
      <c r="M22" s="441">
        <f>'FFP CLINs X007-X021'!M17</f>
        <v>12</v>
      </c>
      <c r="N22" s="2">
        <f>'FFP CLINs X007-X021'!N17</f>
        <v>0</v>
      </c>
      <c r="O22" s="106">
        <f t="shared" si="3"/>
        <v>0</v>
      </c>
      <c r="P22" s="112">
        <v>3012</v>
      </c>
      <c r="Q22" s="449">
        <f>'FFP CLINs X007-X021'!Q17</f>
        <v>12</v>
      </c>
      <c r="R22" s="2">
        <f>'FFP CLINs X007-X021'!R17</f>
        <v>0</v>
      </c>
      <c r="S22" s="106">
        <f t="shared" si="4"/>
        <v>0</v>
      </c>
      <c r="T22" s="112">
        <v>4012</v>
      </c>
      <c r="U22" s="449">
        <f>'FFP CLINs X007-X021'!U17</f>
        <v>12</v>
      </c>
      <c r="V22" s="2">
        <f>'FFP CLINs X007-X021'!V17</f>
        <v>0</v>
      </c>
      <c r="W22" s="106">
        <f t="shared" si="5"/>
        <v>0</v>
      </c>
      <c r="X22" s="112">
        <v>5012</v>
      </c>
      <c r="Y22" s="449">
        <f>'FFP CLINs X007-X021'!Y17</f>
        <v>12</v>
      </c>
      <c r="Z22" s="2">
        <f>'FFP CLINs X007-X021'!Z17</f>
        <v>0</v>
      </c>
      <c r="AA22" s="106">
        <f t="shared" si="6"/>
        <v>0</v>
      </c>
      <c r="AB22" s="112">
        <v>6012</v>
      </c>
      <c r="AC22" s="323">
        <f>'FFP CLINs X007-X021'!AC17</f>
        <v>12</v>
      </c>
      <c r="AD22" s="2">
        <f>'FFP CLINs X007-X021'!AD17</f>
        <v>0</v>
      </c>
      <c r="AE22" s="106">
        <f t="shared" si="7"/>
        <v>0</v>
      </c>
      <c r="AF22" s="6"/>
      <c r="AG22" s="292">
        <f t="shared" si="8"/>
        <v>0</v>
      </c>
      <c r="AH22" s="10"/>
    </row>
    <row r="23" spans="1:35" x14ac:dyDescent="0.25">
      <c r="A23" s="59" t="s">
        <v>597</v>
      </c>
      <c r="B23" s="17" t="s">
        <v>46</v>
      </c>
      <c r="C23" s="432" t="s">
        <v>16</v>
      </c>
      <c r="D23" s="313" t="s">
        <v>77</v>
      </c>
      <c r="E23" s="443" t="s">
        <v>5</v>
      </c>
      <c r="F23" s="532" t="s">
        <v>5</v>
      </c>
      <c r="G23" s="444" t="s">
        <v>5</v>
      </c>
      <c r="H23" s="97">
        <v>1013</v>
      </c>
      <c r="I23" s="441">
        <f>'FFP CLINs X007-X021'!I18</f>
        <v>12</v>
      </c>
      <c r="J23" s="2">
        <f>'FFP CLINs X007-X021'!J18</f>
        <v>0</v>
      </c>
      <c r="K23" s="106">
        <f t="shared" si="2"/>
        <v>0</v>
      </c>
      <c r="L23" s="112">
        <v>2013</v>
      </c>
      <c r="M23" s="441">
        <f>'FFP CLINs X007-X021'!M18</f>
        <v>12</v>
      </c>
      <c r="N23" s="2">
        <f>'FFP CLINs X007-X021'!N18</f>
        <v>0</v>
      </c>
      <c r="O23" s="106">
        <f t="shared" si="3"/>
        <v>0</v>
      </c>
      <c r="P23" s="112">
        <v>3013</v>
      </c>
      <c r="Q23" s="449">
        <f>'FFP CLINs X007-X021'!Q18</f>
        <v>12</v>
      </c>
      <c r="R23" s="2">
        <f>'FFP CLINs X007-X021'!R18</f>
        <v>0</v>
      </c>
      <c r="S23" s="106">
        <f t="shared" si="4"/>
        <v>0</v>
      </c>
      <c r="T23" s="112">
        <v>4013</v>
      </c>
      <c r="U23" s="449">
        <f>'FFP CLINs X007-X021'!U18</f>
        <v>12</v>
      </c>
      <c r="V23" s="2">
        <f>'FFP CLINs X007-X021'!V18</f>
        <v>0</v>
      </c>
      <c r="W23" s="106">
        <f t="shared" si="5"/>
        <v>0</v>
      </c>
      <c r="X23" s="112">
        <v>5013</v>
      </c>
      <c r="Y23" s="449">
        <f>'FFP CLINs X007-X021'!Y18</f>
        <v>12</v>
      </c>
      <c r="Z23" s="2">
        <f>'FFP CLINs X007-X021'!Z18</f>
        <v>0</v>
      </c>
      <c r="AA23" s="106">
        <f t="shared" si="6"/>
        <v>0</v>
      </c>
      <c r="AB23" s="112">
        <v>6013</v>
      </c>
      <c r="AC23" s="323">
        <f>'FFP CLINs X007-X021'!AC18</f>
        <v>12</v>
      </c>
      <c r="AD23" s="2">
        <f>'FFP CLINs X007-X021'!AD18</f>
        <v>0</v>
      </c>
      <c r="AE23" s="106">
        <f t="shared" si="7"/>
        <v>0</v>
      </c>
      <c r="AF23" s="6"/>
      <c r="AG23" s="292">
        <f t="shared" si="8"/>
        <v>0</v>
      </c>
      <c r="AH23" s="10"/>
    </row>
    <row r="24" spans="1:35" x14ac:dyDescent="0.25">
      <c r="A24" s="60" t="s">
        <v>593</v>
      </c>
      <c r="B24" s="17" t="s">
        <v>46</v>
      </c>
      <c r="C24" s="432" t="s">
        <v>18</v>
      </c>
      <c r="D24" s="313" t="s">
        <v>78</v>
      </c>
      <c r="E24" s="441">
        <f>'FFP CLINs X007-X021'!E19</f>
        <v>3</v>
      </c>
      <c r="F24" s="461">
        <f>'FFP CLINs X007-X021'!F19</f>
        <v>0</v>
      </c>
      <c r="G24" s="442">
        <f t="shared" si="1"/>
        <v>0</v>
      </c>
      <c r="H24" s="97">
        <v>1014</v>
      </c>
      <c r="I24" s="441">
        <f>'FFP CLINs X007-X021'!I19</f>
        <v>6</v>
      </c>
      <c r="J24" s="2">
        <f>'FFP CLINs X007-X021'!J19</f>
        <v>0</v>
      </c>
      <c r="K24" s="106">
        <f t="shared" si="2"/>
        <v>0</v>
      </c>
      <c r="L24" s="112">
        <v>2014</v>
      </c>
      <c r="M24" s="441">
        <f>'FFP CLINs X007-X021'!M19</f>
        <v>6</v>
      </c>
      <c r="N24" s="2">
        <f>'FFP CLINs X007-X021'!N19</f>
        <v>0</v>
      </c>
      <c r="O24" s="106">
        <f t="shared" si="3"/>
        <v>0</v>
      </c>
      <c r="P24" s="112">
        <v>3014</v>
      </c>
      <c r="Q24" s="449">
        <f>'FFP CLINs X007-X021'!Q19</f>
        <v>6</v>
      </c>
      <c r="R24" s="2">
        <f>'FFP CLINs X007-X021'!R19</f>
        <v>0</v>
      </c>
      <c r="S24" s="106">
        <f t="shared" si="4"/>
        <v>0</v>
      </c>
      <c r="T24" s="112">
        <v>4014</v>
      </c>
      <c r="U24" s="452" t="s">
        <v>5</v>
      </c>
      <c r="V24" s="429" t="s">
        <v>5</v>
      </c>
      <c r="W24" s="108" t="s">
        <v>5</v>
      </c>
      <c r="X24" s="112">
        <v>5014</v>
      </c>
      <c r="Y24" s="452" t="str">
        <f>'FFP CLINs X007-X021'!Y19</f>
        <v xml:space="preserve"> </v>
      </c>
      <c r="Z24" s="429" t="str">
        <f>'FFP CLINs X007-X021'!Z19</f>
        <v xml:space="preserve"> </v>
      </c>
      <c r="AA24" s="108" t="s">
        <v>5</v>
      </c>
      <c r="AB24" s="112">
        <v>6014</v>
      </c>
      <c r="AC24" s="450" t="str">
        <f>'FFP CLINs X007-X021'!AC19</f>
        <v xml:space="preserve"> </v>
      </c>
      <c r="AD24" s="429" t="str">
        <f>'FFP CLINs X007-X021'!AD19</f>
        <v xml:space="preserve"> </v>
      </c>
      <c r="AE24" s="108" t="s">
        <v>5</v>
      </c>
      <c r="AF24" s="6"/>
      <c r="AG24" s="292">
        <f>G24+K24+O24+S24</f>
        <v>0</v>
      </c>
      <c r="AH24" s="10"/>
    </row>
    <row r="25" spans="1:35" x14ac:dyDescent="0.25">
      <c r="A25" s="60" t="s">
        <v>594</v>
      </c>
      <c r="B25" s="17" t="s">
        <v>46</v>
      </c>
      <c r="C25" s="432" t="s">
        <v>18</v>
      </c>
      <c r="D25" s="313" t="s">
        <v>79</v>
      </c>
      <c r="E25" s="443" t="s">
        <v>5</v>
      </c>
      <c r="F25" s="532" t="s">
        <v>5</v>
      </c>
      <c r="G25" s="444" t="s">
        <v>5</v>
      </c>
      <c r="H25" s="97">
        <v>1015</v>
      </c>
      <c r="I25" s="443" t="s">
        <v>149</v>
      </c>
      <c r="J25" s="429" t="s">
        <v>5</v>
      </c>
      <c r="K25" s="108" t="s">
        <v>5</v>
      </c>
      <c r="L25" s="112">
        <v>2015</v>
      </c>
      <c r="M25" s="441">
        <f>'FFP CLINs X007-X021'!M20</f>
        <v>1</v>
      </c>
      <c r="N25" s="2">
        <f>'FFP CLINs X007-X021'!N21</f>
        <v>0</v>
      </c>
      <c r="O25" s="106">
        <f t="shared" ref="O25" si="9">ROUND(M25*N25,0)</f>
        <v>0</v>
      </c>
      <c r="P25" s="112">
        <v>3015</v>
      </c>
      <c r="Q25" s="450" t="s">
        <v>5</v>
      </c>
      <c r="R25" s="429" t="s">
        <v>5</v>
      </c>
      <c r="S25" s="108" t="s">
        <v>5</v>
      </c>
      <c r="T25" s="112">
        <v>4015</v>
      </c>
      <c r="U25" s="450" t="s">
        <v>5</v>
      </c>
      <c r="V25" s="429" t="s">
        <v>5</v>
      </c>
      <c r="W25" s="108" t="s">
        <v>5</v>
      </c>
      <c r="X25" s="112">
        <v>5015</v>
      </c>
      <c r="Y25" s="450" t="str">
        <f>'FFP CLINs X007-X021'!Y20</f>
        <v xml:space="preserve"> </v>
      </c>
      <c r="Z25" s="429" t="s">
        <v>5</v>
      </c>
      <c r="AA25" s="108" t="s">
        <v>5</v>
      </c>
      <c r="AB25" s="112">
        <v>6015</v>
      </c>
      <c r="AC25" s="450" t="str">
        <f>'FFP CLINs X007-X021'!AC20</f>
        <v xml:space="preserve"> </v>
      </c>
      <c r="AD25" s="429">
        <f>'FFP CLINs X007-X021'!AD21</f>
        <v>0</v>
      </c>
      <c r="AE25" s="108" t="s">
        <v>5</v>
      </c>
      <c r="AF25" s="6"/>
      <c r="AG25" s="292">
        <f>O25</f>
        <v>0</v>
      </c>
      <c r="AH25" s="10"/>
    </row>
    <row r="26" spans="1:35" x14ac:dyDescent="0.25">
      <c r="A26" s="59" t="s">
        <v>44</v>
      </c>
      <c r="B26" s="17" t="s">
        <v>46</v>
      </c>
      <c r="C26" s="432" t="s">
        <v>16</v>
      </c>
      <c r="D26" s="313" t="s">
        <v>80</v>
      </c>
      <c r="E26" s="441">
        <f>'FFP CLINs X007-X021'!E21</f>
        <v>12</v>
      </c>
      <c r="F26" s="461">
        <f>'FFP CLINs X007-X021'!F21</f>
        <v>0</v>
      </c>
      <c r="G26" s="442">
        <f t="shared" si="1"/>
        <v>0</v>
      </c>
      <c r="H26" s="97">
        <v>1016</v>
      </c>
      <c r="I26" s="441">
        <f>'FFP CLINs X007-X021'!I21</f>
        <v>12</v>
      </c>
      <c r="J26" s="2">
        <f>'FFP CLINs X007-X021'!J21</f>
        <v>0</v>
      </c>
      <c r="K26" s="106">
        <f t="shared" si="2"/>
        <v>0</v>
      </c>
      <c r="L26" s="112">
        <v>2016</v>
      </c>
      <c r="M26" s="441">
        <f>'FFP CLINs X007-X021'!M21</f>
        <v>12</v>
      </c>
      <c r="N26" s="2">
        <f>'FFP CLINs X007-X021'!N21</f>
        <v>0</v>
      </c>
      <c r="O26" s="106">
        <f t="shared" si="3"/>
        <v>0</v>
      </c>
      <c r="P26" s="112">
        <v>3016</v>
      </c>
      <c r="Q26" s="449">
        <f>'FFP CLINs X007-X021'!Q21</f>
        <v>12</v>
      </c>
      <c r="R26" s="2">
        <f>'FFP CLINs X007-X021'!R21</f>
        <v>0</v>
      </c>
      <c r="S26" s="106">
        <f t="shared" si="4"/>
        <v>0</v>
      </c>
      <c r="T26" s="112">
        <v>4016</v>
      </c>
      <c r="U26" s="449">
        <f>'FFP CLINs X007-X021'!U21</f>
        <v>12</v>
      </c>
      <c r="V26" s="2">
        <f>'FFP CLINs X007-X021'!V21</f>
        <v>0</v>
      </c>
      <c r="W26" s="106">
        <f t="shared" si="5"/>
        <v>0</v>
      </c>
      <c r="X26" s="112">
        <v>5016</v>
      </c>
      <c r="Y26" s="449">
        <f>'FFP CLINs X007-X021'!Y21</f>
        <v>12</v>
      </c>
      <c r="Z26" s="2">
        <f>'FFP CLINs X007-X021'!Z21</f>
        <v>0</v>
      </c>
      <c r="AA26" s="106">
        <f t="shared" si="6"/>
        <v>0</v>
      </c>
      <c r="AB26" s="112">
        <v>6016</v>
      </c>
      <c r="AC26" s="323">
        <f>'FFP CLINs X007-X021'!AC21</f>
        <v>12</v>
      </c>
      <c r="AD26" s="2">
        <f>'FFP CLINs X007-X021'!AD21</f>
        <v>0</v>
      </c>
      <c r="AE26" s="106">
        <f t="shared" si="7"/>
        <v>0</v>
      </c>
      <c r="AF26" s="6"/>
      <c r="AG26" s="292">
        <f>G26+K26+O26+S26+W26+AA26+AE26</f>
        <v>0</v>
      </c>
      <c r="AH26" s="10"/>
    </row>
    <row r="27" spans="1:35" x14ac:dyDescent="0.25">
      <c r="A27" s="59" t="s">
        <v>439</v>
      </c>
      <c r="B27" s="17" t="s">
        <v>19</v>
      </c>
      <c r="C27" s="432" t="s">
        <v>174</v>
      </c>
      <c r="D27" s="313" t="s">
        <v>171</v>
      </c>
      <c r="E27" s="443" t="s">
        <v>5</v>
      </c>
      <c r="F27" s="532" t="s">
        <v>5</v>
      </c>
      <c r="G27" s="444" t="s">
        <v>5</v>
      </c>
      <c r="H27" s="97">
        <v>1017</v>
      </c>
      <c r="I27" s="443" t="s">
        <v>5</v>
      </c>
      <c r="J27" s="429" t="s">
        <v>5</v>
      </c>
      <c r="K27" s="108" t="s">
        <v>5</v>
      </c>
      <c r="L27" s="112">
        <v>2017</v>
      </c>
      <c r="M27" s="443" t="s">
        <v>5</v>
      </c>
      <c r="N27" s="429" t="s">
        <v>5</v>
      </c>
      <c r="O27" s="108" t="s">
        <v>5</v>
      </c>
      <c r="P27" s="112">
        <v>3017</v>
      </c>
      <c r="Q27" s="450"/>
      <c r="R27" s="429"/>
      <c r="S27" s="108"/>
      <c r="T27" s="112">
        <v>4017</v>
      </c>
      <c r="U27" s="452"/>
      <c r="V27" s="429"/>
      <c r="W27" s="108"/>
      <c r="X27" s="112">
        <v>5017</v>
      </c>
      <c r="Y27" s="452"/>
      <c r="Z27" s="429"/>
      <c r="AA27" s="108"/>
      <c r="AB27" s="112">
        <v>6017</v>
      </c>
      <c r="AC27" s="450"/>
      <c r="AD27" s="429"/>
      <c r="AE27" s="108"/>
      <c r="AF27" s="6"/>
      <c r="AG27" s="115" t="s">
        <v>5</v>
      </c>
      <c r="AH27" s="10"/>
    </row>
    <row r="28" spans="1:35" x14ac:dyDescent="0.25">
      <c r="A28" s="59" t="s">
        <v>45</v>
      </c>
      <c r="B28" s="17" t="s">
        <v>47</v>
      </c>
      <c r="C28" s="432" t="s">
        <v>174</v>
      </c>
      <c r="D28" s="313" t="s">
        <v>172</v>
      </c>
      <c r="E28" s="443" t="s">
        <v>5</v>
      </c>
      <c r="F28" s="532" t="s">
        <v>5</v>
      </c>
      <c r="G28" s="444" t="s">
        <v>5</v>
      </c>
      <c r="H28" s="97">
        <v>1018</v>
      </c>
      <c r="I28" s="443" t="s">
        <v>5</v>
      </c>
      <c r="J28" s="429" t="s">
        <v>5</v>
      </c>
      <c r="K28" s="108" t="s">
        <v>5</v>
      </c>
      <c r="L28" s="112">
        <v>2018</v>
      </c>
      <c r="M28" s="443" t="s">
        <v>5</v>
      </c>
      <c r="N28" s="429" t="s">
        <v>5</v>
      </c>
      <c r="O28" s="108" t="s">
        <v>5</v>
      </c>
      <c r="P28" s="112">
        <v>3018</v>
      </c>
      <c r="Q28" s="450"/>
      <c r="R28" s="429"/>
      <c r="S28" s="108"/>
      <c r="T28" s="112">
        <v>4018</v>
      </c>
      <c r="U28" s="452"/>
      <c r="V28" s="429"/>
      <c r="W28" s="108"/>
      <c r="X28" s="112">
        <v>5018</v>
      </c>
      <c r="Y28" s="452"/>
      <c r="Z28" s="429"/>
      <c r="AA28" s="108"/>
      <c r="AB28" s="112">
        <v>6018</v>
      </c>
      <c r="AC28" s="450"/>
      <c r="AD28" s="429"/>
      <c r="AE28" s="108"/>
      <c r="AF28" s="6"/>
      <c r="AG28" s="115" t="s">
        <v>5</v>
      </c>
      <c r="AH28" s="10"/>
    </row>
    <row r="29" spans="1:35" x14ac:dyDescent="0.25">
      <c r="A29" s="59" t="s">
        <v>20</v>
      </c>
      <c r="B29" s="17" t="s">
        <v>47</v>
      </c>
      <c r="C29" s="432" t="s">
        <v>174</v>
      </c>
      <c r="D29" s="313" t="s">
        <v>173</v>
      </c>
      <c r="E29" s="443" t="s">
        <v>5</v>
      </c>
      <c r="F29" s="532" t="s">
        <v>5</v>
      </c>
      <c r="G29" s="444" t="s">
        <v>5</v>
      </c>
      <c r="H29" s="97">
        <v>1019</v>
      </c>
      <c r="I29" s="443" t="s">
        <v>5</v>
      </c>
      <c r="J29" s="429" t="s">
        <v>5</v>
      </c>
      <c r="K29" s="108" t="s">
        <v>5</v>
      </c>
      <c r="L29" s="112">
        <v>2019</v>
      </c>
      <c r="M29" s="443" t="s">
        <v>5</v>
      </c>
      <c r="N29" s="429" t="s">
        <v>5</v>
      </c>
      <c r="O29" s="108" t="s">
        <v>5</v>
      </c>
      <c r="P29" s="112">
        <v>3019</v>
      </c>
      <c r="Q29" s="450"/>
      <c r="R29" s="429"/>
      <c r="S29" s="108"/>
      <c r="T29" s="112">
        <v>4019</v>
      </c>
      <c r="U29" s="452"/>
      <c r="V29" s="429"/>
      <c r="W29" s="108"/>
      <c r="X29" s="112">
        <v>8019</v>
      </c>
      <c r="Y29" s="452"/>
      <c r="Z29" s="429"/>
      <c r="AA29" s="108"/>
      <c r="AB29" s="112">
        <v>6019</v>
      </c>
      <c r="AC29" s="450"/>
      <c r="AD29" s="429"/>
      <c r="AE29" s="108"/>
      <c r="AF29" s="6"/>
      <c r="AG29" s="115" t="s">
        <v>5</v>
      </c>
      <c r="AH29" s="10"/>
    </row>
    <row r="30" spans="1:35" x14ac:dyDescent="0.25">
      <c r="A30" s="59" t="s">
        <v>438</v>
      </c>
      <c r="B30" s="17" t="s">
        <v>46</v>
      </c>
      <c r="C30" s="432" t="s">
        <v>16</v>
      </c>
      <c r="D30" s="313" t="s">
        <v>81</v>
      </c>
      <c r="E30" s="441">
        <f>'FFP CLINs X007-X021'!E22</f>
        <v>12</v>
      </c>
      <c r="F30" s="461">
        <f>'FFP CLINs X007-X021'!F22</f>
        <v>0</v>
      </c>
      <c r="G30" s="442">
        <f>ROUND(E30*F30,0)</f>
        <v>0</v>
      </c>
      <c r="H30" s="97">
        <v>1020</v>
      </c>
      <c r="I30" s="441">
        <f>'FFP CLINs X007-X021'!I22</f>
        <v>12</v>
      </c>
      <c r="J30" s="2">
        <f>'FFP CLINs X007-X021'!J22</f>
        <v>0</v>
      </c>
      <c r="K30" s="106">
        <f>ROUND(I30*J30,0)</f>
        <v>0</v>
      </c>
      <c r="L30" s="112">
        <v>2020</v>
      </c>
      <c r="M30" s="441">
        <f>'FFP CLINs X007-X021'!M22</f>
        <v>12</v>
      </c>
      <c r="N30" s="2">
        <f>'FFP CLINs X007-X021'!N22</f>
        <v>0</v>
      </c>
      <c r="O30" s="106">
        <f>ROUND(M30*N30,0)</f>
        <v>0</v>
      </c>
      <c r="P30" s="112">
        <v>3020</v>
      </c>
      <c r="Q30" s="449">
        <f>'FFP CLINs X007-X021'!Q22</f>
        <v>12</v>
      </c>
      <c r="R30" s="2">
        <f>'FFP CLINs X007-X021'!R22</f>
        <v>0</v>
      </c>
      <c r="S30" s="106">
        <f>ROUND(Q30*R30,0)</f>
        <v>0</v>
      </c>
      <c r="T30" s="112">
        <v>4020</v>
      </c>
      <c r="U30" s="449">
        <f>'FFP CLINs X007-X021'!U22</f>
        <v>12</v>
      </c>
      <c r="V30" s="2">
        <f>'FFP CLINs X007-X021'!V22</f>
        <v>0</v>
      </c>
      <c r="W30" s="106">
        <f>ROUND(U30*V30,0)</f>
        <v>0</v>
      </c>
      <c r="X30" s="112">
        <v>5020</v>
      </c>
      <c r="Y30" s="449">
        <f>'FFP CLINs X007-X021'!Y22</f>
        <v>12</v>
      </c>
      <c r="Z30" s="2">
        <f>'FFP CLINs X007-X021'!Z22</f>
        <v>0</v>
      </c>
      <c r="AA30" s="106">
        <f>ROUND(Y30*Z30,0)</f>
        <v>0</v>
      </c>
      <c r="AB30" s="112">
        <v>6020</v>
      </c>
      <c r="AC30" s="323">
        <f>'FFP CLINs X007-X021'!AC22</f>
        <v>12</v>
      </c>
      <c r="AD30" s="2">
        <f>'FFP CLINs X007-X021'!AD22</f>
        <v>0</v>
      </c>
      <c r="AE30" s="106">
        <f>ROUND(AC30*AD30,0)</f>
        <v>0</v>
      </c>
      <c r="AF30" s="6"/>
      <c r="AG30" s="114">
        <f>G30+K30+O30+S30+W30+AA30+AE30</f>
        <v>0</v>
      </c>
      <c r="AH30" s="10"/>
    </row>
    <row r="31" spans="1:35" ht="15.75" thickBot="1" x14ac:dyDescent="0.3">
      <c r="A31" s="59" t="s">
        <v>580</v>
      </c>
      <c r="B31" s="17" t="s">
        <v>46</v>
      </c>
      <c r="C31" s="432" t="s">
        <v>18</v>
      </c>
      <c r="D31" s="313" t="s">
        <v>82</v>
      </c>
      <c r="E31" s="448">
        <f>'FFP CLINs X007-X021'!E23</f>
        <v>2</v>
      </c>
      <c r="F31" s="535">
        <f>'FFP CLINs X007-X021'!F23</f>
        <v>0</v>
      </c>
      <c r="G31" s="111">
        <f>ROUND(E31*F31,0)</f>
        <v>0</v>
      </c>
      <c r="H31" s="97">
        <v>1021</v>
      </c>
      <c r="I31" s="448">
        <f>'FFP CLINs X007-X021'!I23</f>
        <v>6</v>
      </c>
      <c r="J31" s="535">
        <f>'FFP CLINs X007-X021'!J23</f>
        <v>0</v>
      </c>
      <c r="K31" s="111">
        <f>ROUND(I31*J31,0)</f>
        <v>0</v>
      </c>
      <c r="L31" s="112">
        <v>2021</v>
      </c>
      <c r="M31" s="448">
        <f>'FFP CLINs X007-X021'!M23</f>
        <v>7</v>
      </c>
      <c r="N31" s="535">
        <f>'FFP CLINs X007-X021'!N23</f>
        <v>0</v>
      </c>
      <c r="O31" s="111">
        <f>ROUND(M31*N31,0)</f>
        <v>0</v>
      </c>
      <c r="P31" s="112">
        <v>3021</v>
      </c>
      <c r="Q31" s="451">
        <f>'FFP CLINs X007-X021'!Q23</f>
        <v>8</v>
      </c>
      <c r="R31" s="535">
        <f>'FFP CLINs X007-X021'!R23</f>
        <v>0</v>
      </c>
      <c r="S31" s="111">
        <f>ROUND(Q31*R31,0)</f>
        <v>0</v>
      </c>
      <c r="T31" s="112">
        <v>4021</v>
      </c>
      <c r="U31" s="451">
        <f>'FFP CLINs X007-X021'!U23</f>
        <v>10</v>
      </c>
      <c r="V31" s="535">
        <f>'FFP CLINs X007-X021'!V23</f>
        <v>0</v>
      </c>
      <c r="W31" s="111">
        <f>ROUND(U31*V31,0)</f>
        <v>0</v>
      </c>
      <c r="X31" s="112">
        <v>5021</v>
      </c>
      <c r="Y31" s="451">
        <f>'FFP CLINs X007-X021'!Y23</f>
        <v>10</v>
      </c>
      <c r="Z31" s="535">
        <f>'FFP CLINs X007-X021'!Z23</f>
        <v>0</v>
      </c>
      <c r="AA31" s="111">
        <f>ROUND(Y31*Z31,0)</f>
        <v>0</v>
      </c>
      <c r="AB31" s="112">
        <v>6021</v>
      </c>
      <c r="AC31" s="324">
        <f>'FFP CLINs X007-X021'!AC23</f>
        <v>7</v>
      </c>
      <c r="AD31" s="535">
        <f>'FFP CLINs X007-X021'!AD23</f>
        <v>0</v>
      </c>
      <c r="AE31" s="111">
        <f>ROUND(AC31*AD31,0)</f>
        <v>0</v>
      </c>
      <c r="AF31" s="6"/>
      <c r="AG31" s="114">
        <f>G31+K31+O31+S31+W31+AA31+AE31</f>
        <v>0</v>
      </c>
      <c r="AH31" s="10"/>
    </row>
    <row r="32" spans="1:35" ht="31.5" customHeight="1" thickBot="1" x14ac:dyDescent="0.3">
      <c r="A32" s="7"/>
      <c r="B32" s="21"/>
      <c r="C32" s="11"/>
      <c r="D32" s="22"/>
      <c r="E32" s="20"/>
      <c r="F32" s="101" t="s">
        <v>21</v>
      </c>
      <c r="G32" s="102">
        <f>G10+G11+G12+G17+G18+G19+G24+G26+G30+G31</f>
        <v>0</v>
      </c>
      <c r="H32" s="22"/>
      <c r="J32" s="113" t="s">
        <v>21</v>
      </c>
      <c r="K32" s="102">
        <f>K17+K18+K19+K20+K21+K22+K23+K24+K26+K30+K31</f>
        <v>0</v>
      </c>
      <c r="L32" s="22"/>
      <c r="M32" s="25"/>
      <c r="N32" s="113" t="s">
        <v>21</v>
      </c>
      <c r="O32" s="102">
        <f>O17+O18+O19+O20+O21+O22+O23+O24+O25+O26+O30+O31</f>
        <v>0</v>
      </c>
      <c r="P32" s="22"/>
      <c r="R32" s="101" t="s">
        <v>21</v>
      </c>
      <c r="S32" s="102">
        <f>S17+S18+S19+S20+S21+S22+S23+S24+S26+S30+S31</f>
        <v>0</v>
      </c>
      <c r="T32" s="22"/>
      <c r="V32" s="101" t="s">
        <v>21</v>
      </c>
      <c r="W32" s="102">
        <f>W17+W18+W19+W20+W21+W22+W23+W26+W30+W31</f>
        <v>0</v>
      </c>
      <c r="X32" s="22"/>
      <c r="Z32" s="101" t="s">
        <v>21</v>
      </c>
      <c r="AA32" s="102">
        <f>AA17+AA18+AA19+AA20+AA21+AA22+AA23+AA26+AA30+AA31</f>
        <v>0</v>
      </c>
      <c r="AB32" s="26"/>
      <c r="AD32" s="101" t="s">
        <v>21</v>
      </c>
      <c r="AE32" s="102">
        <f>AE17+AE18+AE19+AE20+AE21+AE22+AE23+AE26+AE30+AE31</f>
        <v>0</v>
      </c>
      <c r="AF32" s="27"/>
      <c r="AG32" s="28">
        <f>AG10+AG11+AG12+AG17+AG18+AG19+AG20+AG21+AG22+AG23+AG24+AG25+AG26+AG30+AG31</f>
        <v>0</v>
      </c>
      <c r="AH32" s="29" t="s">
        <v>15</v>
      </c>
      <c r="AI32" s="30"/>
    </row>
    <row r="33" spans="1:34" s="30" customFormat="1" ht="15.75" thickBot="1" x14ac:dyDescent="0.3">
      <c r="A33" s="556"/>
      <c r="B33" s="556"/>
      <c r="C33" s="31"/>
      <c r="D33" s="32"/>
      <c r="H33" s="32"/>
      <c r="J33" s="33"/>
      <c r="K33" s="34"/>
      <c r="L33" s="32"/>
      <c r="M33" s="35"/>
      <c r="N33" s="33"/>
      <c r="O33" s="34"/>
      <c r="P33" s="32"/>
      <c r="Q33" s="35"/>
      <c r="R33" s="33"/>
      <c r="S33" s="34"/>
      <c r="T33" s="32"/>
      <c r="U33" s="35"/>
      <c r="V33" s="33"/>
      <c r="W33" s="34"/>
      <c r="X33" s="32"/>
      <c r="Y33" s="35"/>
      <c r="Z33" s="33"/>
      <c r="AA33" s="34"/>
      <c r="AB33" s="34"/>
      <c r="AC33" s="35"/>
      <c r="AD33" s="33"/>
      <c r="AE33" s="34"/>
      <c r="AF33" s="35"/>
      <c r="AG33" s="35"/>
    </row>
    <row r="34" spans="1:34" s="30" customFormat="1" ht="12.75" customHeight="1" thickBot="1" x14ac:dyDescent="0.3">
      <c r="A34" s="36"/>
      <c r="B34" s="37"/>
      <c r="C34" s="31"/>
      <c r="D34" s="32"/>
      <c r="E34" s="38"/>
      <c r="F34" s="272" t="s">
        <v>5</v>
      </c>
      <c r="G34" s="272"/>
      <c r="H34" s="32"/>
      <c r="J34" s="32"/>
      <c r="K34" s="39" t="s">
        <v>5</v>
      </c>
      <c r="L34" s="32"/>
      <c r="M34" s="40"/>
      <c r="N34" s="32"/>
      <c r="O34" s="41"/>
      <c r="P34" s="32"/>
      <c r="Q34" s="40"/>
      <c r="R34" s="32"/>
      <c r="S34" s="41"/>
      <c r="T34" s="32"/>
      <c r="U34" s="40"/>
      <c r="V34" s="32"/>
      <c r="W34" s="41"/>
      <c r="X34" s="32"/>
      <c r="Y34" s="40"/>
      <c r="Z34" s="32"/>
      <c r="AA34" s="41"/>
      <c r="AB34" s="41"/>
      <c r="AC34" s="40"/>
      <c r="AD34" s="32"/>
      <c r="AE34" s="41"/>
      <c r="AF34" s="40"/>
      <c r="AG34" s="42">
        <f>G32+K32+O32+S32+W32+AA32+AE32</f>
        <v>0</v>
      </c>
      <c r="AH34" s="43" t="s">
        <v>22</v>
      </c>
    </row>
    <row r="35" spans="1:34" s="30" customFormat="1" ht="24.75" customHeight="1" x14ac:dyDescent="0.25">
      <c r="A35" s="32"/>
      <c r="E35" s="32"/>
      <c r="G35" s="32"/>
      <c r="H35" s="41"/>
      <c r="I35" s="32"/>
      <c r="K35" s="32"/>
      <c r="L35" s="41"/>
      <c r="M35" s="32"/>
      <c r="O35" s="32"/>
      <c r="P35" s="41"/>
      <c r="Q35" s="32"/>
      <c r="S35" s="32"/>
      <c r="T35" s="41"/>
      <c r="U35" s="32"/>
      <c r="W35" s="32"/>
      <c r="X35" s="41"/>
      <c r="Y35" s="41"/>
      <c r="AA35" s="32"/>
      <c r="AB35" s="41"/>
      <c r="AC35" s="41"/>
      <c r="AE35" s="32"/>
    </row>
    <row r="36" spans="1:34" s="30" customFormat="1" ht="39.75" customHeight="1" x14ac:dyDescent="0.25">
      <c r="A36" s="32"/>
      <c r="C36" s="272" t="s">
        <v>5</v>
      </c>
      <c r="D36" s="272"/>
      <c r="E36" s="273"/>
      <c r="G36" s="32"/>
      <c r="H36" s="41"/>
      <c r="I36" s="32"/>
      <c r="K36" s="32"/>
      <c r="L36" s="41"/>
      <c r="M36" s="32"/>
      <c r="O36" s="32"/>
      <c r="P36" s="41"/>
      <c r="Q36" s="32"/>
      <c r="S36" s="32"/>
      <c r="T36" s="41"/>
      <c r="U36" s="32"/>
      <c r="W36" s="32"/>
      <c r="X36" s="41"/>
      <c r="Y36" s="41"/>
      <c r="AA36" s="32"/>
      <c r="AB36" s="41"/>
      <c r="AC36" s="41"/>
      <c r="AE36" s="32"/>
    </row>
    <row r="37" spans="1:34" s="30" customFormat="1" ht="27.75" customHeight="1" x14ac:dyDescent="0.25">
      <c r="A37" s="32"/>
      <c r="E37" s="32"/>
      <c r="G37" s="32"/>
      <c r="H37" s="41"/>
      <c r="I37" s="32"/>
      <c r="K37" s="32"/>
      <c r="L37" s="41"/>
      <c r="M37" s="32"/>
      <c r="O37" s="32"/>
      <c r="P37" s="41"/>
      <c r="Q37" s="32"/>
      <c r="S37" s="32"/>
      <c r="T37" s="41"/>
      <c r="U37" s="32"/>
      <c r="W37" s="32"/>
      <c r="X37" s="41"/>
      <c r="Y37" s="41"/>
      <c r="AA37" s="32"/>
      <c r="AB37" s="41"/>
      <c r="AC37" s="41"/>
      <c r="AE37" s="32"/>
    </row>
    <row r="38" spans="1:34" s="30" customFormat="1" x14ac:dyDescent="0.25">
      <c r="A38" s="36"/>
      <c r="B38" s="31"/>
      <c r="C38" s="31"/>
      <c r="D38" s="32"/>
      <c r="H38" s="249"/>
      <c r="J38" s="32"/>
      <c r="K38" s="41"/>
      <c r="L38" s="32"/>
      <c r="N38" s="32"/>
      <c r="O38" s="41"/>
      <c r="P38" s="32"/>
      <c r="R38" s="32"/>
      <c r="S38" s="41"/>
      <c r="T38" s="32"/>
      <c r="V38" s="32"/>
      <c r="W38" s="41"/>
      <c r="X38" s="32"/>
      <c r="Z38" s="32"/>
      <c r="AA38" s="41"/>
      <c r="AB38" s="41"/>
      <c r="AD38" s="32"/>
      <c r="AE38" s="41"/>
    </row>
    <row r="39" spans="1:34" s="30" customFormat="1" x14ac:dyDescent="0.25">
      <c r="A39" s="36"/>
      <c r="B39" s="31"/>
      <c r="C39" s="31"/>
      <c r="D39" s="32"/>
      <c r="H39" s="32"/>
      <c r="J39" s="32"/>
      <c r="K39" s="41"/>
      <c r="L39" s="32"/>
      <c r="N39" s="32"/>
      <c r="O39" s="41"/>
      <c r="P39" s="32"/>
      <c r="R39" s="32"/>
      <c r="S39" s="41"/>
      <c r="T39" s="32"/>
      <c r="V39" s="32"/>
      <c r="W39" s="41"/>
      <c r="X39" s="32"/>
      <c r="Z39" s="32"/>
      <c r="AA39" s="41"/>
      <c r="AB39" s="41"/>
      <c r="AD39" s="32"/>
      <c r="AE39" s="41"/>
    </row>
    <row r="40" spans="1:34" s="30" customFormat="1" x14ac:dyDescent="0.25">
      <c r="A40" s="36"/>
      <c r="B40" s="31"/>
      <c r="C40" s="31"/>
      <c r="D40" s="32"/>
      <c r="H40" s="32"/>
      <c r="J40" s="32"/>
      <c r="K40" s="41"/>
      <c r="L40" s="32"/>
      <c r="N40" s="32"/>
      <c r="O40" s="41"/>
      <c r="P40" s="32"/>
      <c r="R40" s="32"/>
      <c r="S40" s="41"/>
      <c r="T40" s="32"/>
      <c r="V40" s="32"/>
      <c r="W40" s="41"/>
      <c r="X40" s="32"/>
      <c r="Z40" s="32"/>
      <c r="AA40" s="41"/>
      <c r="AB40" s="41"/>
      <c r="AD40" s="32"/>
      <c r="AE40" s="41"/>
    </row>
    <row r="41" spans="1:34" s="30" customFormat="1" x14ac:dyDescent="0.25">
      <c r="A41" s="36"/>
      <c r="B41" s="31"/>
      <c r="C41" s="31"/>
      <c r="D41" s="32"/>
      <c r="H41" s="32"/>
      <c r="J41" s="32"/>
      <c r="K41" s="41"/>
      <c r="L41" s="32"/>
      <c r="N41" s="32"/>
      <c r="O41" s="41"/>
      <c r="P41" s="32"/>
      <c r="R41" s="32"/>
      <c r="S41" s="41"/>
      <c r="T41" s="32"/>
      <c r="V41" s="32"/>
      <c r="W41" s="41"/>
      <c r="X41" s="32"/>
      <c r="Z41" s="32"/>
      <c r="AA41" s="41"/>
      <c r="AB41" s="41"/>
      <c r="AD41" s="32"/>
      <c r="AE41" s="41"/>
    </row>
    <row r="42" spans="1:34" s="30" customFormat="1" x14ac:dyDescent="0.25">
      <c r="A42" s="36"/>
      <c r="B42" s="31"/>
      <c r="C42" s="31"/>
      <c r="D42" s="32"/>
      <c r="H42" s="32"/>
      <c r="J42" s="32"/>
      <c r="K42" s="41"/>
      <c r="L42" s="32"/>
      <c r="N42" s="32"/>
      <c r="O42" s="41"/>
      <c r="P42" s="32"/>
      <c r="R42" s="32"/>
      <c r="S42" s="41"/>
      <c r="T42" s="32"/>
      <c r="V42" s="32"/>
      <c r="W42" s="41"/>
      <c r="X42" s="32"/>
      <c r="Z42" s="32"/>
      <c r="AA42" s="41"/>
      <c r="AB42" s="41"/>
      <c r="AD42" s="32"/>
      <c r="AE42" s="41"/>
    </row>
    <row r="43" spans="1:34" s="30" customFormat="1" x14ac:dyDescent="0.25">
      <c r="A43" s="36"/>
      <c r="B43" s="31"/>
      <c r="C43" s="31"/>
      <c r="D43" s="32"/>
      <c r="H43" s="32"/>
      <c r="J43" s="32"/>
      <c r="K43" s="41"/>
      <c r="L43" s="32"/>
      <c r="N43" s="32"/>
      <c r="O43" s="41"/>
      <c r="P43" s="32"/>
      <c r="R43" s="32"/>
      <c r="S43" s="41"/>
      <c r="T43" s="32"/>
      <c r="V43" s="32"/>
      <c r="W43" s="41"/>
      <c r="X43" s="32"/>
      <c r="Z43" s="32"/>
      <c r="AA43" s="41"/>
      <c r="AB43" s="41"/>
      <c r="AD43" s="32"/>
      <c r="AE43" s="41"/>
    </row>
    <row r="44" spans="1:34" s="30" customFormat="1" x14ac:dyDescent="0.25">
      <c r="A44" s="36"/>
      <c r="B44" s="31"/>
      <c r="C44" s="31"/>
      <c r="D44" s="32"/>
      <c r="H44" s="32"/>
      <c r="J44" s="32"/>
      <c r="K44" s="41"/>
      <c r="L44" s="32"/>
      <c r="N44" s="32"/>
      <c r="O44" s="41"/>
      <c r="P44" s="32"/>
      <c r="R44" s="32"/>
      <c r="S44" s="41"/>
      <c r="T44" s="32"/>
      <c r="V44" s="32"/>
      <c r="W44" s="41"/>
      <c r="X44" s="32"/>
      <c r="Z44" s="32"/>
      <c r="AA44" s="41"/>
      <c r="AB44" s="41"/>
      <c r="AD44" s="32"/>
      <c r="AE44" s="41"/>
    </row>
    <row r="45" spans="1:34" s="30" customFormat="1" x14ac:dyDescent="0.25">
      <c r="A45" s="36"/>
      <c r="B45" s="31"/>
      <c r="C45" s="31"/>
      <c r="D45" s="32"/>
      <c r="H45" s="32"/>
      <c r="J45" s="32"/>
      <c r="K45" s="41"/>
      <c r="L45" s="32"/>
      <c r="N45" s="32"/>
      <c r="O45" s="41"/>
      <c r="P45" s="32"/>
      <c r="R45" s="32"/>
      <c r="S45" s="41"/>
      <c r="T45" s="32"/>
      <c r="V45" s="32"/>
      <c r="W45" s="41"/>
      <c r="X45" s="32"/>
      <c r="Z45" s="32"/>
      <c r="AA45" s="41"/>
      <c r="AB45" s="41"/>
      <c r="AD45" s="32"/>
      <c r="AE45" s="41"/>
    </row>
    <row r="46" spans="1:34" s="30" customFormat="1" x14ac:dyDescent="0.25">
      <c r="A46" s="36"/>
      <c r="B46" s="31"/>
      <c r="C46" s="31"/>
      <c r="D46" s="32"/>
      <c r="H46" s="32"/>
      <c r="J46" s="32"/>
      <c r="K46" s="41"/>
      <c r="L46" s="32"/>
      <c r="N46" s="32"/>
      <c r="O46" s="41"/>
      <c r="P46" s="32"/>
      <c r="R46" s="32"/>
      <c r="S46" s="41"/>
      <c r="T46" s="32"/>
      <c r="V46" s="32"/>
      <c r="W46" s="41"/>
      <c r="X46" s="32"/>
      <c r="Z46" s="32"/>
      <c r="AA46" s="41"/>
      <c r="AB46" s="41"/>
      <c r="AD46" s="32"/>
      <c r="AE46" s="41"/>
    </row>
    <row r="47" spans="1:34" s="30" customFormat="1" x14ac:dyDescent="0.25">
      <c r="A47" s="36"/>
      <c r="B47" s="31"/>
      <c r="C47" s="31"/>
      <c r="D47" s="32"/>
      <c r="H47" s="32"/>
      <c r="J47" s="32"/>
      <c r="K47" s="41"/>
      <c r="L47" s="32"/>
      <c r="N47" s="32"/>
      <c r="O47" s="41"/>
      <c r="P47" s="32"/>
      <c r="R47" s="32"/>
      <c r="S47" s="41"/>
      <c r="T47" s="32"/>
      <c r="V47" s="32"/>
      <c r="W47" s="41"/>
      <c r="X47" s="32"/>
      <c r="Z47" s="32"/>
      <c r="AA47" s="41"/>
      <c r="AB47" s="41"/>
      <c r="AD47" s="32"/>
      <c r="AE47" s="41"/>
    </row>
    <row r="48" spans="1:34" s="30" customFormat="1" x14ac:dyDescent="0.25">
      <c r="A48" s="36"/>
      <c r="B48" s="31"/>
      <c r="C48" s="31"/>
      <c r="D48" s="32"/>
      <c r="H48" s="32"/>
      <c r="J48" s="32"/>
      <c r="K48" s="41"/>
      <c r="L48" s="32"/>
      <c r="N48" s="32"/>
      <c r="O48" s="41"/>
      <c r="P48" s="32"/>
      <c r="R48" s="32"/>
      <c r="S48" s="41"/>
      <c r="T48" s="32"/>
      <c r="V48" s="32"/>
      <c r="W48" s="41"/>
      <c r="X48" s="32"/>
      <c r="Z48" s="32"/>
      <c r="AA48" s="41"/>
      <c r="AB48" s="41"/>
      <c r="AD48" s="32"/>
      <c r="AE48" s="41"/>
    </row>
    <row r="49" spans="1:31" s="30" customFormat="1" x14ac:dyDescent="0.25">
      <c r="A49" s="36"/>
      <c r="B49" s="31"/>
      <c r="C49" s="31"/>
      <c r="D49" s="32"/>
      <c r="H49" s="32"/>
      <c r="J49" s="32"/>
      <c r="K49" s="41"/>
      <c r="L49" s="32"/>
      <c r="N49" s="32"/>
      <c r="O49" s="41"/>
      <c r="P49" s="32"/>
      <c r="R49" s="32"/>
      <c r="S49" s="41"/>
      <c r="T49" s="32"/>
      <c r="V49" s="32"/>
      <c r="W49" s="41"/>
      <c r="X49" s="32"/>
      <c r="Z49" s="32"/>
      <c r="AA49" s="41"/>
      <c r="AB49" s="41"/>
      <c r="AD49" s="32"/>
      <c r="AE49" s="41"/>
    </row>
    <row r="50" spans="1:31" s="30" customFormat="1" x14ac:dyDescent="0.25">
      <c r="A50" s="36"/>
      <c r="B50" s="31"/>
      <c r="C50" s="31"/>
      <c r="D50" s="32"/>
      <c r="H50" s="32"/>
      <c r="J50" s="32"/>
      <c r="K50" s="41"/>
      <c r="L50" s="32"/>
      <c r="N50" s="32"/>
      <c r="O50" s="41"/>
      <c r="P50" s="32"/>
      <c r="R50" s="32"/>
      <c r="S50" s="41"/>
      <c r="T50" s="32"/>
      <c r="V50" s="32"/>
      <c r="W50" s="41"/>
      <c r="X50" s="32"/>
      <c r="Z50" s="32"/>
      <c r="AA50" s="41"/>
      <c r="AB50" s="41"/>
      <c r="AD50" s="32"/>
      <c r="AE50" s="41"/>
    </row>
    <row r="51" spans="1:31" s="30" customFormat="1" x14ac:dyDescent="0.25">
      <c r="A51" s="36"/>
      <c r="B51" s="31"/>
      <c r="C51" s="31"/>
      <c r="D51" s="32"/>
      <c r="H51" s="32"/>
      <c r="J51" s="32"/>
      <c r="K51" s="41"/>
      <c r="L51" s="32"/>
      <c r="N51" s="32"/>
      <c r="O51" s="41"/>
      <c r="P51" s="32"/>
      <c r="R51" s="32"/>
      <c r="S51" s="41"/>
      <c r="T51" s="32"/>
      <c r="V51" s="32"/>
      <c r="W51" s="41"/>
      <c r="X51" s="32"/>
      <c r="Z51" s="32"/>
      <c r="AA51" s="41"/>
      <c r="AB51" s="41"/>
      <c r="AD51" s="32"/>
      <c r="AE51" s="41"/>
    </row>
    <row r="52" spans="1:31" s="30" customFormat="1" x14ac:dyDescent="0.25">
      <c r="A52" s="36"/>
      <c r="B52" s="31"/>
      <c r="C52" s="31"/>
      <c r="D52" s="32"/>
      <c r="H52" s="32"/>
      <c r="J52" s="32"/>
      <c r="K52" s="41"/>
      <c r="L52" s="32"/>
      <c r="N52" s="32"/>
      <c r="O52" s="41"/>
      <c r="P52" s="32"/>
      <c r="R52" s="32"/>
      <c r="S52" s="41"/>
      <c r="T52" s="32"/>
      <c r="V52" s="32"/>
      <c r="W52" s="41"/>
      <c r="X52" s="32"/>
      <c r="Z52" s="32"/>
      <c r="AA52" s="41"/>
      <c r="AB52" s="41"/>
      <c r="AD52" s="32"/>
      <c r="AE52" s="41"/>
    </row>
    <row r="53" spans="1:31" s="30" customFormat="1" x14ac:dyDescent="0.25">
      <c r="A53" s="36"/>
      <c r="B53" s="31"/>
      <c r="C53" s="31"/>
      <c r="D53" s="32"/>
      <c r="H53" s="32"/>
      <c r="J53" s="32"/>
      <c r="K53" s="41"/>
      <c r="L53" s="32"/>
      <c r="N53" s="32"/>
      <c r="O53" s="41"/>
      <c r="P53" s="32"/>
      <c r="R53" s="32"/>
      <c r="S53" s="41"/>
      <c r="T53" s="32"/>
      <c r="V53" s="32"/>
      <c r="W53" s="41"/>
      <c r="X53" s="32"/>
      <c r="Z53" s="32"/>
      <c r="AA53" s="41"/>
      <c r="AB53" s="41"/>
      <c r="AD53" s="32"/>
      <c r="AE53" s="41"/>
    </row>
    <row r="54" spans="1:31" s="30" customFormat="1" x14ac:dyDescent="0.25">
      <c r="A54" s="36"/>
      <c r="B54" s="31"/>
      <c r="C54" s="31"/>
      <c r="D54" s="32"/>
      <c r="H54" s="32"/>
      <c r="J54" s="32"/>
      <c r="K54" s="41"/>
      <c r="L54" s="32"/>
      <c r="N54" s="32"/>
      <c r="O54" s="41"/>
      <c r="P54" s="32"/>
      <c r="R54" s="32"/>
      <c r="S54" s="41"/>
      <c r="T54" s="32"/>
      <c r="V54" s="32"/>
      <c r="W54" s="41"/>
      <c r="X54" s="32"/>
      <c r="Z54" s="32"/>
      <c r="AA54" s="41"/>
      <c r="AB54" s="41"/>
      <c r="AD54" s="32"/>
      <c r="AE54" s="41"/>
    </row>
    <row r="55" spans="1:31" s="30" customFormat="1" x14ac:dyDescent="0.25">
      <c r="A55" s="36"/>
      <c r="B55" s="31"/>
      <c r="C55" s="31"/>
      <c r="D55" s="32"/>
      <c r="H55" s="32"/>
      <c r="J55" s="32"/>
      <c r="K55" s="41"/>
      <c r="L55" s="32"/>
      <c r="N55" s="32"/>
      <c r="O55" s="41"/>
      <c r="P55" s="32"/>
      <c r="R55" s="32"/>
      <c r="S55" s="41"/>
      <c r="T55" s="32"/>
      <c r="V55" s="32"/>
      <c r="W55" s="41"/>
      <c r="X55" s="32"/>
      <c r="Z55" s="32"/>
      <c r="AA55" s="41"/>
      <c r="AB55" s="41"/>
      <c r="AD55" s="32"/>
      <c r="AE55" s="41"/>
    </row>
    <row r="56" spans="1:31" s="30" customFormat="1" x14ac:dyDescent="0.25">
      <c r="A56" s="36"/>
      <c r="B56" s="31"/>
      <c r="C56" s="31"/>
      <c r="D56" s="32"/>
      <c r="H56" s="32"/>
      <c r="J56" s="32"/>
      <c r="K56" s="41"/>
      <c r="L56" s="32"/>
      <c r="N56" s="32"/>
      <c r="O56" s="41"/>
      <c r="P56" s="32"/>
      <c r="R56" s="32"/>
      <c r="S56" s="41"/>
      <c r="T56" s="32"/>
      <c r="V56" s="32"/>
      <c r="W56" s="41"/>
      <c r="X56" s="32"/>
      <c r="Z56" s="32"/>
      <c r="AA56" s="41"/>
      <c r="AB56" s="41"/>
      <c r="AD56" s="32"/>
      <c r="AE56" s="41"/>
    </row>
    <row r="57" spans="1:31" s="30" customFormat="1" x14ac:dyDescent="0.25">
      <c r="A57" s="36"/>
      <c r="B57" s="31"/>
      <c r="C57" s="31"/>
      <c r="D57" s="32"/>
      <c r="H57" s="32"/>
      <c r="J57" s="32"/>
      <c r="K57" s="41"/>
      <c r="L57" s="32"/>
      <c r="N57" s="32"/>
      <c r="O57" s="41"/>
      <c r="P57" s="32"/>
      <c r="R57" s="32"/>
      <c r="S57" s="41"/>
      <c r="T57" s="32"/>
      <c r="V57" s="32"/>
      <c r="W57" s="41"/>
      <c r="X57" s="32"/>
      <c r="Z57" s="32"/>
      <c r="AA57" s="41"/>
      <c r="AB57" s="41"/>
      <c r="AD57" s="32"/>
      <c r="AE57" s="41"/>
    </row>
    <row r="58" spans="1:31" s="30" customFormat="1" x14ac:dyDescent="0.25">
      <c r="A58" s="36"/>
      <c r="B58" s="31"/>
      <c r="C58" s="31"/>
      <c r="D58" s="32"/>
      <c r="H58" s="32"/>
      <c r="J58" s="32"/>
      <c r="K58" s="41"/>
      <c r="L58" s="32"/>
      <c r="N58" s="32"/>
      <c r="O58" s="41"/>
      <c r="P58" s="32"/>
      <c r="R58" s="32"/>
      <c r="S58" s="41"/>
      <c r="T58" s="32"/>
      <c r="V58" s="32"/>
      <c r="W58" s="41"/>
      <c r="X58" s="32"/>
      <c r="Z58" s="32"/>
      <c r="AA58" s="41"/>
      <c r="AB58" s="41"/>
      <c r="AD58" s="32"/>
      <c r="AE58" s="41"/>
    </row>
    <row r="59" spans="1:31" s="30" customFormat="1" x14ac:dyDescent="0.25">
      <c r="A59" s="36"/>
      <c r="B59" s="31"/>
      <c r="C59" s="31"/>
      <c r="D59" s="32"/>
      <c r="H59" s="32"/>
      <c r="J59" s="32"/>
      <c r="K59" s="41"/>
      <c r="L59" s="32"/>
      <c r="N59" s="32"/>
      <c r="O59" s="41"/>
      <c r="P59" s="32"/>
      <c r="R59" s="32"/>
      <c r="S59" s="41"/>
      <c r="T59" s="32"/>
      <c r="V59" s="32"/>
      <c r="W59" s="41"/>
      <c r="X59" s="32"/>
      <c r="Z59" s="32"/>
      <c r="AA59" s="41"/>
      <c r="AB59" s="41"/>
      <c r="AD59" s="32"/>
      <c r="AE59" s="41"/>
    </row>
    <row r="60" spans="1:31" s="30" customFormat="1" x14ac:dyDescent="0.25">
      <c r="A60" s="36"/>
      <c r="B60" s="31"/>
      <c r="C60" s="31"/>
      <c r="D60" s="32"/>
      <c r="H60" s="32"/>
      <c r="J60" s="32"/>
      <c r="K60" s="41"/>
      <c r="L60" s="32"/>
      <c r="N60" s="32"/>
      <c r="O60" s="41"/>
      <c r="P60" s="32"/>
      <c r="R60" s="32"/>
      <c r="S60" s="41"/>
      <c r="T60" s="32"/>
      <c r="V60" s="32"/>
      <c r="W60" s="41"/>
      <c r="X60" s="32"/>
      <c r="Z60" s="32"/>
      <c r="AA60" s="41"/>
      <c r="AB60" s="41"/>
      <c r="AD60" s="32"/>
      <c r="AE60" s="41"/>
    </row>
    <row r="61" spans="1:31" s="30" customFormat="1" x14ac:dyDescent="0.25">
      <c r="A61" s="36"/>
      <c r="B61" s="31"/>
      <c r="C61" s="31"/>
      <c r="D61" s="32"/>
      <c r="H61" s="32"/>
      <c r="J61" s="32"/>
      <c r="K61" s="41"/>
      <c r="L61" s="32"/>
      <c r="N61" s="32"/>
      <c r="O61" s="41"/>
      <c r="P61" s="32"/>
      <c r="R61" s="32"/>
      <c r="S61" s="41"/>
      <c r="T61" s="32"/>
      <c r="V61" s="32"/>
      <c r="W61" s="41"/>
      <c r="X61" s="32"/>
      <c r="Z61" s="32"/>
      <c r="AA61" s="41"/>
      <c r="AB61" s="41"/>
      <c r="AD61" s="32"/>
      <c r="AE61" s="41"/>
    </row>
    <row r="62" spans="1:31" s="30" customFormat="1" x14ac:dyDescent="0.25">
      <c r="A62" s="36"/>
      <c r="B62" s="31"/>
      <c r="C62" s="31"/>
      <c r="D62" s="32"/>
      <c r="H62" s="32"/>
      <c r="J62" s="32"/>
      <c r="K62" s="41"/>
      <c r="L62" s="32"/>
      <c r="N62" s="32"/>
      <c r="O62" s="41"/>
      <c r="P62" s="32"/>
      <c r="R62" s="32"/>
      <c r="S62" s="41"/>
      <c r="T62" s="32"/>
      <c r="V62" s="32"/>
      <c r="W62" s="41"/>
      <c r="X62" s="32"/>
      <c r="Z62" s="32"/>
      <c r="AA62" s="41"/>
      <c r="AB62" s="41"/>
      <c r="AD62" s="32"/>
      <c r="AE62" s="41"/>
    </row>
    <row r="63" spans="1:31" s="30" customFormat="1" x14ac:dyDescent="0.25">
      <c r="A63" s="36"/>
      <c r="B63" s="31"/>
      <c r="C63" s="31"/>
      <c r="D63" s="32"/>
      <c r="H63" s="32"/>
      <c r="J63" s="32"/>
      <c r="K63" s="41"/>
      <c r="L63" s="32"/>
      <c r="N63" s="32"/>
      <c r="O63" s="41"/>
      <c r="P63" s="32"/>
      <c r="R63" s="32"/>
      <c r="S63" s="41"/>
      <c r="T63" s="32"/>
      <c r="V63" s="32"/>
      <c r="W63" s="41"/>
      <c r="X63" s="32"/>
      <c r="Z63" s="32"/>
      <c r="AA63" s="41"/>
      <c r="AB63" s="41"/>
      <c r="AD63" s="32"/>
      <c r="AE63" s="41"/>
    </row>
    <row r="64" spans="1:31" s="30" customFormat="1" x14ac:dyDescent="0.25">
      <c r="A64" s="36"/>
      <c r="B64" s="31"/>
      <c r="C64" s="31"/>
      <c r="D64" s="32"/>
      <c r="H64" s="32"/>
      <c r="J64" s="32"/>
      <c r="K64" s="41"/>
      <c r="L64" s="32"/>
      <c r="N64" s="32"/>
      <c r="O64" s="41"/>
      <c r="P64" s="32"/>
      <c r="R64" s="32"/>
      <c r="S64" s="41"/>
      <c r="T64" s="32"/>
      <c r="V64" s="32"/>
      <c r="W64" s="41"/>
      <c r="X64" s="32"/>
      <c r="Z64" s="32"/>
      <c r="AA64" s="41"/>
      <c r="AB64" s="41"/>
      <c r="AD64" s="32"/>
      <c r="AE64" s="41"/>
    </row>
    <row r="65" spans="1:31" s="30" customFormat="1" x14ac:dyDescent="0.25">
      <c r="A65" s="36"/>
      <c r="B65" s="31"/>
      <c r="C65" s="31"/>
      <c r="D65" s="32"/>
      <c r="H65" s="32"/>
      <c r="J65" s="32"/>
      <c r="K65" s="41"/>
      <c r="L65" s="32"/>
      <c r="N65" s="32"/>
      <c r="O65" s="41"/>
      <c r="P65" s="32"/>
      <c r="R65" s="32"/>
      <c r="S65" s="41"/>
      <c r="T65" s="32"/>
      <c r="V65" s="32"/>
      <c r="W65" s="41"/>
      <c r="X65" s="32"/>
      <c r="Z65" s="32"/>
      <c r="AA65" s="41"/>
      <c r="AB65" s="41"/>
      <c r="AD65" s="32"/>
      <c r="AE65" s="41"/>
    </row>
    <row r="66" spans="1:31" s="30" customFormat="1" x14ac:dyDescent="0.25">
      <c r="A66" s="36"/>
      <c r="B66" s="31"/>
      <c r="C66" s="31"/>
      <c r="D66" s="32"/>
      <c r="H66" s="32"/>
      <c r="J66" s="32"/>
      <c r="K66" s="41"/>
      <c r="L66" s="32"/>
      <c r="N66" s="32"/>
      <c r="O66" s="41"/>
      <c r="P66" s="32"/>
      <c r="R66" s="32"/>
      <c r="S66" s="41"/>
      <c r="T66" s="32"/>
      <c r="V66" s="32"/>
      <c r="W66" s="41"/>
      <c r="X66" s="32"/>
      <c r="Z66" s="32"/>
      <c r="AA66" s="41"/>
      <c r="AB66" s="41"/>
      <c r="AD66" s="32"/>
      <c r="AE66" s="41"/>
    </row>
    <row r="67" spans="1:31" s="30" customFormat="1" x14ac:dyDescent="0.25">
      <c r="A67" s="36"/>
      <c r="B67" s="31"/>
      <c r="C67" s="31"/>
      <c r="D67" s="32"/>
      <c r="H67" s="32"/>
      <c r="J67" s="32"/>
      <c r="K67" s="41"/>
      <c r="L67" s="32"/>
      <c r="N67" s="32"/>
      <c r="O67" s="41"/>
      <c r="P67" s="32"/>
      <c r="R67" s="32"/>
      <c r="S67" s="41"/>
      <c r="T67" s="32"/>
      <c r="V67" s="32"/>
      <c r="W67" s="41"/>
      <c r="X67" s="32"/>
      <c r="Z67" s="32"/>
      <c r="AA67" s="41"/>
      <c r="AB67" s="41"/>
      <c r="AD67" s="32"/>
      <c r="AE67" s="41"/>
    </row>
    <row r="68" spans="1:31" s="30" customFormat="1" x14ac:dyDescent="0.25">
      <c r="A68" s="36"/>
      <c r="B68" s="31"/>
      <c r="C68" s="31"/>
      <c r="D68" s="32"/>
      <c r="H68" s="32"/>
      <c r="J68" s="32"/>
      <c r="K68" s="41"/>
      <c r="L68" s="32"/>
      <c r="N68" s="32"/>
      <c r="O68" s="41"/>
      <c r="P68" s="32"/>
      <c r="R68" s="32"/>
      <c r="S68" s="41"/>
      <c r="T68" s="32"/>
      <c r="V68" s="32"/>
      <c r="W68" s="41"/>
      <c r="X68" s="32"/>
      <c r="Z68" s="32"/>
      <c r="AA68" s="41"/>
      <c r="AB68" s="41"/>
      <c r="AD68" s="32"/>
      <c r="AE68" s="41"/>
    </row>
    <row r="69" spans="1:31" s="30" customFormat="1" x14ac:dyDescent="0.25">
      <c r="A69" s="36"/>
      <c r="B69" s="31"/>
      <c r="C69" s="31"/>
      <c r="D69" s="32"/>
      <c r="H69" s="32"/>
      <c r="J69" s="32"/>
      <c r="K69" s="41"/>
      <c r="L69" s="32"/>
      <c r="N69" s="32"/>
      <c r="O69" s="41"/>
      <c r="P69" s="32"/>
      <c r="R69" s="32"/>
      <c r="S69" s="41"/>
      <c r="T69" s="32"/>
      <c r="V69" s="32"/>
      <c r="W69" s="41"/>
      <c r="X69" s="32"/>
      <c r="Z69" s="32"/>
      <c r="AA69" s="41"/>
      <c r="AB69" s="41"/>
      <c r="AD69" s="32"/>
      <c r="AE69" s="41"/>
    </row>
    <row r="70" spans="1:31" s="30" customFormat="1" x14ac:dyDescent="0.25">
      <c r="A70" s="36"/>
      <c r="B70" s="31"/>
      <c r="C70" s="31"/>
      <c r="D70" s="32"/>
      <c r="H70" s="32"/>
      <c r="J70" s="32"/>
      <c r="K70" s="41"/>
      <c r="L70" s="32"/>
      <c r="N70" s="32"/>
      <c r="O70" s="41"/>
      <c r="P70" s="32"/>
      <c r="R70" s="32"/>
      <c r="S70" s="41"/>
      <c r="T70" s="32"/>
      <c r="V70" s="32"/>
      <c r="W70" s="41"/>
      <c r="X70" s="32"/>
      <c r="Z70" s="32"/>
      <c r="AA70" s="41"/>
      <c r="AB70" s="41"/>
      <c r="AD70" s="32"/>
      <c r="AE70" s="41"/>
    </row>
    <row r="71" spans="1:31" s="30" customFormat="1" x14ac:dyDescent="0.25">
      <c r="A71" s="36"/>
      <c r="B71" s="31"/>
      <c r="C71" s="31"/>
      <c r="D71" s="32"/>
      <c r="H71" s="32"/>
      <c r="J71" s="32"/>
      <c r="K71" s="41"/>
      <c r="L71" s="32"/>
      <c r="N71" s="32"/>
      <c r="O71" s="41"/>
      <c r="P71" s="32"/>
      <c r="R71" s="32"/>
      <c r="S71" s="41"/>
      <c r="T71" s="32"/>
      <c r="V71" s="32"/>
      <c r="W71" s="41"/>
      <c r="X71" s="32"/>
      <c r="Z71" s="32"/>
      <c r="AA71" s="41"/>
      <c r="AB71" s="41"/>
      <c r="AD71" s="32"/>
      <c r="AE71" s="41"/>
    </row>
    <row r="72" spans="1:31" s="30" customFormat="1" x14ac:dyDescent="0.25">
      <c r="A72" s="36"/>
      <c r="B72" s="31"/>
      <c r="C72" s="31"/>
      <c r="D72" s="32"/>
      <c r="H72" s="32"/>
      <c r="J72" s="32"/>
      <c r="K72" s="41"/>
      <c r="L72" s="32"/>
      <c r="N72" s="32"/>
      <c r="O72" s="41"/>
      <c r="P72" s="32"/>
      <c r="R72" s="32"/>
      <c r="S72" s="41"/>
      <c r="T72" s="32"/>
      <c r="V72" s="32"/>
      <c r="W72" s="41"/>
      <c r="X72" s="32"/>
      <c r="Z72" s="32"/>
      <c r="AA72" s="41"/>
      <c r="AB72" s="41"/>
      <c r="AD72" s="32"/>
      <c r="AE72" s="41"/>
    </row>
    <row r="73" spans="1:31" s="30" customFormat="1" x14ac:dyDescent="0.25">
      <c r="A73" s="36"/>
      <c r="B73" s="31"/>
      <c r="C73" s="31"/>
      <c r="D73" s="32"/>
      <c r="H73" s="32"/>
      <c r="J73" s="32"/>
      <c r="K73" s="41"/>
      <c r="L73" s="32"/>
      <c r="N73" s="32"/>
      <c r="O73" s="41"/>
      <c r="P73" s="32"/>
      <c r="R73" s="32"/>
      <c r="S73" s="41"/>
      <c r="T73" s="32"/>
      <c r="V73" s="32"/>
      <c r="W73" s="41"/>
      <c r="X73" s="32"/>
      <c r="Z73" s="32"/>
      <c r="AA73" s="41"/>
      <c r="AB73" s="41"/>
      <c r="AD73" s="32"/>
      <c r="AE73" s="41"/>
    </row>
    <row r="74" spans="1:31" s="30" customFormat="1" x14ac:dyDescent="0.25">
      <c r="A74" s="36"/>
      <c r="B74" s="31"/>
      <c r="C74" s="31"/>
      <c r="D74" s="32"/>
      <c r="H74" s="32"/>
      <c r="J74" s="32"/>
      <c r="K74" s="41"/>
      <c r="L74" s="32"/>
      <c r="N74" s="32"/>
      <c r="O74" s="41"/>
      <c r="P74" s="32"/>
      <c r="R74" s="32"/>
      <c r="S74" s="41"/>
      <c r="T74" s="32"/>
      <c r="V74" s="32"/>
      <c r="W74" s="41"/>
      <c r="X74" s="32"/>
      <c r="Z74" s="32"/>
      <c r="AA74" s="41"/>
      <c r="AB74" s="41"/>
      <c r="AD74" s="32"/>
      <c r="AE74" s="41"/>
    </row>
    <row r="75" spans="1:31" s="30" customFormat="1" x14ac:dyDescent="0.25">
      <c r="A75" s="36"/>
      <c r="B75" s="31"/>
      <c r="C75" s="31"/>
      <c r="D75" s="32"/>
      <c r="H75" s="32"/>
      <c r="J75" s="32"/>
      <c r="K75" s="41"/>
      <c r="L75" s="32"/>
      <c r="N75" s="32"/>
      <c r="O75" s="41"/>
      <c r="P75" s="32"/>
      <c r="R75" s="32"/>
      <c r="S75" s="41"/>
      <c r="T75" s="32"/>
      <c r="V75" s="32"/>
      <c r="W75" s="41"/>
      <c r="X75" s="32"/>
      <c r="Z75" s="32"/>
      <c r="AA75" s="41"/>
      <c r="AB75" s="41"/>
      <c r="AD75" s="32"/>
      <c r="AE75" s="41"/>
    </row>
    <row r="76" spans="1:31" s="30" customFormat="1" x14ac:dyDescent="0.25">
      <c r="A76" s="36"/>
      <c r="B76" s="31"/>
      <c r="C76" s="31"/>
      <c r="D76" s="32"/>
      <c r="H76" s="32"/>
      <c r="J76" s="32"/>
      <c r="K76" s="41"/>
      <c r="L76" s="32"/>
      <c r="N76" s="32"/>
      <c r="O76" s="41"/>
      <c r="P76" s="32"/>
      <c r="R76" s="32"/>
      <c r="S76" s="41"/>
      <c r="T76" s="32"/>
      <c r="V76" s="32"/>
      <c r="W76" s="41"/>
      <c r="X76" s="32"/>
      <c r="Z76" s="32"/>
      <c r="AA76" s="41"/>
      <c r="AB76" s="41"/>
      <c r="AD76" s="32"/>
      <c r="AE76" s="41"/>
    </row>
    <row r="77" spans="1:31" s="30" customFormat="1" x14ac:dyDescent="0.25">
      <c r="A77" s="36"/>
      <c r="B77" s="31"/>
      <c r="C77" s="31"/>
      <c r="D77" s="32"/>
      <c r="H77" s="32"/>
      <c r="J77" s="32"/>
      <c r="K77" s="41"/>
      <c r="L77" s="32"/>
      <c r="N77" s="32"/>
      <c r="O77" s="41"/>
      <c r="P77" s="32"/>
      <c r="R77" s="32"/>
      <c r="S77" s="41"/>
      <c r="T77" s="32"/>
      <c r="V77" s="32"/>
      <c r="W77" s="41"/>
      <c r="X77" s="32"/>
      <c r="Z77" s="32"/>
      <c r="AA77" s="41"/>
      <c r="AB77" s="41"/>
      <c r="AD77" s="32"/>
      <c r="AE77" s="41"/>
    </row>
    <row r="78" spans="1:31" s="30" customFormat="1" x14ac:dyDescent="0.25">
      <c r="A78" s="36"/>
      <c r="B78" s="31"/>
      <c r="C78" s="31"/>
      <c r="D78" s="32"/>
      <c r="H78" s="32"/>
      <c r="J78" s="32"/>
      <c r="K78" s="41"/>
      <c r="L78" s="32"/>
      <c r="N78" s="32"/>
      <c r="O78" s="41"/>
      <c r="P78" s="32"/>
      <c r="R78" s="32"/>
      <c r="S78" s="41"/>
      <c r="T78" s="32"/>
      <c r="V78" s="32"/>
      <c r="W78" s="41"/>
      <c r="X78" s="32"/>
      <c r="Z78" s="32"/>
      <c r="AA78" s="41"/>
      <c r="AB78" s="41"/>
      <c r="AD78" s="32"/>
      <c r="AE78" s="41"/>
    </row>
    <row r="79" spans="1:31" s="30" customFormat="1" x14ac:dyDescent="0.25">
      <c r="A79" s="36"/>
      <c r="B79" s="31"/>
      <c r="C79" s="31"/>
      <c r="D79" s="32"/>
      <c r="H79" s="32"/>
      <c r="J79" s="32"/>
      <c r="K79" s="41"/>
      <c r="L79" s="32"/>
      <c r="N79" s="32"/>
      <c r="O79" s="41"/>
      <c r="P79" s="32"/>
      <c r="R79" s="32"/>
      <c r="S79" s="41"/>
      <c r="T79" s="32"/>
      <c r="V79" s="32"/>
      <c r="W79" s="41"/>
      <c r="X79" s="32"/>
      <c r="Z79" s="32"/>
      <c r="AA79" s="41"/>
      <c r="AB79" s="41"/>
      <c r="AD79" s="32"/>
      <c r="AE79" s="41"/>
    </row>
    <row r="80" spans="1:31" s="30" customFormat="1" x14ac:dyDescent="0.25">
      <c r="A80" s="36"/>
      <c r="B80" s="31"/>
      <c r="C80" s="31"/>
      <c r="D80" s="32"/>
      <c r="H80" s="32"/>
      <c r="J80" s="32"/>
      <c r="K80" s="41"/>
      <c r="L80" s="32"/>
      <c r="N80" s="32"/>
      <c r="O80" s="41"/>
      <c r="P80" s="32"/>
      <c r="R80" s="32"/>
      <c r="S80" s="41"/>
      <c r="T80" s="32"/>
      <c r="V80" s="32"/>
      <c r="W80" s="41"/>
      <c r="X80" s="32"/>
      <c r="Z80" s="32"/>
      <c r="AA80" s="41"/>
      <c r="AB80" s="41"/>
      <c r="AD80" s="32"/>
      <c r="AE80" s="41"/>
    </row>
    <row r="81" spans="1:31" s="30" customFormat="1" x14ac:dyDescent="0.25">
      <c r="A81" s="36"/>
      <c r="B81" s="31"/>
      <c r="C81" s="31"/>
      <c r="D81" s="32"/>
      <c r="H81" s="32"/>
      <c r="J81" s="32"/>
      <c r="K81" s="41"/>
      <c r="L81" s="32"/>
      <c r="N81" s="32"/>
      <c r="O81" s="41"/>
      <c r="P81" s="32"/>
      <c r="R81" s="32"/>
      <c r="S81" s="41"/>
      <c r="T81" s="32"/>
      <c r="V81" s="32"/>
      <c r="W81" s="41"/>
      <c r="X81" s="32"/>
      <c r="Z81" s="32"/>
      <c r="AA81" s="41"/>
      <c r="AB81" s="41"/>
      <c r="AD81" s="32"/>
      <c r="AE81" s="41"/>
    </row>
    <row r="82" spans="1:31" s="30" customFormat="1" x14ac:dyDescent="0.25">
      <c r="A82" s="36"/>
      <c r="B82" s="31"/>
      <c r="C82" s="31"/>
      <c r="D82" s="32"/>
      <c r="H82" s="32"/>
      <c r="J82" s="32"/>
      <c r="K82" s="41"/>
      <c r="L82" s="32"/>
      <c r="N82" s="32"/>
      <c r="O82" s="41"/>
      <c r="P82" s="32"/>
      <c r="R82" s="32"/>
      <c r="S82" s="41"/>
      <c r="T82" s="32"/>
      <c r="V82" s="32"/>
      <c r="W82" s="41"/>
      <c r="X82" s="32"/>
      <c r="Z82" s="32"/>
      <c r="AA82" s="41"/>
      <c r="AB82" s="41"/>
      <c r="AD82" s="32"/>
      <c r="AE82" s="41"/>
    </row>
    <row r="83" spans="1:31" s="30" customFormat="1" x14ac:dyDescent="0.25">
      <c r="A83" s="36"/>
      <c r="B83" s="31"/>
      <c r="C83" s="31"/>
      <c r="D83" s="32"/>
      <c r="H83" s="32"/>
      <c r="J83" s="32"/>
      <c r="K83" s="41"/>
      <c r="L83" s="32"/>
      <c r="N83" s="32"/>
      <c r="O83" s="41"/>
      <c r="P83" s="32"/>
      <c r="R83" s="32"/>
      <c r="S83" s="41"/>
      <c r="T83" s="32"/>
      <c r="V83" s="32"/>
      <c r="W83" s="41"/>
      <c r="X83" s="32"/>
      <c r="Z83" s="32"/>
      <c r="AA83" s="41"/>
      <c r="AB83" s="41"/>
      <c r="AD83" s="32"/>
      <c r="AE83" s="41"/>
    </row>
    <row r="84" spans="1:31" s="30" customFormat="1" x14ac:dyDescent="0.25">
      <c r="A84" s="36"/>
      <c r="B84" s="31"/>
      <c r="C84" s="31"/>
      <c r="D84" s="32"/>
      <c r="H84" s="32"/>
      <c r="J84" s="32"/>
      <c r="K84" s="41"/>
      <c r="L84" s="32"/>
      <c r="N84" s="32"/>
      <c r="O84" s="41"/>
      <c r="P84" s="32"/>
      <c r="R84" s="32"/>
      <c r="S84" s="41"/>
      <c r="T84" s="32"/>
      <c r="V84" s="32"/>
      <c r="W84" s="41"/>
      <c r="X84" s="32"/>
      <c r="Z84" s="32"/>
      <c r="AA84" s="41"/>
      <c r="AB84" s="41"/>
      <c r="AD84" s="32"/>
      <c r="AE84" s="41"/>
    </row>
    <row r="85" spans="1:31" s="30" customFormat="1" x14ac:dyDescent="0.25">
      <c r="A85" s="36"/>
      <c r="B85" s="31"/>
      <c r="C85" s="31"/>
      <c r="D85" s="32"/>
      <c r="H85" s="32"/>
      <c r="J85" s="32"/>
      <c r="K85" s="41"/>
      <c r="L85" s="32"/>
      <c r="N85" s="32"/>
      <c r="O85" s="41"/>
      <c r="P85" s="32"/>
      <c r="R85" s="32"/>
      <c r="S85" s="41"/>
      <c r="T85" s="32"/>
      <c r="V85" s="32"/>
      <c r="W85" s="41"/>
      <c r="X85" s="32"/>
      <c r="Z85" s="32"/>
      <c r="AA85" s="41"/>
      <c r="AB85" s="41"/>
      <c r="AD85" s="32"/>
      <c r="AE85" s="41"/>
    </row>
    <row r="86" spans="1:31" s="30" customFormat="1" x14ac:dyDescent="0.25">
      <c r="A86" s="36"/>
      <c r="B86" s="31"/>
      <c r="C86" s="31"/>
      <c r="D86" s="32"/>
      <c r="H86" s="32"/>
      <c r="J86" s="32"/>
      <c r="K86" s="41"/>
      <c r="L86" s="32"/>
      <c r="N86" s="32"/>
      <c r="O86" s="41"/>
      <c r="P86" s="32"/>
      <c r="R86" s="32"/>
      <c r="S86" s="41"/>
      <c r="T86" s="32"/>
      <c r="V86" s="32"/>
      <c r="W86" s="41"/>
      <c r="X86" s="32"/>
      <c r="Z86" s="32"/>
      <c r="AA86" s="41"/>
      <c r="AB86" s="41"/>
      <c r="AD86" s="32"/>
      <c r="AE86" s="41"/>
    </row>
    <row r="87" spans="1:31" s="30" customFormat="1" x14ac:dyDescent="0.25">
      <c r="A87" s="36"/>
      <c r="B87" s="31"/>
      <c r="C87" s="31"/>
      <c r="D87" s="32"/>
      <c r="H87" s="32"/>
      <c r="J87" s="32"/>
      <c r="K87" s="41"/>
      <c r="L87" s="32"/>
      <c r="N87" s="32"/>
      <c r="O87" s="41"/>
      <c r="P87" s="32"/>
      <c r="R87" s="32"/>
      <c r="S87" s="41"/>
      <c r="T87" s="32"/>
      <c r="V87" s="32"/>
      <c r="W87" s="41"/>
      <c r="X87" s="32"/>
      <c r="Z87" s="32"/>
      <c r="AA87" s="41"/>
      <c r="AB87" s="41"/>
      <c r="AD87" s="32"/>
      <c r="AE87" s="41"/>
    </row>
    <row r="88" spans="1:31" s="30" customFormat="1" x14ac:dyDescent="0.25">
      <c r="A88" s="36"/>
      <c r="B88" s="31"/>
      <c r="C88" s="31"/>
      <c r="D88" s="32"/>
      <c r="H88" s="32"/>
      <c r="J88" s="32"/>
      <c r="K88" s="41"/>
      <c r="L88" s="32"/>
      <c r="N88" s="32"/>
      <c r="O88" s="41"/>
      <c r="P88" s="32"/>
      <c r="R88" s="32"/>
      <c r="S88" s="41"/>
      <c r="T88" s="32"/>
      <c r="V88" s="32"/>
      <c r="W88" s="41"/>
      <c r="X88" s="32"/>
      <c r="Z88" s="32"/>
      <c r="AA88" s="41"/>
      <c r="AB88" s="41"/>
      <c r="AD88" s="32"/>
      <c r="AE88" s="41"/>
    </row>
    <row r="89" spans="1:31" s="30" customFormat="1" x14ac:dyDescent="0.25">
      <c r="A89" s="36"/>
      <c r="B89" s="31"/>
      <c r="C89" s="31"/>
      <c r="D89" s="32"/>
      <c r="H89" s="32"/>
      <c r="J89" s="32"/>
      <c r="K89" s="41"/>
      <c r="L89" s="32"/>
      <c r="N89" s="32"/>
      <c r="O89" s="41"/>
      <c r="P89" s="32"/>
      <c r="R89" s="32"/>
      <c r="S89" s="41"/>
      <c r="T89" s="32"/>
      <c r="V89" s="32"/>
      <c r="W89" s="41"/>
      <c r="X89" s="32"/>
      <c r="Z89" s="32"/>
      <c r="AA89" s="41"/>
      <c r="AB89" s="41"/>
      <c r="AD89" s="32"/>
      <c r="AE89" s="41"/>
    </row>
    <row r="90" spans="1:31" s="30" customFormat="1" x14ac:dyDescent="0.25">
      <c r="A90" s="36"/>
      <c r="B90" s="31"/>
      <c r="C90" s="31"/>
      <c r="D90" s="32"/>
      <c r="H90" s="32"/>
      <c r="J90" s="32"/>
      <c r="K90" s="41"/>
      <c r="L90" s="32"/>
      <c r="N90" s="32"/>
      <c r="O90" s="41"/>
      <c r="P90" s="32"/>
      <c r="R90" s="32"/>
      <c r="S90" s="41"/>
      <c r="T90" s="32"/>
      <c r="V90" s="32"/>
      <c r="W90" s="41"/>
      <c r="X90" s="32"/>
      <c r="Z90" s="32"/>
      <c r="AA90" s="41"/>
      <c r="AB90" s="41"/>
      <c r="AD90" s="32"/>
      <c r="AE90" s="41"/>
    </row>
    <row r="91" spans="1:31" s="30" customFormat="1" x14ac:dyDescent="0.25">
      <c r="A91" s="36"/>
      <c r="B91" s="31"/>
      <c r="C91" s="31"/>
      <c r="D91" s="32"/>
      <c r="H91" s="32"/>
      <c r="J91" s="32"/>
      <c r="K91" s="41"/>
      <c r="L91" s="32"/>
      <c r="N91" s="32"/>
      <c r="O91" s="41"/>
      <c r="P91" s="32"/>
      <c r="R91" s="32"/>
      <c r="S91" s="41"/>
      <c r="T91" s="32"/>
      <c r="V91" s="32"/>
      <c r="W91" s="41"/>
      <c r="X91" s="32"/>
      <c r="Z91" s="32"/>
      <c r="AA91" s="41"/>
      <c r="AB91" s="41"/>
      <c r="AD91" s="32"/>
      <c r="AE91" s="41"/>
    </row>
    <row r="92" spans="1:31" s="30" customFormat="1" x14ac:dyDescent="0.25">
      <c r="A92" s="36"/>
      <c r="B92" s="31"/>
      <c r="C92" s="31"/>
      <c r="D92" s="32"/>
      <c r="H92" s="32"/>
      <c r="J92" s="32"/>
      <c r="K92" s="41"/>
      <c r="L92" s="32"/>
      <c r="N92" s="32"/>
      <c r="O92" s="41"/>
      <c r="P92" s="32"/>
      <c r="R92" s="32"/>
      <c r="S92" s="41"/>
      <c r="T92" s="32"/>
      <c r="V92" s="32"/>
      <c r="W92" s="41"/>
      <c r="X92" s="32"/>
      <c r="Z92" s="32"/>
      <c r="AA92" s="41"/>
      <c r="AB92" s="41"/>
      <c r="AD92" s="32"/>
      <c r="AE92" s="41"/>
    </row>
    <row r="93" spans="1:31" s="30" customFormat="1" x14ac:dyDescent="0.25">
      <c r="A93" s="36"/>
      <c r="B93" s="31"/>
      <c r="C93" s="31"/>
      <c r="D93" s="32"/>
      <c r="H93" s="32"/>
      <c r="J93" s="32"/>
      <c r="K93" s="41"/>
      <c r="L93" s="32"/>
      <c r="N93" s="32"/>
      <c r="O93" s="41"/>
      <c r="P93" s="32"/>
      <c r="R93" s="32"/>
      <c r="S93" s="41"/>
      <c r="T93" s="32"/>
      <c r="V93" s="32"/>
      <c r="W93" s="41"/>
      <c r="X93" s="32"/>
      <c r="Z93" s="32"/>
      <c r="AA93" s="41"/>
      <c r="AB93" s="41"/>
      <c r="AD93" s="32"/>
      <c r="AE93" s="41"/>
    </row>
    <row r="94" spans="1:31" s="30" customFormat="1" x14ac:dyDescent="0.25">
      <c r="A94" s="36"/>
      <c r="B94" s="31"/>
      <c r="C94" s="31"/>
      <c r="D94" s="32"/>
      <c r="H94" s="32"/>
      <c r="J94" s="32"/>
      <c r="K94" s="41"/>
      <c r="L94" s="32"/>
      <c r="N94" s="32"/>
      <c r="O94" s="41"/>
      <c r="P94" s="32"/>
      <c r="R94" s="32"/>
      <c r="S94" s="41"/>
      <c r="T94" s="32"/>
      <c r="V94" s="32"/>
      <c r="W94" s="41"/>
      <c r="X94" s="32"/>
      <c r="Z94" s="32"/>
      <c r="AA94" s="41"/>
      <c r="AB94" s="41"/>
      <c r="AD94" s="32"/>
      <c r="AE94" s="41"/>
    </row>
    <row r="95" spans="1:31" s="30" customFormat="1" x14ac:dyDescent="0.25">
      <c r="A95" s="36"/>
      <c r="B95" s="31"/>
      <c r="C95" s="31"/>
      <c r="D95" s="32"/>
      <c r="H95" s="32"/>
      <c r="J95" s="32"/>
      <c r="K95" s="41"/>
      <c r="L95" s="32"/>
      <c r="N95" s="32"/>
      <c r="O95" s="41"/>
      <c r="P95" s="32"/>
      <c r="R95" s="32"/>
      <c r="S95" s="41"/>
      <c r="T95" s="32"/>
      <c r="V95" s="32"/>
      <c r="W95" s="41"/>
      <c r="X95" s="32"/>
      <c r="Z95" s="32"/>
      <c r="AA95" s="41"/>
      <c r="AB95" s="41"/>
      <c r="AD95" s="32"/>
      <c r="AE95" s="41"/>
    </row>
    <row r="96" spans="1:31" s="30" customFormat="1" x14ac:dyDescent="0.25">
      <c r="A96" s="36"/>
      <c r="B96" s="31"/>
      <c r="C96" s="31"/>
      <c r="D96" s="32"/>
      <c r="H96" s="32"/>
      <c r="J96" s="32"/>
      <c r="K96" s="41"/>
      <c r="L96" s="32"/>
      <c r="N96" s="32"/>
      <c r="O96" s="41"/>
      <c r="P96" s="32"/>
      <c r="R96" s="32"/>
      <c r="S96" s="41"/>
      <c r="T96" s="32"/>
      <c r="V96" s="32"/>
      <c r="W96" s="41"/>
      <c r="X96" s="32"/>
      <c r="Z96" s="32"/>
      <c r="AA96" s="41"/>
      <c r="AB96" s="41"/>
      <c r="AD96" s="32"/>
      <c r="AE96" s="41"/>
    </row>
    <row r="97" spans="1:31" s="30" customFormat="1" x14ac:dyDescent="0.25">
      <c r="A97" s="36"/>
      <c r="B97" s="31"/>
      <c r="C97" s="31"/>
      <c r="D97" s="32"/>
      <c r="H97" s="32"/>
      <c r="J97" s="32"/>
      <c r="K97" s="41"/>
      <c r="L97" s="32"/>
      <c r="N97" s="32"/>
      <c r="O97" s="41"/>
      <c r="P97" s="32"/>
      <c r="R97" s="32"/>
      <c r="S97" s="41"/>
      <c r="T97" s="32"/>
      <c r="V97" s="32"/>
      <c r="W97" s="41"/>
      <c r="X97" s="32"/>
      <c r="Z97" s="32"/>
      <c r="AA97" s="41"/>
      <c r="AB97" s="41"/>
      <c r="AD97" s="32"/>
      <c r="AE97" s="41"/>
    </row>
    <row r="98" spans="1:31" s="30" customFormat="1" x14ac:dyDescent="0.25">
      <c r="A98" s="36"/>
      <c r="B98" s="31"/>
      <c r="C98" s="31"/>
      <c r="D98" s="32"/>
      <c r="H98" s="32"/>
      <c r="J98" s="32"/>
      <c r="K98" s="41"/>
      <c r="L98" s="32"/>
      <c r="N98" s="32"/>
      <c r="O98" s="41"/>
      <c r="P98" s="32"/>
      <c r="R98" s="32"/>
      <c r="S98" s="41"/>
      <c r="T98" s="32"/>
      <c r="V98" s="32"/>
      <c r="W98" s="41"/>
      <c r="X98" s="32"/>
      <c r="Z98" s="32"/>
      <c r="AA98" s="41"/>
      <c r="AB98" s="41"/>
      <c r="AD98" s="32"/>
      <c r="AE98" s="41"/>
    </row>
    <row r="99" spans="1:31" s="30" customFormat="1" x14ac:dyDescent="0.25">
      <c r="A99" s="36"/>
      <c r="B99" s="31"/>
      <c r="C99" s="31"/>
      <c r="D99" s="32"/>
      <c r="H99" s="32"/>
      <c r="J99" s="32"/>
      <c r="K99" s="41"/>
      <c r="L99" s="32"/>
      <c r="N99" s="32"/>
      <c r="O99" s="41"/>
      <c r="P99" s="32"/>
      <c r="R99" s="32"/>
      <c r="S99" s="41"/>
      <c r="T99" s="32"/>
      <c r="V99" s="32"/>
      <c r="W99" s="41"/>
      <c r="X99" s="32"/>
      <c r="Z99" s="32"/>
      <c r="AA99" s="41"/>
      <c r="AB99" s="41"/>
      <c r="AD99" s="32"/>
      <c r="AE99" s="41"/>
    </row>
    <row r="100" spans="1:31" s="30" customFormat="1" x14ac:dyDescent="0.25">
      <c r="A100" s="36"/>
      <c r="B100" s="31"/>
      <c r="C100" s="31"/>
      <c r="D100" s="32"/>
      <c r="H100" s="32"/>
      <c r="J100" s="32"/>
      <c r="K100" s="41"/>
      <c r="L100" s="32"/>
      <c r="N100" s="32"/>
      <c r="O100" s="41"/>
      <c r="P100" s="32"/>
      <c r="R100" s="32"/>
      <c r="S100" s="41"/>
      <c r="T100" s="32"/>
      <c r="V100" s="32"/>
      <c r="W100" s="41"/>
      <c r="X100" s="32"/>
      <c r="Z100" s="32"/>
      <c r="AA100" s="41"/>
      <c r="AB100" s="41"/>
      <c r="AD100" s="32"/>
      <c r="AE100" s="41"/>
    </row>
    <row r="101" spans="1:31" s="30" customFormat="1" x14ac:dyDescent="0.25">
      <c r="A101" s="36"/>
      <c r="B101" s="31"/>
      <c r="C101" s="31"/>
      <c r="D101" s="32"/>
      <c r="H101" s="32"/>
      <c r="J101" s="32"/>
      <c r="K101" s="41"/>
      <c r="L101" s="32"/>
      <c r="N101" s="32"/>
      <c r="O101" s="41"/>
      <c r="P101" s="32"/>
      <c r="R101" s="32"/>
      <c r="S101" s="41"/>
      <c r="T101" s="32"/>
      <c r="V101" s="32"/>
      <c r="W101" s="41"/>
      <c r="X101" s="32"/>
      <c r="Z101" s="32"/>
      <c r="AA101" s="41"/>
      <c r="AB101" s="41"/>
      <c r="AD101" s="32"/>
      <c r="AE101" s="41"/>
    </row>
    <row r="102" spans="1:31" s="30" customFormat="1" x14ac:dyDescent="0.25">
      <c r="A102" s="36"/>
      <c r="B102" s="31"/>
      <c r="C102" s="31"/>
      <c r="D102" s="32"/>
      <c r="H102" s="32"/>
      <c r="J102" s="32"/>
      <c r="K102" s="41"/>
      <c r="L102" s="32"/>
      <c r="N102" s="32"/>
      <c r="O102" s="41"/>
      <c r="P102" s="32"/>
      <c r="R102" s="32"/>
      <c r="S102" s="41"/>
      <c r="T102" s="32"/>
      <c r="V102" s="32"/>
      <c r="W102" s="41"/>
      <c r="X102" s="32"/>
      <c r="Z102" s="32"/>
      <c r="AA102" s="41"/>
      <c r="AB102" s="41"/>
      <c r="AD102" s="32"/>
      <c r="AE102" s="41"/>
    </row>
    <row r="103" spans="1:31" s="30" customFormat="1" x14ac:dyDescent="0.25">
      <c r="A103" s="36"/>
      <c r="B103" s="31"/>
      <c r="C103" s="31"/>
      <c r="D103" s="32"/>
      <c r="H103" s="32"/>
      <c r="J103" s="32"/>
      <c r="K103" s="41"/>
      <c r="L103" s="32"/>
      <c r="N103" s="32"/>
      <c r="O103" s="41"/>
      <c r="P103" s="32"/>
      <c r="R103" s="32"/>
      <c r="S103" s="41"/>
      <c r="T103" s="32"/>
      <c r="V103" s="32"/>
      <c r="W103" s="41"/>
      <c r="X103" s="32"/>
      <c r="Z103" s="32"/>
      <c r="AA103" s="41"/>
      <c r="AB103" s="41"/>
      <c r="AD103" s="32"/>
      <c r="AE103" s="41"/>
    </row>
    <row r="104" spans="1:31" s="30" customFormat="1" x14ac:dyDescent="0.25">
      <c r="A104" s="36"/>
      <c r="B104" s="31"/>
      <c r="C104" s="31"/>
      <c r="D104" s="32"/>
      <c r="H104" s="32"/>
      <c r="J104" s="32"/>
      <c r="K104" s="41"/>
      <c r="L104" s="32"/>
      <c r="N104" s="32"/>
      <c r="O104" s="41"/>
      <c r="P104" s="32"/>
      <c r="R104" s="32"/>
      <c r="S104" s="41"/>
      <c r="T104" s="32"/>
      <c r="V104" s="32"/>
      <c r="W104" s="41"/>
      <c r="X104" s="32"/>
      <c r="Z104" s="32"/>
      <c r="AA104" s="41"/>
      <c r="AB104" s="41"/>
      <c r="AD104" s="32"/>
      <c r="AE104" s="41"/>
    </row>
    <row r="105" spans="1:31" s="30" customFormat="1" x14ac:dyDescent="0.25">
      <c r="A105" s="36"/>
      <c r="B105" s="31"/>
      <c r="C105" s="31"/>
      <c r="D105" s="32"/>
      <c r="H105" s="32"/>
      <c r="J105" s="32"/>
      <c r="K105" s="41"/>
      <c r="L105" s="32"/>
      <c r="N105" s="32"/>
      <c r="O105" s="41"/>
      <c r="P105" s="32"/>
      <c r="R105" s="32"/>
      <c r="S105" s="41"/>
      <c r="T105" s="32"/>
      <c r="V105" s="32"/>
      <c r="W105" s="41"/>
      <c r="X105" s="32"/>
      <c r="Z105" s="32"/>
      <c r="AA105" s="41"/>
      <c r="AB105" s="41"/>
      <c r="AD105" s="32"/>
      <c r="AE105" s="41"/>
    </row>
    <row r="106" spans="1:31" s="30" customFormat="1" x14ac:dyDescent="0.25">
      <c r="A106" s="36"/>
      <c r="B106" s="31"/>
      <c r="C106" s="31"/>
      <c r="D106" s="32"/>
      <c r="H106" s="32"/>
      <c r="J106" s="32"/>
      <c r="K106" s="41"/>
      <c r="L106" s="32"/>
      <c r="N106" s="32"/>
      <c r="O106" s="41"/>
      <c r="P106" s="32"/>
      <c r="R106" s="32"/>
      <c r="S106" s="41"/>
      <c r="T106" s="32"/>
      <c r="V106" s="32"/>
      <c r="W106" s="41"/>
      <c r="X106" s="32"/>
      <c r="Z106" s="32"/>
      <c r="AA106" s="41"/>
      <c r="AB106" s="41"/>
      <c r="AD106" s="32"/>
      <c r="AE106" s="41"/>
    </row>
    <row r="107" spans="1:31" s="30" customFormat="1" x14ac:dyDescent="0.25">
      <c r="A107" s="36"/>
      <c r="B107" s="31"/>
      <c r="C107" s="31"/>
      <c r="D107" s="32"/>
      <c r="H107" s="32"/>
      <c r="J107" s="32"/>
      <c r="K107" s="41"/>
      <c r="L107" s="32"/>
      <c r="N107" s="32"/>
      <c r="O107" s="41"/>
      <c r="P107" s="32"/>
      <c r="R107" s="32"/>
      <c r="S107" s="41"/>
      <c r="T107" s="32"/>
      <c r="V107" s="32"/>
      <c r="W107" s="41"/>
      <c r="X107" s="32"/>
      <c r="Z107" s="32"/>
      <c r="AA107" s="41"/>
      <c r="AB107" s="41"/>
      <c r="AD107" s="32"/>
      <c r="AE107" s="41"/>
    </row>
    <row r="108" spans="1:31" s="30" customFormat="1" x14ac:dyDescent="0.25">
      <c r="A108" s="36"/>
      <c r="B108" s="31"/>
      <c r="C108" s="31"/>
      <c r="D108" s="32"/>
      <c r="H108" s="32"/>
      <c r="J108" s="32"/>
      <c r="K108" s="41"/>
      <c r="L108" s="32"/>
      <c r="N108" s="32"/>
      <c r="O108" s="41"/>
      <c r="P108" s="32"/>
      <c r="R108" s="32"/>
      <c r="S108" s="41"/>
      <c r="T108" s="32"/>
      <c r="V108" s="32"/>
      <c r="W108" s="41"/>
      <c r="X108" s="32"/>
      <c r="Z108" s="32"/>
      <c r="AA108" s="41"/>
      <c r="AB108" s="41"/>
      <c r="AD108" s="32"/>
      <c r="AE108" s="41"/>
    </row>
    <row r="109" spans="1:31" s="30" customFormat="1" x14ac:dyDescent="0.25">
      <c r="A109" s="36"/>
      <c r="B109" s="31"/>
      <c r="C109" s="31"/>
      <c r="D109" s="32"/>
      <c r="H109" s="32"/>
      <c r="J109" s="32"/>
      <c r="K109" s="41"/>
      <c r="L109" s="32"/>
      <c r="N109" s="32"/>
      <c r="O109" s="41"/>
      <c r="P109" s="32"/>
      <c r="R109" s="32"/>
      <c r="S109" s="41"/>
      <c r="T109" s="32"/>
      <c r="V109" s="32"/>
      <c r="W109" s="41"/>
      <c r="X109" s="32"/>
      <c r="Z109" s="32"/>
      <c r="AA109" s="41"/>
      <c r="AB109" s="41"/>
      <c r="AD109" s="32"/>
      <c r="AE109" s="41"/>
    </row>
    <row r="110" spans="1:31" s="30" customFormat="1" x14ac:dyDescent="0.25">
      <c r="A110" s="36"/>
      <c r="B110" s="31"/>
      <c r="C110" s="31"/>
      <c r="D110" s="32"/>
      <c r="H110" s="32"/>
      <c r="J110" s="32"/>
      <c r="K110" s="41"/>
      <c r="L110" s="32"/>
      <c r="N110" s="32"/>
      <c r="O110" s="41"/>
      <c r="P110" s="32"/>
      <c r="R110" s="32"/>
      <c r="S110" s="41"/>
      <c r="T110" s="32"/>
      <c r="V110" s="32"/>
      <c r="W110" s="41"/>
      <c r="X110" s="32"/>
      <c r="Z110" s="32"/>
      <c r="AA110" s="41"/>
      <c r="AB110" s="41"/>
      <c r="AD110" s="32"/>
      <c r="AE110" s="41"/>
    </row>
    <row r="111" spans="1:31" s="30" customFormat="1" x14ac:dyDescent="0.25">
      <c r="A111" s="36"/>
      <c r="B111" s="31"/>
      <c r="C111" s="31"/>
      <c r="D111" s="32"/>
      <c r="H111" s="32"/>
      <c r="J111" s="32"/>
      <c r="K111" s="41"/>
      <c r="L111" s="32"/>
      <c r="N111" s="32"/>
      <c r="O111" s="41"/>
      <c r="P111" s="32"/>
      <c r="R111" s="32"/>
      <c r="S111" s="41"/>
      <c r="T111" s="32"/>
      <c r="V111" s="32"/>
      <c r="W111" s="41"/>
      <c r="X111" s="32"/>
      <c r="Z111" s="32"/>
      <c r="AA111" s="41"/>
      <c r="AB111" s="41"/>
      <c r="AD111" s="32"/>
      <c r="AE111" s="41"/>
    </row>
    <row r="112" spans="1:31" s="30" customFormat="1" x14ac:dyDescent="0.25">
      <c r="A112" s="36"/>
      <c r="B112" s="31"/>
      <c r="C112" s="31"/>
      <c r="D112" s="32"/>
      <c r="H112" s="32"/>
      <c r="J112" s="32"/>
      <c r="K112" s="41"/>
      <c r="L112" s="32"/>
      <c r="N112" s="32"/>
      <c r="O112" s="41"/>
      <c r="P112" s="32"/>
      <c r="R112" s="32"/>
      <c r="S112" s="41"/>
      <c r="T112" s="32"/>
      <c r="V112" s="32"/>
      <c r="W112" s="41"/>
      <c r="X112" s="32"/>
      <c r="Z112" s="32"/>
      <c r="AA112" s="41"/>
      <c r="AB112" s="41"/>
      <c r="AD112" s="32"/>
      <c r="AE112" s="41"/>
    </row>
    <row r="113" spans="1:31" s="30" customFormat="1" x14ac:dyDescent="0.25">
      <c r="A113" s="36"/>
      <c r="B113" s="31"/>
      <c r="C113" s="31"/>
      <c r="D113" s="32"/>
      <c r="H113" s="32"/>
      <c r="J113" s="32"/>
      <c r="K113" s="41"/>
      <c r="L113" s="32"/>
      <c r="N113" s="32"/>
      <c r="O113" s="41"/>
      <c r="P113" s="32"/>
      <c r="R113" s="32"/>
      <c r="S113" s="41"/>
      <c r="T113" s="32"/>
      <c r="V113" s="32"/>
      <c r="W113" s="41"/>
      <c r="X113" s="32"/>
      <c r="Z113" s="32"/>
      <c r="AA113" s="41"/>
      <c r="AB113" s="41"/>
      <c r="AD113" s="32"/>
      <c r="AE113" s="41"/>
    </row>
    <row r="114" spans="1:31" s="30" customFormat="1" x14ac:dyDescent="0.25">
      <c r="A114" s="36"/>
      <c r="B114" s="31"/>
      <c r="C114" s="31"/>
      <c r="D114" s="32"/>
      <c r="H114" s="32"/>
      <c r="J114" s="32"/>
      <c r="K114" s="41"/>
      <c r="L114" s="32"/>
      <c r="N114" s="32"/>
      <c r="O114" s="41"/>
      <c r="P114" s="32"/>
      <c r="R114" s="32"/>
      <c r="S114" s="41"/>
      <c r="T114" s="32"/>
      <c r="V114" s="32"/>
      <c r="W114" s="41"/>
      <c r="X114" s="32"/>
      <c r="Z114" s="32"/>
      <c r="AA114" s="41"/>
      <c r="AB114" s="41"/>
      <c r="AD114" s="32"/>
      <c r="AE114" s="41"/>
    </row>
    <row r="115" spans="1:31" s="30" customFormat="1" x14ac:dyDescent="0.25">
      <c r="A115" s="36"/>
      <c r="B115" s="31"/>
      <c r="C115" s="31"/>
      <c r="D115" s="32"/>
      <c r="H115" s="32"/>
      <c r="J115" s="32"/>
      <c r="K115" s="41"/>
      <c r="L115" s="32"/>
      <c r="N115" s="32"/>
      <c r="O115" s="41"/>
      <c r="P115" s="32"/>
      <c r="R115" s="32"/>
      <c r="S115" s="41"/>
      <c r="T115" s="32"/>
      <c r="V115" s="32"/>
      <c r="W115" s="41"/>
      <c r="X115" s="32"/>
      <c r="Z115" s="32"/>
      <c r="AA115" s="41"/>
      <c r="AB115" s="41"/>
      <c r="AD115" s="32"/>
      <c r="AE115" s="41"/>
    </row>
    <row r="116" spans="1:31" s="30" customFormat="1" x14ac:dyDescent="0.25">
      <c r="A116" s="36"/>
      <c r="B116" s="31"/>
      <c r="C116" s="31"/>
      <c r="D116" s="32"/>
      <c r="H116" s="32"/>
      <c r="J116" s="32"/>
      <c r="K116" s="41"/>
      <c r="L116" s="32"/>
      <c r="N116" s="32"/>
      <c r="O116" s="41"/>
      <c r="P116" s="32"/>
      <c r="R116" s="32"/>
      <c r="S116" s="41"/>
      <c r="T116" s="32"/>
      <c r="V116" s="32"/>
      <c r="W116" s="41"/>
      <c r="X116" s="32"/>
      <c r="Z116" s="32"/>
      <c r="AA116" s="41"/>
      <c r="AB116" s="41"/>
      <c r="AD116" s="32"/>
      <c r="AE116" s="41"/>
    </row>
    <row r="117" spans="1:31" s="30" customFormat="1" x14ac:dyDescent="0.25">
      <c r="A117" s="36"/>
      <c r="B117" s="31"/>
      <c r="C117" s="31"/>
      <c r="D117" s="32"/>
      <c r="H117" s="32"/>
      <c r="J117" s="32"/>
      <c r="K117" s="41"/>
      <c r="L117" s="32"/>
      <c r="N117" s="32"/>
      <c r="O117" s="41"/>
      <c r="P117" s="32"/>
      <c r="R117" s="32"/>
      <c r="S117" s="41"/>
      <c r="T117" s="32"/>
      <c r="V117" s="32"/>
      <c r="W117" s="41"/>
      <c r="X117" s="32"/>
      <c r="Z117" s="32"/>
      <c r="AA117" s="41"/>
      <c r="AB117" s="41"/>
      <c r="AD117" s="32"/>
      <c r="AE117" s="41"/>
    </row>
    <row r="118" spans="1:31" s="30" customFormat="1" x14ac:dyDescent="0.25">
      <c r="A118" s="36"/>
      <c r="B118" s="31"/>
      <c r="C118" s="31"/>
      <c r="D118" s="32"/>
      <c r="H118" s="32"/>
      <c r="J118" s="32"/>
      <c r="K118" s="41"/>
      <c r="L118" s="32"/>
      <c r="N118" s="32"/>
      <c r="O118" s="41"/>
      <c r="P118" s="32"/>
      <c r="R118" s="32"/>
      <c r="S118" s="41"/>
      <c r="T118" s="32"/>
      <c r="V118" s="32"/>
      <c r="W118" s="41"/>
      <c r="X118" s="32"/>
      <c r="Z118" s="32"/>
      <c r="AA118" s="41"/>
      <c r="AB118" s="41"/>
      <c r="AD118" s="32"/>
      <c r="AE118" s="41"/>
    </row>
    <row r="119" spans="1:31" s="30" customFormat="1" x14ac:dyDescent="0.25">
      <c r="A119" s="36"/>
      <c r="B119" s="31"/>
      <c r="C119" s="31"/>
      <c r="D119" s="32"/>
      <c r="H119" s="32"/>
      <c r="J119" s="32"/>
      <c r="K119" s="41"/>
      <c r="L119" s="32"/>
      <c r="N119" s="32"/>
      <c r="O119" s="41"/>
      <c r="P119" s="32"/>
      <c r="R119" s="32"/>
      <c r="S119" s="41"/>
      <c r="T119" s="32"/>
      <c r="V119" s="32"/>
      <c r="W119" s="41"/>
      <c r="X119" s="32"/>
      <c r="Z119" s="32"/>
      <c r="AA119" s="41"/>
      <c r="AB119" s="41"/>
      <c r="AD119" s="32"/>
      <c r="AE119" s="41"/>
    </row>
    <row r="120" spans="1:31" s="30" customFormat="1" x14ac:dyDescent="0.25">
      <c r="A120" s="36"/>
      <c r="B120" s="31"/>
      <c r="C120" s="31"/>
      <c r="D120" s="32"/>
      <c r="H120" s="32"/>
      <c r="J120" s="32"/>
      <c r="K120" s="41"/>
      <c r="L120" s="32"/>
      <c r="N120" s="32"/>
      <c r="O120" s="41"/>
      <c r="P120" s="32"/>
      <c r="R120" s="32"/>
      <c r="S120" s="41"/>
      <c r="T120" s="32"/>
      <c r="V120" s="32"/>
      <c r="W120" s="41"/>
      <c r="X120" s="32"/>
      <c r="Z120" s="32"/>
      <c r="AA120" s="41"/>
      <c r="AB120" s="41"/>
      <c r="AD120" s="32"/>
      <c r="AE120" s="41"/>
    </row>
    <row r="121" spans="1:31" s="30" customFormat="1" x14ac:dyDescent="0.25">
      <c r="A121" s="36"/>
      <c r="B121" s="31"/>
      <c r="C121" s="31"/>
      <c r="D121" s="32"/>
      <c r="H121" s="32"/>
      <c r="J121" s="32"/>
      <c r="K121" s="41"/>
      <c r="L121" s="32"/>
      <c r="N121" s="32"/>
      <c r="O121" s="41"/>
      <c r="P121" s="32"/>
      <c r="R121" s="32"/>
      <c r="S121" s="41"/>
      <c r="T121" s="32"/>
      <c r="V121" s="32"/>
      <c r="W121" s="41"/>
      <c r="X121" s="32"/>
      <c r="Z121" s="32"/>
      <c r="AA121" s="41"/>
      <c r="AB121" s="41"/>
      <c r="AD121" s="32"/>
      <c r="AE121" s="41"/>
    </row>
    <row r="122" spans="1:31" s="30" customFormat="1" x14ac:dyDescent="0.25">
      <c r="A122" s="36"/>
      <c r="B122" s="31"/>
      <c r="C122" s="31"/>
      <c r="D122" s="32"/>
      <c r="H122" s="32"/>
      <c r="J122" s="32"/>
      <c r="K122" s="41"/>
      <c r="L122" s="32"/>
      <c r="N122" s="32"/>
      <c r="O122" s="41"/>
      <c r="P122" s="32"/>
      <c r="R122" s="32"/>
      <c r="S122" s="41"/>
      <c r="T122" s="32"/>
      <c r="V122" s="32"/>
      <c r="W122" s="41"/>
      <c r="X122" s="32"/>
      <c r="Z122" s="32"/>
      <c r="AA122" s="41"/>
      <c r="AB122" s="41"/>
      <c r="AD122" s="32"/>
      <c r="AE122" s="41"/>
    </row>
    <row r="123" spans="1:31" s="30" customFormat="1" x14ac:dyDescent="0.25">
      <c r="A123" s="36"/>
      <c r="B123" s="31"/>
      <c r="C123" s="31"/>
      <c r="D123" s="32"/>
      <c r="H123" s="32"/>
      <c r="J123" s="32"/>
      <c r="K123" s="41"/>
      <c r="L123" s="32"/>
      <c r="N123" s="32"/>
      <c r="O123" s="41"/>
      <c r="P123" s="32"/>
      <c r="R123" s="32"/>
      <c r="S123" s="41"/>
      <c r="T123" s="32"/>
      <c r="V123" s="32"/>
      <c r="W123" s="41"/>
      <c r="X123" s="32"/>
      <c r="Z123" s="32"/>
      <c r="AA123" s="41"/>
      <c r="AB123" s="41"/>
      <c r="AD123" s="32"/>
      <c r="AE123" s="41"/>
    </row>
    <row r="124" spans="1:31" s="30" customFormat="1" x14ac:dyDescent="0.25">
      <c r="A124" s="36"/>
      <c r="B124" s="31"/>
      <c r="C124" s="31"/>
      <c r="D124" s="32"/>
      <c r="H124" s="32"/>
      <c r="J124" s="32"/>
      <c r="K124" s="41"/>
      <c r="L124" s="32"/>
      <c r="N124" s="32"/>
      <c r="O124" s="41"/>
      <c r="P124" s="32"/>
      <c r="R124" s="32"/>
      <c r="S124" s="41"/>
      <c r="T124" s="32"/>
      <c r="V124" s="32"/>
      <c r="W124" s="41"/>
      <c r="X124" s="32"/>
      <c r="Z124" s="32"/>
      <c r="AA124" s="41"/>
      <c r="AB124" s="41"/>
      <c r="AD124" s="32"/>
      <c r="AE124" s="41"/>
    </row>
    <row r="125" spans="1:31" s="30" customFormat="1" x14ac:dyDescent="0.25">
      <c r="A125" s="36"/>
      <c r="B125" s="31"/>
      <c r="C125" s="31"/>
      <c r="D125" s="32"/>
      <c r="H125" s="32"/>
      <c r="J125" s="32"/>
      <c r="K125" s="41"/>
      <c r="L125" s="32"/>
      <c r="N125" s="32"/>
      <c r="O125" s="41"/>
      <c r="P125" s="32"/>
      <c r="R125" s="32"/>
      <c r="S125" s="41"/>
      <c r="T125" s="32"/>
      <c r="V125" s="32"/>
      <c r="W125" s="41"/>
      <c r="X125" s="32"/>
      <c r="Z125" s="32"/>
      <c r="AA125" s="41"/>
      <c r="AB125" s="41"/>
      <c r="AD125" s="32"/>
      <c r="AE125" s="41"/>
    </row>
    <row r="126" spans="1:31" s="30" customFormat="1" x14ac:dyDescent="0.25">
      <c r="A126" s="36"/>
      <c r="B126" s="31"/>
      <c r="C126" s="31"/>
      <c r="D126" s="32"/>
      <c r="H126" s="32"/>
      <c r="J126" s="32"/>
      <c r="K126" s="41"/>
      <c r="L126" s="32"/>
      <c r="N126" s="32"/>
      <c r="O126" s="41"/>
      <c r="P126" s="32"/>
      <c r="R126" s="32"/>
      <c r="S126" s="41"/>
      <c r="T126" s="32"/>
      <c r="V126" s="32"/>
      <c r="W126" s="41"/>
      <c r="X126" s="32"/>
      <c r="Z126" s="32"/>
      <c r="AA126" s="41"/>
      <c r="AB126" s="41"/>
      <c r="AD126" s="32"/>
      <c r="AE126" s="41"/>
    </row>
    <row r="127" spans="1:31" s="30" customFormat="1" x14ac:dyDescent="0.25">
      <c r="A127" s="36"/>
      <c r="B127" s="31"/>
      <c r="C127" s="31"/>
      <c r="D127" s="32"/>
      <c r="H127" s="32"/>
      <c r="J127" s="32"/>
      <c r="K127" s="41"/>
      <c r="L127" s="32"/>
      <c r="N127" s="32"/>
      <c r="O127" s="41"/>
      <c r="P127" s="32"/>
      <c r="R127" s="32"/>
      <c r="S127" s="41"/>
      <c r="T127" s="32"/>
      <c r="V127" s="32"/>
      <c r="W127" s="41"/>
      <c r="X127" s="32"/>
      <c r="Z127" s="32"/>
      <c r="AA127" s="41"/>
      <c r="AB127" s="41"/>
      <c r="AD127" s="32"/>
      <c r="AE127" s="41"/>
    </row>
    <row r="128" spans="1:31" s="30" customFormat="1" x14ac:dyDescent="0.25">
      <c r="A128" s="36"/>
      <c r="B128" s="31"/>
      <c r="C128" s="31"/>
      <c r="D128" s="32"/>
      <c r="H128" s="32"/>
      <c r="J128" s="32"/>
      <c r="K128" s="41"/>
      <c r="L128" s="32"/>
      <c r="N128" s="32"/>
      <c r="O128" s="41"/>
      <c r="P128" s="32"/>
      <c r="R128" s="32"/>
      <c r="S128" s="41"/>
      <c r="T128" s="32"/>
      <c r="V128" s="32"/>
      <c r="W128" s="41"/>
      <c r="X128" s="32"/>
      <c r="Z128" s="32"/>
      <c r="AA128" s="41"/>
      <c r="AB128" s="41"/>
      <c r="AD128" s="32"/>
      <c r="AE128" s="41"/>
    </row>
    <row r="129" spans="1:31" s="30" customFormat="1" x14ac:dyDescent="0.25">
      <c r="A129" s="36"/>
      <c r="B129" s="31"/>
      <c r="C129" s="31"/>
      <c r="D129" s="32"/>
      <c r="H129" s="32"/>
      <c r="J129" s="32"/>
      <c r="K129" s="41"/>
      <c r="L129" s="32"/>
      <c r="N129" s="32"/>
      <c r="O129" s="41"/>
      <c r="P129" s="32"/>
      <c r="R129" s="32"/>
      <c r="S129" s="41"/>
      <c r="T129" s="32"/>
      <c r="V129" s="32"/>
      <c r="W129" s="41"/>
      <c r="X129" s="32"/>
      <c r="Z129" s="32"/>
      <c r="AA129" s="41"/>
      <c r="AB129" s="41"/>
      <c r="AD129" s="32"/>
      <c r="AE129" s="41"/>
    </row>
    <row r="130" spans="1:31" s="30" customFormat="1" x14ac:dyDescent="0.25">
      <c r="A130" s="36"/>
      <c r="B130" s="31"/>
      <c r="C130" s="31"/>
      <c r="D130" s="32"/>
      <c r="H130" s="32"/>
      <c r="J130" s="32"/>
      <c r="K130" s="41"/>
      <c r="L130" s="32"/>
      <c r="N130" s="32"/>
      <c r="O130" s="41"/>
      <c r="P130" s="32"/>
      <c r="R130" s="32"/>
      <c r="S130" s="41"/>
      <c r="T130" s="32"/>
      <c r="V130" s="32"/>
      <c r="W130" s="41"/>
      <c r="X130" s="32"/>
      <c r="Z130" s="32"/>
      <c r="AA130" s="41"/>
      <c r="AB130" s="41"/>
      <c r="AD130" s="32"/>
      <c r="AE130" s="41"/>
    </row>
    <row r="131" spans="1:31" s="30" customFormat="1" x14ac:dyDescent="0.25">
      <c r="A131" s="36"/>
      <c r="B131" s="31"/>
      <c r="C131" s="31"/>
      <c r="D131" s="32"/>
      <c r="H131" s="32"/>
      <c r="J131" s="32"/>
      <c r="K131" s="41"/>
      <c r="L131" s="32"/>
      <c r="N131" s="32"/>
      <c r="O131" s="41"/>
      <c r="P131" s="32"/>
      <c r="R131" s="32"/>
      <c r="S131" s="41"/>
      <c r="T131" s="32"/>
      <c r="V131" s="32"/>
      <c r="W131" s="41"/>
      <c r="X131" s="32"/>
      <c r="Z131" s="32"/>
      <c r="AA131" s="41"/>
      <c r="AB131" s="41"/>
      <c r="AD131" s="32"/>
      <c r="AE131" s="41"/>
    </row>
    <row r="132" spans="1:31" s="30" customFormat="1" x14ac:dyDescent="0.25">
      <c r="A132" s="36"/>
      <c r="B132" s="31"/>
      <c r="C132" s="31"/>
      <c r="D132" s="32"/>
      <c r="H132" s="32"/>
      <c r="J132" s="32"/>
      <c r="K132" s="41"/>
      <c r="L132" s="32"/>
      <c r="N132" s="32"/>
      <c r="O132" s="41"/>
      <c r="P132" s="32"/>
      <c r="R132" s="32"/>
      <c r="S132" s="41"/>
      <c r="T132" s="32"/>
      <c r="V132" s="32"/>
      <c r="W132" s="41"/>
      <c r="X132" s="32"/>
      <c r="Z132" s="32"/>
      <c r="AA132" s="41"/>
      <c r="AB132" s="41"/>
      <c r="AD132" s="32"/>
      <c r="AE132" s="41"/>
    </row>
    <row r="133" spans="1:31" s="30" customFormat="1" x14ac:dyDescent="0.25">
      <c r="A133" s="36"/>
      <c r="B133" s="31"/>
      <c r="C133" s="31"/>
      <c r="D133" s="32"/>
      <c r="H133" s="32"/>
      <c r="J133" s="32"/>
      <c r="K133" s="41"/>
      <c r="L133" s="32"/>
      <c r="N133" s="32"/>
      <c r="O133" s="41"/>
      <c r="P133" s="32"/>
      <c r="R133" s="32"/>
      <c r="S133" s="41"/>
      <c r="T133" s="32"/>
      <c r="V133" s="32"/>
      <c r="W133" s="41"/>
      <c r="X133" s="32"/>
      <c r="Z133" s="32"/>
      <c r="AA133" s="41"/>
      <c r="AB133" s="41"/>
      <c r="AD133" s="32"/>
      <c r="AE133" s="41"/>
    </row>
    <row r="134" spans="1:31" s="30" customFormat="1" x14ac:dyDescent="0.25">
      <c r="A134" s="36"/>
      <c r="B134" s="31"/>
      <c r="C134" s="31"/>
      <c r="D134" s="32"/>
      <c r="H134" s="32"/>
      <c r="J134" s="32"/>
      <c r="K134" s="41"/>
      <c r="L134" s="32"/>
      <c r="N134" s="32"/>
      <c r="O134" s="41"/>
      <c r="P134" s="32"/>
      <c r="R134" s="32"/>
      <c r="S134" s="41"/>
      <c r="T134" s="32"/>
      <c r="V134" s="32"/>
      <c r="W134" s="41"/>
      <c r="X134" s="32"/>
      <c r="Z134" s="32"/>
      <c r="AA134" s="41"/>
      <c r="AB134" s="41"/>
      <c r="AD134" s="32"/>
      <c r="AE134" s="41"/>
    </row>
    <row r="135" spans="1:31" s="30" customFormat="1" x14ac:dyDescent="0.25">
      <c r="A135" s="36"/>
      <c r="B135" s="31"/>
      <c r="C135" s="31"/>
      <c r="D135" s="32"/>
      <c r="H135" s="32"/>
      <c r="J135" s="32"/>
      <c r="K135" s="41"/>
      <c r="L135" s="32"/>
      <c r="N135" s="32"/>
      <c r="O135" s="41"/>
      <c r="P135" s="32"/>
      <c r="R135" s="32"/>
      <c r="S135" s="41"/>
      <c r="T135" s="32"/>
      <c r="V135" s="32"/>
      <c r="W135" s="41"/>
      <c r="X135" s="32"/>
      <c r="Z135" s="32"/>
      <c r="AA135" s="41"/>
      <c r="AB135" s="41"/>
      <c r="AD135" s="32"/>
      <c r="AE135" s="41"/>
    </row>
    <row r="136" spans="1:31" s="30" customFormat="1" x14ac:dyDescent="0.25">
      <c r="A136" s="36"/>
      <c r="B136" s="31"/>
      <c r="C136" s="31"/>
      <c r="D136" s="32"/>
      <c r="H136" s="32"/>
      <c r="J136" s="32"/>
      <c r="K136" s="41"/>
      <c r="L136" s="32"/>
      <c r="N136" s="32"/>
      <c r="O136" s="41"/>
      <c r="P136" s="32"/>
      <c r="R136" s="32"/>
      <c r="S136" s="41"/>
      <c r="T136" s="32"/>
      <c r="V136" s="32"/>
      <c r="W136" s="41"/>
      <c r="X136" s="32"/>
      <c r="Z136" s="32"/>
      <c r="AA136" s="41"/>
      <c r="AB136" s="41"/>
      <c r="AD136" s="32"/>
      <c r="AE136" s="41"/>
    </row>
    <row r="137" spans="1:31" s="30" customFormat="1" x14ac:dyDescent="0.25">
      <c r="A137" s="36"/>
      <c r="B137" s="31"/>
      <c r="C137" s="31"/>
      <c r="D137" s="32"/>
      <c r="H137" s="32"/>
      <c r="J137" s="32"/>
      <c r="K137" s="41"/>
      <c r="L137" s="32"/>
      <c r="N137" s="32"/>
      <c r="O137" s="41"/>
      <c r="P137" s="32"/>
      <c r="R137" s="32"/>
      <c r="S137" s="41"/>
      <c r="T137" s="32"/>
      <c r="V137" s="32"/>
      <c r="W137" s="41"/>
      <c r="X137" s="32"/>
      <c r="Z137" s="32"/>
      <c r="AA137" s="41"/>
      <c r="AB137" s="41"/>
      <c r="AD137" s="32"/>
      <c r="AE137" s="41"/>
    </row>
    <row r="138" spans="1:31" s="30" customFormat="1" x14ac:dyDescent="0.25">
      <c r="A138" s="36"/>
      <c r="B138" s="31"/>
      <c r="C138" s="31"/>
      <c r="D138" s="32"/>
      <c r="H138" s="32"/>
      <c r="J138" s="32"/>
      <c r="K138" s="41"/>
      <c r="L138" s="32"/>
      <c r="N138" s="32"/>
      <c r="O138" s="41"/>
      <c r="P138" s="32"/>
      <c r="R138" s="32"/>
      <c r="S138" s="41"/>
      <c r="T138" s="32"/>
      <c r="V138" s="32"/>
      <c r="W138" s="41"/>
      <c r="X138" s="32"/>
      <c r="Z138" s="32"/>
      <c r="AA138" s="41"/>
      <c r="AB138" s="41"/>
      <c r="AD138" s="32"/>
      <c r="AE138" s="41"/>
    </row>
    <row r="139" spans="1:31" s="30" customFormat="1" x14ac:dyDescent="0.25">
      <c r="A139" s="36"/>
      <c r="B139" s="31"/>
      <c r="C139" s="31"/>
      <c r="D139" s="32"/>
      <c r="H139" s="32"/>
      <c r="J139" s="32"/>
      <c r="K139" s="41"/>
      <c r="L139" s="32"/>
      <c r="N139" s="32"/>
      <c r="O139" s="41"/>
      <c r="P139" s="32"/>
      <c r="R139" s="32"/>
      <c r="S139" s="41"/>
      <c r="T139" s="32"/>
      <c r="V139" s="32"/>
      <c r="W139" s="41"/>
      <c r="X139" s="32"/>
      <c r="Z139" s="32"/>
      <c r="AA139" s="41"/>
      <c r="AB139" s="41"/>
      <c r="AD139" s="32"/>
      <c r="AE139" s="41"/>
    </row>
    <row r="140" spans="1:31" s="30" customFormat="1" x14ac:dyDescent="0.25">
      <c r="A140" s="36"/>
      <c r="B140" s="31"/>
      <c r="C140" s="31"/>
      <c r="D140" s="32"/>
      <c r="H140" s="32"/>
      <c r="J140" s="32"/>
      <c r="K140" s="41"/>
      <c r="L140" s="32"/>
      <c r="N140" s="32"/>
      <c r="O140" s="41"/>
      <c r="P140" s="32"/>
      <c r="R140" s="32"/>
      <c r="S140" s="41"/>
      <c r="T140" s="32"/>
      <c r="V140" s="32"/>
      <c r="W140" s="41"/>
      <c r="X140" s="32"/>
      <c r="Z140" s="32"/>
      <c r="AA140" s="41"/>
      <c r="AB140" s="41"/>
      <c r="AD140" s="32"/>
      <c r="AE140" s="41"/>
    </row>
    <row r="141" spans="1:31" s="30" customFormat="1" x14ac:dyDescent="0.25">
      <c r="A141" s="36"/>
      <c r="B141" s="31"/>
      <c r="C141" s="31"/>
      <c r="D141" s="32"/>
      <c r="H141" s="32"/>
      <c r="J141" s="32"/>
      <c r="K141" s="41"/>
      <c r="L141" s="32"/>
      <c r="N141" s="32"/>
      <c r="O141" s="41"/>
      <c r="P141" s="32"/>
      <c r="R141" s="32"/>
      <c r="S141" s="41"/>
      <c r="T141" s="32"/>
      <c r="V141" s="32"/>
      <c r="W141" s="41"/>
      <c r="X141" s="32"/>
      <c r="Z141" s="32"/>
      <c r="AA141" s="41"/>
      <c r="AB141" s="41"/>
      <c r="AD141" s="32"/>
      <c r="AE141" s="41"/>
    </row>
    <row r="142" spans="1:31" s="30" customFormat="1" x14ac:dyDescent="0.25">
      <c r="A142" s="36"/>
      <c r="B142" s="31"/>
      <c r="C142" s="31"/>
      <c r="D142" s="32"/>
      <c r="H142" s="32"/>
      <c r="J142" s="32"/>
      <c r="K142" s="41"/>
      <c r="L142" s="32"/>
      <c r="N142" s="32"/>
      <c r="O142" s="41"/>
      <c r="P142" s="32"/>
      <c r="R142" s="32"/>
      <c r="S142" s="41"/>
      <c r="T142" s="32"/>
      <c r="V142" s="32"/>
      <c r="W142" s="41"/>
      <c r="X142" s="32"/>
      <c r="Z142" s="32"/>
      <c r="AA142" s="41"/>
      <c r="AB142" s="41"/>
      <c r="AD142" s="32"/>
      <c r="AE142" s="41"/>
    </row>
    <row r="143" spans="1:31" s="30" customFormat="1" x14ac:dyDescent="0.25">
      <c r="A143" s="36"/>
      <c r="B143" s="31"/>
      <c r="C143" s="31"/>
      <c r="D143" s="32"/>
      <c r="H143" s="32"/>
      <c r="J143" s="32"/>
      <c r="K143" s="41"/>
      <c r="L143" s="32"/>
      <c r="N143" s="32"/>
      <c r="O143" s="41"/>
      <c r="P143" s="32"/>
      <c r="R143" s="32"/>
      <c r="S143" s="41"/>
      <c r="T143" s="32"/>
      <c r="V143" s="32"/>
      <c r="W143" s="41"/>
      <c r="X143" s="32"/>
      <c r="Z143" s="32"/>
      <c r="AA143" s="41"/>
      <c r="AB143" s="41"/>
      <c r="AD143" s="32"/>
      <c r="AE143" s="41"/>
    </row>
    <row r="144" spans="1:31" s="30" customFormat="1" x14ac:dyDescent="0.25">
      <c r="A144" s="36"/>
      <c r="B144" s="31"/>
      <c r="C144" s="31"/>
      <c r="D144" s="32"/>
      <c r="H144" s="32"/>
      <c r="J144" s="32"/>
      <c r="K144" s="41"/>
      <c r="L144" s="32"/>
      <c r="N144" s="32"/>
      <c r="O144" s="41"/>
      <c r="P144" s="32"/>
      <c r="R144" s="32"/>
      <c r="S144" s="41"/>
      <c r="T144" s="32"/>
      <c r="V144" s="32"/>
      <c r="W144" s="41"/>
      <c r="X144" s="32"/>
      <c r="Z144" s="32"/>
      <c r="AA144" s="41"/>
      <c r="AB144" s="41"/>
      <c r="AD144" s="32"/>
      <c r="AE144" s="41"/>
    </row>
    <row r="145" spans="1:31" s="30" customFormat="1" x14ac:dyDescent="0.25">
      <c r="A145" s="36"/>
      <c r="B145" s="31"/>
      <c r="C145" s="31"/>
      <c r="D145" s="32"/>
      <c r="H145" s="32"/>
      <c r="J145" s="32"/>
      <c r="K145" s="41"/>
      <c r="L145" s="32"/>
      <c r="N145" s="32"/>
      <c r="O145" s="41"/>
      <c r="P145" s="32"/>
      <c r="R145" s="32"/>
      <c r="S145" s="41"/>
      <c r="T145" s="32"/>
      <c r="V145" s="32"/>
      <c r="W145" s="41"/>
      <c r="X145" s="32"/>
      <c r="Z145" s="32"/>
      <c r="AA145" s="41"/>
      <c r="AB145" s="41"/>
      <c r="AD145" s="32"/>
      <c r="AE145" s="41"/>
    </row>
    <row r="146" spans="1:31" s="30" customFormat="1" x14ac:dyDescent="0.25">
      <c r="A146" s="36"/>
      <c r="B146" s="31"/>
      <c r="C146" s="31"/>
      <c r="D146" s="32"/>
      <c r="H146" s="32"/>
      <c r="J146" s="32"/>
      <c r="K146" s="41"/>
      <c r="L146" s="32"/>
      <c r="N146" s="32"/>
      <c r="O146" s="41"/>
      <c r="P146" s="32"/>
      <c r="R146" s="32"/>
      <c r="S146" s="41"/>
      <c r="T146" s="32"/>
      <c r="V146" s="32"/>
      <c r="W146" s="41"/>
      <c r="X146" s="32"/>
      <c r="Z146" s="32"/>
      <c r="AA146" s="41"/>
      <c r="AB146" s="41"/>
      <c r="AD146" s="32"/>
      <c r="AE146" s="41"/>
    </row>
    <row r="147" spans="1:31" s="30" customFormat="1" x14ac:dyDescent="0.25">
      <c r="A147" s="36"/>
      <c r="B147" s="31"/>
      <c r="C147" s="31"/>
      <c r="D147" s="32"/>
      <c r="H147" s="32"/>
      <c r="J147" s="32"/>
      <c r="K147" s="41"/>
      <c r="L147" s="32"/>
      <c r="N147" s="32"/>
      <c r="O147" s="41"/>
      <c r="P147" s="32"/>
      <c r="R147" s="32"/>
      <c r="S147" s="41"/>
      <c r="T147" s="32"/>
      <c r="V147" s="32"/>
      <c r="W147" s="41"/>
      <c r="X147" s="32"/>
      <c r="Z147" s="32"/>
      <c r="AA147" s="41"/>
      <c r="AB147" s="41"/>
      <c r="AD147" s="32"/>
      <c r="AE147" s="41"/>
    </row>
    <row r="148" spans="1:31" s="30" customFormat="1" x14ac:dyDescent="0.25">
      <c r="A148" s="36"/>
      <c r="B148" s="31"/>
      <c r="C148" s="31"/>
      <c r="D148" s="32"/>
      <c r="H148" s="32"/>
      <c r="J148" s="32"/>
      <c r="K148" s="41"/>
      <c r="L148" s="32"/>
      <c r="N148" s="32"/>
      <c r="O148" s="41"/>
      <c r="P148" s="32"/>
      <c r="R148" s="32"/>
      <c r="S148" s="41"/>
      <c r="T148" s="32"/>
      <c r="V148" s="32"/>
      <c r="W148" s="41"/>
      <c r="X148" s="32"/>
      <c r="Z148" s="32"/>
      <c r="AA148" s="41"/>
      <c r="AB148" s="41"/>
      <c r="AD148" s="32"/>
      <c r="AE148" s="41"/>
    </row>
    <row r="149" spans="1:31" s="30" customFormat="1" x14ac:dyDescent="0.25">
      <c r="A149" s="36"/>
      <c r="B149" s="31"/>
      <c r="C149" s="31"/>
      <c r="D149" s="32"/>
      <c r="H149" s="32"/>
      <c r="J149" s="32"/>
      <c r="K149" s="41"/>
      <c r="L149" s="32"/>
      <c r="N149" s="32"/>
      <c r="O149" s="41"/>
      <c r="P149" s="32"/>
      <c r="R149" s="32"/>
      <c r="S149" s="41"/>
      <c r="T149" s="32"/>
      <c r="V149" s="32"/>
      <c r="W149" s="41"/>
      <c r="X149" s="32"/>
      <c r="Z149" s="32"/>
      <c r="AA149" s="41"/>
      <c r="AB149" s="41"/>
      <c r="AD149" s="32"/>
      <c r="AE149" s="41"/>
    </row>
    <row r="150" spans="1:31" s="30" customFormat="1" x14ac:dyDescent="0.25">
      <c r="A150" s="36"/>
      <c r="B150" s="31"/>
      <c r="C150" s="31"/>
      <c r="D150" s="32"/>
      <c r="H150" s="32"/>
      <c r="J150" s="32"/>
      <c r="K150" s="41"/>
      <c r="L150" s="32"/>
      <c r="N150" s="32"/>
      <c r="O150" s="41"/>
      <c r="P150" s="32"/>
      <c r="R150" s="32"/>
      <c r="S150" s="41"/>
      <c r="T150" s="32"/>
      <c r="V150" s="32"/>
      <c r="W150" s="41"/>
      <c r="X150" s="32"/>
      <c r="Z150" s="32"/>
      <c r="AA150" s="41"/>
      <c r="AB150" s="41"/>
      <c r="AD150" s="32"/>
      <c r="AE150" s="41"/>
    </row>
    <row r="151" spans="1:31" s="30" customFormat="1" x14ac:dyDescent="0.25">
      <c r="A151" s="36"/>
      <c r="B151" s="31"/>
      <c r="C151" s="31"/>
      <c r="D151" s="32"/>
      <c r="H151" s="32"/>
      <c r="J151" s="32"/>
      <c r="K151" s="41"/>
      <c r="L151" s="32"/>
      <c r="N151" s="32"/>
      <c r="O151" s="41"/>
      <c r="P151" s="32"/>
      <c r="R151" s="32"/>
      <c r="S151" s="41"/>
      <c r="T151" s="32"/>
      <c r="V151" s="32"/>
      <c r="W151" s="41"/>
      <c r="X151" s="32"/>
      <c r="Z151" s="32"/>
      <c r="AA151" s="41"/>
      <c r="AB151" s="41"/>
      <c r="AD151" s="32"/>
      <c r="AE151" s="41"/>
    </row>
    <row r="152" spans="1:31" s="30" customFormat="1" x14ac:dyDescent="0.25">
      <c r="A152" s="36"/>
      <c r="B152" s="31"/>
      <c r="C152" s="31"/>
      <c r="D152" s="32"/>
      <c r="H152" s="32"/>
      <c r="J152" s="32"/>
      <c r="K152" s="41"/>
      <c r="L152" s="32"/>
      <c r="N152" s="32"/>
      <c r="O152" s="41"/>
      <c r="P152" s="32"/>
      <c r="R152" s="32"/>
      <c r="S152" s="41"/>
      <c r="T152" s="32"/>
      <c r="V152" s="32"/>
      <c r="W152" s="41"/>
      <c r="X152" s="32"/>
      <c r="Z152" s="32"/>
      <c r="AA152" s="41"/>
      <c r="AB152" s="41"/>
      <c r="AD152" s="32"/>
      <c r="AE152" s="41"/>
    </row>
    <row r="153" spans="1:31" s="30" customFormat="1" x14ac:dyDescent="0.25">
      <c r="A153" s="36"/>
      <c r="B153" s="31"/>
      <c r="C153" s="31"/>
      <c r="D153" s="32"/>
      <c r="H153" s="32"/>
      <c r="J153" s="32"/>
      <c r="K153" s="41"/>
      <c r="L153" s="32"/>
      <c r="N153" s="32"/>
      <c r="O153" s="41"/>
      <c r="P153" s="32"/>
      <c r="R153" s="32"/>
      <c r="S153" s="41"/>
      <c r="T153" s="32"/>
      <c r="V153" s="32"/>
      <c r="W153" s="41"/>
      <c r="X153" s="32"/>
      <c r="Z153" s="32"/>
      <c r="AA153" s="41"/>
      <c r="AB153" s="41"/>
      <c r="AD153" s="32"/>
      <c r="AE153" s="41"/>
    </row>
    <row r="154" spans="1:31" s="30" customFormat="1" x14ac:dyDescent="0.25">
      <c r="A154" s="36"/>
      <c r="B154" s="31"/>
      <c r="C154" s="31"/>
      <c r="D154" s="32"/>
      <c r="H154" s="32"/>
      <c r="J154" s="32"/>
      <c r="K154" s="41"/>
      <c r="L154" s="32"/>
      <c r="N154" s="32"/>
      <c r="O154" s="41"/>
      <c r="P154" s="32"/>
      <c r="R154" s="32"/>
      <c r="S154" s="41"/>
      <c r="T154" s="32"/>
      <c r="V154" s="32"/>
      <c r="W154" s="41"/>
      <c r="X154" s="32"/>
      <c r="Z154" s="32"/>
      <c r="AA154" s="41"/>
      <c r="AB154" s="41"/>
      <c r="AD154" s="32"/>
      <c r="AE154" s="41"/>
    </row>
    <row r="155" spans="1:31" s="30" customFormat="1" x14ac:dyDescent="0.25">
      <c r="A155" s="36"/>
      <c r="B155" s="31"/>
      <c r="C155" s="31"/>
      <c r="D155" s="32"/>
      <c r="H155" s="32"/>
      <c r="J155" s="32"/>
      <c r="K155" s="41"/>
      <c r="L155" s="32"/>
      <c r="N155" s="32"/>
      <c r="O155" s="41"/>
      <c r="P155" s="32"/>
      <c r="R155" s="32"/>
      <c r="S155" s="41"/>
      <c r="T155" s="32"/>
      <c r="V155" s="32"/>
      <c r="W155" s="41"/>
      <c r="X155" s="32"/>
      <c r="Z155" s="32"/>
      <c r="AA155" s="41"/>
      <c r="AB155" s="41"/>
      <c r="AD155" s="32"/>
      <c r="AE155" s="41"/>
    </row>
    <row r="156" spans="1:31" s="30" customFormat="1" x14ac:dyDescent="0.25">
      <c r="A156" s="36"/>
      <c r="B156" s="31"/>
      <c r="C156" s="31"/>
      <c r="D156" s="32"/>
      <c r="H156" s="32"/>
      <c r="J156" s="32"/>
      <c r="K156" s="41"/>
      <c r="L156" s="32"/>
      <c r="N156" s="32"/>
      <c r="O156" s="41"/>
      <c r="P156" s="32"/>
      <c r="R156" s="32"/>
      <c r="S156" s="41"/>
      <c r="T156" s="32"/>
      <c r="V156" s="32"/>
      <c r="W156" s="41"/>
      <c r="X156" s="32"/>
      <c r="Z156" s="32"/>
      <c r="AA156" s="41"/>
      <c r="AB156" s="41"/>
      <c r="AD156" s="32"/>
      <c r="AE156" s="41"/>
    </row>
    <row r="157" spans="1:31" s="30" customFormat="1" x14ac:dyDescent="0.25">
      <c r="A157" s="36"/>
      <c r="B157" s="31"/>
      <c r="C157" s="31"/>
      <c r="D157" s="32"/>
      <c r="H157" s="32"/>
      <c r="J157" s="32"/>
      <c r="K157" s="41"/>
      <c r="L157" s="32"/>
      <c r="N157" s="32"/>
      <c r="O157" s="41"/>
      <c r="P157" s="32"/>
      <c r="R157" s="32"/>
      <c r="S157" s="41"/>
      <c r="T157" s="32"/>
      <c r="V157" s="32"/>
      <c r="W157" s="41"/>
      <c r="X157" s="32"/>
      <c r="Z157" s="32"/>
      <c r="AA157" s="41"/>
      <c r="AB157" s="41"/>
      <c r="AD157" s="32"/>
      <c r="AE157" s="41"/>
    </row>
    <row r="158" spans="1:31" s="30" customFormat="1" x14ac:dyDescent="0.25">
      <c r="A158" s="36"/>
      <c r="B158" s="31"/>
      <c r="C158" s="31"/>
      <c r="D158" s="32"/>
      <c r="H158" s="32"/>
      <c r="J158" s="32"/>
      <c r="K158" s="41"/>
      <c r="L158" s="32"/>
      <c r="N158" s="32"/>
      <c r="O158" s="41"/>
      <c r="P158" s="32"/>
      <c r="R158" s="32"/>
      <c r="S158" s="41"/>
      <c r="T158" s="32"/>
      <c r="V158" s="32"/>
      <c r="W158" s="41"/>
      <c r="X158" s="32"/>
      <c r="Z158" s="32"/>
      <c r="AA158" s="41"/>
      <c r="AB158" s="41"/>
      <c r="AD158" s="32"/>
      <c r="AE158" s="41"/>
    </row>
    <row r="159" spans="1:31" s="30" customFormat="1" x14ac:dyDescent="0.25">
      <c r="A159" s="36"/>
      <c r="B159" s="31"/>
      <c r="C159" s="31"/>
      <c r="D159" s="32"/>
      <c r="H159" s="32"/>
      <c r="J159" s="32"/>
      <c r="K159" s="41"/>
      <c r="L159" s="32"/>
      <c r="N159" s="32"/>
      <c r="O159" s="41"/>
      <c r="P159" s="32"/>
      <c r="R159" s="32"/>
      <c r="S159" s="41"/>
      <c r="T159" s="32"/>
      <c r="V159" s="32"/>
      <c r="W159" s="41"/>
      <c r="X159" s="32"/>
      <c r="Z159" s="32"/>
      <c r="AA159" s="41"/>
      <c r="AB159" s="41"/>
      <c r="AD159" s="32"/>
      <c r="AE159" s="41"/>
    </row>
    <row r="160" spans="1:31" s="30" customFormat="1" x14ac:dyDescent="0.25">
      <c r="A160" s="36"/>
      <c r="B160" s="31"/>
      <c r="C160" s="31"/>
      <c r="D160" s="32"/>
      <c r="H160" s="32"/>
      <c r="J160" s="32"/>
      <c r="K160" s="41"/>
      <c r="L160" s="32"/>
      <c r="N160" s="32"/>
      <c r="O160" s="41"/>
      <c r="P160" s="32"/>
      <c r="R160" s="32"/>
      <c r="S160" s="41"/>
      <c r="T160" s="32"/>
      <c r="V160" s="32"/>
      <c r="W160" s="41"/>
      <c r="X160" s="32"/>
      <c r="Z160" s="32"/>
      <c r="AA160" s="41"/>
      <c r="AB160" s="41"/>
      <c r="AD160" s="32"/>
      <c r="AE160" s="41"/>
    </row>
    <row r="161" spans="1:31" s="30" customFormat="1" x14ac:dyDescent="0.25">
      <c r="A161" s="36"/>
      <c r="B161" s="31"/>
      <c r="C161" s="31"/>
      <c r="D161" s="32"/>
      <c r="H161" s="32"/>
      <c r="J161" s="32"/>
      <c r="K161" s="41"/>
      <c r="L161" s="32"/>
      <c r="N161" s="32"/>
      <c r="O161" s="41"/>
      <c r="P161" s="32"/>
      <c r="R161" s="32"/>
      <c r="S161" s="41"/>
      <c r="T161" s="32"/>
      <c r="V161" s="32"/>
      <c r="W161" s="41"/>
      <c r="X161" s="32"/>
      <c r="Z161" s="32"/>
      <c r="AA161" s="41"/>
      <c r="AB161" s="41"/>
      <c r="AD161" s="32"/>
      <c r="AE161" s="41"/>
    </row>
    <row r="162" spans="1:31" s="30" customFormat="1" x14ac:dyDescent="0.25">
      <c r="A162" s="36"/>
      <c r="B162" s="31"/>
      <c r="C162" s="31"/>
      <c r="D162" s="32"/>
      <c r="H162" s="32"/>
      <c r="J162" s="32"/>
      <c r="K162" s="41"/>
      <c r="L162" s="32"/>
      <c r="N162" s="32"/>
      <c r="O162" s="41"/>
      <c r="P162" s="32"/>
      <c r="R162" s="32"/>
      <c r="S162" s="41"/>
      <c r="T162" s="32"/>
      <c r="V162" s="32"/>
      <c r="W162" s="41"/>
      <c r="X162" s="32"/>
      <c r="Z162" s="32"/>
      <c r="AA162" s="41"/>
      <c r="AB162" s="41"/>
      <c r="AD162" s="32"/>
      <c r="AE162" s="41"/>
    </row>
    <row r="163" spans="1:31" s="30" customFormat="1" x14ac:dyDescent="0.25">
      <c r="A163" s="36"/>
      <c r="B163" s="31"/>
      <c r="C163" s="31"/>
      <c r="D163" s="32"/>
      <c r="H163" s="32"/>
      <c r="J163" s="32"/>
      <c r="K163" s="41"/>
      <c r="L163" s="32"/>
      <c r="N163" s="32"/>
      <c r="O163" s="41"/>
      <c r="P163" s="32"/>
      <c r="R163" s="32"/>
      <c r="S163" s="41"/>
      <c r="T163" s="32"/>
      <c r="V163" s="32"/>
      <c r="W163" s="41"/>
      <c r="X163" s="32"/>
      <c r="Z163" s="32"/>
      <c r="AA163" s="41"/>
      <c r="AB163" s="41"/>
      <c r="AD163" s="32"/>
      <c r="AE163" s="41"/>
    </row>
    <row r="164" spans="1:31" s="30" customFormat="1" x14ac:dyDescent="0.25">
      <c r="A164" s="36"/>
      <c r="B164" s="31"/>
      <c r="C164" s="31"/>
      <c r="D164" s="32"/>
      <c r="H164" s="32"/>
      <c r="J164" s="32"/>
      <c r="K164" s="41"/>
      <c r="L164" s="32"/>
      <c r="N164" s="32"/>
      <c r="O164" s="41"/>
      <c r="P164" s="32"/>
      <c r="R164" s="32"/>
      <c r="S164" s="41"/>
      <c r="T164" s="32"/>
      <c r="V164" s="32"/>
      <c r="W164" s="41"/>
      <c r="X164" s="32"/>
      <c r="Z164" s="32"/>
      <c r="AA164" s="41"/>
      <c r="AB164" s="41"/>
      <c r="AD164" s="32"/>
      <c r="AE164" s="41"/>
    </row>
    <row r="165" spans="1:31" s="30" customFormat="1" x14ac:dyDescent="0.25">
      <c r="A165" s="36"/>
      <c r="B165" s="31"/>
      <c r="C165" s="31"/>
      <c r="D165" s="32"/>
      <c r="H165" s="32"/>
      <c r="J165" s="32"/>
      <c r="K165" s="41"/>
      <c r="L165" s="32"/>
      <c r="N165" s="32"/>
      <c r="O165" s="41"/>
      <c r="P165" s="32"/>
      <c r="R165" s="32"/>
      <c r="S165" s="41"/>
      <c r="T165" s="32"/>
      <c r="V165" s="32"/>
      <c r="W165" s="41"/>
      <c r="X165" s="32"/>
      <c r="Z165" s="32"/>
      <c r="AA165" s="41"/>
      <c r="AB165" s="41"/>
      <c r="AD165" s="32"/>
      <c r="AE165" s="41"/>
    </row>
    <row r="166" spans="1:31" s="30" customFormat="1" x14ac:dyDescent="0.25">
      <c r="A166" s="36"/>
      <c r="B166" s="31"/>
      <c r="C166" s="31"/>
      <c r="D166" s="32"/>
      <c r="H166" s="32"/>
      <c r="J166" s="32"/>
      <c r="K166" s="41"/>
      <c r="L166" s="32"/>
      <c r="N166" s="32"/>
      <c r="O166" s="41"/>
      <c r="P166" s="32"/>
      <c r="R166" s="32"/>
      <c r="S166" s="41"/>
      <c r="T166" s="32"/>
      <c r="V166" s="32"/>
      <c r="W166" s="41"/>
      <c r="X166" s="32"/>
      <c r="Z166" s="32"/>
      <c r="AA166" s="41"/>
      <c r="AB166" s="41"/>
      <c r="AD166" s="32"/>
      <c r="AE166" s="41"/>
    </row>
    <row r="167" spans="1:31" s="30" customFormat="1" x14ac:dyDescent="0.25">
      <c r="A167" s="36"/>
      <c r="B167" s="31"/>
      <c r="C167" s="31"/>
      <c r="D167" s="32"/>
      <c r="H167" s="32"/>
      <c r="J167" s="32"/>
      <c r="K167" s="41"/>
      <c r="L167" s="32"/>
      <c r="N167" s="32"/>
      <c r="O167" s="41"/>
      <c r="P167" s="32"/>
      <c r="R167" s="32"/>
      <c r="S167" s="41"/>
      <c r="T167" s="32"/>
      <c r="V167" s="32"/>
      <c r="W167" s="41"/>
      <c r="X167" s="32"/>
      <c r="Z167" s="32"/>
      <c r="AA167" s="41"/>
      <c r="AB167" s="41"/>
      <c r="AD167" s="32"/>
      <c r="AE167" s="41"/>
    </row>
    <row r="168" spans="1:31" s="30" customFormat="1" x14ac:dyDescent="0.25">
      <c r="A168" s="36"/>
      <c r="B168" s="31"/>
      <c r="C168" s="31"/>
      <c r="D168" s="32"/>
      <c r="H168" s="32"/>
      <c r="J168" s="32"/>
      <c r="K168" s="41"/>
      <c r="L168" s="32"/>
      <c r="N168" s="32"/>
      <c r="O168" s="41"/>
      <c r="P168" s="32"/>
      <c r="R168" s="32"/>
      <c r="S168" s="41"/>
      <c r="T168" s="32"/>
      <c r="V168" s="32"/>
      <c r="W168" s="41"/>
      <c r="X168" s="32"/>
      <c r="Z168" s="32"/>
      <c r="AA168" s="41"/>
      <c r="AB168" s="41"/>
      <c r="AD168" s="32"/>
      <c r="AE168" s="41"/>
    </row>
    <row r="169" spans="1:31" s="30" customFormat="1" x14ac:dyDescent="0.25">
      <c r="A169" s="36"/>
      <c r="B169" s="31"/>
      <c r="C169" s="31"/>
      <c r="D169" s="32"/>
      <c r="H169" s="32"/>
      <c r="J169" s="32"/>
      <c r="K169" s="41"/>
      <c r="L169" s="32"/>
      <c r="N169" s="32"/>
      <c r="O169" s="41"/>
      <c r="P169" s="32"/>
      <c r="R169" s="32"/>
      <c r="S169" s="41"/>
      <c r="T169" s="32"/>
      <c r="V169" s="32"/>
      <c r="W169" s="41"/>
      <c r="X169" s="32"/>
      <c r="Z169" s="32"/>
      <c r="AA169" s="41"/>
      <c r="AB169" s="41"/>
      <c r="AD169" s="32"/>
      <c r="AE169" s="41"/>
    </row>
    <row r="170" spans="1:31" s="30" customFormat="1" x14ac:dyDescent="0.25">
      <c r="A170" s="36"/>
      <c r="B170" s="31"/>
      <c r="C170" s="31"/>
      <c r="D170" s="32"/>
      <c r="H170" s="32"/>
      <c r="J170" s="32"/>
      <c r="K170" s="41"/>
      <c r="L170" s="32"/>
      <c r="N170" s="32"/>
      <c r="O170" s="41"/>
      <c r="P170" s="32"/>
      <c r="R170" s="32"/>
      <c r="S170" s="41"/>
      <c r="T170" s="32"/>
      <c r="V170" s="32"/>
      <c r="W170" s="41"/>
      <c r="X170" s="32"/>
      <c r="Z170" s="32"/>
      <c r="AA170" s="41"/>
      <c r="AB170" s="41"/>
      <c r="AD170" s="32"/>
      <c r="AE170" s="41"/>
    </row>
    <row r="171" spans="1:31" s="30" customFormat="1" x14ac:dyDescent="0.25">
      <c r="A171" s="36"/>
      <c r="B171" s="31"/>
      <c r="C171" s="31"/>
      <c r="D171" s="32"/>
      <c r="H171" s="32"/>
      <c r="J171" s="32"/>
      <c r="K171" s="41"/>
      <c r="L171" s="32"/>
      <c r="N171" s="32"/>
      <c r="O171" s="41"/>
      <c r="P171" s="32"/>
      <c r="R171" s="32"/>
      <c r="S171" s="41"/>
      <c r="T171" s="32"/>
      <c r="V171" s="32"/>
      <c r="W171" s="41"/>
      <c r="X171" s="32"/>
      <c r="Z171" s="32"/>
      <c r="AA171" s="41"/>
      <c r="AB171" s="41"/>
      <c r="AD171" s="32"/>
      <c r="AE171" s="41"/>
    </row>
    <row r="172" spans="1:31" s="30" customFormat="1" x14ac:dyDescent="0.25">
      <c r="A172" s="36"/>
      <c r="B172" s="31"/>
      <c r="C172" s="31"/>
      <c r="D172" s="32"/>
      <c r="H172" s="32"/>
      <c r="J172" s="32"/>
      <c r="K172" s="41"/>
      <c r="L172" s="32"/>
      <c r="N172" s="32"/>
      <c r="O172" s="41"/>
      <c r="P172" s="32"/>
      <c r="R172" s="32"/>
      <c r="S172" s="41"/>
      <c r="T172" s="32"/>
      <c r="V172" s="32"/>
      <c r="W172" s="41"/>
      <c r="X172" s="32"/>
      <c r="Z172" s="32"/>
      <c r="AA172" s="41"/>
      <c r="AB172" s="41"/>
      <c r="AD172" s="32"/>
      <c r="AE172" s="41"/>
    </row>
    <row r="173" spans="1:31" s="30" customFormat="1" x14ac:dyDescent="0.25">
      <c r="A173" s="36"/>
      <c r="B173" s="31"/>
      <c r="C173" s="31"/>
      <c r="D173" s="32"/>
      <c r="H173" s="32"/>
      <c r="J173" s="32"/>
      <c r="K173" s="41"/>
      <c r="L173" s="32"/>
      <c r="N173" s="32"/>
      <c r="O173" s="41"/>
      <c r="P173" s="32"/>
      <c r="R173" s="32"/>
      <c r="S173" s="41"/>
      <c r="T173" s="32"/>
      <c r="V173" s="32"/>
      <c r="W173" s="41"/>
      <c r="X173" s="32"/>
      <c r="Z173" s="32"/>
      <c r="AA173" s="41"/>
      <c r="AB173" s="41"/>
      <c r="AD173" s="32"/>
      <c r="AE173" s="41"/>
    </row>
    <row r="174" spans="1:31" s="30" customFormat="1" x14ac:dyDescent="0.25">
      <c r="A174" s="36"/>
      <c r="B174" s="31"/>
      <c r="C174" s="31"/>
      <c r="D174" s="32"/>
      <c r="H174" s="32"/>
      <c r="J174" s="32"/>
      <c r="K174" s="41"/>
      <c r="L174" s="32"/>
      <c r="N174" s="32"/>
      <c r="O174" s="41"/>
      <c r="P174" s="32"/>
      <c r="R174" s="32"/>
      <c r="S174" s="41"/>
      <c r="T174" s="32"/>
      <c r="V174" s="32"/>
      <c r="W174" s="41"/>
      <c r="X174" s="32"/>
      <c r="Z174" s="32"/>
      <c r="AA174" s="41"/>
      <c r="AB174" s="41"/>
      <c r="AD174" s="32"/>
      <c r="AE174" s="41"/>
    </row>
    <row r="175" spans="1:31" s="30" customFormat="1" x14ac:dyDescent="0.25">
      <c r="A175" s="36"/>
      <c r="B175" s="31"/>
      <c r="C175" s="31"/>
      <c r="D175" s="32"/>
      <c r="H175" s="32"/>
      <c r="J175" s="32"/>
      <c r="K175" s="41"/>
      <c r="L175" s="32"/>
      <c r="N175" s="32"/>
      <c r="O175" s="41"/>
      <c r="P175" s="32"/>
      <c r="R175" s="32"/>
      <c r="S175" s="41"/>
      <c r="T175" s="32"/>
      <c r="V175" s="32"/>
      <c r="W175" s="41"/>
      <c r="X175" s="32"/>
      <c r="Z175" s="32"/>
      <c r="AA175" s="41"/>
      <c r="AB175" s="41"/>
      <c r="AD175" s="32"/>
      <c r="AE175" s="41"/>
    </row>
    <row r="176" spans="1:31" s="30" customFormat="1" x14ac:dyDescent="0.25">
      <c r="A176" s="36"/>
      <c r="B176" s="31"/>
      <c r="C176" s="31"/>
      <c r="D176" s="32"/>
      <c r="H176" s="32"/>
      <c r="J176" s="32"/>
      <c r="K176" s="41"/>
      <c r="L176" s="32"/>
      <c r="N176" s="32"/>
      <c r="O176" s="41"/>
      <c r="P176" s="32"/>
      <c r="R176" s="32"/>
      <c r="S176" s="41"/>
      <c r="T176" s="32"/>
      <c r="V176" s="32"/>
      <c r="W176" s="41"/>
      <c r="X176" s="32"/>
      <c r="Z176" s="32"/>
      <c r="AA176" s="41"/>
      <c r="AB176" s="41"/>
      <c r="AD176" s="32"/>
      <c r="AE176" s="41"/>
    </row>
    <row r="177" spans="1:31" s="30" customFormat="1" x14ac:dyDescent="0.25">
      <c r="A177" s="36"/>
      <c r="B177" s="31"/>
      <c r="C177" s="31"/>
      <c r="D177" s="32"/>
      <c r="H177" s="32"/>
      <c r="J177" s="32"/>
      <c r="K177" s="41"/>
      <c r="L177" s="32"/>
      <c r="N177" s="32"/>
      <c r="O177" s="41"/>
      <c r="P177" s="32"/>
      <c r="R177" s="32"/>
      <c r="S177" s="41"/>
      <c r="T177" s="32"/>
      <c r="V177" s="32"/>
      <c r="W177" s="41"/>
      <c r="X177" s="32"/>
      <c r="Z177" s="32"/>
      <c r="AA177" s="41"/>
      <c r="AB177" s="41"/>
      <c r="AD177" s="32"/>
      <c r="AE177" s="41"/>
    </row>
    <row r="178" spans="1:31" s="30" customFormat="1" x14ac:dyDescent="0.25">
      <c r="A178" s="36"/>
      <c r="B178" s="31"/>
      <c r="C178" s="31"/>
      <c r="D178" s="32"/>
      <c r="H178" s="32"/>
      <c r="J178" s="32"/>
      <c r="K178" s="41"/>
      <c r="L178" s="32"/>
      <c r="N178" s="32"/>
      <c r="O178" s="41"/>
      <c r="P178" s="32"/>
      <c r="R178" s="32"/>
      <c r="S178" s="41"/>
      <c r="T178" s="32"/>
      <c r="V178" s="32"/>
      <c r="W178" s="41"/>
      <c r="X178" s="32"/>
      <c r="Z178" s="32"/>
      <c r="AA178" s="41"/>
      <c r="AB178" s="41"/>
      <c r="AD178" s="32"/>
      <c r="AE178" s="41"/>
    </row>
    <row r="179" spans="1:31" s="30" customFormat="1" x14ac:dyDescent="0.25">
      <c r="A179" s="36"/>
      <c r="B179" s="31"/>
      <c r="C179" s="31"/>
      <c r="D179" s="32"/>
      <c r="H179" s="32"/>
      <c r="J179" s="32"/>
      <c r="K179" s="41"/>
      <c r="L179" s="32"/>
      <c r="N179" s="32"/>
      <c r="O179" s="41"/>
      <c r="P179" s="32"/>
      <c r="R179" s="32"/>
      <c r="S179" s="41"/>
      <c r="T179" s="32"/>
      <c r="V179" s="32"/>
      <c r="W179" s="41"/>
      <c r="X179" s="32"/>
      <c r="Z179" s="32"/>
      <c r="AA179" s="41"/>
      <c r="AB179" s="41"/>
      <c r="AD179" s="32"/>
      <c r="AE179" s="41"/>
    </row>
    <row r="180" spans="1:31" s="30" customFormat="1" x14ac:dyDescent="0.25">
      <c r="A180" s="36"/>
      <c r="B180" s="31"/>
      <c r="C180" s="31"/>
      <c r="D180" s="32"/>
      <c r="H180" s="32"/>
      <c r="J180" s="32"/>
      <c r="K180" s="41"/>
      <c r="L180" s="32"/>
      <c r="N180" s="32"/>
      <c r="O180" s="41"/>
      <c r="P180" s="32"/>
      <c r="R180" s="32"/>
      <c r="S180" s="41"/>
      <c r="T180" s="32"/>
      <c r="V180" s="32"/>
      <c r="W180" s="41"/>
      <c r="X180" s="32"/>
      <c r="Z180" s="32"/>
      <c r="AA180" s="41"/>
      <c r="AB180" s="41"/>
      <c r="AD180" s="32"/>
      <c r="AE180" s="41"/>
    </row>
    <row r="181" spans="1:31" s="30" customFormat="1" x14ac:dyDescent="0.25">
      <c r="A181" s="36"/>
      <c r="B181" s="31"/>
      <c r="C181" s="31"/>
      <c r="D181" s="32"/>
      <c r="H181" s="32"/>
      <c r="J181" s="32"/>
      <c r="K181" s="41"/>
      <c r="L181" s="32"/>
      <c r="N181" s="32"/>
      <c r="O181" s="41"/>
      <c r="P181" s="32"/>
      <c r="R181" s="32"/>
      <c r="S181" s="41"/>
      <c r="T181" s="32"/>
      <c r="V181" s="32"/>
      <c r="W181" s="41"/>
      <c r="X181" s="32"/>
      <c r="Z181" s="32"/>
      <c r="AA181" s="41"/>
      <c r="AB181" s="41"/>
      <c r="AD181" s="32"/>
      <c r="AE181" s="41"/>
    </row>
    <row r="182" spans="1:31" s="30" customFormat="1" x14ac:dyDescent="0.25">
      <c r="A182" s="36"/>
      <c r="B182" s="31"/>
      <c r="C182" s="31"/>
      <c r="D182" s="32"/>
      <c r="H182" s="32"/>
      <c r="J182" s="32"/>
      <c r="K182" s="41"/>
      <c r="L182" s="32"/>
      <c r="N182" s="32"/>
      <c r="O182" s="41"/>
      <c r="P182" s="32"/>
      <c r="R182" s="32"/>
      <c r="S182" s="41"/>
      <c r="T182" s="32"/>
      <c r="V182" s="32"/>
      <c r="W182" s="41"/>
      <c r="X182" s="32"/>
      <c r="Z182" s="32"/>
      <c r="AA182" s="41"/>
      <c r="AB182" s="41"/>
      <c r="AD182" s="32"/>
      <c r="AE182" s="41"/>
    </row>
    <row r="183" spans="1:31" s="30" customFormat="1" x14ac:dyDescent="0.25">
      <c r="A183" s="36"/>
      <c r="B183" s="31"/>
      <c r="C183" s="31"/>
      <c r="D183" s="32"/>
      <c r="H183" s="32"/>
      <c r="J183" s="32"/>
      <c r="K183" s="41"/>
      <c r="L183" s="32"/>
      <c r="N183" s="32"/>
      <c r="O183" s="41"/>
      <c r="P183" s="32"/>
      <c r="R183" s="32"/>
      <c r="S183" s="41"/>
      <c r="T183" s="32"/>
      <c r="V183" s="32"/>
      <c r="W183" s="41"/>
      <c r="X183" s="32"/>
      <c r="Z183" s="32"/>
      <c r="AA183" s="41"/>
      <c r="AB183" s="41"/>
      <c r="AD183" s="32"/>
      <c r="AE183" s="41"/>
    </row>
    <row r="184" spans="1:31" s="30" customFormat="1" x14ac:dyDescent="0.25">
      <c r="A184" s="36"/>
      <c r="B184" s="31"/>
      <c r="C184" s="31"/>
      <c r="D184" s="32"/>
      <c r="H184" s="32"/>
      <c r="J184" s="32"/>
      <c r="K184" s="41"/>
      <c r="L184" s="32"/>
      <c r="N184" s="32"/>
      <c r="O184" s="41"/>
      <c r="P184" s="32"/>
      <c r="R184" s="32"/>
      <c r="S184" s="41"/>
      <c r="T184" s="32"/>
      <c r="V184" s="32"/>
      <c r="W184" s="41"/>
      <c r="X184" s="32"/>
      <c r="Z184" s="32"/>
      <c r="AA184" s="41"/>
      <c r="AB184" s="41"/>
      <c r="AD184" s="32"/>
      <c r="AE184" s="41"/>
    </row>
    <row r="185" spans="1:31" s="30" customFormat="1" x14ac:dyDescent="0.25">
      <c r="A185" s="36"/>
      <c r="B185" s="31"/>
      <c r="C185" s="31"/>
      <c r="D185" s="32"/>
      <c r="H185" s="32"/>
      <c r="J185" s="32"/>
      <c r="K185" s="41"/>
      <c r="L185" s="32"/>
      <c r="N185" s="32"/>
      <c r="O185" s="41"/>
      <c r="P185" s="32"/>
      <c r="R185" s="32"/>
      <c r="S185" s="41"/>
      <c r="T185" s="32"/>
      <c r="V185" s="32"/>
      <c r="W185" s="41"/>
      <c r="X185" s="32"/>
      <c r="Z185" s="32"/>
      <c r="AA185" s="41"/>
      <c r="AB185" s="41"/>
      <c r="AD185" s="32"/>
      <c r="AE185" s="41"/>
    </row>
    <row r="186" spans="1:31" s="30" customFormat="1" x14ac:dyDescent="0.25">
      <c r="A186" s="36"/>
      <c r="B186" s="31"/>
      <c r="C186" s="31"/>
      <c r="D186" s="32"/>
      <c r="H186" s="32"/>
      <c r="J186" s="32"/>
      <c r="K186" s="41"/>
      <c r="L186" s="32"/>
      <c r="N186" s="32"/>
      <c r="O186" s="41"/>
      <c r="P186" s="32"/>
      <c r="R186" s="32"/>
      <c r="S186" s="41"/>
      <c r="T186" s="32"/>
      <c r="V186" s="32"/>
      <c r="W186" s="41"/>
      <c r="X186" s="32"/>
      <c r="Z186" s="32"/>
      <c r="AA186" s="41"/>
      <c r="AB186" s="41"/>
      <c r="AD186" s="32"/>
      <c r="AE186" s="41"/>
    </row>
    <row r="187" spans="1:31" s="30" customFormat="1" x14ac:dyDescent="0.25">
      <c r="A187" s="36"/>
      <c r="B187" s="31"/>
      <c r="C187" s="31"/>
      <c r="D187" s="32"/>
      <c r="H187" s="32"/>
      <c r="J187" s="32"/>
      <c r="K187" s="41"/>
      <c r="L187" s="32"/>
      <c r="N187" s="32"/>
      <c r="O187" s="41"/>
      <c r="P187" s="32"/>
      <c r="R187" s="32"/>
      <c r="S187" s="41"/>
      <c r="T187" s="32"/>
      <c r="V187" s="32"/>
      <c r="W187" s="41"/>
      <c r="X187" s="32"/>
      <c r="Z187" s="32"/>
      <c r="AA187" s="41"/>
      <c r="AB187" s="41"/>
      <c r="AD187" s="32"/>
      <c r="AE187" s="41"/>
    </row>
    <row r="188" spans="1:31" s="30" customFormat="1" x14ac:dyDescent="0.25">
      <c r="A188" s="36"/>
      <c r="B188" s="31"/>
      <c r="C188" s="31"/>
      <c r="D188" s="32"/>
      <c r="H188" s="32"/>
      <c r="J188" s="32"/>
      <c r="K188" s="41"/>
      <c r="L188" s="32"/>
      <c r="N188" s="32"/>
      <c r="O188" s="41"/>
      <c r="P188" s="32"/>
      <c r="R188" s="32"/>
      <c r="S188" s="41"/>
      <c r="T188" s="32"/>
      <c r="V188" s="32"/>
      <c r="W188" s="41"/>
      <c r="X188" s="32"/>
      <c r="Z188" s="32"/>
      <c r="AA188" s="41"/>
      <c r="AB188" s="41"/>
      <c r="AD188" s="32"/>
      <c r="AE188" s="41"/>
    </row>
    <row r="189" spans="1:31" s="30" customFormat="1" x14ac:dyDescent="0.25">
      <c r="A189" s="36"/>
      <c r="B189" s="31"/>
      <c r="C189" s="31"/>
      <c r="D189" s="32"/>
      <c r="H189" s="32"/>
      <c r="J189" s="32"/>
      <c r="K189" s="41"/>
      <c r="L189" s="32"/>
      <c r="N189" s="32"/>
      <c r="O189" s="41"/>
      <c r="P189" s="32"/>
      <c r="R189" s="32"/>
      <c r="S189" s="41"/>
      <c r="T189" s="32"/>
      <c r="V189" s="32"/>
      <c r="W189" s="41"/>
      <c r="X189" s="32"/>
      <c r="Z189" s="32"/>
      <c r="AA189" s="41"/>
      <c r="AB189" s="41"/>
      <c r="AD189" s="32"/>
      <c r="AE189" s="41"/>
    </row>
    <row r="190" spans="1:31" s="30" customFormat="1" x14ac:dyDescent="0.25">
      <c r="A190" s="36"/>
      <c r="B190" s="31"/>
      <c r="C190" s="31"/>
      <c r="D190" s="32"/>
      <c r="H190" s="32"/>
      <c r="J190" s="32"/>
      <c r="K190" s="41"/>
      <c r="L190" s="32"/>
      <c r="N190" s="32"/>
      <c r="O190" s="41"/>
      <c r="P190" s="32"/>
      <c r="R190" s="32"/>
      <c r="S190" s="41"/>
      <c r="T190" s="32"/>
      <c r="V190" s="32"/>
      <c r="W190" s="41"/>
      <c r="X190" s="32"/>
      <c r="Z190" s="32"/>
      <c r="AA190" s="41"/>
      <c r="AB190" s="41"/>
      <c r="AD190" s="32"/>
      <c r="AE190" s="41"/>
    </row>
    <row r="191" spans="1:31" s="30" customFormat="1" x14ac:dyDescent="0.25">
      <c r="A191" s="36"/>
      <c r="B191" s="31"/>
      <c r="C191" s="31"/>
      <c r="D191" s="32"/>
      <c r="H191" s="32"/>
      <c r="J191" s="32"/>
      <c r="K191" s="41"/>
      <c r="L191" s="32"/>
      <c r="N191" s="32"/>
      <c r="O191" s="41"/>
      <c r="P191" s="32"/>
      <c r="R191" s="32"/>
      <c r="S191" s="41"/>
      <c r="T191" s="32"/>
      <c r="V191" s="32"/>
      <c r="W191" s="41"/>
      <c r="X191" s="32"/>
      <c r="Z191" s="32"/>
      <c r="AA191" s="41"/>
      <c r="AB191" s="41"/>
      <c r="AD191" s="32"/>
      <c r="AE191" s="41"/>
    </row>
    <row r="192" spans="1:31" s="30" customFormat="1" x14ac:dyDescent="0.25">
      <c r="A192" s="36"/>
      <c r="B192" s="31"/>
      <c r="C192" s="31"/>
      <c r="D192" s="32"/>
      <c r="H192" s="32"/>
      <c r="J192" s="32"/>
      <c r="K192" s="41"/>
      <c r="L192" s="32"/>
      <c r="N192" s="32"/>
      <c r="O192" s="41"/>
      <c r="P192" s="32"/>
      <c r="R192" s="32"/>
      <c r="S192" s="41"/>
      <c r="T192" s="32"/>
      <c r="V192" s="32"/>
      <c r="W192" s="41"/>
      <c r="X192" s="32"/>
      <c r="Z192" s="32"/>
      <c r="AA192" s="41"/>
      <c r="AB192" s="41"/>
      <c r="AD192" s="32"/>
      <c r="AE192" s="41"/>
    </row>
    <row r="193" spans="1:31" s="30" customFormat="1" x14ac:dyDescent="0.25">
      <c r="A193" s="36"/>
      <c r="B193" s="31"/>
      <c r="C193" s="31"/>
      <c r="D193" s="32"/>
      <c r="H193" s="32"/>
      <c r="J193" s="32"/>
      <c r="K193" s="41"/>
      <c r="L193" s="32"/>
      <c r="N193" s="32"/>
      <c r="O193" s="41"/>
      <c r="P193" s="32"/>
      <c r="R193" s="32"/>
      <c r="S193" s="41"/>
      <c r="T193" s="32"/>
      <c r="V193" s="32"/>
      <c r="W193" s="41"/>
      <c r="X193" s="32"/>
      <c r="Z193" s="32"/>
      <c r="AA193" s="41"/>
      <c r="AB193" s="41"/>
      <c r="AD193" s="32"/>
      <c r="AE193" s="41"/>
    </row>
    <row r="194" spans="1:31" s="30" customFormat="1" x14ac:dyDescent="0.25">
      <c r="A194" s="36"/>
      <c r="B194" s="31"/>
      <c r="C194" s="31"/>
      <c r="D194" s="32"/>
      <c r="H194" s="32"/>
      <c r="J194" s="32"/>
      <c r="K194" s="41"/>
      <c r="L194" s="32"/>
      <c r="N194" s="32"/>
      <c r="O194" s="41"/>
      <c r="P194" s="32"/>
      <c r="R194" s="32"/>
      <c r="S194" s="41"/>
      <c r="T194" s="32"/>
      <c r="V194" s="32"/>
      <c r="W194" s="41"/>
      <c r="X194" s="32"/>
      <c r="Z194" s="32"/>
      <c r="AA194" s="41"/>
      <c r="AB194" s="41"/>
      <c r="AD194" s="32"/>
      <c r="AE194" s="41"/>
    </row>
    <row r="195" spans="1:31" s="30" customFormat="1" x14ac:dyDescent="0.25">
      <c r="A195" s="36"/>
      <c r="B195" s="31"/>
      <c r="C195" s="31"/>
      <c r="D195" s="32"/>
      <c r="H195" s="32"/>
      <c r="J195" s="32"/>
      <c r="K195" s="41"/>
      <c r="L195" s="32"/>
      <c r="N195" s="32"/>
      <c r="O195" s="41"/>
      <c r="P195" s="32"/>
      <c r="R195" s="32"/>
      <c r="S195" s="41"/>
      <c r="T195" s="32"/>
      <c r="V195" s="32"/>
      <c r="W195" s="41"/>
      <c r="X195" s="32"/>
      <c r="Z195" s="32"/>
      <c r="AA195" s="41"/>
      <c r="AB195" s="41"/>
      <c r="AD195" s="32"/>
      <c r="AE195" s="41"/>
    </row>
    <row r="196" spans="1:31" s="30" customFormat="1" x14ac:dyDescent="0.25">
      <c r="A196" s="36"/>
      <c r="B196" s="31"/>
      <c r="C196" s="31"/>
      <c r="D196" s="32"/>
      <c r="H196" s="32"/>
      <c r="J196" s="32"/>
      <c r="K196" s="41"/>
      <c r="L196" s="32"/>
      <c r="N196" s="32"/>
      <c r="O196" s="41"/>
      <c r="P196" s="32"/>
      <c r="R196" s="32"/>
      <c r="S196" s="41"/>
      <c r="T196" s="32"/>
      <c r="V196" s="32"/>
      <c r="W196" s="41"/>
      <c r="X196" s="32"/>
      <c r="Z196" s="32"/>
      <c r="AA196" s="41"/>
      <c r="AB196" s="41"/>
      <c r="AD196" s="32"/>
      <c r="AE196" s="41"/>
    </row>
    <row r="197" spans="1:31" s="30" customFormat="1" x14ac:dyDescent="0.25">
      <c r="A197" s="36"/>
      <c r="B197" s="31"/>
      <c r="C197" s="31"/>
      <c r="D197" s="32"/>
      <c r="H197" s="32"/>
      <c r="J197" s="32"/>
      <c r="K197" s="41"/>
      <c r="L197" s="32"/>
      <c r="N197" s="32"/>
      <c r="O197" s="41"/>
      <c r="P197" s="32"/>
      <c r="R197" s="32"/>
      <c r="S197" s="41"/>
      <c r="T197" s="32"/>
      <c r="V197" s="32"/>
      <c r="W197" s="41"/>
      <c r="X197" s="32"/>
      <c r="Z197" s="32"/>
      <c r="AA197" s="41"/>
      <c r="AB197" s="41"/>
      <c r="AD197" s="32"/>
      <c r="AE197" s="41"/>
    </row>
    <row r="198" spans="1:31" s="30" customFormat="1" x14ac:dyDescent="0.25">
      <c r="A198" s="36"/>
      <c r="B198" s="31"/>
      <c r="C198" s="31"/>
      <c r="D198" s="32"/>
      <c r="H198" s="32"/>
      <c r="J198" s="32"/>
      <c r="K198" s="41"/>
      <c r="L198" s="32"/>
      <c r="N198" s="32"/>
      <c r="O198" s="41"/>
      <c r="P198" s="32"/>
      <c r="R198" s="32"/>
      <c r="S198" s="41"/>
      <c r="T198" s="32"/>
      <c r="V198" s="32"/>
      <c r="W198" s="41"/>
      <c r="X198" s="32"/>
      <c r="Z198" s="32"/>
      <c r="AA198" s="41"/>
      <c r="AB198" s="41"/>
      <c r="AD198" s="32"/>
      <c r="AE198" s="41"/>
    </row>
    <row r="199" spans="1:31" s="30" customFormat="1" x14ac:dyDescent="0.25">
      <c r="A199" s="36"/>
      <c r="B199" s="31"/>
      <c r="C199" s="31"/>
      <c r="D199" s="32"/>
      <c r="H199" s="32"/>
      <c r="J199" s="32"/>
      <c r="K199" s="41"/>
      <c r="L199" s="32"/>
      <c r="N199" s="32"/>
      <c r="O199" s="41"/>
      <c r="P199" s="32"/>
      <c r="R199" s="32"/>
      <c r="S199" s="41"/>
      <c r="T199" s="32"/>
      <c r="V199" s="32"/>
      <c r="W199" s="41"/>
      <c r="X199" s="32"/>
      <c r="Z199" s="32"/>
      <c r="AA199" s="41"/>
      <c r="AB199" s="41"/>
      <c r="AD199" s="32"/>
      <c r="AE199" s="41"/>
    </row>
    <row r="200" spans="1:31" s="30" customFormat="1" x14ac:dyDescent="0.25">
      <c r="A200" s="36"/>
      <c r="B200" s="31"/>
      <c r="C200" s="31"/>
      <c r="D200" s="32"/>
      <c r="H200" s="32"/>
      <c r="J200" s="32"/>
      <c r="K200" s="41"/>
      <c r="L200" s="32"/>
      <c r="N200" s="32"/>
      <c r="O200" s="41"/>
      <c r="P200" s="32"/>
      <c r="R200" s="32"/>
      <c r="S200" s="41"/>
      <c r="T200" s="32"/>
      <c r="V200" s="32"/>
      <c r="W200" s="41"/>
      <c r="X200" s="32"/>
      <c r="Z200" s="32"/>
      <c r="AA200" s="41"/>
      <c r="AB200" s="41"/>
      <c r="AD200" s="32"/>
      <c r="AE200" s="41"/>
    </row>
    <row r="201" spans="1:31" s="30" customFormat="1" x14ac:dyDescent="0.25">
      <c r="A201" s="36"/>
      <c r="B201" s="31"/>
      <c r="C201" s="31"/>
      <c r="D201" s="32"/>
      <c r="H201" s="32"/>
      <c r="J201" s="32"/>
      <c r="K201" s="41"/>
      <c r="L201" s="32"/>
      <c r="N201" s="32"/>
      <c r="O201" s="41"/>
      <c r="P201" s="32"/>
      <c r="R201" s="32"/>
      <c r="S201" s="41"/>
      <c r="T201" s="32"/>
      <c r="V201" s="32"/>
      <c r="W201" s="41"/>
      <c r="X201" s="32"/>
      <c r="Z201" s="32"/>
      <c r="AA201" s="41"/>
      <c r="AB201" s="41"/>
      <c r="AD201" s="32"/>
      <c r="AE201" s="41"/>
    </row>
    <row r="202" spans="1:31" s="30" customFormat="1" x14ac:dyDescent="0.25">
      <c r="A202" s="36"/>
      <c r="B202" s="31"/>
      <c r="C202" s="31"/>
      <c r="D202" s="32"/>
      <c r="H202" s="32"/>
      <c r="J202" s="32"/>
      <c r="K202" s="41"/>
      <c r="L202" s="32"/>
      <c r="N202" s="32"/>
      <c r="O202" s="41"/>
      <c r="P202" s="32"/>
      <c r="R202" s="32"/>
      <c r="S202" s="41"/>
      <c r="T202" s="32"/>
      <c r="V202" s="32"/>
      <c r="W202" s="41"/>
      <c r="X202" s="32"/>
      <c r="Z202" s="32"/>
      <c r="AA202" s="41"/>
      <c r="AB202" s="41"/>
      <c r="AD202" s="32"/>
      <c r="AE202" s="41"/>
    </row>
    <row r="203" spans="1:31" s="30" customFormat="1" x14ac:dyDescent="0.25">
      <c r="A203" s="36"/>
      <c r="B203" s="31"/>
      <c r="C203" s="31"/>
      <c r="D203" s="32"/>
      <c r="H203" s="32"/>
      <c r="J203" s="32"/>
      <c r="K203" s="41"/>
      <c r="L203" s="32"/>
      <c r="N203" s="32"/>
      <c r="O203" s="41"/>
      <c r="P203" s="32"/>
      <c r="R203" s="32"/>
      <c r="S203" s="41"/>
      <c r="T203" s="32"/>
      <c r="V203" s="32"/>
      <c r="W203" s="41"/>
      <c r="X203" s="32"/>
      <c r="Z203" s="32"/>
      <c r="AA203" s="41"/>
      <c r="AB203" s="41"/>
      <c r="AD203" s="32"/>
      <c r="AE203" s="41"/>
    </row>
    <row r="204" spans="1:31" s="30" customFormat="1" x14ac:dyDescent="0.25">
      <c r="A204" s="36"/>
      <c r="B204" s="31"/>
      <c r="C204" s="31"/>
      <c r="D204" s="32"/>
      <c r="H204" s="32"/>
      <c r="J204" s="32"/>
      <c r="K204" s="41"/>
      <c r="L204" s="32"/>
      <c r="N204" s="32"/>
      <c r="O204" s="41"/>
      <c r="P204" s="32"/>
      <c r="R204" s="32"/>
      <c r="S204" s="41"/>
      <c r="T204" s="32"/>
      <c r="V204" s="32"/>
      <c r="W204" s="41"/>
      <c r="X204" s="32"/>
      <c r="Z204" s="32"/>
      <c r="AA204" s="41"/>
      <c r="AB204" s="41"/>
      <c r="AD204" s="32"/>
      <c r="AE204" s="41"/>
    </row>
    <row r="205" spans="1:31" s="30" customFormat="1" x14ac:dyDescent="0.25">
      <c r="A205" s="36"/>
      <c r="B205" s="31"/>
      <c r="C205" s="31"/>
      <c r="D205" s="32"/>
      <c r="H205" s="32"/>
      <c r="J205" s="32"/>
      <c r="K205" s="41"/>
      <c r="L205" s="32"/>
      <c r="N205" s="32"/>
      <c r="O205" s="41"/>
      <c r="P205" s="32"/>
      <c r="R205" s="32"/>
      <c r="S205" s="41"/>
      <c r="T205" s="32"/>
      <c r="V205" s="32"/>
      <c r="W205" s="41"/>
      <c r="X205" s="32"/>
      <c r="Z205" s="32"/>
      <c r="AA205" s="41"/>
      <c r="AB205" s="41"/>
      <c r="AD205" s="32"/>
      <c r="AE205" s="41"/>
    </row>
    <row r="206" spans="1:31" s="30" customFormat="1" x14ac:dyDescent="0.25">
      <c r="A206" s="36"/>
      <c r="B206" s="31"/>
      <c r="C206" s="31"/>
      <c r="D206" s="32"/>
      <c r="H206" s="32"/>
      <c r="J206" s="32"/>
      <c r="K206" s="41"/>
      <c r="L206" s="32"/>
      <c r="N206" s="32"/>
      <c r="O206" s="41"/>
      <c r="P206" s="32"/>
      <c r="R206" s="32"/>
      <c r="S206" s="41"/>
      <c r="T206" s="32"/>
      <c r="V206" s="32"/>
      <c r="W206" s="41"/>
      <c r="X206" s="32"/>
      <c r="Z206" s="32"/>
      <c r="AA206" s="41"/>
      <c r="AB206" s="41"/>
      <c r="AD206" s="32"/>
      <c r="AE206" s="41"/>
    </row>
    <row r="207" spans="1:31" s="30" customFormat="1" x14ac:dyDescent="0.25">
      <c r="A207" s="36"/>
      <c r="B207" s="31"/>
      <c r="C207" s="31"/>
      <c r="D207" s="32"/>
      <c r="H207" s="32"/>
      <c r="J207" s="32"/>
      <c r="K207" s="41"/>
      <c r="L207" s="32"/>
      <c r="N207" s="32"/>
      <c r="O207" s="41"/>
      <c r="P207" s="32"/>
      <c r="R207" s="32"/>
      <c r="S207" s="41"/>
      <c r="T207" s="32"/>
      <c r="V207" s="32"/>
      <c r="W207" s="41"/>
      <c r="X207" s="32"/>
      <c r="Z207" s="32"/>
      <c r="AA207" s="41"/>
      <c r="AB207" s="41"/>
      <c r="AD207" s="32"/>
      <c r="AE207" s="41"/>
    </row>
    <row r="208" spans="1:31" s="30" customFormat="1" x14ac:dyDescent="0.25">
      <c r="A208" s="36"/>
      <c r="B208" s="31"/>
      <c r="C208" s="31"/>
      <c r="D208" s="32"/>
      <c r="H208" s="32"/>
      <c r="J208" s="32"/>
      <c r="K208" s="41"/>
      <c r="L208" s="32"/>
      <c r="N208" s="32"/>
      <c r="O208" s="41"/>
      <c r="P208" s="32"/>
      <c r="R208" s="32"/>
      <c r="S208" s="41"/>
      <c r="T208" s="32"/>
      <c r="V208" s="32"/>
      <c r="W208" s="41"/>
      <c r="X208" s="32"/>
      <c r="Z208" s="32"/>
      <c r="AA208" s="41"/>
      <c r="AB208" s="41"/>
      <c r="AD208" s="32"/>
      <c r="AE208" s="41"/>
    </row>
    <row r="209" spans="1:31" s="30" customFormat="1" x14ac:dyDescent="0.25">
      <c r="A209" s="36"/>
      <c r="B209" s="31"/>
      <c r="C209" s="31"/>
      <c r="D209" s="32"/>
      <c r="H209" s="32"/>
      <c r="J209" s="32"/>
      <c r="K209" s="41"/>
      <c r="L209" s="32"/>
      <c r="N209" s="32"/>
      <c r="O209" s="41"/>
      <c r="P209" s="32"/>
      <c r="R209" s="32"/>
      <c r="S209" s="41"/>
      <c r="T209" s="32"/>
      <c r="V209" s="32"/>
      <c r="W209" s="41"/>
      <c r="X209" s="32"/>
      <c r="Z209" s="32"/>
      <c r="AA209" s="41"/>
      <c r="AB209" s="41"/>
      <c r="AD209" s="32"/>
      <c r="AE209" s="41"/>
    </row>
    <row r="210" spans="1:31" s="30" customFormat="1" x14ac:dyDescent="0.25">
      <c r="A210" s="36"/>
      <c r="B210" s="31"/>
      <c r="C210" s="31"/>
      <c r="D210" s="32"/>
      <c r="H210" s="32"/>
      <c r="J210" s="32"/>
      <c r="K210" s="41"/>
      <c r="L210" s="32"/>
      <c r="N210" s="32"/>
      <c r="O210" s="41"/>
      <c r="P210" s="32"/>
      <c r="R210" s="32"/>
      <c r="S210" s="41"/>
      <c r="T210" s="32"/>
      <c r="V210" s="32"/>
      <c r="W210" s="41"/>
      <c r="X210" s="32"/>
      <c r="Z210" s="32"/>
      <c r="AA210" s="41"/>
      <c r="AB210" s="41"/>
      <c r="AD210" s="32"/>
      <c r="AE210" s="41"/>
    </row>
    <row r="211" spans="1:31" s="30" customFormat="1" x14ac:dyDescent="0.25">
      <c r="A211" s="36"/>
      <c r="B211" s="31"/>
      <c r="C211" s="31"/>
      <c r="D211" s="32"/>
      <c r="H211" s="32"/>
      <c r="J211" s="32"/>
      <c r="K211" s="41"/>
      <c r="L211" s="32"/>
      <c r="N211" s="32"/>
      <c r="O211" s="41"/>
      <c r="P211" s="32"/>
      <c r="R211" s="32"/>
      <c r="S211" s="41"/>
      <c r="T211" s="32"/>
      <c r="V211" s="32"/>
      <c r="W211" s="41"/>
      <c r="X211" s="32"/>
      <c r="Z211" s="32"/>
      <c r="AA211" s="41"/>
      <c r="AB211" s="41"/>
      <c r="AD211" s="32"/>
      <c r="AE211" s="41"/>
    </row>
    <row r="212" spans="1:31" s="30" customFormat="1" x14ac:dyDescent="0.25">
      <c r="A212" s="36"/>
      <c r="B212" s="31"/>
      <c r="C212" s="31"/>
      <c r="D212" s="32"/>
      <c r="H212" s="32"/>
      <c r="J212" s="32"/>
      <c r="K212" s="41"/>
      <c r="L212" s="32"/>
      <c r="N212" s="32"/>
      <c r="O212" s="41"/>
      <c r="P212" s="32"/>
      <c r="R212" s="32"/>
      <c r="S212" s="41"/>
      <c r="T212" s="32"/>
      <c r="V212" s="32"/>
      <c r="W212" s="41"/>
      <c r="X212" s="32"/>
      <c r="Z212" s="32"/>
      <c r="AA212" s="41"/>
      <c r="AB212" s="41"/>
      <c r="AD212" s="32"/>
      <c r="AE212" s="41"/>
    </row>
    <row r="213" spans="1:31" s="30" customFormat="1" x14ac:dyDescent="0.25">
      <c r="A213" s="36"/>
      <c r="B213" s="31"/>
      <c r="C213" s="31"/>
      <c r="D213" s="32"/>
      <c r="H213" s="32"/>
      <c r="J213" s="32"/>
      <c r="K213" s="41"/>
      <c r="L213" s="32"/>
      <c r="N213" s="32"/>
      <c r="O213" s="41"/>
      <c r="P213" s="32"/>
      <c r="R213" s="32"/>
      <c r="S213" s="41"/>
      <c r="T213" s="32"/>
      <c r="V213" s="32"/>
      <c r="W213" s="41"/>
      <c r="X213" s="32"/>
      <c r="Z213" s="32"/>
      <c r="AA213" s="41"/>
      <c r="AB213" s="41"/>
      <c r="AD213" s="32"/>
      <c r="AE213" s="41"/>
    </row>
    <row r="214" spans="1:31" s="30" customFormat="1" x14ac:dyDescent="0.25">
      <c r="A214" s="36"/>
      <c r="B214" s="31"/>
      <c r="C214" s="31"/>
      <c r="D214" s="32"/>
      <c r="H214" s="32"/>
      <c r="J214" s="32"/>
      <c r="K214" s="41"/>
      <c r="L214" s="32"/>
      <c r="N214" s="32"/>
      <c r="O214" s="41"/>
      <c r="P214" s="32"/>
      <c r="R214" s="32"/>
      <c r="S214" s="41"/>
      <c r="T214" s="32"/>
      <c r="V214" s="32"/>
      <c r="W214" s="41"/>
      <c r="X214" s="32"/>
      <c r="Z214" s="32"/>
      <c r="AA214" s="41"/>
      <c r="AB214" s="41"/>
      <c r="AD214" s="32"/>
      <c r="AE214" s="41"/>
    </row>
    <row r="215" spans="1:31" s="30" customFormat="1" x14ac:dyDescent="0.25">
      <c r="A215" s="36"/>
      <c r="B215" s="31"/>
      <c r="C215" s="31"/>
      <c r="D215" s="32"/>
      <c r="H215" s="32"/>
      <c r="J215" s="32"/>
      <c r="K215" s="41"/>
      <c r="L215" s="32"/>
      <c r="N215" s="32"/>
      <c r="O215" s="41"/>
      <c r="P215" s="32"/>
      <c r="R215" s="32"/>
      <c r="S215" s="41"/>
      <c r="T215" s="32"/>
      <c r="V215" s="32"/>
      <c r="W215" s="41"/>
      <c r="X215" s="32"/>
      <c r="Z215" s="32"/>
      <c r="AA215" s="41"/>
      <c r="AB215" s="41"/>
      <c r="AD215" s="32"/>
      <c r="AE215" s="41"/>
    </row>
    <row r="216" spans="1:31" s="30" customFormat="1" x14ac:dyDescent="0.25">
      <c r="A216" s="36"/>
      <c r="B216" s="31"/>
      <c r="C216" s="31"/>
      <c r="D216" s="32"/>
      <c r="H216" s="32"/>
      <c r="J216" s="32"/>
      <c r="K216" s="41"/>
      <c r="L216" s="32"/>
      <c r="N216" s="32"/>
      <c r="O216" s="41"/>
      <c r="P216" s="32"/>
      <c r="R216" s="32"/>
      <c r="S216" s="41"/>
      <c r="T216" s="32"/>
      <c r="V216" s="32"/>
      <c r="W216" s="41"/>
      <c r="X216" s="32"/>
      <c r="Z216" s="32"/>
      <c r="AA216" s="41"/>
      <c r="AB216" s="41"/>
      <c r="AD216" s="32"/>
      <c r="AE216" s="41"/>
    </row>
    <row r="217" spans="1:31" s="30" customFormat="1" x14ac:dyDescent="0.25">
      <c r="A217" s="36"/>
      <c r="B217" s="31"/>
      <c r="C217" s="31"/>
      <c r="D217" s="32"/>
      <c r="H217" s="32"/>
      <c r="J217" s="32"/>
      <c r="K217" s="41"/>
      <c r="L217" s="32"/>
      <c r="N217" s="32"/>
      <c r="O217" s="41"/>
      <c r="P217" s="32"/>
      <c r="R217" s="32"/>
      <c r="S217" s="41"/>
      <c r="T217" s="32"/>
      <c r="V217" s="32"/>
      <c r="W217" s="41"/>
      <c r="X217" s="32"/>
      <c r="Z217" s="32"/>
      <c r="AA217" s="41"/>
      <c r="AB217" s="41"/>
      <c r="AD217" s="32"/>
      <c r="AE217" s="41"/>
    </row>
    <row r="218" spans="1:31" s="30" customFormat="1" x14ac:dyDescent="0.25">
      <c r="A218" s="36"/>
      <c r="B218" s="31"/>
      <c r="C218" s="31"/>
      <c r="D218" s="32"/>
      <c r="H218" s="32"/>
      <c r="J218" s="32"/>
      <c r="K218" s="41"/>
      <c r="L218" s="32"/>
      <c r="N218" s="32"/>
      <c r="O218" s="41"/>
      <c r="P218" s="32"/>
      <c r="R218" s="32"/>
      <c r="S218" s="41"/>
      <c r="T218" s="32"/>
      <c r="V218" s="32"/>
      <c r="W218" s="41"/>
      <c r="X218" s="32"/>
      <c r="Z218" s="32"/>
      <c r="AA218" s="41"/>
      <c r="AB218" s="41"/>
      <c r="AD218" s="32"/>
      <c r="AE218" s="41"/>
    </row>
    <row r="219" spans="1:31" s="30" customFormat="1" x14ac:dyDescent="0.25">
      <c r="A219" s="36"/>
      <c r="B219" s="31"/>
      <c r="C219" s="31"/>
      <c r="D219" s="32"/>
      <c r="H219" s="32"/>
      <c r="J219" s="32"/>
      <c r="K219" s="41"/>
      <c r="L219" s="32"/>
      <c r="N219" s="32"/>
      <c r="O219" s="41"/>
      <c r="P219" s="32"/>
      <c r="R219" s="32"/>
      <c r="S219" s="41"/>
      <c r="T219" s="32"/>
      <c r="V219" s="32"/>
      <c r="W219" s="41"/>
      <c r="X219" s="32"/>
      <c r="Z219" s="32"/>
      <c r="AA219" s="41"/>
      <c r="AB219" s="41"/>
      <c r="AD219" s="32"/>
      <c r="AE219" s="41"/>
    </row>
    <row r="220" spans="1:31" s="30" customFormat="1" x14ac:dyDescent="0.25">
      <c r="A220" s="36"/>
      <c r="B220" s="31"/>
      <c r="C220" s="31"/>
      <c r="D220" s="32"/>
      <c r="H220" s="32"/>
      <c r="J220" s="32"/>
      <c r="K220" s="41"/>
      <c r="L220" s="32"/>
      <c r="N220" s="32"/>
      <c r="O220" s="41"/>
      <c r="P220" s="32"/>
      <c r="R220" s="32"/>
      <c r="S220" s="41"/>
      <c r="T220" s="32"/>
      <c r="V220" s="32"/>
      <c r="W220" s="41"/>
      <c r="X220" s="32"/>
      <c r="Z220" s="32"/>
      <c r="AA220" s="41"/>
      <c r="AB220" s="41"/>
      <c r="AD220" s="32"/>
      <c r="AE220" s="41"/>
    </row>
    <row r="221" spans="1:31" s="30" customFormat="1" x14ac:dyDescent="0.25">
      <c r="A221" s="36"/>
      <c r="B221" s="31"/>
      <c r="C221" s="31"/>
      <c r="D221" s="32"/>
      <c r="H221" s="32"/>
      <c r="J221" s="32"/>
      <c r="K221" s="41"/>
      <c r="L221" s="32"/>
      <c r="N221" s="32"/>
      <c r="O221" s="41"/>
      <c r="P221" s="32"/>
      <c r="R221" s="32"/>
      <c r="S221" s="41"/>
      <c r="T221" s="32"/>
      <c r="V221" s="32"/>
      <c r="W221" s="41"/>
      <c r="X221" s="32"/>
      <c r="Z221" s="32"/>
      <c r="AA221" s="41"/>
      <c r="AB221" s="41"/>
      <c r="AD221" s="32"/>
      <c r="AE221" s="41"/>
    </row>
    <row r="222" spans="1:31" s="30" customFormat="1" x14ac:dyDescent="0.25">
      <c r="A222" s="36"/>
      <c r="B222" s="31"/>
      <c r="C222" s="31"/>
      <c r="D222" s="32"/>
      <c r="H222" s="32"/>
      <c r="J222" s="32"/>
      <c r="K222" s="41"/>
      <c r="L222" s="32"/>
      <c r="N222" s="32"/>
      <c r="O222" s="41"/>
      <c r="P222" s="32"/>
      <c r="R222" s="32"/>
      <c r="S222" s="41"/>
      <c r="T222" s="32"/>
      <c r="V222" s="32"/>
      <c r="W222" s="41"/>
      <c r="X222" s="32"/>
      <c r="Z222" s="32"/>
      <c r="AA222" s="41"/>
      <c r="AB222" s="41"/>
      <c r="AD222" s="32"/>
      <c r="AE222" s="41"/>
    </row>
    <row r="223" spans="1:31" s="30" customFormat="1" x14ac:dyDescent="0.25">
      <c r="A223" s="36"/>
      <c r="B223" s="31"/>
      <c r="C223" s="31"/>
      <c r="D223" s="32"/>
      <c r="H223" s="32"/>
      <c r="J223" s="32"/>
      <c r="K223" s="41"/>
      <c r="L223" s="32"/>
      <c r="N223" s="32"/>
      <c r="O223" s="41"/>
      <c r="P223" s="32"/>
      <c r="R223" s="32"/>
      <c r="S223" s="41"/>
      <c r="T223" s="32"/>
      <c r="V223" s="32"/>
      <c r="W223" s="41"/>
      <c r="X223" s="32"/>
      <c r="Z223" s="32"/>
      <c r="AA223" s="41"/>
      <c r="AB223" s="41"/>
      <c r="AD223" s="32"/>
      <c r="AE223" s="41"/>
    </row>
    <row r="224" spans="1:31" s="30" customFormat="1" x14ac:dyDescent="0.25">
      <c r="A224" s="36"/>
      <c r="B224" s="31"/>
      <c r="C224" s="31"/>
      <c r="D224" s="32"/>
      <c r="H224" s="32"/>
      <c r="J224" s="32"/>
      <c r="K224" s="41"/>
      <c r="L224" s="32"/>
      <c r="N224" s="32"/>
      <c r="O224" s="41"/>
      <c r="P224" s="32"/>
      <c r="R224" s="32"/>
      <c r="S224" s="41"/>
      <c r="T224" s="32"/>
      <c r="V224" s="32"/>
      <c r="W224" s="41"/>
      <c r="X224" s="32"/>
      <c r="Z224" s="32"/>
      <c r="AA224" s="41"/>
      <c r="AB224" s="41"/>
      <c r="AD224" s="32"/>
      <c r="AE224" s="41"/>
    </row>
    <row r="225" spans="1:31" s="30" customFormat="1" x14ac:dyDescent="0.25">
      <c r="A225" s="36"/>
      <c r="B225" s="31"/>
      <c r="C225" s="31"/>
      <c r="D225" s="32"/>
      <c r="H225" s="32"/>
      <c r="J225" s="32"/>
      <c r="K225" s="41"/>
      <c r="L225" s="32"/>
      <c r="N225" s="32"/>
      <c r="O225" s="41"/>
      <c r="P225" s="32"/>
      <c r="R225" s="32"/>
      <c r="S225" s="41"/>
      <c r="T225" s="32"/>
      <c r="V225" s="32"/>
      <c r="W225" s="41"/>
      <c r="X225" s="32"/>
      <c r="Z225" s="32"/>
      <c r="AA225" s="41"/>
      <c r="AB225" s="41"/>
      <c r="AD225" s="32"/>
      <c r="AE225" s="41"/>
    </row>
    <row r="226" spans="1:31" s="30" customFormat="1" x14ac:dyDescent="0.25">
      <c r="A226" s="36"/>
      <c r="B226" s="31"/>
      <c r="C226" s="31"/>
      <c r="D226" s="32"/>
      <c r="H226" s="32"/>
      <c r="J226" s="32"/>
      <c r="K226" s="41"/>
      <c r="L226" s="32"/>
      <c r="N226" s="32"/>
      <c r="O226" s="41"/>
      <c r="P226" s="32"/>
      <c r="R226" s="32"/>
      <c r="S226" s="41"/>
      <c r="T226" s="32"/>
      <c r="V226" s="32"/>
      <c r="W226" s="41"/>
      <c r="X226" s="32"/>
      <c r="Z226" s="32"/>
      <c r="AA226" s="41"/>
      <c r="AB226" s="41"/>
      <c r="AD226" s="32"/>
      <c r="AE226" s="41"/>
    </row>
    <row r="227" spans="1:31" s="30" customFormat="1" x14ac:dyDescent="0.25">
      <c r="A227" s="36"/>
      <c r="B227" s="31"/>
      <c r="C227" s="31"/>
      <c r="D227" s="32"/>
      <c r="H227" s="32"/>
      <c r="J227" s="32"/>
      <c r="K227" s="41"/>
      <c r="L227" s="32"/>
      <c r="N227" s="32"/>
      <c r="O227" s="41"/>
      <c r="P227" s="32"/>
      <c r="R227" s="32"/>
      <c r="S227" s="41"/>
      <c r="T227" s="32"/>
      <c r="V227" s="32"/>
      <c r="W227" s="41"/>
      <c r="X227" s="32"/>
      <c r="Z227" s="32"/>
      <c r="AA227" s="41"/>
      <c r="AB227" s="41"/>
      <c r="AD227" s="32"/>
      <c r="AE227" s="41"/>
    </row>
    <row r="228" spans="1:31" s="30" customFormat="1" x14ac:dyDescent="0.25">
      <c r="A228" s="36"/>
      <c r="B228" s="31"/>
      <c r="C228" s="31"/>
      <c r="D228" s="32"/>
      <c r="H228" s="32"/>
      <c r="J228" s="32"/>
      <c r="K228" s="41"/>
      <c r="L228" s="32"/>
      <c r="N228" s="32"/>
      <c r="O228" s="41"/>
      <c r="P228" s="32"/>
      <c r="R228" s="32"/>
      <c r="S228" s="41"/>
      <c r="T228" s="32"/>
      <c r="V228" s="32"/>
      <c r="W228" s="41"/>
      <c r="X228" s="32"/>
      <c r="Z228" s="32"/>
      <c r="AA228" s="41"/>
      <c r="AB228" s="41"/>
      <c r="AD228" s="32"/>
      <c r="AE228" s="41"/>
    </row>
    <row r="229" spans="1:31" s="30" customFormat="1" x14ac:dyDescent="0.25">
      <c r="A229" s="36"/>
      <c r="B229" s="31"/>
      <c r="C229" s="31"/>
      <c r="D229" s="32"/>
      <c r="H229" s="32"/>
      <c r="J229" s="32"/>
      <c r="K229" s="41"/>
      <c r="L229" s="32"/>
      <c r="N229" s="32"/>
      <c r="O229" s="41"/>
      <c r="P229" s="32"/>
      <c r="R229" s="32"/>
      <c r="S229" s="41"/>
      <c r="T229" s="32"/>
      <c r="V229" s="32"/>
      <c r="W229" s="41"/>
      <c r="X229" s="32"/>
      <c r="Z229" s="32"/>
      <c r="AA229" s="41"/>
      <c r="AB229" s="41"/>
      <c r="AD229" s="32"/>
      <c r="AE229" s="41"/>
    </row>
    <row r="230" spans="1:31" s="30" customFormat="1" x14ac:dyDescent="0.25">
      <c r="A230" s="36"/>
      <c r="B230" s="31"/>
      <c r="C230" s="31"/>
      <c r="D230" s="32"/>
      <c r="H230" s="32"/>
      <c r="J230" s="32"/>
      <c r="K230" s="41"/>
      <c r="L230" s="32"/>
      <c r="N230" s="32"/>
      <c r="O230" s="41"/>
      <c r="P230" s="32"/>
      <c r="R230" s="32"/>
      <c r="S230" s="41"/>
      <c r="T230" s="32"/>
      <c r="V230" s="32"/>
      <c r="W230" s="41"/>
      <c r="X230" s="32"/>
      <c r="Z230" s="32"/>
      <c r="AA230" s="41"/>
      <c r="AB230" s="41"/>
      <c r="AD230" s="32"/>
      <c r="AE230" s="41"/>
    </row>
    <row r="231" spans="1:31" s="30" customFormat="1" x14ac:dyDescent="0.25">
      <c r="A231" s="36"/>
      <c r="B231" s="31"/>
      <c r="C231" s="31"/>
      <c r="D231" s="32"/>
      <c r="H231" s="32"/>
      <c r="J231" s="32"/>
      <c r="K231" s="41"/>
      <c r="L231" s="32"/>
      <c r="N231" s="32"/>
      <c r="O231" s="41"/>
      <c r="P231" s="32"/>
      <c r="R231" s="32"/>
      <c r="S231" s="41"/>
      <c r="T231" s="32"/>
      <c r="V231" s="32"/>
      <c r="W231" s="41"/>
      <c r="X231" s="32"/>
      <c r="Z231" s="32"/>
      <c r="AA231" s="41"/>
      <c r="AB231" s="41"/>
      <c r="AD231" s="32"/>
      <c r="AE231" s="41"/>
    </row>
    <row r="232" spans="1:31" s="30" customFormat="1" x14ac:dyDescent="0.25">
      <c r="A232" s="36"/>
      <c r="B232" s="31"/>
      <c r="C232" s="31"/>
      <c r="D232" s="32"/>
      <c r="H232" s="32"/>
      <c r="J232" s="32"/>
      <c r="K232" s="41"/>
      <c r="L232" s="32"/>
      <c r="N232" s="32"/>
      <c r="O232" s="41"/>
      <c r="P232" s="32"/>
      <c r="R232" s="32"/>
      <c r="S232" s="41"/>
      <c r="T232" s="32"/>
      <c r="V232" s="32"/>
      <c r="W232" s="41"/>
      <c r="X232" s="32"/>
      <c r="Z232" s="32"/>
      <c r="AA232" s="41"/>
      <c r="AB232" s="41"/>
      <c r="AD232" s="32"/>
      <c r="AE232" s="41"/>
    </row>
    <row r="233" spans="1:31" s="30" customFormat="1" x14ac:dyDescent="0.25">
      <c r="A233" s="36"/>
      <c r="B233" s="31"/>
      <c r="C233" s="31"/>
      <c r="D233" s="32"/>
      <c r="H233" s="32"/>
      <c r="J233" s="32"/>
      <c r="K233" s="41"/>
      <c r="L233" s="32"/>
      <c r="N233" s="32"/>
      <c r="O233" s="41"/>
      <c r="P233" s="32"/>
      <c r="R233" s="32"/>
      <c r="S233" s="41"/>
      <c r="T233" s="32"/>
      <c r="V233" s="32"/>
      <c r="W233" s="41"/>
      <c r="X233" s="32"/>
      <c r="Z233" s="32"/>
      <c r="AA233" s="41"/>
      <c r="AB233" s="41"/>
      <c r="AD233" s="32"/>
      <c r="AE233" s="41"/>
    </row>
    <row r="234" spans="1:31" s="30" customFormat="1" x14ac:dyDescent="0.25">
      <c r="A234" s="36"/>
      <c r="B234" s="31"/>
      <c r="C234" s="31"/>
      <c r="D234" s="32"/>
      <c r="H234" s="32"/>
      <c r="J234" s="32"/>
      <c r="K234" s="41"/>
      <c r="L234" s="32"/>
      <c r="N234" s="32"/>
      <c r="O234" s="41"/>
      <c r="P234" s="32"/>
      <c r="R234" s="32"/>
      <c r="S234" s="41"/>
      <c r="T234" s="32"/>
      <c r="V234" s="32"/>
      <c r="W234" s="41"/>
      <c r="X234" s="32"/>
      <c r="Z234" s="32"/>
      <c r="AA234" s="41"/>
      <c r="AB234" s="41"/>
      <c r="AD234" s="32"/>
      <c r="AE234" s="41"/>
    </row>
    <row r="235" spans="1:31" s="30" customFormat="1" x14ac:dyDescent="0.25">
      <c r="A235" s="36"/>
      <c r="B235" s="31"/>
      <c r="C235" s="31"/>
      <c r="D235" s="32"/>
      <c r="H235" s="32"/>
      <c r="J235" s="32"/>
      <c r="K235" s="41"/>
      <c r="L235" s="32"/>
      <c r="N235" s="32"/>
      <c r="O235" s="41"/>
      <c r="P235" s="32"/>
      <c r="R235" s="32"/>
      <c r="S235" s="41"/>
      <c r="T235" s="32"/>
      <c r="V235" s="32"/>
      <c r="W235" s="41"/>
      <c r="X235" s="32"/>
      <c r="Z235" s="32"/>
      <c r="AA235" s="41"/>
      <c r="AB235" s="41"/>
      <c r="AD235" s="32"/>
      <c r="AE235" s="41"/>
    </row>
    <row r="236" spans="1:31" s="30" customFormat="1" x14ac:dyDescent="0.25">
      <c r="A236" s="36"/>
      <c r="B236" s="31"/>
      <c r="C236" s="31"/>
      <c r="D236" s="32"/>
      <c r="H236" s="32"/>
      <c r="J236" s="32"/>
      <c r="K236" s="41"/>
      <c r="L236" s="32"/>
      <c r="N236" s="32"/>
      <c r="O236" s="41"/>
      <c r="P236" s="32"/>
      <c r="R236" s="32"/>
      <c r="S236" s="41"/>
      <c r="T236" s="32"/>
      <c r="V236" s="32"/>
      <c r="W236" s="41"/>
      <c r="X236" s="32"/>
      <c r="Z236" s="32"/>
      <c r="AA236" s="41"/>
      <c r="AB236" s="41"/>
      <c r="AD236" s="32"/>
      <c r="AE236" s="41"/>
    </row>
    <row r="237" spans="1:31" s="30" customFormat="1" x14ac:dyDescent="0.25">
      <c r="A237" s="36"/>
      <c r="B237" s="31"/>
      <c r="C237" s="31"/>
      <c r="D237" s="32"/>
      <c r="H237" s="32"/>
      <c r="J237" s="32"/>
      <c r="K237" s="41"/>
      <c r="L237" s="32"/>
      <c r="N237" s="32"/>
      <c r="O237" s="41"/>
      <c r="P237" s="32"/>
      <c r="R237" s="32"/>
      <c r="S237" s="41"/>
      <c r="T237" s="32"/>
      <c r="V237" s="32"/>
      <c r="W237" s="41"/>
      <c r="X237" s="32"/>
      <c r="Z237" s="32"/>
      <c r="AA237" s="41"/>
      <c r="AB237" s="41"/>
      <c r="AD237" s="32"/>
      <c r="AE237" s="41"/>
    </row>
    <row r="238" spans="1:31" s="30" customFormat="1" x14ac:dyDescent="0.25">
      <c r="A238" s="36"/>
      <c r="B238" s="31"/>
      <c r="C238" s="31"/>
      <c r="D238" s="32"/>
      <c r="H238" s="32"/>
      <c r="J238" s="32"/>
      <c r="K238" s="41"/>
      <c r="L238" s="32"/>
      <c r="N238" s="32"/>
      <c r="O238" s="41"/>
      <c r="P238" s="32"/>
      <c r="R238" s="32"/>
      <c r="S238" s="41"/>
      <c r="T238" s="32"/>
      <c r="V238" s="32"/>
      <c r="W238" s="41"/>
      <c r="X238" s="32"/>
      <c r="Z238" s="32"/>
      <c r="AA238" s="41"/>
      <c r="AB238" s="41"/>
      <c r="AD238" s="32"/>
      <c r="AE238" s="41"/>
    </row>
    <row r="239" spans="1:31" s="30" customFormat="1" x14ac:dyDescent="0.25">
      <c r="A239" s="36"/>
      <c r="B239" s="31"/>
      <c r="C239" s="31"/>
      <c r="D239" s="32"/>
      <c r="H239" s="32"/>
      <c r="J239" s="32"/>
      <c r="K239" s="41"/>
      <c r="L239" s="32"/>
      <c r="N239" s="32"/>
      <c r="O239" s="41"/>
      <c r="P239" s="32"/>
      <c r="R239" s="32"/>
      <c r="S239" s="41"/>
      <c r="T239" s="32"/>
      <c r="V239" s="32"/>
      <c r="W239" s="41"/>
      <c r="X239" s="32"/>
      <c r="Z239" s="32"/>
      <c r="AA239" s="41"/>
      <c r="AB239" s="41"/>
      <c r="AD239" s="32"/>
      <c r="AE239" s="41"/>
    </row>
    <row r="240" spans="1:31" s="30" customFormat="1" x14ac:dyDescent="0.25">
      <c r="A240" s="36"/>
      <c r="B240" s="31"/>
      <c r="C240" s="31"/>
      <c r="D240" s="32"/>
      <c r="H240" s="32"/>
      <c r="J240" s="32"/>
      <c r="K240" s="41"/>
      <c r="L240" s="32"/>
      <c r="N240" s="32"/>
      <c r="O240" s="41"/>
      <c r="P240" s="32"/>
      <c r="R240" s="32"/>
      <c r="S240" s="41"/>
      <c r="T240" s="32"/>
      <c r="V240" s="32"/>
      <c r="W240" s="41"/>
      <c r="X240" s="32"/>
      <c r="Z240" s="32"/>
      <c r="AA240" s="41"/>
      <c r="AB240" s="41"/>
      <c r="AD240" s="32"/>
      <c r="AE240" s="41"/>
    </row>
    <row r="241" spans="1:31" s="30" customFormat="1" x14ac:dyDescent="0.25">
      <c r="A241" s="36"/>
      <c r="B241" s="31"/>
      <c r="C241" s="31"/>
      <c r="D241" s="32"/>
      <c r="H241" s="32"/>
      <c r="J241" s="32"/>
      <c r="K241" s="41"/>
      <c r="L241" s="32"/>
      <c r="N241" s="32"/>
      <c r="O241" s="41"/>
      <c r="P241" s="32"/>
      <c r="R241" s="32"/>
      <c r="S241" s="41"/>
      <c r="T241" s="32"/>
      <c r="V241" s="32"/>
      <c r="W241" s="41"/>
      <c r="X241" s="32"/>
      <c r="Z241" s="32"/>
      <c r="AA241" s="41"/>
      <c r="AB241" s="41"/>
      <c r="AD241" s="32"/>
      <c r="AE241" s="41"/>
    </row>
    <row r="242" spans="1:31" s="30" customFormat="1" x14ac:dyDescent="0.25">
      <c r="A242" s="36"/>
      <c r="B242" s="31"/>
      <c r="C242" s="31"/>
      <c r="D242" s="32"/>
      <c r="H242" s="32"/>
      <c r="J242" s="32"/>
      <c r="K242" s="41"/>
      <c r="L242" s="32"/>
      <c r="N242" s="32"/>
      <c r="O242" s="41"/>
      <c r="P242" s="32"/>
      <c r="R242" s="32"/>
      <c r="S242" s="41"/>
      <c r="T242" s="32"/>
      <c r="V242" s="32"/>
      <c r="W242" s="41"/>
      <c r="X242" s="32"/>
      <c r="Z242" s="32"/>
      <c r="AA242" s="41"/>
      <c r="AB242" s="41"/>
      <c r="AD242" s="32"/>
      <c r="AE242" s="41"/>
    </row>
    <row r="243" spans="1:31" s="30" customFormat="1" x14ac:dyDescent="0.25">
      <c r="A243" s="36"/>
      <c r="B243" s="31"/>
      <c r="C243" s="31"/>
      <c r="D243" s="32"/>
      <c r="H243" s="32"/>
      <c r="J243" s="32"/>
      <c r="K243" s="41"/>
      <c r="L243" s="32"/>
      <c r="N243" s="32"/>
      <c r="O243" s="41"/>
      <c r="P243" s="32"/>
      <c r="R243" s="32"/>
      <c r="S243" s="41"/>
      <c r="T243" s="32"/>
      <c r="V243" s="32"/>
      <c r="W243" s="41"/>
      <c r="X243" s="32"/>
      <c r="Z243" s="32"/>
      <c r="AA243" s="41"/>
      <c r="AB243" s="41"/>
      <c r="AD243" s="32"/>
      <c r="AE243" s="41"/>
    </row>
    <row r="244" spans="1:31" s="30" customFormat="1" x14ac:dyDescent="0.25">
      <c r="A244" s="36"/>
      <c r="B244" s="31"/>
      <c r="C244" s="31"/>
      <c r="D244" s="32"/>
      <c r="H244" s="32"/>
      <c r="J244" s="32"/>
      <c r="K244" s="41"/>
      <c r="L244" s="32"/>
      <c r="N244" s="32"/>
      <c r="O244" s="41"/>
      <c r="P244" s="32"/>
      <c r="R244" s="32"/>
      <c r="S244" s="41"/>
      <c r="T244" s="32"/>
      <c r="V244" s="32"/>
      <c r="W244" s="41"/>
      <c r="X244" s="32"/>
      <c r="Z244" s="32"/>
      <c r="AA244" s="41"/>
      <c r="AB244" s="41"/>
      <c r="AD244" s="32"/>
      <c r="AE244" s="41"/>
    </row>
    <row r="245" spans="1:31" s="30" customFormat="1" x14ac:dyDescent="0.25">
      <c r="A245" s="36"/>
      <c r="B245" s="31"/>
      <c r="C245" s="31"/>
      <c r="D245" s="32"/>
      <c r="H245" s="32"/>
      <c r="J245" s="32"/>
      <c r="K245" s="41"/>
      <c r="L245" s="32"/>
      <c r="N245" s="32"/>
      <c r="O245" s="41"/>
      <c r="P245" s="32"/>
      <c r="R245" s="32"/>
      <c r="S245" s="41"/>
      <c r="T245" s="32"/>
      <c r="V245" s="32"/>
      <c r="W245" s="41"/>
      <c r="X245" s="32"/>
      <c r="Z245" s="32"/>
      <c r="AA245" s="41"/>
      <c r="AB245" s="41"/>
      <c r="AD245" s="32"/>
      <c r="AE245" s="41"/>
    </row>
    <row r="246" spans="1:31" s="30" customFormat="1" x14ac:dyDescent="0.25">
      <c r="A246" s="36"/>
      <c r="B246" s="31"/>
      <c r="C246" s="31"/>
      <c r="D246" s="32"/>
      <c r="H246" s="32"/>
      <c r="J246" s="32"/>
      <c r="K246" s="41"/>
      <c r="L246" s="32"/>
      <c r="N246" s="32"/>
      <c r="O246" s="41"/>
      <c r="P246" s="32"/>
      <c r="R246" s="32"/>
      <c r="S246" s="41"/>
      <c r="T246" s="32"/>
      <c r="V246" s="32"/>
      <c r="W246" s="41"/>
      <c r="X246" s="32"/>
      <c r="Z246" s="32"/>
      <c r="AA246" s="41"/>
      <c r="AB246" s="41"/>
      <c r="AD246" s="32"/>
      <c r="AE246" s="41"/>
    </row>
    <row r="247" spans="1:31" s="30" customFormat="1" x14ac:dyDescent="0.25">
      <c r="A247" s="36"/>
      <c r="B247" s="31"/>
      <c r="C247" s="31"/>
      <c r="D247" s="32"/>
      <c r="H247" s="32"/>
      <c r="J247" s="32"/>
      <c r="K247" s="41"/>
      <c r="L247" s="32"/>
      <c r="N247" s="32"/>
      <c r="O247" s="41"/>
      <c r="P247" s="32"/>
      <c r="R247" s="32"/>
      <c r="S247" s="41"/>
      <c r="T247" s="32"/>
      <c r="V247" s="32"/>
      <c r="W247" s="41"/>
      <c r="X247" s="32"/>
      <c r="Z247" s="32"/>
      <c r="AA247" s="41"/>
      <c r="AB247" s="41"/>
      <c r="AD247" s="32"/>
      <c r="AE247" s="41"/>
    </row>
    <row r="248" spans="1:31" s="30" customFormat="1" x14ac:dyDescent="0.25">
      <c r="A248" s="36"/>
      <c r="B248" s="31"/>
      <c r="C248" s="31"/>
      <c r="D248" s="32"/>
      <c r="H248" s="32"/>
      <c r="J248" s="32"/>
      <c r="K248" s="41"/>
      <c r="L248" s="32"/>
      <c r="N248" s="32"/>
      <c r="O248" s="41"/>
      <c r="P248" s="32"/>
      <c r="R248" s="32"/>
      <c r="S248" s="41"/>
      <c r="T248" s="32"/>
      <c r="V248" s="32"/>
      <c r="W248" s="41"/>
      <c r="X248" s="32"/>
      <c r="Z248" s="32"/>
      <c r="AA248" s="41"/>
      <c r="AB248" s="41"/>
      <c r="AD248" s="32"/>
      <c r="AE248" s="41"/>
    </row>
    <row r="249" spans="1:31" s="30" customFormat="1" x14ac:dyDescent="0.25">
      <c r="A249" s="36"/>
      <c r="B249" s="31"/>
      <c r="C249" s="31"/>
      <c r="D249" s="32"/>
      <c r="H249" s="32"/>
      <c r="J249" s="32"/>
      <c r="K249" s="41"/>
      <c r="L249" s="32"/>
      <c r="N249" s="32"/>
      <c r="O249" s="41"/>
      <c r="P249" s="32"/>
      <c r="R249" s="32"/>
      <c r="S249" s="41"/>
      <c r="T249" s="32"/>
      <c r="V249" s="32"/>
      <c r="W249" s="41"/>
      <c r="X249" s="32"/>
      <c r="Z249" s="32"/>
      <c r="AA249" s="41"/>
      <c r="AB249" s="41"/>
      <c r="AD249" s="32"/>
      <c r="AE249" s="41"/>
    </row>
    <row r="250" spans="1:31" s="30" customFormat="1" x14ac:dyDescent="0.25">
      <c r="A250" s="36"/>
      <c r="B250" s="31"/>
      <c r="C250" s="31"/>
      <c r="D250" s="32"/>
      <c r="H250" s="32"/>
      <c r="J250" s="32"/>
      <c r="K250" s="41"/>
      <c r="L250" s="32"/>
      <c r="N250" s="32"/>
      <c r="O250" s="41"/>
      <c r="P250" s="32"/>
      <c r="R250" s="32"/>
      <c r="S250" s="41"/>
      <c r="T250" s="32"/>
      <c r="V250" s="32"/>
      <c r="W250" s="41"/>
      <c r="X250" s="32"/>
      <c r="Z250" s="32"/>
      <c r="AA250" s="41"/>
      <c r="AB250" s="41"/>
      <c r="AD250" s="32"/>
      <c r="AE250" s="41"/>
    </row>
    <row r="251" spans="1:31" s="30" customFormat="1" x14ac:dyDescent="0.25">
      <c r="A251" s="36"/>
      <c r="B251" s="31"/>
      <c r="C251" s="31"/>
      <c r="D251" s="32"/>
      <c r="H251" s="32"/>
      <c r="J251" s="32"/>
      <c r="K251" s="41"/>
      <c r="L251" s="32"/>
      <c r="N251" s="32"/>
      <c r="O251" s="41"/>
      <c r="P251" s="32"/>
      <c r="R251" s="32"/>
      <c r="S251" s="41"/>
      <c r="T251" s="32"/>
      <c r="V251" s="32"/>
      <c r="W251" s="41"/>
      <c r="X251" s="32"/>
      <c r="Z251" s="32"/>
      <c r="AA251" s="41"/>
      <c r="AB251" s="41"/>
      <c r="AD251" s="32"/>
      <c r="AE251" s="41"/>
    </row>
    <row r="252" spans="1:31" s="30" customFormat="1" x14ac:dyDescent="0.25">
      <c r="A252" s="36"/>
      <c r="B252" s="31"/>
      <c r="C252" s="31"/>
      <c r="D252" s="32"/>
      <c r="H252" s="32"/>
      <c r="J252" s="32"/>
      <c r="K252" s="41"/>
      <c r="L252" s="32"/>
      <c r="N252" s="32"/>
      <c r="O252" s="41"/>
      <c r="P252" s="32"/>
      <c r="R252" s="32"/>
      <c r="S252" s="41"/>
      <c r="T252" s="32"/>
      <c r="V252" s="32"/>
      <c r="W252" s="41"/>
      <c r="X252" s="32"/>
      <c r="Z252" s="32"/>
      <c r="AA252" s="41"/>
      <c r="AB252" s="41"/>
      <c r="AD252" s="32"/>
      <c r="AE252" s="41"/>
    </row>
    <row r="253" spans="1:31" s="30" customFormat="1" x14ac:dyDescent="0.25">
      <c r="A253" s="36"/>
      <c r="B253" s="31"/>
      <c r="C253" s="31"/>
      <c r="D253" s="32"/>
      <c r="H253" s="32"/>
      <c r="J253" s="32"/>
      <c r="K253" s="41"/>
      <c r="L253" s="32"/>
      <c r="N253" s="32"/>
      <c r="O253" s="41"/>
      <c r="P253" s="32"/>
      <c r="R253" s="32"/>
      <c r="S253" s="41"/>
      <c r="T253" s="32"/>
      <c r="V253" s="32"/>
      <c r="W253" s="41"/>
      <c r="X253" s="32"/>
      <c r="Z253" s="32"/>
      <c r="AA253" s="41"/>
      <c r="AB253" s="41"/>
      <c r="AD253" s="32"/>
      <c r="AE253" s="41"/>
    </row>
    <row r="254" spans="1:31" s="30" customFormat="1" x14ac:dyDescent="0.25">
      <c r="A254" s="36"/>
      <c r="B254" s="31"/>
      <c r="C254" s="31"/>
      <c r="D254" s="32"/>
      <c r="H254" s="32"/>
      <c r="J254" s="32"/>
      <c r="K254" s="41"/>
      <c r="L254" s="32"/>
      <c r="N254" s="32"/>
      <c r="O254" s="41"/>
      <c r="P254" s="32"/>
      <c r="R254" s="32"/>
      <c r="S254" s="41"/>
      <c r="T254" s="32"/>
      <c r="V254" s="32"/>
      <c r="W254" s="41"/>
      <c r="X254" s="32"/>
      <c r="Z254" s="32"/>
      <c r="AA254" s="41"/>
      <c r="AB254" s="41"/>
      <c r="AD254" s="32"/>
      <c r="AE254" s="41"/>
    </row>
    <row r="255" spans="1:31" s="30" customFormat="1" x14ac:dyDescent="0.25">
      <c r="A255" s="36"/>
      <c r="B255" s="31"/>
      <c r="C255" s="31"/>
      <c r="D255" s="32"/>
      <c r="H255" s="32"/>
      <c r="J255" s="32"/>
      <c r="K255" s="41"/>
      <c r="L255" s="32"/>
      <c r="N255" s="32"/>
      <c r="O255" s="41"/>
      <c r="P255" s="32"/>
      <c r="R255" s="32"/>
      <c r="S255" s="41"/>
      <c r="T255" s="32"/>
      <c r="V255" s="32"/>
      <c r="W255" s="41"/>
      <c r="X255" s="32"/>
      <c r="Z255" s="32"/>
      <c r="AA255" s="41"/>
      <c r="AB255" s="41"/>
      <c r="AD255" s="32"/>
      <c r="AE255" s="41"/>
    </row>
    <row r="256" spans="1:31" s="30" customFormat="1" x14ac:dyDescent="0.25">
      <c r="A256" s="36"/>
      <c r="B256" s="31"/>
      <c r="C256" s="31"/>
      <c r="D256" s="32"/>
      <c r="H256" s="32"/>
      <c r="J256" s="32"/>
      <c r="K256" s="41"/>
      <c r="L256" s="32"/>
      <c r="N256" s="32"/>
      <c r="O256" s="41"/>
      <c r="P256" s="32"/>
      <c r="R256" s="32"/>
      <c r="S256" s="41"/>
      <c r="T256" s="32"/>
      <c r="V256" s="32"/>
      <c r="W256" s="41"/>
      <c r="X256" s="32"/>
      <c r="Z256" s="32"/>
      <c r="AA256" s="41"/>
      <c r="AB256" s="41"/>
      <c r="AD256" s="32"/>
      <c r="AE256" s="41"/>
    </row>
    <row r="257" spans="1:31" s="30" customFormat="1" x14ac:dyDescent="0.25">
      <c r="A257" s="36"/>
      <c r="B257" s="31"/>
      <c r="C257" s="31"/>
      <c r="D257" s="32"/>
      <c r="H257" s="32"/>
      <c r="J257" s="32"/>
      <c r="K257" s="41"/>
      <c r="L257" s="32"/>
      <c r="N257" s="32"/>
      <c r="O257" s="41"/>
      <c r="P257" s="32"/>
      <c r="R257" s="32"/>
      <c r="S257" s="41"/>
      <c r="T257" s="32"/>
      <c r="V257" s="32"/>
      <c r="W257" s="41"/>
      <c r="X257" s="32"/>
      <c r="Z257" s="32"/>
      <c r="AA257" s="41"/>
      <c r="AB257" s="41"/>
      <c r="AD257" s="32"/>
      <c r="AE257" s="41"/>
    </row>
    <row r="258" spans="1:31" s="30" customFormat="1" x14ac:dyDescent="0.25">
      <c r="A258" s="36"/>
      <c r="B258" s="31"/>
      <c r="C258" s="31"/>
      <c r="D258" s="32"/>
      <c r="H258" s="32"/>
      <c r="J258" s="32"/>
      <c r="K258" s="41"/>
      <c r="L258" s="32"/>
      <c r="N258" s="32"/>
      <c r="O258" s="41"/>
      <c r="P258" s="32"/>
      <c r="R258" s="32"/>
      <c r="S258" s="41"/>
      <c r="T258" s="32"/>
      <c r="V258" s="32"/>
      <c r="W258" s="41"/>
      <c r="X258" s="32"/>
      <c r="Z258" s="32"/>
      <c r="AA258" s="41"/>
      <c r="AB258" s="41"/>
      <c r="AD258" s="32"/>
      <c r="AE258" s="41"/>
    </row>
    <row r="259" spans="1:31" s="30" customFormat="1" x14ac:dyDescent="0.25">
      <c r="A259" s="36"/>
      <c r="B259" s="31"/>
      <c r="C259" s="31"/>
      <c r="D259" s="32"/>
      <c r="H259" s="32"/>
      <c r="J259" s="32"/>
      <c r="K259" s="41"/>
      <c r="L259" s="32"/>
      <c r="N259" s="32"/>
      <c r="O259" s="41"/>
      <c r="P259" s="32"/>
      <c r="R259" s="32"/>
      <c r="S259" s="41"/>
      <c r="T259" s="32"/>
      <c r="V259" s="32"/>
      <c r="W259" s="41"/>
      <c r="X259" s="32"/>
      <c r="Z259" s="32"/>
      <c r="AA259" s="41"/>
      <c r="AB259" s="41"/>
      <c r="AD259" s="32"/>
      <c r="AE259" s="41"/>
    </row>
    <row r="260" spans="1:31" s="30" customFormat="1" x14ac:dyDescent="0.25">
      <c r="A260" s="36"/>
      <c r="B260" s="31"/>
      <c r="C260" s="31"/>
      <c r="D260" s="32"/>
      <c r="H260" s="32"/>
      <c r="J260" s="32"/>
      <c r="K260" s="41"/>
      <c r="L260" s="32"/>
      <c r="N260" s="32"/>
      <c r="O260" s="41"/>
      <c r="P260" s="32"/>
      <c r="R260" s="32"/>
      <c r="S260" s="41"/>
      <c r="T260" s="32"/>
      <c r="V260" s="32"/>
      <c r="W260" s="41"/>
      <c r="X260" s="32"/>
      <c r="Z260" s="32"/>
      <c r="AA260" s="41"/>
      <c r="AB260" s="41"/>
      <c r="AD260" s="32"/>
      <c r="AE260" s="41"/>
    </row>
    <row r="261" spans="1:31" s="30" customFormat="1" x14ac:dyDescent="0.25">
      <c r="A261" s="36"/>
      <c r="B261" s="31"/>
      <c r="C261" s="31"/>
      <c r="D261" s="32"/>
      <c r="H261" s="32"/>
      <c r="J261" s="32"/>
      <c r="K261" s="41"/>
      <c r="L261" s="32"/>
      <c r="N261" s="32"/>
      <c r="O261" s="41"/>
      <c r="P261" s="32"/>
      <c r="R261" s="32"/>
      <c r="S261" s="41"/>
      <c r="T261" s="32"/>
      <c r="V261" s="32"/>
      <c r="W261" s="41"/>
      <c r="X261" s="32"/>
      <c r="Z261" s="32"/>
      <c r="AA261" s="41"/>
      <c r="AB261" s="41"/>
      <c r="AD261" s="32"/>
      <c r="AE261" s="41"/>
    </row>
    <row r="262" spans="1:31" s="30" customFormat="1" x14ac:dyDescent="0.25">
      <c r="A262" s="36"/>
      <c r="B262" s="31"/>
      <c r="C262" s="31"/>
      <c r="D262" s="32"/>
      <c r="H262" s="32"/>
      <c r="J262" s="32"/>
      <c r="K262" s="41"/>
      <c r="L262" s="32"/>
      <c r="N262" s="32"/>
      <c r="O262" s="41"/>
      <c r="P262" s="32"/>
      <c r="R262" s="32"/>
      <c r="S262" s="41"/>
      <c r="T262" s="32"/>
      <c r="V262" s="32"/>
      <c r="W262" s="41"/>
      <c r="X262" s="32"/>
      <c r="Z262" s="32"/>
      <c r="AA262" s="41"/>
      <c r="AB262" s="41"/>
      <c r="AD262" s="32"/>
      <c r="AE262" s="41"/>
    </row>
    <row r="263" spans="1:31" s="30" customFormat="1" x14ac:dyDescent="0.25">
      <c r="A263" s="36"/>
      <c r="B263" s="31"/>
      <c r="C263" s="31"/>
      <c r="D263" s="32"/>
      <c r="H263" s="32"/>
      <c r="J263" s="32"/>
      <c r="K263" s="41"/>
      <c r="L263" s="32"/>
      <c r="N263" s="32"/>
      <c r="O263" s="41"/>
      <c r="P263" s="32"/>
      <c r="R263" s="32"/>
      <c r="S263" s="41"/>
      <c r="T263" s="32"/>
      <c r="V263" s="32"/>
      <c r="W263" s="41"/>
      <c r="X263" s="32"/>
      <c r="Z263" s="32"/>
      <c r="AA263" s="41"/>
      <c r="AB263" s="41"/>
      <c r="AD263" s="32"/>
      <c r="AE263" s="41"/>
    </row>
    <row r="264" spans="1:31" s="30" customFormat="1" x14ac:dyDescent="0.25">
      <c r="A264" s="36"/>
      <c r="B264" s="31"/>
      <c r="C264" s="31"/>
      <c r="D264" s="32"/>
      <c r="H264" s="32"/>
      <c r="J264" s="32"/>
      <c r="K264" s="41"/>
      <c r="L264" s="32"/>
      <c r="N264" s="32"/>
      <c r="O264" s="41"/>
      <c r="P264" s="32"/>
      <c r="R264" s="32"/>
      <c r="S264" s="41"/>
      <c r="T264" s="32"/>
      <c r="V264" s="32"/>
      <c r="W264" s="41"/>
      <c r="X264" s="32"/>
      <c r="Z264" s="32"/>
      <c r="AA264" s="41"/>
      <c r="AB264" s="41"/>
      <c r="AD264" s="32"/>
      <c r="AE264" s="41"/>
    </row>
    <row r="265" spans="1:31" s="30" customFormat="1" x14ac:dyDescent="0.25">
      <c r="A265" s="36"/>
      <c r="B265" s="31"/>
      <c r="C265" s="31"/>
      <c r="D265" s="32"/>
      <c r="H265" s="32"/>
      <c r="J265" s="32"/>
      <c r="K265" s="41"/>
      <c r="L265" s="32"/>
      <c r="N265" s="32"/>
      <c r="O265" s="41"/>
      <c r="P265" s="32"/>
      <c r="R265" s="32"/>
      <c r="S265" s="41"/>
      <c r="T265" s="32"/>
      <c r="V265" s="32"/>
      <c r="W265" s="41"/>
      <c r="X265" s="32"/>
      <c r="Z265" s="32"/>
      <c r="AA265" s="41"/>
      <c r="AB265" s="41"/>
      <c r="AD265" s="32"/>
      <c r="AE265" s="41"/>
    </row>
    <row r="266" spans="1:31" s="30" customFormat="1" x14ac:dyDescent="0.25">
      <c r="A266" s="36"/>
      <c r="B266" s="31"/>
      <c r="C266" s="31"/>
      <c r="D266" s="32"/>
      <c r="H266" s="32"/>
      <c r="J266" s="32"/>
      <c r="K266" s="41"/>
      <c r="L266" s="32"/>
      <c r="N266" s="32"/>
      <c r="O266" s="41"/>
      <c r="P266" s="32"/>
      <c r="R266" s="32"/>
      <c r="S266" s="41"/>
      <c r="T266" s="32"/>
      <c r="V266" s="32"/>
      <c r="W266" s="41"/>
      <c r="X266" s="32"/>
      <c r="Z266" s="32"/>
      <c r="AA266" s="41"/>
      <c r="AB266" s="41"/>
      <c r="AD266" s="32"/>
      <c r="AE266" s="41"/>
    </row>
    <row r="267" spans="1:31" s="30" customFormat="1" x14ac:dyDescent="0.25">
      <c r="A267" s="36"/>
      <c r="B267" s="31"/>
      <c r="C267" s="31"/>
      <c r="D267" s="32"/>
      <c r="H267" s="32"/>
      <c r="J267" s="32"/>
      <c r="K267" s="41"/>
      <c r="L267" s="32"/>
      <c r="N267" s="32"/>
      <c r="O267" s="41"/>
      <c r="P267" s="32"/>
      <c r="R267" s="32"/>
      <c r="S267" s="41"/>
      <c r="T267" s="32"/>
      <c r="V267" s="32"/>
      <c r="W267" s="41"/>
      <c r="X267" s="32"/>
      <c r="Z267" s="32"/>
      <c r="AA267" s="41"/>
      <c r="AB267" s="41"/>
      <c r="AD267" s="32"/>
      <c r="AE267" s="41"/>
    </row>
    <row r="268" spans="1:31" s="30" customFormat="1" x14ac:dyDescent="0.25">
      <c r="A268" s="36"/>
      <c r="B268" s="31"/>
      <c r="C268" s="31"/>
      <c r="D268" s="32"/>
      <c r="H268" s="32"/>
      <c r="J268" s="32"/>
      <c r="K268" s="41"/>
      <c r="L268" s="32"/>
      <c r="N268" s="32"/>
      <c r="O268" s="41"/>
      <c r="P268" s="32"/>
      <c r="R268" s="32"/>
      <c r="S268" s="41"/>
      <c r="T268" s="32"/>
      <c r="V268" s="32"/>
      <c r="W268" s="41"/>
      <c r="X268" s="32"/>
      <c r="Z268" s="32"/>
      <c r="AA268" s="41"/>
      <c r="AB268" s="41"/>
      <c r="AD268" s="32"/>
      <c r="AE268" s="41"/>
    </row>
    <row r="269" spans="1:31" s="30" customFormat="1" x14ac:dyDescent="0.25">
      <c r="A269" s="36"/>
      <c r="B269" s="31"/>
      <c r="C269" s="31"/>
      <c r="D269" s="32"/>
      <c r="H269" s="32"/>
      <c r="J269" s="32"/>
      <c r="K269" s="41"/>
      <c r="L269" s="32"/>
      <c r="N269" s="32"/>
      <c r="O269" s="41"/>
      <c r="P269" s="32"/>
      <c r="R269" s="32"/>
      <c r="S269" s="41"/>
      <c r="T269" s="32"/>
      <c r="V269" s="32"/>
      <c r="W269" s="41"/>
      <c r="X269" s="32"/>
      <c r="Z269" s="32"/>
      <c r="AA269" s="41"/>
      <c r="AB269" s="41"/>
      <c r="AD269" s="32"/>
      <c r="AE269" s="41"/>
    </row>
    <row r="270" spans="1:31" s="30" customFormat="1" x14ac:dyDescent="0.25">
      <c r="A270" s="36"/>
      <c r="B270" s="31"/>
      <c r="C270" s="31"/>
      <c r="D270" s="32"/>
      <c r="H270" s="32"/>
      <c r="J270" s="32"/>
      <c r="K270" s="41"/>
      <c r="L270" s="32"/>
      <c r="N270" s="32"/>
      <c r="O270" s="41"/>
      <c r="P270" s="32"/>
      <c r="R270" s="32"/>
      <c r="S270" s="41"/>
      <c r="T270" s="32"/>
      <c r="V270" s="32"/>
      <c r="W270" s="41"/>
      <c r="X270" s="32"/>
      <c r="Z270" s="32"/>
      <c r="AA270" s="41"/>
      <c r="AB270" s="41"/>
      <c r="AD270" s="32"/>
      <c r="AE270" s="41"/>
    </row>
    <row r="271" spans="1:31" s="30" customFormat="1" x14ac:dyDescent="0.25">
      <c r="A271" s="36"/>
      <c r="B271" s="31"/>
      <c r="C271" s="31"/>
      <c r="D271" s="32"/>
      <c r="H271" s="32"/>
      <c r="J271" s="32"/>
      <c r="K271" s="41"/>
      <c r="L271" s="32"/>
      <c r="N271" s="32"/>
      <c r="O271" s="41"/>
      <c r="P271" s="32"/>
      <c r="R271" s="32"/>
      <c r="S271" s="41"/>
      <c r="T271" s="32"/>
      <c r="V271" s="32"/>
      <c r="W271" s="41"/>
      <c r="X271" s="32"/>
      <c r="Z271" s="32"/>
      <c r="AA271" s="41"/>
      <c r="AB271" s="41"/>
      <c r="AD271" s="32"/>
      <c r="AE271" s="41"/>
    </row>
    <row r="272" spans="1:31" s="30" customFormat="1" x14ac:dyDescent="0.25">
      <c r="A272" s="36"/>
      <c r="B272" s="31"/>
      <c r="C272" s="31"/>
      <c r="D272" s="32"/>
      <c r="H272" s="32"/>
      <c r="J272" s="32"/>
      <c r="K272" s="41"/>
      <c r="L272" s="32"/>
      <c r="N272" s="32"/>
      <c r="O272" s="41"/>
      <c r="P272" s="32"/>
      <c r="R272" s="32"/>
      <c r="S272" s="41"/>
      <c r="T272" s="32"/>
      <c r="V272" s="32"/>
      <c r="W272" s="41"/>
      <c r="X272" s="32"/>
      <c r="Z272" s="32"/>
      <c r="AA272" s="41"/>
      <c r="AB272" s="41"/>
      <c r="AD272" s="32"/>
      <c r="AE272" s="41"/>
    </row>
    <row r="273" spans="1:31" s="30" customFormat="1" x14ac:dyDescent="0.25">
      <c r="A273" s="36"/>
      <c r="B273" s="31"/>
      <c r="C273" s="31"/>
      <c r="D273" s="32"/>
      <c r="H273" s="32"/>
      <c r="J273" s="32"/>
      <c r="K273" s="41"/>
      <c r="L273" s="32"/>
      <c r="N273" s="32"/>
      <c r="O273" s="41"/>
      <c r="P273" s="32"/>
      <c r="R273" s="32"/>
      <c r="S273" s="41"/>
      <c r="T273" s="32"/>
      <c r="V273" s="32"/>
      <c r="W273" s="41"/>
      <c r="X273" s="32"/>
      <c r="Z273" s="32"/>
      <c r="AA273" s="41"/>
      <c r="AB273" s="41"/>
      <c r="AD273" s="32"/>
      <c r="AE273" s="41"/>
    </row>
    <row r="274" spans="1:31" s="30" customFormat="1" x14ac:dyDescent="0.25">
      <c r="A274" s="36"/>
      <c r="B274" s="31"/>
      <c r="C274" s="31"/>
      <c r="D274" s="32"/>
      <c r="H274" s="32"/>
      <c r="J274" s="32"/>
      <c r="K274" s="41"/>
      <c r="L274" s="32"/>
      <c r="N274" s="32"/>
      <c r="O274" s="41"/>
      <c r="P274" s="32"/>
      <c r="R274" s="32"/>
      <c r="S274" s="41"/>
      <c r="T274" s="32"/>
      <c r="V274" s="32"/>
      <c r="W274" s="41"/>
      <c r="X274" s="32"/>
      <c r="Z274" s="32"/>
      <c r="AA274" s="41"/>
      <c r="AB274" s="41"/>
      <c r="AD274" s="32"/>
      <c r="AE274" s="41"/>
    </row>
    <row r="275" spans="1:31" s="30" customFormat="1" x14ac:dyDescent="0.25">
      <c r="A275" s="36"/>
      <c r="B275" s="31"/>
      <c r="C275" s="31"/>
      <c r="D275" s="32"/>
      <c r="H275" s="32"/>
      <c r="J275" s="32"/>
      <c r="K275" s="41"/>
      <c r="L275" s="32"/>
      <c r="N275" s="32"/>
      <c r="O275" s="41"/>
      <c r="P275" s="32"/>
      <c r="R275" s="32"/>
      <c r="S275" s="41"/>
      <c r="T275" s="32"/>
      <c r="V275" s="32"/>
      <c r="W275" s="41"/>
      <c r="X275" s="32"/>
      <c r="Z275" s="32"/>
      <c r="AA275" s="41"/>
      <c r="AB275" s="41"/>
      <c r="AD275" s="32"/>
      <c r="AE275" s="41"/>
    </row>
    <row r="276" spans="1:31" s="30" customFormat="1" x14ac:dyDescent="0.25">
      <c r="A276" s="36"/>
      <c r="B276" s="31"/>
      <c r="C276" s="31"/>
      <c r="D276" s="32"/>
      <c r="H276" s="32"/>
      <c r="J276" s="32"/>
      <c r="K276" s="41"/>
      <c r="L276" s="32"/>
      <c r="N276" s="32"/>
      <c r="O276" s="41"/>
      <c r="P276" s="32"/>
      <c r="R276" s="32"/>
      <c r="S276" s="41"/>
      <c r="T276" s="32"/>
      <c r="V276" s="32"/>
      <c r="W276" s="41"/>
      <c r="X276" s="32"/>
      <c r="Z276" s="32"/>
      <c r="AA276" s="41"/>
      <c r="AB276" s="41"/>
      <c r="AD276" s="32"/>
      <c r="AE276" s="41"/>
    </row>
    <row r="277" spans="1:31" s="30" customFormat="1" x14ac:dyDescent="0.25">
      <c r="A277" s="36"/>
      <c r="B277" s="31"/>
      <c r="C277" s="31"/>
      <c r="D277" s="32"/>
      <c r="H277" s="32"/>
      <c r="J277" s="32"/>
      <c r="K277" s="41"/>
      <c r="L277" s="32"/>
      <c r="N277" s="32"/>
      <c r="O277" s="41"/>
      <c r="P277" s="32"/>
      <c r="R277" s="32"/>
      <c r="S277" s="41"/>
      <c r="T277" s="32"/>
      <c r="V277" s="32"/>
      <c r="W277" s="41"/>
      <c r="X277" s="32"/>
      <c r="Z277" s="32"/>
      <c r="AA277" s="41"/>
      <c r="AB277" s="41"/>
      <c r="AD277" s="32"/>
      <c r="AE277" s="41"/>
    </row>
    <row r="278" spans="1:31" s="30" customFormat="1" x14ac:dyDescent="0.25">
      <c r="A278" s="36"/>
      <c r="B278" s="31"/>
      <c r="C278" s="31"/>
      <c r="D278" s="32"/>
      <c r="H278" s="32"/>
      <c r="J278" s="32"/>
      <c r="K278" s="41"/>
      <c r="L278" s="32"/>
      <c r="N278" s="32"/>
      <c r="O278" s="41"/>
      <c r="P278" s="32"/>
      <c r="R278" s="32"/>
      <c r="S278" s="41"/>
      <c r="T278" s="32"/>
      <c r="V278" s="32"/>
      <c r="W278" s="41"/>
      <c r="X278" s="32"/>
      <c r="Z278" s="32"/>
      <c r="AA278" s="41"/>
      <c r="AB278" s="41"/>
      <c r="AD278" s="32"/>
      <c r="AE278" s="41"/>
    </row>
    <row r="279" spans="1:31" s="30" customFormat="1" x14ac:dyDescent="0.25">
      <c r="A279" s="36"/>
      <c r="B279" s="31"/>
      <c r="C279" s="31"/>
      <c r="D279" s="32"/>
      <c r="H279" s="32"/>
      <c r="J279" s="32"/>
      <c r="K279" s="41"/>
      <c r="L279" s="32"/>
      <c r="N279" s="32"/>
      <c r="O279" s="41"/>
      <c r="P279" s="32"/>
      <c r="R279" s="32"/>
      <c r="S279" s="41"/>
      <c r="T279" s="32"/>
      <c r="V279" s="32"/>
      <c r="W279" s="41"/>
      <c r="X279" s="32"/>
      <c r="Z279" s="32"/>
      <c r="AA279" s="41"/>
      <c r="AB279" s="41"/>
      <c r="AD279" s="32"/>
      <c r="AE279" s="41"/>
    </row>
    <row r="280" spans="1:31" s="30" customFormat="1" x14ac:dyDescent="0.25">
      <c r="A280" s="36"/>
      <c r="B280" s="31"/>
      <c r="C280" s="31"/>
      <c r="D280" s="32"/>
      <c r="H280" s="32"/>
      <c r="J280" s="32"/>
      <c r="K280" s="41"/>
      <c r="L280" s="32"/>
      <c r="N280" s="32"/>
      <c r="O280" s="41"/>
      <c r="P280" s="32"/>
      <c r="R280" s="32"/>
      <c r="S280" s="41"/>
      <c r="T280" s="32"/>
      <c r="V280" s="32"/>
      <c r="W280" s="41"/>
      <c r="X280" s="32"/>
      <c r="Z280" s="32"/>
      <c r="AA280" s="41"/>
      <c r="AB280" s="41"/>
      <c r="AD280" s="32"/>
      <c r="AE280" s="41"/>
    </row>
    <row r="281" spans="1:31" s="30" customFormat="1" x14ac:dyDescent="0.25">
      <c r="A281" s="36"/>
      <c r="B281" s="31"/>
      <c r="C281" s="31"/>
      <c r="D281" s="32"/>
      <c r="H281" s="32"/>
      <c r="J281" s="32"/>
      <c r="K281" s="41"/>
      <c r="L281" s="32"/>
      <c r="N281" s="32"/>
      <c r="O281" s="41"/>
      <c r="P281" s="32"/>
      <c r="R281" s="32"/>
      <c r="S281" s="41"/>
      <c r="T281" s="32"/>
      <c r="V281" s="32"/>
      <c r="W281" s="41"/>
      <c r="X281" s="32"/>
      <c r="Z281" s="32"/>
      <c r="AA281" s="41"/>
      <c r="AB281" s="41"/>
      <c r="AD281" s="32"/>
      <c r="AE281" s="41"/>
    </row>
    <row r="282" spans="1:31" s="30" customFormat="1" x14ac:dyDescent="0.25">
      <c r="A282" s="36"/>
      <c r="B282" s="31"/>
      <c r="C282" s="31"/>
      <c r="D282" s="32"/>
      <c r="H282" s="32"/>
      <c r="J282" s="32"/>
      <c r="K282" s="41"/>
      <c r="L282" s="32"/>
      <c r="N282" s="32"/>
      <c r="O282" s="41"/>
      <c r="P282" s="32"/>
      <c r="R282" s="32"/>
      <c r="S282" s="41"/>
      <c r="T282" s="32"/>
      <c r="V282" s="32"/>
      <c r="W282" s="41"/>
      <c r="X282" s="32"/>
      <c r="Z282" s="32"/>
      <c r="AA282" s="41"/>
      <c r="AB282" s="41"/>
      <c r="AD282" s="32"/>
      <c r="AE282" s="41"/>
    </row>
    <row r="283" spans="1:31" s="30" customFormat="1" x14ac:dyDescent="0.25">
      <c r="A283" s="36"/>
      <c r="B283" s="31"/>
      <c r="C283" s="31"/>
      <c r="D283" s="32"/>
      <c r="H283" s="32"/>
      <c r="J283" s="32"/>
      <c r="K283" s="41"/>
      <c r="L283" s="32"/>
      <c r="N283" s="32"/>
      <c r="O283" s="41"/>
      <c r="P283" s="32"/>
      <c r="R283" s="32"/>
      <c r="S283" s="41"/>
      <c r="T283" s="32"/>
      <c r="V283" s="32"/>
      <c r="W283" s="41"/>
      <c r="X283" s="32"/>
      <c r="Z283" s="32"/>
      <c r="AA283" s="41"/>
      <c r="AB283" s="41"/>
      <c r="AD283" s="32"/>
      <c r="AE283" s="41"/>
    </row>
    <row r="284" spans="1:31" s="30" customFormat="1" x14ac:dyDescent="0.25">
      <c r="A284" s="36"/>
      <c r="B284" s="31"/>
      <c r="C284" s="31"/>
      <c r="D284" s="32"/>
      <c r="H284" s="32"/>
      <c r="J284" s="32"/>
      <c r="K284" s="41"/>
      <c r="L284" s="32"/>
      <c r="N284" s="32"/>
      <c r="O284" s="41"/>
      <c r="P284" s="32"/>
      <c r="R284" s="32"/>
      <c r="S284" s="41"/>
      <c r="T284" s="32"/>
      <c r="V284" s="32"/>
      <c r="W284" s="41"/>
      <c r="X284" s="32"/>
      <c r="Z284" s="32"/>
      <c r="AA284" s="41"/>
      <c r="AB284" s="41"/>
      <c r="AD284" s="32"/>
      <c r="AE284" s="41"/>
    </row>
    <row r="285" spans="1:31" s="30" customFormat="1" x14ac:dyDescent="0.25">
      <c r="A285" s="36"/>
      <c r="B285" s="31"/>
      <c r="C285" s="31"/>
      <c r="D285" s="32"/>
      <c r="H285" s="32"/>
      <c r="J285" s="32"/>
      <c r="K285" s="41"/>
      <c r="L285" s="32"/>
      <c r="N285" s="32"/>
      <c r="O285" s="41"/>
      <c r="P285" s="32"/>
      <c r="R285" s="32"/>
      <c r="S285" s="41"/>
      <c r="T285" s="32"/>
      <c r="V285" s="32"/>
      <c r="W285" s="41"/>
      <c r="X285" s="32"/>
      <c r="Z285" s="32"/>
      <c r="AA285" s="41"/>
      <c r="AB285" s="41"/>
      <c r="AD285" s="32"/>
      <c r="AE285" s="41"/>
    </row>
    <row r="286" spans="1:31" s="30" customFormat="1" x14ac:dyDescent="0.25">
      <c r="A286" s="36"/>
      <c r="B286" s="31"/>
      <c r="C286" s="31"/>
      <c r="D286" s="32"/>
      <c r="H286" s="32"/>
      <c r="J286" s="32"/>
      <c r="K286" s="41"/>
      <c r="L286" s="32"/>
      <c r="N286" s="32"/>
      <c r="O286" s="41"/>
      <c r="P286" s="32"/>
      <c r="R286" s="32"/>
      <c r="S286" s="41"/>
      <c r="T286" s="32"/>
      <c r="V286" s="32"/>
      <c r="W286" s="41"/>
      <c r="X286" s="32"/>
      <c r="Z286" s="32"/>
      <c r="AA286" s="41"/>
      <c r="AB286" s="41"/>
      <c r="AD286" s="32"/>
      <c r="AE286" s="41"/>
    </row>
    <row r="287" spans="1:31" s="30" customFormat="1" x14ac:dyDescent="0.25">
      <c r="A287" s="36"/>
      <c r="B287" s="31"/>
      <c r="C287" s="31"/>
      <c r="D287" s="32"/>
      <c r="H287" s="32"/>
      <c r="J287" s="32"/>
      <c r="K287" s="41"/>
      <c r="L287" s="32"/>
      <c r="N287" s="32"/>
      <c r="O287" s="41"/>
      <c r="P287" s="32"/>
      <c r="R287" s="32"/>
      <c r="S287" s="41"/>
      <c r="T287" s="32"/>
      <c r="V287" s="32"/>
      <c r="W287" s="41"/>
      <c r="X287" s="32"/>
      <c r="Z287" s="32"/>
      <c r="AA287" s="41"/>
      <c r="AB287" s="41"/>
      <c r="AD287" s="32"/>
      <c r="AE287" s="41"/>
    </row>
    <row r="288" spans="1:31" s="30" customFormat="1" x14ac:dyDescent="0.25">
      <c r="A288" s="36"/>
      <c r="B288" s="31"/>
      <c r="C288" s="31"/>
      <c r="D288" s="32"/>
      <c r="H288" s="32"/>
      <c r="J288" s="32"/>
      <c r="K288" s="41"/>
      <c r="L288" s="32"/>
      <c r="N288" s="32"/>
      <c r="O288" s="41"/>
      <c r="P288" s="32"/>
      <c r="R288" s="32"/>
      <c r="S288" s="41"/>
      <c r="T288" s="32"/>
      <c r="V288" s="32"/>
      <c r="W288" s="41"/>
      <c r="X288" s="32"/>
      <c r="Z288" s="32"/>
      <c r="AA288" s="41"/>
      <c r="AB288" s="41"/>
      <c r="AD288" s="32"/>
      <c r="AE288" s="41"/>
    </row>
    <row r="289" spans="1:31" s="30" customFormat="1" x14ac:dyDescent="0.25">
      <c r="A289" s="36"/>
      <c r="B289" s="31"/>
      <c r="C289" s="31"/>
      <c r="D289" s="32"/>
      <c r="H289" s="32"/>
      <c r="J289" s="32"/>
      <c r="K289" s="41"/>
      <c r="L289" s="32"/>
      <c r="N289" s="32"/>
      <c r="O289" s="41"/>
      <c r="P289" s="32"/>
      <c r="R289" s="32"/>
      <c r="S289" s="41"/>
      <c r="T289" s="32"/>
      <c r="V289" s="32"/>
      <c r="W289" s="41"/>
      <c r="X289" s="32"/>
      <c r="Z289" s="32"/>
      <c r="AA289" s="41"/>
      <c r="AB289" s="41"/>
      <c r="AD289" s="32"/>
      <c r="AE289" s="41"/>
    </row>
    <row r="290" spans="1:31" s="30" customFormat="1" x14ac:dyDescent="0.25">
      <c r="A290" s="36"/>
      <c r="B290" s="31"/>
      <c r="C290" s="31"/>
      <c r="D290" s="32"/>
      <c r="H290" s="32"/>
      <c r="J290" s="32"/>
      <c r="K290" s="41"/>
      <c r="L290" s="32"/>
      <c r="N290" s="32"/>
      <c r="O290" s="41"/>
      <c r="P290" s="32"/>
      <c r="R290" s="32"/>
      <c r="S290" s="41"/>
      <c r="T290" s="32"/>
      <c r="V290" s="32"/>
      <c r="W290" s="41"/>
      <c r="X290" s="32"/>
      <c r="Z290" s="32"/>
      <c r="AA290" s="41"/>
      <c r="AB290" s="41"/>
      <c r="AD290" s="32"/>
      <c r="AE290" s="41"/>
    </row>
    <row r="291" spans="1:31" s="30" customFormat="1" x14ac:dyDescent="0.25">
      <c r="A291" s="36"/>
      <c r="B291" s="31"/>
      <c r="C291" s="31"/>
      <c r="D291" s="32"/>
      <c r="H291" s="32"/>
      <c r="J291" s="32"/>
      <c r="K291" s="41"/>
      <c r="L291" s="32"/>
      <c r="N291" s="32"/>
      <c r="O291" s="41"/>
      <c r="P291" s="32"/>
      <c r="R291" s="32"/>
      <c r="S291" s="41"/>
      <c r="T291" s="32"/>
      <c r="V291" s="32"/>
      <c r="W291" s="41"/>
      <c r="X291" s="32"/>
      <c r="Z291" s="32"/>
      <c r="AA291" s="41"/>
      <c r="AB291" s="41"/>
      <c r="AD291" s="32"/>
      <c r="AE291" s="41"/>
    </row>
    <row r="292" spans="1:31" s="30" customFormat="1" x14ac:dyDescent="0.25">
      <c r="A292" s="36"/>
      <c r="B292" s="31"/>
      <c r="C292" s="31"/>
      <c r="D292" s="32"/>
      <c r="H292" s="32"/>
      <c r="J292" s="32"/>
      <c r="K292" s="41"/>
      <c r="L292" s="32"/>
      <c r="N292" s="32"/>
      <c r="O292" s="41"/>
      <c r="P292" s="32"/>
      <c r="R292" s="32"/>
      <c r="S292" s="41"/>
      <c r="T292" s="32"/>
      <c r="V292" s="32"/>
      <c r="W292" s="41"/>
      <c r="X292" s="32"/>
      <c r="Z292" s="32"/>
      <c r="AA292" s="41"/>
      <c r="AB292" s="41"/>
      <c r="AD292" s="32"/>
      <c r="AE292" s="41"/>
    </row>
    <row r="293" spans="1:31" s="30" customFormat="1" x14ac:dyDescent="0.25">
      <c r="A293" s="36"/>
      <c r="B293" s="31"/>
      <c r="C293" s="31"/>
      <c r="D293" s="32"/>
      <c r="H293" s="32"/>
      <c r="J293" s="32"/>
      <c r="K293" s="41"/>
      <c r="L293" s="32"/>
      <c r="N293" s="32"/>
      <c r="O293" s="41"/>
      <c r="P293" s="32"/>
      <c r="R293" s="32"/>
      <c r="S293" s="41"/>
      <c r="T293" s="32"/>
      <c r="V293" s="32"/>
      <c r="W293" s="41"/>
      <c r="X293" s="32"/>
      <c r="Z293" s="32"/>
      <c r="AA293" s="41"/>
      <c r="AB293" s="41"/>
      <c r="AD293" s="32"/>
      <c r="AE293" s="41"/>
    </row>
    <row r="294" spans="1:31" s="30" customFormat="1" x14ac:dyDescent="0.25">
      <c r="A294" s="36"/>
      <c r="B294" s="31"/>
      <c r="C294" s="31"/>
      <c r="D294" s="32"/>
      <c r="H294" s="32"/>
      <c r="J294" s="32"/>
      <c r="K294" s="41"/>
      <c r="L294" s="32"/>
      <c r="N294" s="32"/>
      <c r="O294" s="41"/>
      <c r="P294" s="32"/>
      <c r="R294" s="32"/>
      <c r="S294" s="41"/>
      <c r="T294" s="32"/>
      <c r="V294" s="32"/>
      <c r="W294" s="41"/>
      <c r="X294" s="32"/>
      <c r="Z294" s="32"/>
      <c r="AA294" s="41"/>
      <c r="AB294" s="41"/>
      <c r="AD294" s="32"/>
      <c r="AE294" s="41"/>
    </row>
    <row r="295" spans="1:31" s="30" customFormat="1" x14ac:dyDescent="0.25">
      <c r="A295" s="36"/>
      <c r="B295" s="31"/>
      <c r="C295" s="31"/>
      <c r="D295" s="32"/>
      <c r="H295" s="32"/>
      <c r="J295" s="32"/>
      <c r="K295" s="41"/>
      <c r="L295" s="32"/>
      <c r="N295" s="32"/>
      <c r="O295" s="41"/>
      <c r="P295" s="32"/>
      <c r="R295" s="32"/>
      <c r="S295" s="41"/>
      <c r="T295" s="32"/>
      <c r="V295" s="32"/>
      <c r="W295" s="41"/>
      <c r="X295" s="32"/>
      <c r="Z295" s="32"/>
      <c r="AA295" s="41"/>
      <c r="AB295" s="41"/>
      <c r="AD295" s="32"/>
      <c r="AE295" s="41"/>
    </row>
    <row r="296" spans="1:31" s="30" customFormat="1" x14ac:dyDescent="0.25">
      <c r="A296" s="36"/>
      <c r="B296" s="31"/>
      <c r="C296" s="31"/>
      <c r="D296" s="32"/>
      <c r="H296" s="32"/>
      <c r="J296" s="32"/>
      <c r="K296" s="41"/>
      <c r="L296" s="32"/>
      <c r="N296" s="32"/>
      <c r="O296" s="41"/>
      <c r="P296" s="32"/>
      <c r="R296" s="32"/>
      <c r="S296" s="41"/>
      <c r="T296" s="32"/>
      <c r="V296" s="32"/>
      <c r="W296" s="41"/>
      <c r="X296" s="32"/>
      <c r="Z296" s="32"/>
      <c r="AA296" s="41"/>
      <c r="AB296" s="41"/>
      <c r="AD296" s="32"/>
      <c r="AE296" s="41"/>
    </row>
    <row r="297" spans="1:31" s="30" customFormat="1" x14ac:dyDescent="0.25">
      <c r="A297" s="36"/>
      <c r="B297" s="31"/>
      <c r="C297" s="31"/>
      <c r="D297" s="32"/>
      <c r="H297" s="32"/>
      <c r="J297" s="32"/>
      <c r="K297" s="41"/>
      <c r="L297" s="32"/>
      <c r="N297" s="32"/>
      <c r="O297" s="41"/>
      <c r="P297" s="32"/>
      <c r="R297" s="32"/>
      <c r="S297" s="41"/>
      <c r="T297" s="32"/>
      <c r="V297" s="32"/>
      <c r="W297" s="41"/>
      <c r="X297" s="32"/>
      <c r="Z297" s="32"/>
      <c r="AA297" s="41"/>
      <c r="AB297" s="41"/>
      <c r="AD297" s="32"/>
      <c r="AE297" s="41"/>
    </row>
    <row r="298" spans="1:31" s="30" customFormat="1" x14ac:dyDescent="0.25">
      <c r="A298" s="36"/>
      <c r="B298" s="31"/>
      <c r="C298" s="31"/>
      <c r="D298" s="32"/>
      <c r="H298" s="32"/>
      <c r="J298" s="32"/>
      <c r="K298" s="41"/>
      <c r="L298" s="32"/>
      <c r="N298" s="32"/>
      <c r="O298" s="41"/>
      <c r="P298" s="32"/>
      <c r="R298" s="32"/>
      <c r="S298" s="41"/>
      <c r="T298" s="32"/>
      <c r="V298" s="32"/>
      <c r="W298" s="41"/>
      <c r="X298" s="32"/>
      <c r="Z298" s="32"/>
      <c r="AA298" s="41"/>
      <c r="AB298" s="41"/>
      <c r="AD298" s="32"/>
      <c r="AE298" s="41"/>
    </row>
    <row r="299" spans="1:31" s="30" customFormat="1" x14ac:dyDescent="0.25">
      <c r="A299" s="36"/>
      <c r="B299" s="31"/>
      <c r="C299" s="31"/>
      <c r="D299" s="32"/>
      <c r="H299" s="32"/>
      <c r="J299" s="32"/>
      <c r="K299" s="41"/>
      <c r="L299" s="32"/>
      <c r="N299" s="32"/>
      <c r="O299" s="41"/>
      <c r="P299" s="32"/>
      <c r="R299" s="32"/>
      <c r="S299" s="41"/>
      <c r="T299" s="32"/>
      <c r="V299" s="32"/>
      <c r="W299" s="41"/>
      <c r="X299" s="32"/>
      <c r="Z299" s="32"/>
      <c r="AA299" s="41"/>
      <c r="AB299" s="41"/>
      <c r="AD299" s="32"/>
      <c r="AE299" s="41"/>
    </row>
    <row r="300" spans="1:31" s="30" customFormat="1" x14ac:dyDescent="0.25">
      <c r="A300" s="36"/>
      <c r="B300" s="31"/>
      <c r="C300" s="31"/>
      <c r="D300" s="32"/>
      <c r="H300" s="32"/>
      <c r="J300" s="32"/>
      <c r="K300" s="41"/>
      <c r="L300" s="32"/>
      <c r="N300" s="32"/>
      <c r="O300" s="41"/>
      <c r="P300" s="32"/>
      <c r="R300" s="32"/>
      <c r="S300" s="41"/>
      <c r="T300" s="32"/>
      <c r="V300" s="32"/>
      <c r="W300" s="41"/>
      <c r="X300" s="32"/>
      <c r="Z300" s="32"/>
      <c r="AA300" s="41"/>
      <c r="AB300" s="41"/>
      <c r="AD300" s="32"/>
      <c r="AE300" s="41"/>
    </row>
    <row r="301" spans="1:31" s="30" customFormat="1" x14ac:dyDescent="0.25">
      <c r="A301" s="36"/>
      <c r="B301" s="31"/>
      <c r="C301" s="31"/>
      <c r="D301" s="32"/>
      <c r="H301" s="32"/>
      <c r="J301" s="32"/>
      <c r="K301" s="41"/>
      <c r="L301" s="32"/>
      <c r="N301" s="32"/>
      <c r="O301" s="41"/>
      <c r="P301" s="32"/>
      <c r="R301" s="32"/>
      <c r="S301" s="41"/>
      <c r="T301" s="32"/>
      <c r="V301" s="32"/>
      <c r="W301" s="41"/>
      <c r="X301" s="32"/>
      <c r="Z301" s="32"/>
      <c r="AA301" s="41"/>
      <c r="AB301" s="41"/>
      <c r="AD301" s="32"/>
      <c r="AE301" s="41"/>
    </row>
    <row r="302" spans="1:31" s="30" customFormat="1" x14ac:dyDescent="0.25">
      <c r="A302" s="36"/>
      <c r="B302" s="31"/>
      <c r="C302" s="31"/>
      <c r="D302" s="32"/>
      <c r="H302" s="32"/>
      <c r="J302" s="32"/>
      <c r="K302" s="41"/>
      <c r="L302" s="32"/>
      <c r="N302" s="32"/>
      <c r="O302" s="41"/>
      <c r="P302" s="32"/>
      <c r="R302" s="32"/>
      <c r="S302" s="41"/>
      <c r="T302" s="32"/>
      <c r="V302" s="32"/>
      <c r="W302" s="41"/>
      <c r="X302" s="32"/>
      <c r="Z302" s="32"/>
      <c r="AA302" s="41"/>
      <c r="AB302" s="41"/>
      <c r="AD302" s="32"/>
      <c r="AE302" s="41"/>
    </row>
    <row r="303" spans="1:31" s="30" customFormat="1" x14ac:dyDescent="0.25">
      <c r="A303" s="36"/>
      <c r="B303" s="31"/>
      <c r="C303" s="31"/>
      <c r="D303" s="32"/>
      <c r="H303" s="32"/>
      <c r="J303" s="32"/>
      <c r="K303" s="41"/>
      <c r="L303" s="32"/>
      <c r="N303" s="32"/>
      <c r="O303" s="41"/>
      <c r="P303" s="32"/>
      <c r="R303" s="32"/>
      <c r="S303" s="41"/>
      <c r="T303" s="32"/>
      <c r="V303" s="32"/>
      <c r="W303" s="41"/>
      <c r="X303" s="32"/>
      <c r="Z303" s="32"/>
      <c r="AA303" s="41"/>
      <c r="AB303" s="41"/>
      <c r="AD303" s="32"/>
      <c r="AE303" s="41"/>
    </row>
    <row r="304" spans="1:31" s="30" customFormat="1" x14ac:dyDescent="0.25">
      <c r="A304" s="36"/>
      <c r="B304" s="31"/>
      <c r="C304" s="31"/>
      <c r="D304" s="32"/>
      <c r="H304" s="32"/>
      <c r="J304" s="32"/>
      <c r="K304" s="41"/>
      <c r="L304" s="32"/>
      <c r="N304" s="32"/>
      <c r="O304" s="41"/>
      <c r="P304" s="32"/>
      <c r="R304" s="32"/>
      <c r="S304" s="41"/>
      <c r="T304" s="32"/>
      <c r="V304" s="32"/>
      <c r="W304" s="41"/>
      <c r="X304" s="32"/>
      <c r="Z304" s="32"/>
      <c r="AA304" s="41"/>
      <c r="AB304" s="41"/>
      <c r="AD304" s="32"/>
      <c r="AE304" s="41"/>
    </row>
    <row r="305" spans="1:31" s="30" customFormat="1" x14ac:dyDescent="0.25">
      <c r="A305" s="36"/>
      <c r="B305" s="31"/>
      <c r="C305" s="31"/>
      <c r="D305" s="32"/>
      <c r="H305" s="32"/>
      <c r="J305" s="32"/>
      <c r="K305" s="41"/>
      <c r="L305" s="32"/>
      <c r="N305" s="32"/>
      <c r="O305" s="41"/>
      <c r="P305" s="32"/>
      <c r="R305" s="32"/>
      <c r="S305" s="41"/>
      <c r="T305" s="32"/>
      <c r="V305" s="32"/>
      <c r="W305" s="41"/>
      <c r="X305" s="32"/>
      <c r="Z305" s="32"/>
      <c r="AA305" s="41"/>
      <c r="AB305" s="41"/>
      <c r="AD305" s="32"/>
      <c r="AE305" s="41"/>
    </row>
    <row r="306" spans="1:31" s="30" customFormat="1" x14ac:dyDescent="0.25">
      <c r="A306" s="36"/>
      <c r="B306" s="31"/>
      <c r="C306" s="31"/>
      <c r="D306" s="32"/>
      <c r="H306" s="32"/>
      <c r="J306" s="32"/>
      <c r="K306" s="41"/>
      <c r="L306" s="32"/>
      <c r="N306" s="32"/>
      <c r="O306" s="41"/>
      <c r="P306" s="32"/>
      <c r="R306" s="32"/>
      <c r="S306" s="41"/>
      <c r="T306" s="32"/>
      <c r="V306" s="32"/>
      <c r="W306" s="41"/>
      <c r="X306" s="32"/>
      <c r="Z306" s="32"/>
      <c r="AA306" s="41"/>
      <c r="AB306" s="41"/>
      <c r="AD306" s="32"/>
      <c r="AE306" s="41"/>
    </row>
    <row r="307" spans="1:31" s="30" customFormat="1" x14ac:dyDescent="0.25">
      <c r="A307" s="36"/>
      <c r="B307" s="31"/>
      <c r="C307" s="31"/>
      <c r="D307" s="32"/>
      <c r="H307" s="32"/>
      <c r="J307" s="32"/>
      <c r="K307" s="41"/>
      <c r="L307" s="32"/>
      <c r="N307" s="32"/>
      <c r="O307" s="41"/>
      <c r="P307" s="32"/>
      <c r="R307" s="32"/>
      <c r="S307" s="41"/>
      <c r="T307" s="32"/>
      <c r="V307" s="32"/>
      <c r="W307" s="41"/>
      <c r="X307" s="32"/>
      <c r="Z307" s="32"/>
      <c r="AA307" s="41"/>
      <c r="AB307" s="41"/>
      <c r="AD307" s="32"/>
      <c r="AE307" s="41"/>
    </row>
    <row r="308" spans="1:31" s="30" customFormat="1" x14ac:dyDescent="0.25">
      <c r="A308" s="36"/>
      <c r="B308" s="31"/>
      <c r="C308" s="31"/>
      <c r="D308" s="32"/>
      <c r="H308" s="32"/>
      <c r="J308" s="32"/>
      <c r="K308" s="41"/>
      <c r="L308" s="32"/>
      <c r="N308" s="32"/>
      <c r="O308" s="41"/>
      <c r="P308" s="32"/>
      <c r="R308" s="32"/>
      <c r="S308" s="41"/>
      <c r="T308" s="32"/>
      <c r="V308" s="32"/>
      <c r="W308" s="41"/>
      <c r="X308" s="32"/>
      <c r="Z308" s="32"/>
      <c r="AA308" s="41"/>
      <c r="AB308" s="41"/>
      <c r="AD308" s="32"/>
      <c r="AE308" s="41"/>
    </row>
    <row r="309" spans="1:31" s="30" customFormat="1" x14ac:dyDescent="0.25">
      <c r="A309" s="36"/>
      <c r="B309" s="31"/>
      <c r="C309" s="31"/>
      <c r="D309" s="32"/>
      <c r="H309" s="32"/>
      <c r="J309" s="32"/>
      <c r="K309" s="41"/>
      <c r="L309" s="32"/>
      <c r="N309" s="32"/>
      <c r="O309" s="41"/>
      <c r="P309" s="32"/>
      <c r="R309" s="32"/>
      <c r="S309" s="41"/>
      <c r="T309" s="32"/>
      <c r="V309" s="32"/>
      <c r="W309" s="41"/>
      <c r="X309" s="32"/>
      <c r="Z309" s="32"/>
      <c r="AA309" s="41"/>
      <c r="AB309" s="41"/>
      <c r="AD309" s="32"/>
      <c r="AE309" s="41"/>
    </row>
    <row r="310" spans="1:31" s="30" customFormat="1" x14ac:dyDescent="0.25">
      <c r="A310" s="36"/>
      <c r="B310" s="31"/>
      <c r="C310" s="31"/>
      <c r="D310" s="32"/>
      <c r="H310" s="32"/>
      <c r="J310" s="32"/>
      <c r="K310" s="41"/>
      <c r="L310" s="32"/>
      <c r="N310" s="32"/>
      <c r="O310" s="41"/>
      <c r="P310" s="32"/>
      <c r="R310" s="32"/>
      <c r="S310" s="41"/>
      <c r="T310" s="32"/>
      <c r="V310" s="32"/>
      <c r="W310" s="41"/>
      <c r="X310" s="32"/>
      <c r="Z310" s="32"/>
      <c r="AA310" s="41"/>
      <c r="AB310" s="41"/>
      <c r="AD310" s="32"/>
      <c r="AE310" s="41"/>
    </row>
    <row r="311" spans="1:31" s="30" customFormat="1" x14ac:dyDescent="0.25">
      <c r="A311" s="36"/>
      <c r="B311" s="31"/>
      <c r="C311" s="31"/>
      <c r="D311" s="32"/>
      <c r="H311" s="32"/>
      <c r="J311" s="32"/>
      <c r="K311" s="41"/>
      <c r="L311" s="32"/>
      <c r="N311" s="32"/>
      <c r="O311" s="41"/>
      <c r="P311" s="32"/>
      <c r="R311" s="32"/>
      <c r="S311" s="41"/>
      <c r="T311" s="32"/>
      <c r="V311" s="32"/>
      <c r="W311" s="41"/>
      <c r="X311" s="32"/>
      <c r="Z311" s="32"/>
      <c r="AA311" s="41"/>
      <c r="AB311" s="41"/>
      <c r="AD311" s="32"/>
      <c r="AE311" s="41"/>
    </row>
    <row r="312" spans="1:31" s="30" customFormat="1" x14ac:dyDescent="0.25">
      <c r="A312" s="36"/>
      <c r="B312" s="31"/>
      <c r="C312" s="31"/>
      <c r="D312" s="32"/>
      <c r="H312" s="32"/>
      <c r="J312" s="32"/>
      <c r="K312" s="41"/>
      <c r="L312" s="32"/>
      <c r="N312" s="32"/>
      <c r="O312" s="41"/>
      <c r="P312" s="32"/>
      <c r="R312" s="32"/>
      <c r="S312" s="41"/>
      <c r="T312" s="32"/>
      <c r="V312" s="32"/>
      <c r="W312" s="41"/>
      <c r="X312" s="32"/>
      <c r="Z312" s="32"/>
      <c r="AA312" s="41"/>
      <c r="AB312" s="41"/>
      <c r="AD312" s="32"/>
      <c r="AE312" s="41"/>
    </row>
    <row r="313" spans="1:31" s="30" customFormat="1" x14ac:dyDescent="0.25">
      <c r="A313" s="36"/>
      <c r="B313" s="31"/>
      <c r="C313" s="31"/>
      <c r="D313" s="32"/>
      <c r="H313" s="32"/>
      <c r="J313" s="32"/>
      <c r="K313" s="41"/>
      <c r="L313" s="32"/>
      <c r="N313" s="32"/>
      <c r="O313" s="41"/>
      <c r="P313" s="32"/>
      <c r="R313" s="32"/>
      <c r="S313" s="41"/>
      <c r="T313" s="32"/>
      <c r="V313" s="32"/>
      <c r="W313" s="41"/>
      <c r="X313" s="32"/>
      <c r="Z313" s="32"/>
      <c r="AA313" s="41"/>
      <c r="AB313" s="41"/>
      <c r="AD313" s="32"/>
      <c r="AE313" s="41"/>
    </row>
    <row r="314" spans="1:31" s="30" customFormat="1" x14ac:dyDescent="0.25">
      <c r="A314" s="36"/>
      <c r="B314" s="31"/>
      <c r="C314" s="31"/>
      <c r="D314" s="32"/>
      <c r="H314" s="32"/>
      <c r="J314" s="32"/>
      <c r="K314" s="41"/>
      <c r="L314" s="32"/>
      <c r="N314" s="32"/>
      <c r="O314" s="41"/>
      <c r="P314" s="32"/>
      <c r="R314" s="32"/>
      <c r="S314" s="41"/>
      <c r="T314" s="32"/>
      <c r="V314" s="32"/>
      <c r="W314" s="41"/>
      <c r="X314" s="32"/>
      <c r="Z314" s="32"/>
      <c r="AA314" s="41"/>
      <c r="AB314" s="41"/>
      <c r="AD314" s="32"/>
      <c r="AE314" s="41"/>
    </row>
    <row r="315" spans="1:31" s="30" customFormat="1" x14ac:dyDescent="0.25">
      <c r="A315" s="36"/>
      <c r="B315" s="31"/>
      <c r="C315" s="31"/>
      <c r="D315" s="32"/>
      <c r="H315" s="32"/>
      <c r="J315" s="32"/>
      <c r="K315" s="41"/>
      <c r="L315" s="32"/>
      <c r="N315" s="32"/>
      <c r="O315" s="41"/>
      <c r="P315" s="32"/>
      <c r="R315" s="32"/>
      <c r="S315" s="41"/>
      <c r="T315" s="32"/>
      <c r="V315" s="32"/>
      <c r="W315" s="41"/>
      <c r="X315" s="32"/>
      <c r="Z315" s="32"/>
      <c r="AA315" s="41"/>
      <c r="AB315" s="41"/>
      <c r="AD315" s="32"/>
      <c r="AE315" s="41"/>
    </row>
    <row r="316" spans="1:31" s="30" customFormat="1" x14ac:dyDescent="0.25">
      <c r="A316" s="36"/>
      <c r="B316" s="31"/>
      <c r="C316" s="31"/>
      <c r="D316" s="32"/>
      <c r="H316" s="32"/>
      <c r="J316" s="32"/>
      <c r="K316" s="41"/>
      <c r="L316" s="32"/>
      <c r="N316" s="32"/>
      <c r="O316" s="41"/>
      <c r="P316" s="32"/>
      <c r="R316" s="32"/>
      <c r="S316" s="41"/>
      <c r="T316" s="32"/>
      <c r="V316" s="32"/>
      <c r="W316" s="41"/>
      <c r="X316" s="32"/>
      <c r="Z316" s="32"/>
      <c r="AA316" s="41"/>
      <c r="AB316" s="41"/>
      <c r="AD316" s="32"/>
      <c r="AE316" s="41"/>
    </row>
    <row r="317" spans="1:31" s="30" customFormat="1" x14ac:dyDescent="0.25">
      <c r="A317" s="36"/>
      <c r="B317" s="31"/>
      <c r="C317" s="31"/>
      <c r="D317" s="32"/>
      <c r="H317" s="32"/>
      <c r="J317" s="32"/>
      <c r="K317" s="41"/>
      <c r="L317" s="32"/>
      <c r="N317" s="32"/>
      <c r="O317" s="41"/>
      <c r="P317" s="32"/>
      <c r="R317" s="32"/>
      <c r="S317" s="41"/>
      <c r="T317" s="32"/>
      <c r="V317" s="32"/>
      <c r="W317" s="41"/>
      <c r="X317" s="32"/>
      <c r="Z317" s="32"/>
      <c r="AA317" s="41"/>
      <c r="AB317" s="41"/>
      <c r="AD317" s="32"/>
      <c r="AE317" s="41"/>
    </row>
    <row r="318" spans="1:31" s="30" customFormat="1" x14ac:dyDescent="0.25">
      <c r="A318" s="36"/>
      <c r="B318" s="31"/>
      <c r="C318" s="31"/>
      <c r="D318" s="32"/>
      <c r="H318" s="32"/>
      <c r="J318" s="32"/>
      <c r="K318" s="41"/>
      <c r="L318" s="32"/>
      <c r="N318" s="32"/>
      <c r="O318" s="41"/>
      <c r="P318" s="32"/>
      <c r="R318" s="32"/>
      <c r="S318" s="41"/>
      <c r="T318" s="32"/>
      <c r="V318" s="32"/>
      <c r="W318" s="41"/>
      <c r="X318" s="32"/>
      <c r="Z318" s="32"/>
      <c r="AA318" s="41"/>
      <c r="AB318" s="41"/>
      <c r="AD318" s="32"/>
      <c r="AE318" s="41"/>
    </row>
    <row r="319" spans="1:31" s="30" customFormat="1" x14ac:dyDescent="0.25">
      <c r="A319" s="36"/>
      <c r="B319" s="31"/>
      <c r="C319" s="31"/>
      <c r="D319" s="32"/>
      <c r="H319" s="32"/>
      <c r="J319" s="32"/>
      <c r="K319" s="41"/>
      <c r="L319" s="32"/>
      <c r="N319" s="32"/>
      <c r="O319" s="41"/>
      <c r="P319" s="32"/>
      <c r="R319" s="32"/>
      <c r="S319" s="41"/>
      <c r="T319" s="32"/>
      <c r="V319" s="32"/>
      <c r="W319" s="41"/>
      <c r="X319" s="32"/>
      <c r="Z319" s="32"/>
      <c r="AA319" s="41"/>
      <c r="AB319" s="41"/>
      <c r="AD319" s="32"/>
      <c r="AE319" s="41"/>
    </row>
    <row r="320" spans="1:31" s="30" customFormat="1" x14ac:dyDescent="0.25">
      <c r="A320" s="36"/>
      <c r="B320" s="31"/>
      <c r="C320" s="31"/>
      <c r="D320" s="32"/>
      <c r="H320" s="32"/>
      <c r="J320" s="32"/>
      <c r="K320" s="41"/>
      <c r="L320" s="32"/>
      <c r="N320" s="32"/>
      <c r="O320" s="41"/>
      <c r="P320" s="32"/>
      <c r="R320" s="32"/>
      <c r="S320" s="41"/>
      <c r="T320" s="32"/>
      <c r="V320" s="32"/>
      <c r="W320" s="41"/>
      <c r="X320" s="32"/>
      <c r="Z320" s="32"/>
      <c r="AA320" s="41"/>
      <c r="AB320" s="41"/>
      <c r="AD320" s="32"/>
      <c r="AE320" s="41"/>
    </row>
    <row r="321" spans="1:31" s="30" customFormat="1" x14ac:dyDescent="0.25">
      <c r="A321" s="36"/>
      <c r="B321" s="31"/>
      <c r="C321" s="31"/>
      <c r="D321" s="32"/>
      <c r="H321" s="32"/>
      <c r="J321" s="32"/>
      <c r="K321" s="41"/>
      <c r="L321" s="32"/>
      <c r="N321" s="32"/>
      <c r="O321" s="41"/>
      <c r="P321" s="32"/>
      <c r="R321" s="32"/>
      <c r="S321" s="41"/>
      <c r="T321" s="32"/>
      <c r="V321" s="32"/>
      <c r="W321" s="41"/>
      <c r="X321" s="32"/>
      <c r="Z321" s="32"/>
      <c r="AA321" s="41"/>
      <c r="AB321" s="41"/>
      <c r="AD321" s="32"/>
      <c r="AE321" s="41"/>
    </row>
    <row r="322" spans="1:31" s="30" customFormat="1" x14ac:dyDescent="0.25">
      <c r="A322" s="36"/>
      <c r="B322" s="31"/>
      <c r="C322" s="31"/>
      <c r="D322" s="32"/>
      <c r="H322" s="32"/>
      <c r="J322" s="32"/>
      <c r="K322" s="41"/>
      <c r="L322" s="32"/>
      <c r="N322" s="32"/>
      <c r="O322" s="41"/>
      <c r="P322" s="32"/>
      <c r="R322" s="32"/>
      <c r="S322" s="41"/>
      <c r="T322" s="32"/>
      <c r="V322" s="32"/>
      <c r="W322" s="41"/>
      <c r="X322" s="32"/>
      <c r="Z322" s="32"/>
      <c r="AA322" s="41"/>
      <c r="AB322" s="41"/>
      <c r="AD322" s="32"/>
      <c r="AE322" s="41"/>
    </row>
    <row r="323" spans="1:31" s="30" customFormat="1" x14ac:dyDescent="0.25">
      <c r="A323" s="36"/>
      <c r="B323" s="31"/>
      <c r="C323" s="31"/>
      <c r="D323" s="32"/>
      <c r="H323" s="32"/>
      <c r="J323" s="32"/>
      <c r="K323" s="41"/>
      <c r="L323" s="32"/>
      <c r="N323" s="32"/>
      <c r="O323" s="41"/>
      <c r="P323" s="32"/>
      <c r="R323" s="32"/>
      <c r="S323" s="41"/>
      <c r="T323" s="32"/>
      <c r="V323" s="32"/>
      <c r="W323" s="41"/>
      <c r="X323" s="32"/>
      <c r="Z323" s="32"/>
      <c r="AA323" s="41"/>
      <c r="AB323" s="41"/>
      <c r="AD323" s="32"/>
      <c r="AE323" s="41"/>
    </row>
    <row r="324" spans="1:31" s="30" customFormat="1" x14ac:dyDescent="0.25">
      <c r="A324" s="36"/>
      <c r="B324" s="31"/>
      <c r="C324" s="31"/>
      <c r="D324" s="32"/>
      <c r="H324" s="32"/>
      <c r="J324" s="32"/>
      <c r="K324" s="41"/>
      <c r="L324" s="32"/>
      <c r="N324" s="32"/>
      <c r="O324" s="41"/>
      <c r="P324" s="32"/>
      <c r="R324" s="32"/>
      <c r="S324" s="41"/>
      <c r="T324" s="32"/>
      <c r="V324" s="32"/>
      <c r="W324" s="41"/>
      <c r="X324" s="32"/>
      <c r="Z324" s="32"/>
      <c r="AA324" s="41"/>
      <c r="AB324" s="41"/>
      <c r="AD324" s="32"/>
      <c r="AE324" s="41"/>
    </row>
    <row r="325" spans="1:31" s="30" customFormat="1" x14ac:dyDescent="0.25">
      <c r="A325" s="36"/>
      <c r="B325" s="31"/>
      <c r="C325" s="31"/>
      <c r="D325" s="32"/>
      <c r="H325" s="32"/>
      <c r="J325" s="32"/>
      <c r="K325" s="41"/>
      <c r="L325" s="32"/>
      <c r="N325" s="32"/>
      <c r="O325" s="41"/>
      <c r="P325" s="32"/>
      <c r="R325" s="32"/>
      <c r="S325" s="41"/>
      <c r="T325" s="32"/>
      <c r="V325" s="32"/>
      <c r="W325" s="41"/>
      <c r="X325" s="32"/>
      <c r="Z325" s="32"/>
      <c r="AA325" s="41"/>
      <c r="AB325" s="41"/>
      <c r="AD325" s="32"/>
      <c r="AE325" s="41"/>
    </row>
    <row r="326" spans="1:31" s="30" customFormat="1" x14ac:dyDescent="0.25">
      <c r="A326" s="36"/>
      <c r="B326" s="31"/>
      <c r="C326" s="31"/>
      <c r="D326" s="32"/>
      <c r="H326" s="32"/>
      <c r="J326" s="32"/>
      <c r="K326" s="41"/>
      <c r="L326" s="32"/>
      <c r="N326" s="32"/>
      <c r="O326" s="41"/>
      <c r="P326" s="32"/>
      <c r="R326" s="32"/>
      <c r="S326" s="41"/>
      <c r="T326" s="32"/>
      <c r="V326" s="32"/>
      <c r="W326" s="41"/>
      <c r="X326" s="32"/>
      <c r="Z326" s="32"/>
      <c r="AA326" s="41"/>
      <c r="AB326" s="41"/>
      <c r="AD326" s="32"/>
      <c r="AE326" s="41"/>
    </row>
    <row r="327" spans="1:31" s="30" customFormat="1" x14ac:dyDescent="0.25">
      <c r="A327" s="36"/>
      <c r="B327" s="31"/>
      <c r="C327" s="31"/>
      <c r="D327" s="32"/>
      <c r="H327" s="32"/>
      <c r="J327" s="32"/>
      <c r="K327" s="41"/>
      <c r="L327" s="32"/>
      <c r="N327" s="32"/>
      <c r="O327" s="41"/>
      <c r="P327" s="32"/>
      <c r="R327" s="32"/>
      <c r="S327" s="41"/>
      <c r="T327" s="32"/>
      <c r="V327" s="32"/>
      <c r="W327" s="41"/>
      <c r="X327" s="32"/>
      <c r="Z327" s="32"/>
      <c r="AA327" s="41"/>
      <c r="AB327" s="41"/>
      <c r="AD327" s="32"/>
      <c r="AE327" s="41"/>
    </row>
    <row r="328" spans="1:31" s="30" customFormat="1" x14ac:dyDescent="0.25">
      <c r="A328" s="36"/>
      <c r="B328" s="31"/>
      <c r="C328" s="31"/>
      <c r="D328" s="32"/>
      <c r="H328" s="32"/>
      <c r="J328" s="32"/>
      <c r="K328" s="41"/>
      <c r="L328" s="32"/>
      <c r="N328" s="32"/>
      <c r="O328" s="41"/>
      <c r="P328" s="32"/>
      <c r="R328" s="32"/>
      <c r="S328" s="41"/>
      <c r="T328" s="32"/>
      <c r="V328" s="32"/>
      <c r="W328" s="41"/>
      <c r="X328" s="32"/>
      <c r="Z328" s="32"/>
      <c r="AA328" s="41"/>
      <c r="AB328" s="41"/>
      <c r="AD328" s="32"/>
      <c r="AE328" s="41"/>
    </row>
    <row r="329" spans="1:31" s="30" customFormat="1" x14ac:dyDescent="0.25">
      <c r="A329" s="36"/>
      <c r="B329" s="31"/>
      <c r="C329" s="31"/>
      <c r="D329" s="32"/>
      <c r="H329" s="32"/>
      <c r="J329" s="32"/>
      <c r="K329" s="41"/>
      <c r="L329" s="32"/>
      <c r="N329" s="32"/>
      <c r="O329" s="41"/>
      <c r="P329" s="32"/>
      <c r="R329" s="32"/>
      <c r="S329" s="41"/>
      <c r="T329" s="32"/>
      <c r="V329" s="32"/>
      <c r="W329" s="41"/>
      <c r="X329" s="32"/>
      <c r="Z329" s="32"/>
      <c r="AA329" s="41"/>
      <c r="AB329" s="41"/>
      <c r="AD329" s="32"/>
      <c r="AE329" s="41"/>
    </row>
    <row r="330" spans="1:31" s="30" customFormat="1" x14ac:dyDescent="0.25">
      <c r="A330" s="36"/>
      <c r="B330" s="31"/>
      <c r="C330" s="31"/>
      <c r="D330" s="32"/>
      <c r="H330" s="32"/>
      <c r="J330" s="32"/>
      <c r="K330" s="41"/>
      <c r="L330" s="32"/>
      <c r="N330" s="32"/>
      <c r="O330" s="41"/>
      <c r="P330" s="32"/>
      <c r="R330" s="32"/>
      <c r="S330" s="41"/>
      <c r="T330" s="32"/>
      <c r="V330" s="32"/>
      <c r="W330" s="41"/>
      <c r="X330" s="32"/>
      <c r="Z330" s="32"/>
      <c r="AA330" s="41"/>
      <c r="AB330" s="41"/>
      <c r="AD330" s="32"/>
      <c r="AE330" s="41"/>
    </row>
    <row r="331" spans="1:31" s="30" customFormat="1" x14ac:dyDescent="0.25">
      <c r="A331" s="36"/>
      <c r="B331" s="31"/>
      <c r="C331" s="31"/>
      <c r="D331" s="32"/>
      <c r="H331" s="32"/>
      <c r="J331" s="32"/>
      <c r="K331" s="41"/>
      <c r="L331" s="32"/>
      <c r="N331" s="32"/>
      <c r="O331" s="41"/>
      <c r="P331" s="32"/>
      <c r="R331" s="32"/>
      <c r="S331" s="41"/>
      <c r="T331" s="32"/>
      <c r="V331" s="32"/>
      <c r="W331" s="41"/>
      <c r="X331" s="32"/>
      <c r="Z331" s="32"/>
      <c r="AA331" s="41"/>
      <c r="AB331" s="41"/>
      <c r="AD331" s="32"/>
      <c r="AE331" s="41"/>
    </row>
    <row r="332" spans="1:31" s="30" customFormat="1" x14ac:dyDescent="0.25">
      <c r="A332" s="36"/>
      <c r="B332" s="31"/>
      <c r="C332" s="31"/>
      <c r="D332" s="32"/>
      <c r="H332" s="32"/>
      <c r="J332" s="32"/>
      <c r="K332" s="41"/>
      <c r="L332" s="32"/>
      <c r="N332" s="32"/>
      <c r="O332" s="41"/>
      <c r="P332" s="32"/>
      <c r="R332" s="32"/>
      <c r="S332" s="41"/>
      <c r="T332" s="32"/>
      <c r="V332" s="32"/>
      <c r="W332" s="41"/>
      <c r="X332" s="32"/>
      <c r="Z332" s="32"/>
      <c r="AA332" s="41"/>
      <c r="AB332" s="41"/>
      <c r="AD332" s="32"/>
      <c r="AE332" s="41"/>
    </row>
    <row r="333" spans="1:31" s="30" customFormat="1" x14ac:dyDescent="0.25">
      <c r="A333" s="36"/>
      <c r="B333" s="31"/>
      <c r="C333" s="31"/>
      <c r="D333" s="32"/>
      <c r="H333" s="32"/>
      <c r="J333" s="32"/>
      <c r="K333" s="41"/>
      <c r="L333" s="32"/>
      <c r="N333" s="32"/>
      <c r="O333" s="41"/>
      <c r="P333" s="32"/>
      <c r="R333" s="32"/>
      <c r="S333" s="41"/>
      <c r="T333" s="32"/>
      <c r="V333" s="32"/>
      <c r="W333" s="41"/>
      <c r="X333" s="32"/>
      <c r="Z333" s="32"/>
      <c r="AA333" s="41"/>
      <c r="AB333" s="41"/>
      <c r="AD333" s="32"/>
      <c r="AE333" s="41"/>
    </row>
    <row r="334" spans="1:31" s="30" customFormat="1" x14ac:dyDescent="0.25">
      <c r="A334" s="36"/>
      <c r="B334" s="31"/>
      <c r="C334" s="31"/>
      <c r="D334" s="32"/>
      <c r="H334" s="32"/>
      <c r="J334" s="32"/>
      <c r="K334" s="41"/>
      <c r="L334" s="32"/>
      <c r="N334" s="32"/>
      <c r="O334" s="41"/>
      <c r="P334" s="32"/>
      <c r="R334" s="32"/>
      <c r="S334" s="41"/>
      <c r="T334" s="32"/>
      <c r="V334" s="32"/>
      <c r="W334" s="41"/>
      <c r="X334" s="32"/>
      <c r="Z334" s="32"/>
      <c r="AA334" s="41"/>
      <c r="AB334" s="41"/>
      <c r="AD334" s="32"/>
      <c r="AE334" s="41"/>
    </row>
    <row r="335" spans="1:31" s="30" customFormat="1" x14ac:dyDescent="0.25">
      <c r="A335" s="36"/>
      <c r="B335" s="31"/>
      <c r="C335" s="31"/>
      <c r="D335" s="32"/>
      <c r="H335" s="32"/>
      <c r="J335" s="32"/>
      <c r="K335" s="41"/>
      <c r="L335" s="32"/>
      <c r="N335" s="32"/>
      <c r="O335" s="41"/>
      <c r="P335" s="32"/>
      <c r="R335" s="32"/>
      <c r="S335" s="41"/>
      <c r="T335" s="32"/>
      <c r="V335" s="32"/>
      <c r="W335" s="41"/>
      <c r="X335" s="32"/>
      <c r="Z335" s="32"/>
      <c r="AA335" s="41"/>
      <c r="AB335" s="41"/>
      <c r="AD335" s="32"/>
      <c r="AE335" s="41"/>
    </row>
    <row r="336" spans="1:31" s="30" customFormat="1" x14ac:dyDescent="0.25">
      <c r="A336" s="36"/>
      <c r="B336" s="31"/>
      <c r="C336" s="31"/>
      <c r="D336" s="32"/>
      <c r="H336" s="32"/>
      <c r="J336" s="32"/>
      <c r="K336" s="41"/>
      <c r="L336" s="32"/>
      <c r="N336" s="32"/>
      <c r="O336" s="41"/>
      <c r="P336" s="32"/>
      <c r="R336" s="32"/>
      <c r="S336" s="41"/>
      <c r="T336" s="32"/>
      <c r="V336" s="32"/>
      <c r="W336" s="41"/>
      <c r="X336" s="32"/>
      <c r="Z336" s="32"/>
      <c r="AA336" s="41"/>
      <c r="AB336" s="41"/>
      <c r="AD336" s="32"/>
      <c r="AE336" s="41"/>
    </row>
    <row r="337" spans="1:31" s="30" customFormat="1" x14ac:dyDescent="0.25">
      <c r="A337" s="36"/>
      <c r="B337" s="31"/>
      <c r="C337" s="31"/>
      <c r="D337" s="32"/>
      <c r="H337" s="32"/>
      <c r="J337" s="32"/>
      <c r="K337" s="41"/>
      <c r="L337" s="32"/>
      <c r="N337" s="32"/>
      <c r="O337" s="41"/>
      <c r="P337" s="32"/>
      <c r="R337" s="32"/>
      <c r="S337" s="41"/>
      <c r="T337" s="32"/>
      <c r="V337" s="32"/>
      <c r="W337" s="41"/>
      <c r="X337" s="32"/>
      <c r="Z337" s="32"/>
      <c r="AA337" s="41"/>
      <c r="AB337" s="41"/>
      <c r="AD337" s="32"/>
      <c r="AE337" s="41"/>
    </row>
    <row r="338" spans="1:31" s="30" customFormat="1" x14ac:dyDescent="0.25">
      <c r="A338" s="36"/>
      <c r="B338" s="31"/>
      <c r="C338" s="31"/>
      <c r="D338" s="32"/>
      <c r="H338" s="32"/>
      <c r="J338" s="32"/>
      <c r="K338" s="41"/>
      <c r="L338" s="32"/>
      <c r="N338" s="32"/>
      <c r="O338" s="41"/>
      <c r="P338" s="32"/>
      <c r="R338" s="32"/>
      <c r="S338" s="41"/>
      <c r="T338" s="32"/>
      <c r="V338" s="32"/>
      <c r="W338" s="41"/>
      <c r="X338" s="32"/>
      <c r="Z338" s="32"/>
      <c r="AA338" s="41"/>
      <c r="AB338" s="41"/>
      <c r="AD338" s="32"/>
      <c r="AE338" s="41"/>
    </row>
    <row r="339" spans="1:31" s="30" customFormat="1" x14ac:dyDescent="0.25">
      <c r="A339" s="36"/>
      <c r="B339" s="31"/>
      <c r="C339" s="31"/>
      <c r="D339" s="32"/>
      <c r="H339" s="32"/>
      <c r="J339" s="32"/>
      <c r="K339" s="41"/>
      <c r="L339" s="32"/>
      <c r="N339" s="32"/>
      <c r="O339" s="41"/>
      <c r="P339" s="32"/>
      <c r="R339" s="32"/>
      <c r="S339" s="41"/>
      <c r="T339" s="32"/>
      <c r="V339" s="32"/>
      <c r="W339" s="41"/>
      <c r="X339" s="32"/>
      <c r="Z339" s="32"/>
      <c r="AA339" s="41"/>
      <c r="AB339" s="41"/>
      <c r="AD339" s="32"/>
      <c r="AE339" s="41"/>
    </row>
    <row r="340" spans="1:31" s="30" customFormat="1" x14ac:dyDescent="0.25">
      <c r="A340" s="36"/>
      <c r="B340" s="31"/>
      <c r="C340" s="31"/>
      <c r="D340" s="32"/>
      <c r="H340" s="32"/>
      <c r="J340" s="32"/>
      <c r="K340" s="41"/>
      <c r="L340" s="32"/>
      <c r="N340" s="32"/>
      <c r="O340" s="41"/>
      <c r="P340" s="32"/>
      <c r="R340" s="32"/>
      <c r="S340" s="41"/>
      <c r="T340" s="32"/>
      <c r="V340" s="32"/>
      <c r="W340" s="41"/>
      <c r="X340" s="32"/>
      <c r="Z340" s="32"/>
      <c r="AA340" s="41"/>
      <c r="AB340" s="41"/>
      <c r="AD340" s="32"/>
      <c r="AE340" s="41"/>
    </row>
    <row r="341" spans="1:31" s="30" customFormat="1" x14ac:dyDescent="0.25">
      <c r="A341" s="36"/>
      <c r="B341" s="31"/>
      <c r="C341" s="31"/>
      <c r="D341" s="32"/>
      <c r="H341" s="32"/>
      <c r="J341" s="32"/>
      <c r="K341" s="41"/>
      <c r="L341" s="32"/>
      <c r="N341" s="32"/>
      <c r="O341" s="41"/>
      <c r="P341" s="32"/>
      <c r="R341" s="32"/>
      <c r="S341" s="41"/>
      <c r="T341" s="32"/>
      <c r="V341" s="32"/>
      <c r="W341" s="41"/>
      <c r="X341" s="32"/>
      <c r="Z341" s="32"/>
      <c r="AA341" s="41"/>
      <c r="AB341" s="41"/>
      <c r="AD341" s="32"/>
      <c r="AE341" s="41"/>
    </row>
    <row r="342" spans="1:31" s="30" customFormat="1" x14ac:dyDescent="0.25">
      <c r="A342" s="36"/>
      <c r="B342" s="31"/>
      <c r="C342" s="31"/>
      <c r="D342" s="32"/>
      <c r="H342" s="32"/>
      <c r="J342" s="32"/>
      <c r="K342" s="41"/>
      <c r="L342" s="32"/>
      <c r="N342" s="32"/>
      <c r="O342" s="41"/>
      <c r="P342" s="32"/>
      <c r="R342" s="32"/>
      <c r="S342" s="41"/>
      <c r="T342" s="32"/>
      <c r="V342" s="32"/>
      <c r="W342" s="41"/>
      <c r="X342" s="32"/>
      <c r="Z342" s="32"/>
      <c r="AA342" s="41"/>
      <c r="AB342" s="41"/>
      <c r="AD342" s="32"/>
      <c r="AE342" s="41"/>
    </row>
    <row r="343" spans="1:31" s="30" customFormat="1" x14ac:dyDescent="0.25">
      <c r="A343" s="36"/>
      <c r="B343" s="31"/>
      <c r="C343" s="31"/>
      <c r="D343" s="32"/>
      <c r="H343" s="32"/>
      <c r="J343" s="32"/>
      <c r="K343" s="41"/>
      <c r="L343" s="32"/>
      <c r="N343" s="32"/>
      <c r="O343" s="41"/>
      <c r="P343" s="32"/>
      <c r="R343" s="32"/>
      <c r="S343" s="41"/>
      <c r="T343" s="32"/>
      <c r="V343" s="32"/>
      <c r="W343" s="41"/>
      <c r="X343" s="32"/>
      <c r="Z343" s="32"/>
      <c r="AA343" s="41"/>
      <c r="AB343" s="41"/>
      <c r="AD343" s="32"/>
      <c r="AE343" s="41"/>
    </row>
    <row r="344" spans="1:31" s="30" customFormat="1" x14ac:dyDescent="0.25">
      <c r="A344" s="36"/>
      <c r="B344" s="31"/>
      <c r="C344" s="31"/>
      <c r="D344" s="32"/>
      <c r="H344" s="32"/>
      <c r="J344" s="32"/>
      <c r="K344" s="41"/>
      <c r="L344" s="32"/>
      <c r="N344" s="32"/>
      <c r="O344" s="41"/>
      <c r="P344" s="32"/>
      <c r="R344" s="32"/>
      <c r="S344" s="41"/>
      <c r="T344" s="32"/>
      <c r="V344" s="32"/>
      <c r="W344" s="41"/>
      <c r="X344" s="32"/>
      <c r="Z344" s="32"/>
      <c r="AA344" s="41"/>
      <c r="AB344" s="41"/>
      <c r="AD344" s="32"/>
      <c r="AE344" s="41"/>
    </row>
    <row r="345" spans="1:31" s="30" customFormat="1" x14ac:dyDescent="0.25">
      <c r="A345" s="36"/>
      <c r="B345" s="31"/>
      <c r="C345" s="31"/>
      <c r="D345" s="32"/>
      <c r="H345" s="32"/>
      <c r="J345" s="32"/>
      <c r="K345" s="41"/>
      <c r="L345" s="32"/>
      <c r="N345" s="32"/>
      <c r="O345" s="41"/>
      <c r="P345" s="32"/>
      <c r="R345" s="32"/>
      <c r="S345" s="41"/>
      <c r="T345" s="32"/>
      <c r="V345" s="32"/>
      <c r="W345" s="41"/>
      <c r="X345" s="32"/>
      <c r="Z345" s="32"/>
      <c r="AA345" s="41"/>
      <c r="AB345" s="41"/>
      <c r="AD345" s="32"/>
      <c r="AE345" s="41"/>
    </row>
    <row r="346" spans="1:31" s="30" customFormat="1" x14ac:dyDescent="0.25">
      <c r="A346" s="36"/>
      <c r="B346" s="31"/>
      <c r="C346" s="31"/>
      <c r="D346" s="32"/>
      <c r="H346" s="32"/>
      <c r="J346" s="32"/>
      <c r="K346" s="41"/>
      <c r="L346" s="32"/>
      <c r="N346" s="32"/>
      <c r="O346" s="41"/>
      <c r="P346" s="32"/>
      <c r="R346" s="32"/>
      <c r="S346" s="41"/>
      <c r="T346" s="32"/>
      <c r="V346" s="32"/>
      <c r="W346" s="41"/>
      <c r="X346" s="32"/>
      <c r="Z346" s="32"/>
      <c r="AA346" s="41"/>
      <c r="AB346" s="41"/>
      <c r="AD346" s="32"/>
      <c r="AE346" s="41"/>
    </row>
    <row r="347" spans="1:31" s="30" customFormat="1" x14ac:dyDescent="0.25">
      <c r="A347" s="36"/>
      <c r="B347" s="31"/>
      <c r="C347" s="31"/>
      <c r="D347" s="32"/>
      <c r="H347" s="32"/>
      <c r="J347" s="32"/>
      <c r="K347" s="41"/>
      <c r="L347" s="32"/>
      <c r="N347" s="32"/>
      <c r="O347" s="41"/>
      <c r="P347" s="32"/>
      <c r="R347" s="32"/>
      <c r="S347" s="41"/>
      <c r="T347" s="32"/>
      <c r="V347" s="32"/>
      <c r="W347" s="41"/>
      <c r="X347" s="32"/>
      <c r="Z347" s="32"/>
      <c r="AA347" s="41"/>
      <c r="AB347" s="41"/>
      <c r="AD347" s="32"/>
      <c r="AE347" s="41"/>
    </row>
    <row r="348" spans="1:31" s="30" customFormat="1" x14ac:dyDescent="0.25">
      <c r="A348" s="36"/>
      <c r="B348" s="31"/>
      <c r="C348" s="31"/>
      <c r="D348" s="32"/>
      <c r="H348" s="32"/>
      <c r="J348" s="32"/>
      <c r="K348" s="41"/>
      <c r="L348" s="32"/>
      <c r="N348" s="32"/>
      <c r="O348" s="41"/>
      <c r="P348" s="32"/>
      <c r="R348" s="32"/>
      <c r="S348" s="41"/>
      <c r="T348" s="32"/>
      <c r="V348" s="32"/>
      <c r="W348" s="41"/>
      <c r="X348" s="32"/>
      <c r="Z348" s="32"/>
      <c r="AA348" s="41"/>
      <c r="AB348" s="41"/>
      <c r="AD348" s="32"/>
      <c r="AE348" s="41"/>
    </row>
    <row r="349" spans="1:31" s="30" customFormat="1" x14ac:dyDescent="0.25">
      <c r="A349" s="36"/>
      <c r="B349" s="31"/>
      <c r="C349" s="31"/>
      <c r="D349" s="32"/>
      <c r="H349" s="32"/>
      <c r="J349" s="32"/>
      <c r="K349" s="41"/>
      <c r="L349" s="32"/>
      <c r="N349" s="32"/>
      <c r="O349" s="41"/>
      <c r="P349" s="32"/>
      <c r="R349" s="32"/>
      <c r="S349" s="41"/>
      <c r="T349" s="32"/>
      <c r="V349" s="32"/>
      <c r="W349" s="41"/>
      <c r="X349" s="32"/>
      <c r="Z349" s="32"/>
      <c r="AA349" s="41"/>
      <c r="AB349" s="41"/>
      <c r="AD349" s="32"/>
      <c r="AE349" s="41"/>
    </row>
    <row r="350" spans="1:31" s="30" customFormat="1" x14ac:dyDescent="0.25">
      <c r="A350" s="36"/>
      <c r="B350" s="31"/>
      <c r="C350" s="31"/>
      <c r="D350" s="32"/>
      <c r="H350" s="32"/>
      <c r="J350" s="32"/>
      <c r="K350" s="41"/>
      <c r="L350" s="32"/>
      <c r="N350" s="32"/>
      <c r="O350" s="41"/>
      <c r="P350" s="32"/>
      <c r="R350" s="32"/>
      <c r="S350" s="41"/>
      <c r="T350" s="32"/>
      <c r="V350" s="32"/>
      <c r="W350" s="41"/>
      <c r="X350" s="32"/>
      <c r="Z350" s="32"/>
      <c r="AA350" s="41"/>
      <c r="AB350" s="41"/>
      <c r="AD350" s="32"/>
      <c r="AE350" s="41"/>
    </row>
    <row r="351" spans="1:31" s="30" customFormat="1" x14ac:dyDescent="0.25">
      <c r="A351" s="36"/>
      <c r="B351" s="31"/>
      <c r="C351" s="31"/>
      <c r="D351" s="32"/>
      <c r="H351" s="32"/>
      <c r="J351" s="32"/>
      <c r="K351" s="41"/>
      <c r="L351" s="32"/>
      <c r="N351" s="32"/>
      <c r="O351" s="41"/>
      <c r="P351" s="32"/>
      <c r="R351" s="32"/>
      <c r="S351" s="41"/>
      <c r="T351" s="32"/>
      <c r="V351" s="32"/>
      <c r="W351" s="41"/>
      <c r="X351" s="32"/>
      <c r="Z351" s="32"/>
      <c r="AA351" s="41"/>
      <c r="AB351" s="41"/>
      <c r="AD351" s="32"/>
      <c r="AE351" s="41"/>
    </row>
    <row r="352" spans="1:31" s="30" customFormat="1" x14ac:dyDescent="0.25">
      <c r="A352" s="36"/>
      <c r="B352" s="31"/>
      <c r="C352" s="31"/>
      <c r="D352" s="32"/>
      <c r="H352" s="32"/>
      <c r="J352" s="32"/>
      <c r="K352" s="41"/>
      <c r="L352" s="32"/>
      <c r="N352" s="32"/>
      <c r="O352" s="41"/>
      <c r="P352" s="32"/>
      <c r="R352" s="32"/>
      <c r="S352" s="41"/>
      <c r="T352" s="32"/>
      <c r="V352" s="32"/>
      <c r="W352" s="41"/>
      <c r="X352" s="32"/>
      <c r="Z352" s="32"/>
      <c r="AA352" s="41"/>
      <c r="AB352" s="41"/>
      <c r="AD352" s="32"/>
      <c r="AE352" s="41"/>
    </row>
    <row r="353" spans="1:31" s="30" customFormat="1" x14ac:dyDescent="0.25">
      <c r="A353" s="36"/>
      <c r="B353" s="31"/>
      <c r="C353" s="31"/>
      <c r="D353" s="32"/>
      <c r="H353" s="32"/>
      <c r="J353" s="32"/>
      <c r="K353" s="41"/>
      <c r="L353" s="32"/>
      <c r="N353" s="32"/>
      <c r="O353" s="41"/>
      <c r="P353" s="32"/>
      <c r="R353" s="32"/>
      <c r="S353" s="41"/>
      <c r="T353" s="32"/>
      <c r="V353" s="32"/>
      <c r="W353" s="41"/>
      <c r="X353" s="32"/>
      <c r="Z353" s="32"/>
      <c r="AA353" s="41"/>
      <c r="AB353" s="41"/>
      <c r="AD353" s="32"/>
      <c r="AE353" s="41"/>
    </row>
    <row r="354" spans="1:31" s="30" customFormat="1" x14ac:dyDescent="0.25">
      <c r="A354" s="36"/>
      <c r="B354" s="31"/>
      <c r="C354" s="31"/>
      <c r="D354" s="32"/>
      <c r="H354" s="32"/>
      <c r="J354" s="32"/>
      <c r="K354" s="41"/>
      <c r="L354" s="32"/>
      <c r="N354" s="32"/>
      <c r="O354" s="41"/>
      <c r="P354" s="32"/>
      <c r="R354" s="32"/>
      <c r="S354" s="41"/>
      <c r="T354" s="32"/>
      <c r="V354" s="32"/>
      <c r="W354" s="41"/>
      <c r="X354" s="32"/>
      <c r="Z354" s="32"/>
      <c r="AA354" s="41"/>
      <c r="AB354" s="41"/>
      <c r="AD354" s="32"/>
      <c r="AE354" s="41"/>
    </row>
    <row r="355" spans="1:31" s="30" customFormat="1" x14ac:dyDescent="0.25">
      <c r="A355" s="36"/>
      <c r="B355" s="31"/>
      <c r="C355" s="31"/>
      <c r="D355" s="32"/>
      <c r="H355" s="32"/>
      <c r="J355" s="32"/>
      <c r="K355" s="41"/>
      <c r="L355" s="32"/>
      <c r="N355" s="32"/>
      <c r="O355" s="41"/>
      <c r="P355" s="32"/>
      <c r="R355" s="32"/>
      <c r="S355" s="41"/>
      <c r="T355" s="32"/>
      <c r="V355" s="32"/>
      <c r="W355" s="41"/>
      <c r="X355" s="32"/>
      <c r="Z355" s="32"/>
      <c r="AA355" s="41"/>
      <c r="AB355" s="41"/>
      <c r="AD355" s="32"/>
      <c r="AE355" s="41"/>
    </row>
    <row r="356" spans="1:31" s="30" customFormat="1" x14ac:dyDescent="0.25">
      <c r="A356" s="36"/>
      <c r="B356" s="31"/>
      <c r="C356" s="31"/>
      <c r="D356" s="32"/>
      <c r="H356" s="32"/>
      <c r="J356" s="32"/>
      <c r="K356" s="41"/>
      <c r="L356" s="32"/>
      <c r="N356" s="32"/>
      <c r="O356" s="41"/>
      <c r="P356" s="32"/>
      <c r="R356" s="32"/>
      <c r="S356" s="41"/>
      <c r="T356" s="32"/>
      <c r="V356" s="32"/>
      <c r="W356" s="41"/>
      <c r="X356" s="32"/>
      <c r="Z356" s="32"/>
      <c r="AA356" s="41"/>
      <c r="AB356" s="41"/>
      <c r="AD356" s="32"/>
      <c r="AE356" s="41"/>
    </row>
    <row r="357" spans="1:31" s="30" customFormat="1" x14ac:dyDescent="0.25">
      <c r="A357" s="36"/>
      <c r="B357" s="31"/>
      <c r="C357" s="31"/>
      <c r="D357" s="32"/>
      <c r="H357" s="32"/>
      <c r="J357" s="32"/>
      <c r="K357" s="41"/>
      <c r="L357" s="32"/>
      <c r="N357" s="32"/>
      <c r="O357" s="41"/>
      <c r="P357" s="32"/>
      <c r="R357" s="32"/>
      <c r="S357" s="41"/>
      <c r="T357" s="32"/>
      <c r="V357" s="32"/>
      <c r="W357" s="41"/>
      <c r="X357" s="32"/>
      <c r="Z357" s="32"/>
      <c r="AA357" s="41"/>
      <c r="AB357" s="41"/>
      <c r="AD357" s="32"/>
      <c r="AE357" s="41"/>
    </row>
    <row r="358" spans="1:31" s="30" customFormat="1" x14ac:dyDescent="0.25">
      <c r="A358" s="36"/>
      <c r="B358" s="31"/>
      <c r="C358" s="31"/>
      <c r="D358" s="32"/>
      <c r="H358" s="32"/>
      <c r="J358" s="32"/>
      <c r="K358" s="41"/>
      <c r="L358" s="32"/>
      <c r="N358" s="32"/>
      <c r="O358" s="41"/>
      <c r="P358" s="32"/>
      <c r="R358" s="32"/>
      <c r="S358" s="41"/>
      <c r="T358" s="32"/>
      <c r="V358" s="32"/>
      <c r="W358" s="41"/>
      <c r="X358" s="32"/>
      <c r="Z358" s="32"/>
      <c r="AA358" s="41"/>
      <c r="AB358" s="41"/>
      <c r="AD358" s="32"/>
      <c r="AE358" s="41"/>
    </row>
    <row r="359" spans="1:31" s="30" customFormat="1" x14ac:dyDescent="0.25">
      <c r="A359" s="36"/>
      <c r="B359" s="31"/>
      <c r="C359" s="31"/>
      <c r="D359" s="32"/>
      <c r="H359" s="32"/>
      <c r="J359" s="32"/>
      <c r="K359" s="41"/>
      <c r="L359" s="32"/>
      <c r="N359" s="32"/>
      <c r="O359" s="41"/>
      <c r="P359" s="32"/>
      <c r="R359" s="32"/>
      <c r="S359" s="41"/>
      <c r="T359" s="32"/>
      <c r="V359" s="32"/>
      <c r="W359" s="41"/>
      <c r="X359" s="32"/>
      <c r="Z359" s="32"/>
      <c r="AA359" s="41"/>
      <c r="AB359" s="41"/>
      <c r="AD359" s="32"/>
      <c r="AE359" s="41"/>
    </row>
    <row r="360" spans="1:31" s="30" customFormat="1" x14ac:dyDescent="0.25">
      <c r="A360" s="36"/>
      <c r="B360" s="31"/>
      <c r="C360" s="31"/>
      <c r="D360" s="32"/>
      <c r="H360" s="32"/>
      <c r="J360" s="32"/>
      <c r="K360" s="41"/>
      <c r="L360" s="32"/>
      <c r="N360" s="32"/>
      <c r="O360" s="41"/>
      <c r="P360" s="32"/>
      <c r="R360" s="32"/>
      <c r="S360" s="41"/>
      <c r="T360" s="32"/>
      <c r="V360" s="32"/>
      <c r="W360" s="41"/>
      <c r="X360" s="32"/>
      <c r="Z360" s="32"/>
      <c r="AA360" s="41"/>
      <c r="AB360" s="41"/>
      <c r="AD360" s="32"/>
      <c r="AE360" s="41"/>
    </row>
    <row r="361" spans="1:31" s="30" customFormat="1" x14ac:dyDescent="0.25">
      <c r="A361" s="36"/>
      <c r="B361" s="31"/>
      <c r="C361" s="31"/>
      <c r="D361" s="32"/>
      <c r="H361" s="32"/>
      <c r="J361" s="32"/>
      <c r="K361" s="41"/>
      <c r="L361" s="32"/>
      <c r="N361" s="32"/>
      <c r="O361" s="41"/>
      <c r="P361" s="32"/>
      <c r="R361" s="32"/>
      <c r="S361" s="41"/>
      <c r="T361" s="32"/>
      <c r="V361" s="32"/>
      <c r="W361" s="41"/>
      <c r="X361" s="32"/>
      <c r="Z361" s="32"/>
      <c r="AA361" s="41"/>
      <c r="AB361" s="41"/>
      <c r="AD361" s="32"/>
      <c r="AE361" s="41"/>
    </row>
    <row r="362" spans="1:31" s="30" customFormat="1" x14ac:dyDescent="0.25">
      <c r="A362" s="36"/>
      <c r="B362" s="31"/>
      <c r="C362" s="31"/>
      <c r="D362" s="32"/>
      <c r="H362" s="32"/>
      <c r="J362" s="32"/>
      <c r="K362" s="41"/>
      <c r="L362" s="32"/>
      <c r="N362" s="32"/>
      <c r="O362" s="41"/>
      <c r="P362" s="32"/>
      <c r="R362" s="32"/>
      <c r="S362" s="41"/>
      <c r="T362" s="32"/>
      <c r="V362" s="32"/>
      <c r="W362" s="41"/>
      <c r="X362" s="32"/>
      <c r="Z362" s="32"/>
      <c r="AA362" s="41"/>
      <c r="AB362" s="41"/>
      <c r="AD362" s="32"/>
      <c r="AE362" s="41"/>
    </row>
    <row r="363" spans="1:31" s="30" customFormat="1" x14ac:dyDescent="0.25">
      <c r="A363" s="36"/>
      <c r="B363" s="31"/>
      <c r="C363" s="31"/>
      <c r="D363" s="32"/>
      <c r="H363" s="32"/>
      <c r="J363" s="32"/>
      <c r="K363" s="41"/>
      <c r="L363" s="32"/>
      <c r="N363" s="32"/>
      <c r="O363" s="41"/>
      <c r="P363" s="32"/>
      <c r="R363" s="32"/>
      <c r="S363" s="41"/>
      <c r="T363" s="32"/>
      <c r="V363" s="32"/>
      <c r="W363" s="41"/>
      <c r="X363" s="32"/>
      <c r="Z363" s="32"/>
      <c r="AA363" s="41"/>
      <c r="AB363" s="41"/>
      <c r="AD363" s="32"/>
      <c r="AE363" s="41"/>
    </row>
    <row r="364" spans="1:31" s="30" customFormat="1" x14ac:dyDescent="0.25">
      <c r="A364" s="36"/>
      <c r="B364" s="31"/>
      <c r="C364" s="31"/>
      <c r="D364" s="32"/>
      <c r="H364" s="32"/>
      <c r="J364" s="32"/>
      <c r="K364" s="41"/>
      <c r="L364" s="32"/>
      <c r="N364" s="32"/>
      <c r="O364" s="41"/>
      <c r="P364" s="32"/>
      <c r="R364" s="32"/>
      <c r="S364" s="41"/>
      <c r="T364" s="32"/>
      <c r="V364" s="32"/>
      <c r="W364" s="41"/>
      <c r="X364" s="32"/>
      <c r="Z364" s="32"/>
      <c r="AA364" s="41"/>
      <c r="AB364" s="41"/>
      <c r="AD364" s="32"/>
      <c r="AE364" s="41"/>
    </row>
    <row r="365" spans="1:31" s="30" customFormat="1" x14ac:dyDescent="0.25">
      <c r="A365" s="36"/>
      <c r="B365" s="31"/>
      <c r="C365" s="31"/>
      <c r="D365" s="32"/>
      <c r="H365" s="32"/>
      <c r="J365" s="32"/>
      <c r="K365" s="41"/>
      <c r="L365" s="32"/>
      <c r="N365" s="32"/>
      <c r="O365" s="41"/>
      <c r="P365" s="32"/>
      <c r="R365" s="32"/>
      <c r="S365" s="41"/>
      <c r="T365" s="32"/>
      <c r="V365" s="32"/>
      <c r="W365" s="41"/>
      <c r="X365" s="32"/>
      <c r="Z365" s="32"/>
      <c r="AA365" s="41"/>
      <c r="AB365" s="41"/>
      <c r="AD365" s="32"/>
      <c r="AE365" s="41"/>
    </row>
    <row r="366" spans="1:31" s="30" customFormat="1" x14ac:dyDescent="0.25">
      <c r="A366" s="36"/>
      <c r="B366" s="31"/>
      <c r="C366" s="31"/>
      <c r="D366" s="32"/>
      <c r="H366" s="32"/>
      <c r="J366" s="32"/>
      <c r="K366" s="41"/>
      <c r="L366" s="32"/>
      <c r="N366" s="32"/>
      <c r="O366" s="41"/>
      <c r="P366" s="32"/>
      <c r="R366" s="32"/>
      <c r="S366" s="41"/>
      <c r="T366" s="32"/>
      <c r="V366" s="32"/>
      <c r="W366" s="41"/>
      <c r="X366" s="32"/>
      <c r="Z366" s="32"/>
      <c r="AA366" s="41"/>
      <c r="AB366" s="41"/>
      <c r="AD366" s="32"/>
      <c r="AE366" s="41"/>
    </row>
    <row r="367" spans="1:31" s="30" customFormat="1" x14ac:dyDescent="0.25">
      <c r="A367" s="36"/>
      <c r="B367" s="31"/>
      <c r="C367" s="31"/>
      <c r="D367" s="32"/>
      <c r="H367" s="32"/>
      <c r="J367" s="32"/>
      <c r="K367" s="41"/>
      <c r="L367" s="32"/>
      <c r="N367" s="32"/>
      <c r="O367" s="41"/>
      <c r="P367" s="32"/>
      <c r="R367" s="32"/>
      <c r="S367" s="41"/>
      <c r="T367" s="32"/>
      <c r="V367" s="32"/>
      <c r="W367" s="41"/>
      <c r="X367" s="32"/>
      <c r="Z367" s="32"/>
      <c r="AA367" s="41"/>
      <c r="AB367" s="41"/>
      <c r="AD367" s="32"/>
      <c r="AE367" s="41"/>
    </row>
    <row r="368" spans="1:31" s="30" customFormat="1" x14ac:dyDescent="0.25">
      <c r="A368" s="36"/>
      <c r="B368" s="31"/>
      <c r="C368" s="31"/>
      <c r="D368" s="32"/>
      <c r="H368" s="32"/>
      <c r="J368" s="32"/>
      <c r="K368" s="41"/>
      <c r="L368" s="32"/>
      <c r="N368" s="32"/>
      <c r="O368" s="41"/>
      <c r="P368" s="32"/>
      <c r="R368" s="32"/>
      <c r="S368" s="41"/>
      <c r="T368" s="32"/>
      <c r="V368" s="32"/>
      <c r="W368" s="41"/>
      <c r="X368" s="32"/>
      <c r="Z368" s="32"/>
      <c r="AA368" s="41"/>
      <c r="AB368" s="41"/>
      <c r="AD368" s="32"/>
      <c r="AE368" s="41"/>
    </row>
    <row r="369" spans="1:31" s="30" customFormat="1" x14ac:dyDescent="0.25">
      <c r="A369" s="36"/>
      <c r="B369" s="31"/>
      <c r="C369" s="31"/>
      <c r="D369" s="32"/>
      <c r="H369" s="32"/>
      <c r="J369" s="32"/>
      <c r="K369" s="41"/>
      <c r="L369" s="32"/>
      <c r="N369" s="32"/>
      <c r="O369" s="41"/>
      <c r="P369" s="32"/>
      <c r="R369" s="32"/>
      <c r="S369" s="41"/>
      <c r="T369" s="32"/>
      <c r="V369" s="32"/>
      <c r="W369" s="41"/>
      <c r="X369" s="32"/>
      <c r="Z369" s="32"/>
      <c r="AA369" s="41"/>
      <c r="AB369" s="41"/>
      <c r="AD369" s="32"/>
      <c r="AE369" s="41"/>
    </row>
    <row r="370" spans="1:31" s="30" customFormat="1" x14ac:dyDescent="0.25">
      <c r="A370" s="36"/>
      <c r="B370" s="31"/>
      <c r="C370" s="31"/>
      <c r="D370" s="32"/>
      <c r="H370" s="32"/>
      <c r="J370" s="32"/>
      <c r="K370" s="41"/>
      <c r="L370" s="32"/>
      <c r="N370" s="32"/>
      <c r="O370" s="41"/>
      <c r="P370" s="32"/>
      <c r="R370" s="32"/>
      <c r="S370" s="41"/>
      <c r="T370" s="32"/>
      <c r="V370" s="32"/>
      <c r="W370" s="41"/>
      <c r="X370" s="32"/>
      <c r="Z370" s="32"/>
      <c r="AA370" s="41"/>
      <c r="AB370" s="41"/>
      <c r="AD370" s="32"/>
      <c r="AE370" s="41"/>
    </row>
    <row r="371" spans="1:31" s="30" customFormat="1" x14ac:dyDescent="0.25">
      <c r="A371" s="36"/>
      <c r="B371" s="31"/>
      <c r="C371" s="31"/>
      <c r="D371" s="32"/>
      <c r="H371" s="32"/>
      <c r="J371" s="32"/>
      <c r="K371" s="41"/>
      <c r="L371" s="32"/>
      <c r="N371" s="32"/>
      <c r="O371" s="41"/>
      <c r="P371" s="32"/>
      <c r="R371" s="32"/>
      <c r="S371" s="41"/>
      <c r="T371" s="32"/>
      <c r="V371" s="32"/>
      <c r="W371" s="41"/>
      <c r="X371" s="32"/>
      <c r="Z371" s="32"/>
      <c r="AA371" s="41"/>
      <c r="AB371" s="41"/>
      <c r="AD371" s="32"/>
      <c r="AE371" s="41"/>
    </row>
    <row r="372" spans="1:31" s="30" customFormat="1" x14ac:dyDescent="0.25">
      <c r="A372" s="36"/>
      <c r="B372" s="31"/>
      <c r="C372" s="31"/>
      <c r="D372" s="32"/>
      <c r="H372" s="32"/>
      <c r="J372" s="32"/>
      <c r="K372" s="41"/>
      <c r="L372" s="32"/>
      <c r="N372" s="32"/>
      <c r="O372" s="41"/>
      <c r="P372" s="32"/>
      <c r="R372" s="32"/>
      <c r="S372" s="41"/>
      <c r="T372" s="32"/>
      <c r="V372" s="32"/>
      <c r="W372" s="41"/>
      <c r="X372" s="32"/>
      <c r="Z372" s="32"/>
      <c r="AA372" s="41"/>
      <c r="AB372" s="41"/>
      <c r="AD372" s="32"/>
      <c r="AE372" s="41"/>
    </row>
    <row r="373" spans="1:31" s="30" customFormat="1" x14ac:dyDescent="0.25">
      <c r="A373" s="36"/>
      <c r="B373" s="31"/>
      <c r="C373" s="31"/>
      <c r="D373" s="32"/>
      <c r="H373" s="32"/>
      <c r="J373" s="32"/>
      <c r="K373" s="41"/>
      <c r="L373" s="32"/>
      <c r="N373" s="32"/>
      <c r="O373" s="41"/>
      <c r="P373" s="32"/>
      <c r="R373" s="32"/>
      <c r="S373" s="41"/>
      <c r="T373" s="32"/>
      <c r="V373" s="32"/>
      <c r="W373" s="41"/>
      <c r="X373" s="32"/>
      <c r="Z373" s="32"/>
      <c r="AA373" s="41"/>
      <c r="AB373" s="41"/>
      <c r="AD373" s="32"/>
      <c r="AE373" s="41"/>
    </row>
    <row r="374" spans="1:31" s="30" customFormat="1" x14ac:dyDescent="0.25">
      <c r="A374" s="36"/>
      <c r="B374" s="31"/>
      <c r="C374" s="31"/>
      <c r="D374" s="32"/>
      <c r="H374" s="32"/>
      <c r="J374" s="32"/>
      <c r="K374" s="41"/>
      <c r="L374" s="32"/>
      <c r="N374" s="32"/>
      <c r="O374" s="41"/>
      <c r="P374" s="32"/>
      <c r="R374" s="32"/>
      <c r="S374" s="41"/>
      <c r="T374" s="32"/>
      <c r="V374" s="32"/>
      <c r="W374" s="41"/>
      <c r="X374" s="32"/>
      <c r="Z374" s="32"/>
      <c r="AA374" s="41"/>
      <c r="AB374" s="41"/>
      <c r="AD374" s="32"/>
      <c r="AE374" s="41"/>
    </row>
    <row r="375" spans="1:31" s="30" customFormat="1" x14ac:dyDescent="0.25">
      <c r="A375" s="36"/>
      <c r="B375" s="31"/>
      <c r="C375" s="31"/>
      <c r="D375" s="32"/>
      <c r="H375" s="32"/>
      <c r="J375" s="32"/>
      <c r="K375" s="41"/>
      <c r="L375" s="32"/>
      <c r="N375" s="32"/>
      <c r="O375" s="41"/>
      <c r="P375" s="32"/>
      <c r="R375" s="32"/>
      <c r="S375" s="41"/>
      <c r="T375" s="32"/>
      <c r="V375" s="32"/>
      <c r="W375" s="41"/>
      <c r="X375" s="32"/>
      <c r="Z375" s="32"/>
      <c r="AA375" s="41"/>
      <c r="AB375" s="41"/>
      <c r="AD375" s="32"/>
      <c r="AE375" s="41"/>
    </row>
    <row r="376" spans="1:31" s="30" customFormat="1" x14ac:dyDescent="0.25">
      <c r="A376" s="36"/>
      <c r="B376" s="31"/>
      <c r="C376" s="31"/>
      <c r="D376" s="32"/>
      <c r="H376" s="32"/>
      <c r="J376" s="32"/>
      <c r="K376" s="41"/>
      <c r="L376" s="32"/>
      <c r="N376" s="32"/>
      <c r="O376" s="41"/>
      <c r="P376" s="32"/>
      <c r="R376" s="32"/>
      <c r="S376" s="41"/>
      <c r="T376" s="32"/>
      <c r="V376" s="32"/>
      <c r="W376" s="41"/>
      <c r="X376" s="32"/>
      <c r="Z376" s="32"/>
      <c r="AA376" s="41"/>
      <c r="AB376" s="41"/>
      <c r="AD376" s="32"/>
      <c r="AE376" s="41"/>
    </row>
    <row r="377" spans="1:31" s="30" customFormat="1" x14ac:dyDescent="0.25">
      <c r="A377" s="36"/>
      <c r="B377" s="31"/>
      <c r="C377" s="31"/>
      <c r="D377" s="32"/>
      <c r="H377" s="32"/>
      <c r="J377" s="32"/>
      <c r="K377" s="41"/>
      <c r="L377" s="32"/>
      <c r="N377" s="32"/>
      <c r="O377" s="41"/>
      <c r="P377" s="32"/>
      <c r="R377" s="32"/>
      <c r="S377" s="41"/>
      <c r="T377" s="32"/>
      <c r="V377" s="32"/>
      <c r="W377" s="41"/>
      <c r="X377" s="32"/>
      <c r="Z377" s="32"/>
      <c r="AA377" s="41"/>
      <c r="AB377" s="41"/>
      <c r="AD377" s="32"/>
      <c r="AE377" s="41"/>
    </row>
    <row r="378" spans="1:31" s="30" customFormat="1" x14ac:dyDescent="0.25">
      <c r="A378" s="36"/>
      <c r="B378" s="31"/>
      <c r="C378" s="31"/>
      <c r="D378" s="32"/>
      <c r="H378" s="32"/>
      <c r="J378" s="32"/>
      <c r="K378" s="41"/>
      <c r="L378" s="32"/>
      <c r="N378" s="32"/>
      <c r="O378" s="41"/>
      <c r="P378" s="32"/>
      <c r="R378" s="32"/>
      <c r="S378" s="41"/>
      <c r="T378" s="32"/>
      <c r="V378" s="32"/>
      <c r="W378" s="41"/>
      <c r="X378" s="32"/>
      <c r="Z378" s="32"/>
      <c r="AA378" s="41"/>
      <c r="AB378" s="41"/>
      <c r="AD378" s="32"/>
      <c r="AE378" s="41"/>
    </row>
    <row r="379" spans="1:31" s="30" customFormat="1" x14ac:dyDescent="0.25">
      <c r="A379" s="36"/>
      <c r="B379" s="31"/>
      <c r="C379" s="31"/>
      <c r="D379" s="32"/>
      <c r="H379" s="32"/>
      <c r="J379" s="32"/>
      <c r="K379" s="41"/>
      <c r="L379" s="32"/>
      <c r="N379" s="32"/>
      <c r="O379" s="41"/>
      <c r="P379" s="32"/>
      <c r="R379" s="32"/>
      <c r="S379" s="41"/>
      <c r="T379" s="32"/>
      <c r="V379" s="32"/>
      <c r="W379" s="41"/>
      <c r="X379" s="32"/>
      <c r="Z379" s="32"/>
      <c r="AA379" s="41"/>
      <c r="AB379" s="41"/>
      <c r="AD379" s="32"/>
      <c r="AE379" s="41"/>
    </row>
    <row r="380" spans="1:31" s="30" customFormat="1" x14ac:dyDescent="0.25">
      <c r="A380" s="36"/>
      <c r="B380" s="31"/>
      <c r="C380" s="31"/>
      <c r="D380" s="32"/>
      <c r="H380" s="32"/>
      <c r="J380" s="32"/>
      <c r="K380" s="41"/>
      <c r="L380" s="32"/>
      <c r="N380" s="32"/>
      <c r="O380" s="41"/>
      <c r="P380" s="32"/>
      <c r="R380" s="32"/>
      <c r="S380" s="41"/>
      <c r="T380" s="32"/>
      <c r="V380" s="32"/>
      <c r="W380" s="41"/>
      <c r="X380" s="32"/>
      <c r="Z380" s="32"/>
      <c r="AA380" s="41"/>
      <c r="AB380" s="41"/>
      <c r="AD380" s="32"/>
      <c r="AE380" s="41"/>
    </row>
    <row r="381" spans="1:31" s="30" customFormat="1" x14ac:dyDescent="0.25">
      <c r="A381" s="36"/>
      <c r="B381" s="31"/>
      <c r="C381" s="31"/>
      <c r="D381" s="32"/>
      <c r="H381" s="32"/>
      <c r="J381" s="32"/>
      <c r="K381" s="41"/>
      <c r="L381" s="32"/>
      <c r="N381" s="32"/>
      <c r="O381" s="41"/>
      <c r="P381" s="32"/>
      <c r="R381" s="32"/>
      <c r="S381" s="41"/>
      <c r="T381" s="32"/>
      <c r="V381" s="32"/>
      <c r="W381" s="41"/>
      <c r="X381" s="32"/>
      <c r="Z381" s="32"/>
      <c r="AA381" s="41"/>
      <c r="AB381" s="41"/>
      <c r="AD381" s="32"/>
      <c r="AE381" s="41"/>
    </row>
    <row r="382" spans="1:31" s="30" customFormat="1" x14ac:dyDescent="0.25">
      <c r="A382" s="36"/>
      <c r="B382" s="31"/>
      <c r="C382" s="31"/>
      <c r="D382" s="32"/>
      <c r="H382" s="32"/>
      <c r="J382" s="32"/>
      <c r="K382" s="41"/>
      <c r="L382" s="32"/>
      <c r="N382" s="32"/>
      <c r="O382" s="41"/>
      <c r="P382" s="32"/>
      <c r="R382" s="32"/>
      <c r="S382" s="41"/>
      <c r="T382" s="32"/>
      <c r="V382" s="32"/>
      <c r="W382" s="41"/>
      <c r="X382" s="32"/>
      <c r="Z382" s="32"/>
      <c r="AA382" s="41"/>
      <c r="AB382" s="41"/>
      <c r="AD382" s="32"/>
      <c r="AE382" s="41"/>
    </row>
    <row r="383" spans="1:31" s="30" customFormat="1" x14ac:dyDescent="0.25">
      <c r="A383" s="36"/>
      <c r="B383" s="31"/>
      <c r="C383" s="31"/>
      <c r="D383" s="32"/>
      <c r="H383" s="32"/>
      <c r="J383" s="32"/>
      <c r="K383" s="41"/>
      <c r="L383" s="32"/>
      <c r="N383" s="32"/>
      <c r="O383" s="41"/>
      <c r="P383" s="32"/>
      <c r="R383" s="32"/>
      <c r="S383" s="41"/>
      <c r="T383" s="32"/>
      <c r="V383" s="32"/>
      <c r="W383" s="41"/>
      <c r="X383" s="32"/>
      <c r="Z383" s="32"/>
      <c r="AA383" s="41"/>
      <c r="AB383" s="41"/>
      <c r="AD383" s="32"/>
      <c r="AE383" s="41"/>
    </row>
    <row r="384" spans="1:31" s="30" customFormat="1" x14ac:dyDescent="0.25">
      <c r="A384" s="36"/>
      <c r="B384" s="31"/>
      <c r="C384" s="31"/>
      <c r="D384" s="32"/>
      <c r="H384" s="32"/>
      <c r="J384" s="32"/>
      <c r="K384" s="41"/>
      <c r="L384" s="32"/>
      <c r="N384" s="32"/>
      <c r="O384" s="41"/>
      <c r="P384" s="32"/>
      <c r="R384" s="32"/>
      <c r="S384" s="41"/>
      <c r="T384" s="32"/>
      <c r="V384" s="32"/>
      <c r="W384" s="41"/>
      <c r="X384" s="32"/>
      <c r="Z384" s="32"/>
      <c r="AA384" s="41"/>
      <c r="AB384" s="41"/>
      <c r="AD384" s="32"/>
      <c r="AE384" s="41"/>
    </row>
    <row r="385" spans="1:31" s="30" customFormat="1" x14ac:dyDescent="0.25">
      <c r="A385" s="36"/>
      <c r="B385" s="31"/>
      <c r="C385" s="31"/>
      <c r="D385" s="32"/>
      <c r="H385" s="32"/>
      <c r="J385" s="32"/>
      <c r="K385" s="41"/>
      <c r="L385" s="32"/>
      <c r="N385" s="32"/>
      <c r="O385" s="41"/>
      <c r="P385" s="32"/>
      <c r="R385" s="32"/>
      <c r="S385" s="41"/>
      <c r="T385" s="32"/>
      <c r="V385" s="32"/>
      <c r="W385" s="41"/>
      <c r="X385" s="32"/>
      <c r="Z385" s="32"/>
      <c r="AA385" s="41"/>
      <c r="AB385" s="41"/>
      <c r="AD385" s="32"/>
      <c r="AE385" s="41"/>
    </row>
    <row r="386" spans="1:31" s="30" customFormat="1" x14ac:dyDescent="0.25">
      <c r="A386" s="36"/>
      <c r="B386" s="31"/>
      <c r="C386" s="31"/>
      <c r="D386" s="32"/>
      <c r="H386" s="32"/>
      <c r="J386" s="32"/>
      <c r="K386" s="41"/>
      <c r="L386" s="32"/>
      <c r="N386" s="32"/>
      <c r="O386" s="41"/>
      <c r="P386" s="32"/>
      <c r="R386" s="32"/>
      <c r="S386" s="41"/>
      <c r="T386" s="32"/>
      <c r="V386" s="32"/>
      <c r="W386" s="41"/>
      <c r="X386" s="32"/>
      <c r="Z386" s="32"/>
      <c r="AA386" s="41"/>
      <c r="AB386" s="41"/>
      <c r="AD386" s="32"/>
      <c r="AE386" s="41"/>
    </row>
    <row r="387" spans="1:31" s="30" customFormat="1" x14ac:dyDescent="0.25">
      <c r="A387" s="36"/>
      <c r="B387" s="31"/>
      <c r="C387" s="31"/>
      <c r="D387" s="32"/>
      <c r="H387" s="32"/>
      <c r="J387" s="32"/>
      <c r="K387" s="41"/>
      <c r="L387" s="32"/>
      <c r="N387" s="32"/>
      <c r="O387" s="41"/>
      <c r="P387" s="32"/>
      <c r="R387" s="32"/>
      <c r="S387" s="41"/>
      <c r="T387" s="32"/>
      <c r="V387" s="32"/>
      <c r="W387" s="41"/>
      <c r="X387" s="32"/>
      <c r="Z387" s="32"/>
      <c r="AA387" s="41"/>
      <c r="AB387" s="41"/>
      <c r="AD387" s="32"/>
      <c r="AE387" s="41"/>
    </row>
    <row r="388" spans="1:31" s="30" customFormat="1" x14ac:dyDescent="0.25">
      <c r="A388" s="36"/>
      <c r="B388" s="31"/>
      <c r="C388" s="31"/>
      <c r="D388" s="32"/>
      <c r="H388" s="32"/>
      <c r="J388" s="32"/>
      <c r="K388" s="41"/>
      <c r="L388" s="32"/>
      <c r="N388" s="32"/>
      <c r="O388" s="41"/>
      <c r="P388" s="32"/>
      <c r="R388" s="32"/>
      <c r="S388" s="41"/>
      <c r="T388" s="32"/>
      <c r="V388" s="32"/>
      <c r="W388" s="41"/>
      <c r="X388" s="32"/>
      <c r="Z388" s="32"/>
      <c r="AA388" s="41"/>
      <c r="AB388" s="41"/>
      <c r="AD388" s="32"/>
      <c r="AE388" s="41"/>
    </row>
    <row r="389" spans="1:31" s="30" customFormat="1" x14ac:dyDescent="0.25">
      <c r="A389" s="36"/>
      <c r="B389" s="31"/>
      <c r="C389" s="31"/>
      <c r="D389" s="32"/>
      <c r="H389" s="32"/>
      <c r="J389" s="32"/>
      <c r="K389" s="41"/>
      <c r="L389" s="32"/>
      <c r="N389" s="32"/>
      <c r="O389" s="41"/>
      <c r="P389" s="32"/>
      <c r="R389" s="32"/>
      <c r="S389" s="41"/>
      <c r="T389" s="32"/>
      <c r="V389" s="32"/>
      <c r="W389" s="41"/>
      <c r="X389" s="32"/>
      <c r="Z389" s="32"/>
      <c r="AA389" s="41"/>
      <c r="AB389" s="41"/>
      <c r="AD389" s="32"/>
      <c r="AE389" s="41"/>
    </row>
    <row r="390" spans="1:31" s="30" customFormat="1" x14ac:dyDescent="0.25">
      <c r="A390" s="36"/>
      <c r="B390" s="31"/>
      <c r="C390" s="31"/>
      <c r="D390" s="32"/>
      <c r="H390" s="32"/>
      <c r="J390" s="32"/>
      <c r="K390" s="41"/>
      <c r="L390" s="32"/>
      <c r="N390" s="32"/>
      <c r="O390" s="41"/>
      <c r="P390" s="32"/>
      <c r="R390" s="32"/>
      <c r="S390" s="41"/>
      <c r="T390" s="32"/>
      <c r="V390" s="32"/>
      <c r="W390" s="41"/>
      <c r="X390" s="32"/>
      <c r="Z390" s="32"/>
      <c r="AA390" s="41"/>
      <c r="AB390" s="41"/>
      <c r="AD390" s="32"/>
      <c r="AE390" s="41"/>
    </row>
    <row r="391" spans="1:31" s="30" customFormat="1" x14ac:dyDescent="0.25">
      <c r="A391" s="36"/>
      <c r="B391" s="31"/>
      <c r="C391" s="31"/>
      <c r="D391" s="32"/>
      <c r="H391" s="32"/>
      <c r="J391" s="32"/>
      <c r="K391" s="41"/>
      <c r="L391" s="32"/>
      <c r="N391" s="32"/>
      <c r="O391" s="41"/>
      <c r="P391" s="32"/>
      <c r="R391" s="32"/>
      <c r="S391" s="41"/>
      <c r="T391" s="32"/>
      <c r="V391" s="32"/>
      <c r="W391" s="41"/>
      <c r="X391" s="32"/>
      <c r="Z391" s="32"/>
      <c r="AA391" s="41"/>
      <c r="AB391" s="41"/>
      <c r="AD391" s="32"/>
      <c r="AE391" s="41"/>
    </row>
    <row r="392" spans="1:31" s="30" customFormat="1" x14ac:dyDescent="0.25">
      <c r="A392" s="36"/>
      <c r="B392" s="31"/>
      <c r="C392" s="31"/>
      <c r="D392" s="32"/>
      <c r="H392" s="32"/>
      <c r="J392" s="32"/>
      <c r="K392" s="41"/>
      <c r="L392" s="32"/>
      <c r="N392" s="32"/>
      <c r="O392" s="41"/>
      <c r="P392" s="32"/>
      <c r="R392" s="32"/>
      <c r="S392" s="41"/>
      <c r="T392" s="32"/>
      <c r="V392" s="32"/>
      <c r="W392" s="41"/>
      <c r="X392" s="32"/>
      <c r="Z392" s="32"/>
      <c r="AA392" s="41"/>
      <c r="AB392" s="41"/>
      <c r="AD392" s="32"/>
      <c r="AE392" s="41"/>
    </row>
    <row r="393" spans="1:31" s="30" customFormat="1" x14ac:dyDescent="0.25">
      <c r="A393" s="36"/>
      <c r="B393" s="31"/>
      <c r="C393" s="31"/>
      <c r="D393" s="32"/>
      <c r="H393" s="32"/>
      <c r="J393" s="32"/>
      <c r="K393" s="41"/>
      <c r="L393" s="32"/>
      <c r="N393" s="32"/>
      <c r="O393" s="41"/>
      <c r="P393" s="32"/>
      <c r="R393" s="32"/>
      <c r="S393" s="41"/>
      <c r="T393" s="32"/>
      <c r="V393" s="32"/>
      <c r="W393" s="41"/>
      <c r="X393" s="32"/>
      <c r="Z393" s="32"/>
      <c r="AA393" s="41"/>
      <c r="AB393" s="41"/>
      <c r="AD393" s="32"/>
      <c r="AE393" s="41"/>
    </row>
    <row r="394" spans="1:31" s="30" customFormat="1" x14ac:dyDescent="0.25">
      <c r="A394" s="36"/>
      <c r="B394" s="31"/>
      <c r="C394" s="31"/>
      <c r="D394" s="32"/>
      <c r="H394" s="32"/>
      <c r="J394" s="32"/>
      <c r="K394" s="41"/>
      <c r="L394" s="32"/>
      <c r="N394" s="32"/>
      <c r="O394" s="41"/>
      <c r="P394" s="32"/>
      <c r="R394" s="32"/>
      <c r="S394" s="41"/>
      <c r="T394" s="32"/>
      <c r="V394" s="32"/>
      <c r="W394" s="41"/>
      <c r="X394" s="32"/>
      <c r="Z394" s="32"/>
      <c r="AA394" s="41"/>
      <c r="AB394" s="41"/>
      <c r="AD394" s="32"/>
      <c r="AE394" s="41"/>
    </row>
    <row r="395" spans="1:31" s="30" customFormat="1" x14ac:dyDescent="0.25">
      <c r="A395" s="36"/>
      <c r="B395" s="31"/>
      <c r="C395" s="31"/>
      <c r="D395" s="32"/>
      <c r="H395" s="32"/>
      <c r="J395" s="32"/>
      <c r="K395" s="41"/>
      <c r="L395" s="32"/>
      <c r="N395" s="32"/>
      <c r="O395" s="41"/>
      <c r="P395" s="32"/>
      <c r="R395" s="32"/>
      <c r="S395" s="41"/>
      <c r="T395" s="32"/>
      <c r="V395" s="32"/>
      <c r="W395" s="41"/>
      <c r="X395" s="32"/>
      <c r="Z395" s="32"/>
      <c r="AA395" s="41"/>
      <c r="AB395" s="41"/>
      <c r="AD395" s="32"/>
      <c r="AE395" s="41"/>
    </row>
    <row r="396" spans="1:31" s="30" customFormat="1" x14ac:dyDescent="0.25">
      <c r="A396" s="36"/>
      <c r="B396" s="31"/>
      <c r="C396" s="31"/>
      <c r="D396" s="32"/>
      <c r="H396" s="32"/>
      <c r="J396" s="32"/>
      <c r="K396" s="41"/>
      <c r="L396" s="32"/>
      <c r="N396" s="32"/>
      <c r="O396" s="41"/>
      <c r="P396" s="32"/>
      <c r="R396" s="32"/>
      <c r="S396" s="41"/>
      <c r="T396" s="32"/>
      <c r="V396" s="32"/>
      <c r="W396" s="41"/>
      <c r="X396" s="32"/>
      <c r="Z396" s="32"/>
      <c r="AA396" s="41"/>
      <c r="AB396" s="41"/>
      <c r="AD396" s="32"/>
      <c r="AE396" s="41"/>
    </row>
    <row r="397" spans="1:31" s="30" customFormat="1" x14ac:dyDescent="0.25">
      <c r="A397" s="36"/>
      <c r="B397" s="31"/>
      <c r="C397" s="31"/>
      <c r="D397" s="32"/>
      <c r="H397" s="32"/>
      <c r="J397" s="32"/>
      <c r="K397" s="41"/>
      <c r="L397" s="32"/>
      <c r="N397" s="32"/>
      <c r="O397" s="41"/>
      <c r="P397" s="32"/>
      <c r="R397" s="32"/>
      <c r="S397" s="41"/>
      <c r="T397" s="32"/>
      <c r="V397" s="32"/>
      <c r="W397" s="41"/>
      <c r="X397" s="32"/>
      <c r="Z397" s="32"/>
      <c r="AA397" s="41"/>
      <c r="AB397" s="41"/>
      <c r="AD397" s="32"/>
      <c r="AE397" s="41"/>
    </row>
    <row r="398" spans="1:31" s="30" customFormat="1" x14ac:dyDescent="0.25">
      <c r="A398" s="36"/>
      <c r="B398" s="31"/>
      <c r="C398" s="31"/>
      <c r="D398" s="32"/>
      <c r="H398" s="32"/>
      <c r="J398" s="32"/>
      <c r="K398" s="41"/>
      <c r="L398" s="32"/>
      <c r="N398" s="32"/>
      <c r="O398" s="41"/>
      <c r="P398" s="32"/>
      <c r="R398" s="32"/>
      <c r="S398" s="41"/>
      <c r="T398" s="32"/>
      <c r="V398" s="32"/>
      <c r="W398" s="41"/>
      <c r="X398" s="32"/>
      <c r="Z398" s="32"/>
      <c r="AA398" s="41"/>
      <c r="AB398" s="41"/>
      <c r="AD398" s="32"/>
      <c r="AE398" s="41"/>
    </row>
    <row r="399" spans="1:31" s="30" customFormat="1" x14ac:dyDescent="0.25">
      <c r="A399" s="36"/>
      <c r="B399" s="31"/>
      <c r="C399" s="31"/>
      <c r="D399" s="32"/>
      <c r="H399" s="32"/>
      <c r="J399" s="32"/>
      <c r="K399" s="41"/>
      <c r="L399" s="32"/>
      <c r="N399" s="32"/>
      <c r="O399" s="41"/>
      <c r="P399" s="32"/>
      <c r="R399" s="32"/>
      <c r="S399" s="41"/>
      <c r="T399" s="32"/>
      <c r="V399" s="32"/>
      <c r="W399" s="41"/>
      <c r="X399" s="32"/>
      <c r="Z399" s="32"/>
      <c r="AA399" s="41"/>
      <c r="AB399" s="41"/>
      <c r="AD399" s="32"/>
      <c r="AE399" s="41"/>
    </row>
    <row r="400" spans="1:31" s="30" customFormat="1" x14ac:dyDescent="0.25">
      <c r="A400" s="36"/>
      <c r="B400" s="31"/>
      <c r="C400" s="31"/>
      <c r="D400" s="32"/>
      <c r="H400" s="32"/>
      <c r="J400" s="32"/>
      <c r="K400" s="41"/>
      <c r="L400" s="32"/>
      <c r="N400" s="32"/>
      <c r="O400" s="41"/>
      <c r="P400" s="32"/>
      <c r="R400" s="32"/>
      <c r="S400" s="41"/>
      <c r="T400" s="32"/>
      <c r="V400" s="32"/>
      <c r="W400" s="41"/>
      <c r="X400" s="32"/>
      <c r="Z400" s="32"/>
      <c r="AA400" s="41"/>
      <c r="AB400" s="41"/>
      <c r="AD400" s="32"/>
      <c r="AE400" s="41"/>
    </row>
    <row r="401" spans="1:31" s="30" customFormat="1" x14ac:dyDescent="0.25">
      <c r="A401" s="36"/>
      <c r="B401" s="31"/>
      <c r="C401" s="31"/>
      <c r="D401" s="32"/>
      <c r="H401" s="32"/>
      <c r="J401" s="32"/>
      <c r="K401" s="41"/>
      <c r="L401" s="32"/>
      <c r="N401" s="32"/>
      <c r="O401" s="41"/>
      <c r="P401" s="32"/>
      <c r="R401" s="32"/>
      <c r="S401" s="41"/>
      <c r="T401" s="32"/>
      <c r="V401" s="32"/>
      <c r="W401" s="41"/>
      <c r="X401" s="32"/>
      <c r="Z401" s="32"/>
      <c r="AA401" s="41"/>
      <c r="AB401" s="41"/>
      <c r="AD401" s="32"/>
      <c r="AE401" s="41"/>
    </row>
    <row r="402" spans="1:31" s="30" customFormat="1" x14ac:dyDescent="0.25">
      <c r="A402" s="36"/>
      <c r="B402" s="31"/>
      <c r="C402" s="31"/>
      <c r="D402" s="32"/>
      <c r="H402" s="32"/>
      <c r="J402" s="32"/>
      <c r="K402" s="41"/>
      <c r="L402" s="32"/>
      <c r="N402" s="32"/>
      <c r="O402" s="41"/>
      <c r="P402" s="32"/>
      <c r="R402" s="32"/>
      <c r="S402" s="41"/>
      <c r="T402" s="32"/>
      <c r="V402" s="32"/>
      <c r="W402" s="41"/>
      <c r="X402" s="32"/>
      <c r="Z402" s="32"/>
      <c r="AA402" s="41"/>
      <c r="AB402" s="41"/>
      <c r="AD402" s="32"/>
      <c r="AE402" s="41"/>
    </row>
    <row r="403" spans="1:31" s="30" customFormat="1" x14ac:dyDescent="0.25">
      <c r="A403" s="36"/>
      <c r="B403" s="31"/>
      <c r="C403" s="31"/>
      <c r="D403" s="32"/>
      <c r="H403" s="32"/>
      <c r="J403" s="32"/>
      <c r="K403" s="41"/>
      <c r="L403" s="32"/>
      <c r="N403" s="32"/>
      <c r="O403" s="41"/>
      <c r="P403" s="32"/>
      <c r="R403" s="32"/>
      <c r="S403" s="41"/>
      <c r="T403" s="32"/>
      <c r="V403" s="32"/>
      <c r="W403" s="41"/>
      <c r="X403" s="32"/>
      <c r="Z403" s="32"/>
      <c r="AA403" s="41"/>
      <c r="AB403" s="41"/>
      <c r="AD403" s="32"/>
      <c r="AE403" s="41"/>
    </row>
    <row r="404" spans="1:31" s="30" customFormat="1" x14ac:dyDescent="0.25">
      <c r="A404" s="36"/>
      <c r="B404" s="31"/>
      <c r="C404" s="31"/>
      <c r="D404" s="32"/>
      <c r="H404" s="32"/>
      <c r="J404" s="32"/>
      <c r="K404" s="41"/>
      <c r="L404" s="32"/>
      <c r="N404" s="32"/>
      <c r="O404" s="41"/>
      <c r="P404" s="32"/>
      <c r="R404" s="32"/>
      <c r="S404" s="41"/>
      <c r="T404" s="32"/>
      <c r="V404" s="32"/>
      <c r="W404" s="41"/>
      <c r="X404" s="32"/>
      <c r="Z404" s="32"/>
      <c r="AA404" s="41"/>
      <c r="AB404" s="41"/>
      <c r="AD404" s="32"/>
      <c r="AE404" s="41"/>
    </row>
    <row r="405" spans="1:31" s="30" customFormat="1" x14ac:dyDescent="0.25">
      <c r="A405" s="36"/>
      <c r="B405" s="31"/>
      <c r="C405" s="31"/>
      <c r="D405" s="32"/>
      <c r="H405" s="32"/>
      <c r="J405" s="32"/>
      <c r="K405" s="41"/>
      <c r="L405" s="32"/>
      <c r="N405" s="32"/>
      <c r="O405" s="41"/>
      <c r="P405" s="32"/>
      <c r="R405" s="32"/>
      <c r="S405" s="41"/>
      <c r="T405" s="32"/>
      <c r="V405" s="32"/>
      <c r="W405" s="41"/>
      <c r="X405" s="32"/>
      <c r="Z405" s="32"/>
      <c r="AA405" s="41"/>
      <c r="AB405" s="41"/>
      <c r="AD405" s="32"/>
      <c r="AE405" s="41"/>
    </row>
    <row r="406" spans="1:31" s="30" customFormat="1" x14ac:dyDescent="0.25">
      <c r="A406" s="36"/>
      <c r="B406" s="31"/>
      <c r="C406" s="31"/>
      <c r="D406" s="32"/>
      <c r="H406" s="32"/>
      <c r="J406" s="32"/>
      <c r="K406" s="41"/>
      <c r="L406" s="32"/>
      <c r="N406" s="32"/>
      <c r="O406" s="41"/>
      <c r="P406" s="32"/>
      <c r="R406" s="32"/>
      <c r="S406" s="41"/>
      <c r="T406" s="32"/>
      <c r="V406" s="32"/>
      <c r="W406" s="41"/>
      <c r="X406" s="32"/>
      <c r="Z406" s="32"/>
      <c r="AA406" s="41"/>
      <c r="AB406" s="41"/>
      <c r="AD406" s="32"/>
      <c r="AE406" s="41"/>
    </row>
    <row r="407" spans="1:31" s="30" customFormat="1" x14ac:dyDescent="0.25">
      <c r="A407" s="36"/>
      <c r="B407" s="31"/>
      <c r="C407" s="31"/>
      <c r="D407" s="32"/>
      <c r="H407" s="32"/>
      <c r="J407" s="32"/>
      <c r="K407" s="41"/>
      <c r="L407" s="32"/>
      <c r="N407" s="32"/>
      <c r="O407" s="41"/>
      <c r="P407" s="32"/>
      <c r="R407" s="32"/>
      <c r="S407" s="41"/>
      <c r="T407" s="32"/>
      <c r="V407" s="32"/>
      <c r="W407" s="41"/>
      <c r="X407" s="32"/>
      <c r="Z407" s="32"/>
      <c r="AA407" s="41"/>
      <c r="AB407" s="41"/>
      <c r="AD407" s="32"/>
      <c r="AE407" s="41"/>
    </row>
    <row r="408" spans="1:31" s="30" customFormat="1" x14ac:dyDescent="0.25">
      <c r="A408" s="36"/>
      <c r="B408" s="31"/>
      <c r="C408" s="31"/>
      <c r="D408" s="32"/>
      <c r="H408" s="32"/>
      <c r="J408" s="32"/>
      <c r="K408" s="41"/>
      <c r="L408" s="32"/>
      <c r="N408" s="32"/>
      <c r="O408" s="41"/>
      <c r="P408" s="32"/>
      <c r="R408" s="32"/>
      <c r="S408" s="41"/>
      <c r="T408" s="32"/>
      <c r="V408" s="32"/>
      <c r="W408" s="41"/>
      <c r="X408" s="32"/>
      <c r="Z408" s="32"/>
      <c r="AA408" s="41"/>
      <c r="AB408" s="41"/>
      <c r="AD408" s="32"/>
      <c r="AE408" s="41"/>
    </row>
    <row r="409" spans="1:31" s="30" customFormat="1" x14ac:dyDescent="0.25">
      <c r="A409" s="36"/>
      <c r="B409" s="31"/>
      <c r="C409" s="31"/>
      <c r="D409" s="32"/>
      <c r="H409" s="32"/>
      <c r="J409" s="32"/>
      <c r="K409" s="41"/>
      <c r="L409" s="32"/>
      <c r="N409" s="32"/>
      <c r="O409" s="41"/>
      <c r="P409" s="32"/>
      <c r="R409" s="32"/>
      <c r="S409" s="41"/>
      <c r="T409" s="32"/>
      <c r="V409" s="32"/>
      <c r="W409" s="41"/>
      <c r="X409" s="32"/>
      <c r="Z409" s="32"/>
      <c r="AA409" s="41"/>
      <c r="AB409" s="41"/>
      <c r="AD409" s="32"/>
      <c r="AE409" s="41"/>
    </row>
    <row r="410" spans="1:31" s="30" customFormat="1" x14ac:dyDescent="0.25">
      <c r="A410" s="36"/>
      <c r="B410" s="31"/>
      <c r="C410" s="31"/>
      <c r="D410" s="32"/>
      <c r="H410" s="32"/>
      <c r="J410" s="32"/>
      <c r="K410" s="41"/>
      <c r="L410" s="32"/>
      <c r="N410" s="32"/>
      <c r="O410" s="41"/>
      <c r="P410" s="32"/>
      <c r="R410" s="32"/>
      <c r="S410" s="41"/>
      <c r="T410" s="32"/>
      <c r="V410" s="32"/>
      <c r="W410" s="41"/>
      <c r="X410" s="32"/>
      <c r="Z410" s="32"/>
      <c r="AA410" s="41"/>
      <c r="AB410" s="41"/>
      <c r="AD410" s="32"/>
      <c r="AE410" s="41"/>
    </row>
    <row r="411" spans="1:31" s="30" customFormat="1" x14ac:dyDescent="0.25">
      <c r="A411" s="36"/>
      <c r="B411" s="31"/>
      <c r="C411" s="31"/>
      <c r="D411" s="32"/>
      <c r="H411" s="32"/>
      <c r="J411" s="32"/>
      <c r="K411" s="41"/>
      <c r="L411" s="32"/>
      <c r="N411" s="32"/>
      <c r="O411" s="41"/>
      <c r="P411" s="32"/>
      <c r="R411" s="32"/>
      <c r="S411" s="41"/>
      <c r="T411" s="32"/>
      <c r="V411" s="32"/>
      <c r="W411" s="41"/>
      <c r="X411" s="32"/>
      <c r="Z411" s="32"/>
      <c r="AA411" s="41"/>
      <c r="AB411" s="41"/>
      <c r="AD411" s="32"/>
      <c r="AE411" s="41"/>
    </row>
    <row r="412" spans="1:31" s="30" customFormat="1" x14ac:dyDescent="0.25">
      <c r="A412" s="36"/>
      <c r="B412" s="31"/>
      <c r="C412" s="31"/>
      <c r="D412" s="32"/>
      <c r="H412" s="32"/>
      <c r="J412" s="32"/>
      <c r="K412" s="41"/>
      <c r="L412" s="32"/>
      <c r="N412" s="32"/>
      <c r="O412" s="41"/>
      <c r="P412" s="32"/>
      <c r="R412" s="32"/>
      <c r="S412" s="41"/>
      <c r="T412" s="32"/>
      <c r="V412" s="32"/>
      <c r="W412" s="41"/>
      <c r="X412" s="32"/>
      <c r="Z412" s="32"/>
      <c r="AA412" s="41"/>
      <c r="AB412" s="41"/>
      <c r="AD412" s="32"/>
      <c r="AE412" s="41"/>
    </row>
    <row r="413" spans="1:31" s="30" customFormat="1" x14ac:dyDescent="0.25">
      <c r="A413" s="36"/>
      <c r="B413" s="31"/>
      <c r="C413" s="31"/>
      <c r="D413" s="32"/>
      <c r="H413" s="32"/>
      <c r="J413" s="32"/>
      <c r="K413" s="41"/>
      <c r="L413" s="32"/>
      <c r="N413" s="32"/>
      <c r="O413" s="41"/>
      <c r="P413" s="32"/>
      <c r="R413" s="32"/>
      <c r="S413" s="41"/>
      <c r="T413" s="32"/>
      <c r="V413" s="32"/>
      <c r="W413" s="41"/>
      <c r="X413" s="32"/>
      <c r="Z413" s="32"/>
      <c r="AA413" s="41"/>
      <c r="AB413" s="41"/>
      <c r="AD413" s="32"/>
      <c r="AE413" s="41"/>
    </row>
    <row r="414" spans="1:31" s="30" customFormat="1" x14ac:dyDescent="0.25">
      <c r="A414" s="36"/>
      <c r="B414" s="31"/>
      <c r="C414" s="31"/>
      <c r="D414" s="32"/>
      <c r="H414" s="32"/>
      <c r="J414" s="32"/>
      <c r="K414" s="41"/>
      <c r="L414" s="32"/>
      <c r="N414" s="32"/>
      <c r="O414" s="41"/>
      <c r="P414" s="32"/>
      <c r="R414" s="32"/>
      <c r="S414" s="41"/>
      <c r="T414" s="32"/>
      <c r="V414" s="32"/>
      <c r="W414" s="41"/>
      <c r="X414" s="32"/>
      <c r="Z414" s="32"/>
      <c r="AA414" s="41"/>
      <c r="AB414" s="41"/>
      <c r="AD414" s="32"/>
      <c r="AE414" s="41"/>
    </row>
    <row r="415" spans="1:31" s="30" customFormat="1" x14ac:dyDescent="0.25">
      <c r="A415" s="36"/>
      <c r="B415" s="31"/>
      <c r="C415" s="31"/>
      <c r="D415" s="32"/>
      <c r="H415" s="32"/>
      <c r="J415" s="32"/>
      <c r="K415" s="41"/>
      <c r="L415" s="32"/>
      <c r="N415" s="32"/>
      <c r="O415" s="41"/>
      <c r="P415" s="32"/>
      <c r="R415" s="32"/>
      <c r="S415" s="41"/>
      <c r="T415" s="32"/>
      <c r="V415" s="32"/>
      <c r="W415" s="41"/>
      <c r="X415" s="32"/>
      <c r="Z415" s="32"/>
      <c r="AA415" s="41"/>
      <c r="AB415" s="41"/>
      <c r="AD415" s="32"/>
      <c r="AE415" s="41"/>
    </row>
    <row r="416" spans="1:31" s="30" customFormat="1" x14ac:dyDescent="0.25">
      <c r="A416" s="36"/>
      <c r="B416" s="31"/>
      <c r="C416" s="31"/>
      <c r="D416" s="32"/>
      <c r="H416" s="32"/>
      <c r="J416" s="32"/>
      <c r="K416" s="41"/>
      <c r="L416" s="32"/>
      <c r="N416" s="32"/>
      <c r="O416" s="41"/>
      <c r="P416" s="32"/>
      <c r="R416" s="32"/>
      <c r="S416" s="41"/>
      <c r="T416" s="32"/>
      <c r="V416" s="32"/>
      <c r="W416" s="41"/>
      <c r="X416" s="32"/>
      <c r="Z416" s="32"/>
      <c r="AA416" s="41"/>
      <c r="AB416" s="41"/>
      <c r="AD416" s="32"/>
      <c r="AE416" s="41"/>
    </row>
    <row r="417" spans="1:31" s="30" customFormat="1" x14ac:dyDescent="0.25">
      <c r="A417" s="36"/>
      <c r="B417" s="31"/>
      <c r="C417" s="31"/>
      <c r="D417" s="32"/>
      <c r="H417" s="32"/>
      <c r="J417" s="32"/>
      <c r="K417" s="41"/>
      <c r="L417" s="32"/>
      <c r="N417" s="32"/>
      <c r="O417" s="41"/>
      <c r="P417" s="32"/>
      <c r="R417" s="32"/>
      <c r="S417" s="41"/>
      <c r="T417" s="32"/>
      <c r="V417" s="32"/>
      <c r="W417" s="41"/>
      <c r="X417" s="32"/>
      <c r="Z417" s="32"/>
      <c r="AA417" s="41"/>
      <c r="AB417" s="41"/>
      <c r="AD417" s="32"/>
      <c r="AE417" s="41"/>
    </row>
    <row r="418" spans="1:31" s="30" customFormat="1" x14ac:dyDescent="0.25">
      <c r="A418" s="36"/>
      <c r="B418" s="31"/>
      <c r="C418" s="31"/>
      <c r="D418" s="32"/>
      <c r="H418" s="32"/>
      <c r="J418" s="32"/>
      <c r="K418" s="41"/>
      <c r="L418" s="32"/>
      <c r="N418" s="32"/>
      <c r="O418" s="41"/>
      <c r="P418" s="32"/>
      <c r="R418" s="32"/>
      <c r="S418" s="41"/>
      <c r="T418" s="32"/>
      <c r="V418" s="32"/>
      <c r="W418" s="41"/>
      <c r="X418" s="32"/>
      <c r="Z418" s="32"/>
      <c r="AA418" s="41"/>
      <c r="AB418" s="41"/>
      <c r="AD418" s="32"/>
      <c r="AE418" s="41"/>
    </row>
    <row r="419" spans="1:31" s="30" customFormat="1" x14ac:dyDescent="0.25">
      <c r="A419" s="36"/>
      <c r="B419" s="31"/>
      <c r="C419" s="31"/>
      <c r="D419" s="32"/>
      <c r="H419" s="32"/>
      <c r="J419" s="32"/>
      <c r="K419" s="41"/>
      <c r="L419" s="32"/>
      <c r="N419" s="32"/>
      <c r="O419" s="41"/>
      <c r="P419" s="32"/>
      <c r="R419" s="32"/>
      <c r="S419" s="41"/>
      <c r="T419" s="32"/>
      <c r="V419" s="32"/>
      <c r="W419" s="41"/>
      <c r="X419" s="32"/>
      <c r="Z419" s="32"/>
      <c r="AA419" s="41"/>
      <c r="AB419" s="41"/>
      <c r="AD419" s="32"/>
      <c r="AE419" s="41"/>
    </row>
    <row r="420" spans="1:31" s="30" customFormat="1" x14ac:dyDescent="0.25">
      <c r="A420" s="36"/>
      <c r="B420" s="31"/>
      <c r="C420" s="31"/>
      <c r="D420" s="32"/>
      <c r="H420" s="32"/>
      <c r="J420" s="32"/>
      <c r="K420" s="41"/>
      <c r="L420" s="32"/>
      <c r="N420" s="32"/>
      <c r="O420" s="41"/>
      <c r="P420" s="32"/>
      <c r="R420" s="32"/>
      <c r="S420" s="41"/>
      <c r="T420" s="32"/>
      <c r="V420" s="32"/>
      <c r="W420" s="41"/>
      <c r="X420" s="32"/>
      <c r="Z420" s="32"/>
      <c r="AA420" s="41"/>
      <c r="AB420" s="41"/>
      <c r="AD420" s="32"/>
      <c r="AE420" s="41"/>
    </row>
    <row r="421" spans="1:31" s="30" customFormat="1" x14ac:dyDescent="0.25">
      <c r="A421" s="36"/>
      <c r="B421" s="31"/>
      <c r="C421" s="31"/>
      <c r="D421" s="32"/>
      <c r="H421" s="32"/>
      <c r="J421" s="32"/>
      <c r="K421" s="41"/>
      <c r="L421" s="32"/>
      <c r="N421" s="32"/>
      <c r="O421" s="41"/>
      <c r="P421" s="32"/>
      <c r="R421" s="32"/>
      <c r="S421" s="41"/>
      <c r="T421" s="32"/>
      <c r="V421" s="32"/>
      <c r="W421" s="41"/>
      <c r="X421" s="32"/>
      <c r="Z421" s="32"/>
      <c r="AA421" s="41"/>
      <c r="AB421" s="41"/>
      <c r="AD421" s="32"/>
      <c r="AE421" s="41"/>
    </row>
    <row r="422" spans="1:31" s="30" customFormat="1" x14ac:dyDescent="0.25">
      <c r="A422" s="36"/>
      <c r="B422" s="31"/>
      <c r="C422" s="31"/>
      <c r="D422" s="32"/>
      <c r="H422" s="32"/>
      <c r="J422" s="32"/>
      <c r="K422" s="41"/>
      <c r="L422" s="32"/>
      <c r="N422" s="32"/>
      <c r="O422" s="41"/>
      <c r="P422" s="32"/>
      <c r="R422" s="32"/>
      <c r="S422" s="41"/>
      <c r="T422" s="32"/>
      <c r="V422" s="32"/>
      <c r="W422" s="41"/>
      <c r="X422" s="32"/>
      <c r="Z422" s="32"/>
      <c r="AA422" s="41"/>
      <c r="AB422" s="41"/>
      <c r="AD422" s="32"/>
      <c r="AE422" s="41"/>
    </row>
    <row r="423" spans="1:31" s="30" customFormat="1" x14ac:dyDescent="0.25">
      <c r="A423" s="36"/>
      <c r="B423" s="31"/>
      <c r="C423" s="31"/>
      <c r="D423" s="32"/>
      <c r="H423" s="32"/>
      <c r="J423" s="32"/>
      <c r="K423" s="41"/>
      <c r="L423" s="32"/>
      <c r="N423" s="32"/>
      <c r="O423" s="41"/>
      <c r="P423" s="32"/>
      <c r="R423" s="32"/>
      <c r="S423" s="41"/>
      <c r="T423" s="32"/>
      <c r="V423" s="32"/>
      <c r="W423" s="41"/>
      <c r="X423" s="32"/>
      <c r="Z423" s="32"/>
      <c r="AA423" s="41"/>
      <c r="AB423" s="41"/>
      <c r="AD423" s="32"/>
      <c r="AE423" s="41"/>
    </row>
    <row r="424" spans="1:31" s="30" customFormat="1" x14ac:dyDescent="0.25">
      <c r="A424" s="36"/>
      <c r="B424" s="31"/>
      <c r="C424" s="31"/>
      <c r="D424" s="32"/>
      <c r="H424" s="32"/>
      <c r="J424" s="32"/>
      <c r="K424" s="41"/>
      <c r="L424" s="32"/>
      <c r="N424" s="32"/>
      <c r="O424" s="41"/>
      <c r="P424" s="32"/>
      <c r="R424" s="32"/>
      <c r="S424" s="41"/>
      <c r="T424" s="32"/>
      <c r="V424" s="32"/>
      <c r="W424" s="41"/>
      <c r="X424" s="32"/>
      <c r="Z424" s="32"/>
      <c r="AA424" s="41"/>
      <c r="AB424" s="41"/>
      <c r="AD424" s="32"/>
      <c r="AE424" s="41"/>
    </row>
    <row r="425" spans="1:31" s="30" customFormat="1" x14ac:dyDescent="0.25">
      <c r="A425" s="36"/>
      <c r="B425" s="31"/>
      <c r="C425" s="31"/>
      <c r="D425" s="32"/>
      <c r="H425" s="32"/>
      <c r="J425" s="32"/>
      <c r="K425" s="41"/>
      <c r="L425" s="32"/>
      <c r="N425" s="32"/>
      <c r="O425" s="41"/>
      <c r="P425" s="32"/>
      <c r="R425" s="32"/>
      <c r="S425" s="41"/>
      <c r="T425" s="32"/>
      <c r="V425" s="32"/>
      <c r="W425" s="41"/>
      <c r="X425" s="32"/>
      <c r="Z425" s="32"/>
      <c r="AA425" s="41"/>
      <c r="AB425" s="41"/>
      <c r="AD425" s="32"/>
      <c r="AE425" s="41"/>
    </row>
    <row r="426" spans="1:31" s="30" customFormat="1" x14ac:dyDescent="0.25">
      <c r="A426" s="36"/>
      <c r="B426" s="31"/>
      <c r="C426" s="31"/>
      <c r="D426" s="32"/>
      <c r="H426" s="32"/>
      <c r="J426" s="32"/>
      <c r="K426" s="41"/>
      <c r="L426" s="32"/>
      <c r="N426" s="32"/>
      <c r="O426" s="41"/>
      <c r="P426" s="32"/>
      <c r="R426" s="32"/>
      <c r="S426" s="41"/>
      <c r="T426" s="32"/>
      <c r="V426" s="32"/>
      <c r="W426" s="41"/>
      <c r="X426" s="32"/>
      <c r="Z426" s="32"/>
      <c r="AA426" s="41"/>
      <c r="AB426" s="41"/>
      <c r="AD426" s="32"/>
      <c r="AE426" s="41"/>
    </row>
    <row r="427" spans="1:31" s="30" customFormat="1" x14ac:dyDescent="0.25">
      <c r="A427" s="36"/>
      <c r="B427" s="31"/>
      <c r="C427" s="31"/>
      <c r="D427" s="32"/>
      <c r="H427" s="32"/>
      <c r="J427" s="32"/>
      <c r="K427" s="41"/>
      <c r="L427" s="32"/>
      <c r="N427" s="32"/>
      <c r="O427" s="41"/>
      <c r="P427" s="32"/>
      <c r="R427" s="32"/>
      <c r="S427" s="41"/>
      <c r="T427" s="32"/>
      <c r="V427" s="32"/>
      <c r="W427" s="41"/>
      <c r="X427" s="32"/>
      <c r="Z427" s="32"/>
      <c r="AA427" s="41"/>
      <c r="AB427" s="41"/>
      <c r="AD427" s="32"/>
      <c r="AE427" s="41"/>
    </row>
    <row r="428" spans="1:31" s="30" customFormat="1" x14ac:dyDescent="0.25">
      <c r="A428" s="36"/>
      <c r="B428" s="31"/>
      <c r="C428" s="31"/>
      <c r="D428" s="32"/>
      <c r="H428" s="32"/>
      <c r="J428" s="32"/>
      <c r="K428" s="41"/>
      <c r="L428" s="32"/>
      <c r="N428" s="32"/>
      <c r="O428" s="41"/>
      <c r="P428" s="32"/>
      <c r="R428" s="32"/>
      <c r="S428" s="41"/>
      <c r="T428" s="32"/>
      <c r="V428" s="32"/>
      <c r="W428" s="41"/>
      <c r="X428" s="32"/>
      <c r="Z428" s="32"/>
      <c r="AA428" s="41"/>
      <c r="AB428" s="41"/>
      <c r="AD428" s="32"/>
      <c r="AE428" s="41"/>
    </row>
    <row r="429" spans="1:31" s="30" customFormat="1" x14ac:dyDescent="0.25">
      <c r="A429" s="36"/>
      <c r="B429" s="31"/>
      <c r="C429" s="31"/>
      <c r="D429" s="32"/>
      <c r="H429" s="32"/>
      <c r="J429" s="32"/>
      <c r="K429" s="41"/>
      <c r="L429" s="32"/>
      <c r="N429" s="32"/>
      <c r="O429" s="41"/>
      <c r="P429" s="32"/>
      <c r="R429" s="32"/>
      <c r="S429" s="41"/>
      <c r="T429" s="32"/>
      <c r="V429" s="32"/>
      <c r="W429" s="41"/>
      <c r="X429" s="32"/>
      <c r="Z429" s="32"/>
      <c r="AA429" s="41"/>
      <c r="AB429" s="41"/>
      <c r="AD429" s="32"/>
      <c r="AE429" s="41"/>
    </row>
    <row r="430" spans="1:31" s="30" customFormat="1" x14ac:dyDescent="0.25">
      <c r="A430" s="36"/>
      <c r="B430" s="31"/>
      <c r="C430" s="31"/>
      <c r="D430" s="32"/>
      <c r="H430" s="32"/>
      <c r="J430" s="32"/>
      <c r="K430" s="41"/>
      <c r="L430" s="32"/>
      <c r="N430" s="32"/>
      <c r="O430" s="41"/>
      <c r="P430" s="32"/>
      <c r="R430" s="32"/>
      <c r="S430" s="41"/>
      <c r="T430" s="32"/>
      <c r="V430" s="32"/>
      <c r="W430" s="41"/>
      <c r="X430" s="32"/>
      <c r="Z430" s="32"/>
      <c r="AA430" s="41"/>
      <c r="AB430" s="41"/>
      <c r="AD430" s="32"/>
      <c r="AE430" s="41"/>
    </row>
    <row r="431" spans="1:31" s="30" customFormat="1" x14ac:dyDescent="0.25">
      <c r="A431" s="36"/>
      <c r="B431" s="31"/>
      <c r="C431" s="31"/>
      <c r="D431" s="32"/>
      <c r="H431" s="32"/>
      <c r="J431" s="32"/>
      <c r="K431" s="41"/>
      <c r="L431" s="32"/>
      <c r="N431" s="32"/>
      <c r="O431" s="41"/>
      <c r="P431" s="32"/>
      <c r="R431" s="32"/>
      <c r="S431" s="41"/>
      <c r="T431" s="32"/>
      <c r="V431" s="32"/>
      <c r="W431" s="41"/>
      <c r="X431" s="32"/>
      <c r="Z431" s="32"/>
      <c r="AA431" s="41"/>
      <c r="AB431" s="41"/>
      <c r="AD431" s="32"/>
      <c r="AE431" s="41"/>
    </row>
    <row r="432" spans="1:31" s="30" customFormat="1" x14ac:dyDescent="0.25">
      <c r="A432" s="36"/>
      <c r="B432" s="31"/>
      <c r="C432" s="31"/>
      <c r="D432" s="32"/>
      <c r="H432" s="32"/>
      <c r="J432" s="32"/>
      <c r="K432" s="41"/>
      <c r="L432" s="32"/>
      <c r="N432" s="32"/>
      <c r="O432" s="41"/>
      <c r="P432" s="32"/>
      <c r="R432" s="32"/>
      <c r="S432" s="41"/>
      <c r="T432" s="32"/>
      <c r="V432" s="32"/>
      <c r="W432" s="41"/>
      <c r="X432" s="32"/>
      <c r="Z432" s="32"/>
      <c r="AA432" s="41"/>
      <c r="AB432" s="41"/>
      <c r="AD432" s="32"/>
      <c r="AE432" s="41"/>
    </row>
    <row r="433" spans="1:31" s="30" customFormat="1" x14ac:dyDescent="0.25">
      <c r="A433" s="36"/>
      <c r="B433" s="31"/>
      <c r="C433" s="31"/>
      <c r="D433" s="32"/>
      <c r="H433" s="32"/>
      <c r="J433" s="32"/>
      <c r="K433" s="41"/>
      <c r="L433" s="32"/>
      <c r="N433" s="32"/>
      <c r="O433" s="41"/>
      <c r="P433" s="32"/>
      <c r="R433" s="32"/>
      <c r="S433" s="41"/>
      <c r="T433" s="32"/>
      <c r="V433" s="32"/>
      <c r="W433" s="41"/>
      <c r="X433" s="32"/>
      <c r="Z433" s="32"/>
      <c r="AA433" s="41"/>
      <c r="AB433" s="41"/>
      <c r="AD433" s="32"/>
      <c r="AE433" s="41"/>
    </row>
    <row r="434" spans="1:31" s="30" customFormat="1" x14ac:dyDescent="0.25">
      <c r="A434" s="36"/>
      <c r="B434" s="31"/>
      <c r="C434" s="31"/>
      <c r="D434" s="32"/>
      <c r="H434" s="32"/>
      <c r="J434" s="32"/>
      <c r="K434" s="41"/>
      <c r="L434" s="32"/>
      <c r="N434" s="32"/>
      <c r="O434" s="41"/>
      <c r="P434" s="32"/>
      <c r="R434" s="32"/>
      <c r="S434" s="41"/>
      <c r="T434" s="32"/>
      <c r="V434" s="32"/>
      <c r="W434" s="41"/>
      <c r="X434" s="32"/>
      <c r="Z434" s="32"/>
      <c r="AA434" s="41"/>
      <c r="AB434" s="41"/>
      <c r="AD434" s="32"/>
      <c r="AE434" s="41"/>
    </row>
    <row r="435" spans="1:31" s="30" customFormat="1" x14ac:dyDescent="0.25">
      <c r="A435" s="36"/>
      <c r="B435" s="31"/>
      <c r="C435" s="31"/>
      <c r="D435" s="32"/>
      <c r="H435" s="32"/>
      <c r="J435" s="32"/>
      <c r="K435" s="41"/>
      <c r="L435" s="32"/>
      <c r="N435" s="32"/>
      <c r="O435" s="41"/>
      <c r="P435" s="32"/>
      <c r="R435" s="32"/>
      <c r="S435" s="41"/>
      <c r="T435" s="32"/>
      <c r="V435" s="32"/>
      <c r="W435" s="41"/>
      <c r="X435" s="32"/>
      <c r="Z435" s="32"/>
      <c r="AA435" s="41"/>
      <c r="AB435" s="41"/>
      <c r="AD435" s="32"/>
      <c r="AE435" s="41"/>
    </row>
    <row r="436" spans="1:31" s="30" customFormat="1" x14ac:dyDescent="0.25">
      <c r="A436" s="36"/>
      <c r="B436" s="31"/>
      <c r="C436" s="31"/>
      <c r="D436" s="32"/>
      <c r="H436" s="32"/>
      <c r="J436" s="32"/>
      <c r="K436" s="41"/>
      <c r="L436" s="32"/>
      <c r="N436" s="32"/>
      <c r="O436" s="41"/>
      <c r="P436" s="32"/>
      <c r="R436" s="32"/>
      <c r="S436" s="41"/>
      <c r="T436" s="32"/>
      <c r="V436" s="32"/>
      <c r="W436" s="41"/>
      <c r="X436" s="32"/>
      <c r="Z436" s="32"/>
      <c r="AA436" s="41"/>
      <c r="AB436" s="41"/>
      <c r="AD436" s="32"/>
      <c r="AE436" s="41"/>
    </row>
    <row r="437" spans="1:31" s="30" customFormat="1" x14ac:dyDescent="0.25">
      <c r="A437" s="36"/>
      <c r="B437" s="31"/>
      <c r="C437" s="31"/>
      <c r="D437" s="32"/>
      <c r="H437" s="32"/>
      <c r="J437" s="32"/>
      <c r="K437" s="41"/>
      <c r="L437" s="32"/>
      <c r="N437" s="32"/>
      <c r="O437" s="41"/>
      <c r="P437" s="32"/>
      <c r="R437" s="32"/>
      <c r="S437" s="41"/>
      <c r="T437" s="32"/>
      <c r="V437" s="32"/>
      <c r="W437" s="41"/>
      <c r="X437" s="32"/>
      <c r="Z437" s="32"/>
      <c r="AA437" s="41"/>
      <c r="AB437" s="41"/>
      <c r="AD437" s="32"/>
      <c r="AE437" s="41"/>
    </row>
    <row r="438" spans="1:31" s="30" customFormat="1" x14ac:dyDescent="0.25">
      <c r="A438" s="36"/>
      <c r="B438" s="31"/>
      <c r="C438" s="31"/>
      <c r="D438" s="32"/>
      <c r="H438" s="32"/>
      <c r="J438" s="32"/>
      <c r="K438" s="41"/>
      <c r="L438" s="32"/>
      <c r="N438" s="32"/>
      <c r="O438" s="41"/>
      <c r="P438" s="32"/>
      <c r="R438" s="32"/>
      <c r="S438" s="41"/>
      <c r="T438" s="32"/>
      <c r="V438" s="32"/>
      <c r="W438" s="41"/>
      <c r="X438" s="32"/>
      <c r="Z438" s="32"/>
      <c r="AA438" s="41"/>
      <c r="AB438" s="41"/>
      <c r="AD438" s="32"/>
      <c r="AE438" s="41"/>
    </row>
    <row r="439" spans="1:31" s="30" customFormat="1" x14ac:dyDescent="0.25">
      <c r="A439" s="36"/>
      <c r="B439" s="31"/>
      <c r="C439" s="31"/>
      <c r="D439" s="32"/>
      <c r="H439" s="32"/>
      <c r="J439" s="32"/>
      <c r="K439" s="41"/>
      <c r="L439" s="32"/>
      <c r="N439" s="32"/>
      <c r="O439" s="41"/>
      <c r="P439" s="32"/>
      <c r="R439" s="32"/>
      <c r="S439" s="41"/>
      <c r="T439" s="32"/>
      <c r="V439" s="32"/>
      <c r="W439" s="41"/>
      <c r="X439" s="32"/>
      <c r="Z439" s="32"/>
      <c r="AA439" s="41"/>
      <c r="AB439" s="41"/>
      <c r="AD439" s="32"/>
      <c r="AE439" s="41"/>
    </row>
    <row r="440" spans="1:31" s="30" customFormat="1" x14ac:dyDescent="0.25">
      <c r="A440" s="36"/>
      <c r="B440" s="31"/>
      <c r="C440" s="31"/>
      <c r="D440" s="32"/>
      <c r="H440" s="32"/>
      <c r="J440" s="32"/>
      <c r="K440" s="41"/>
      <c r="L440" s="32"/>
      <c r="N440" s="32"/>
      <c r="O440" s="41"/>
      <c r="P440" s="32"/>
      <c r="R440" s="32"/>
      <c r="S440" s="41"/>
      <c r="T440" s="32"/>
      <c r="V440" s="32"/>
      <c r="W440" s="41"/>
      <c r="X440" s="32"/>
      <c r="Z440" s="32"/>
      <c r="AA440" s="41"/>
      <c r="AB440" s="41"/>
      <c r="AD440" s="32"/>
      <c r="AE440" s="41"/>
    </row>
    <row r="441" spans="1:31" s="30" customFormat="1" x14ac:dyDescent="0.25">
      <c r="A441" s="36"/>
      <c r="B441" s="31"/>
      <c r="C441" s="31"/>
      <c r="D441" s="32"/>
      <c r="H441" s="32"/>
      <c r="J441" s="32"/>
      <c r="K441" s="41"/>
      <c r="L441" s="32"/>
      <c r="N441" s="32"/>
      <c r="O441" s="41"/>
      <c r="P441" s="32"/>
      <c r="R441" s="32"/>
      <c r="S441" s="41"/>
      <c r="T441" s="32"/>
      <c r="V441" s="32"/>
      <c r="W441" s="41"/>
      <c r="X441" s="32"/>
      <c r="Z441" s="32"/>
      <c r="AA441" s="41"/>
      <c r="AB441" s="41"/>
      <c r="AD441" s="32"/>
      <c r="AE441" s="41"/>
    </row>
    <row r="442" spans="1:31" s="30" customFormat="1" x14ac:dyDescent="0.25">
      <c r="A442" s="36"/>
      <c r="B442" s="31"/>
      <c r="C442" s="31"/>
      <c r="D442" s="32"/>
      <c r="H442" s="32"/>
      <c r="J442" s="32"/>
      <c r="K442" s="41"/>
      <c r="L442" s="32"/>
      <c r="N442" s="32"/>
      <c r="O442" s="41"/>
      <c r="P442" s="32"/>
      <c r="R442" s="32"/>
      <c r="S442" s="41"/>
      <c r="T442" s="32"/>
      <c r="V442" s="32"/>
      <c r="W442" s="41"/>
      <c r="X442" s="32"/>
      <c r="Z442" s="32"/>
      <c r="AA442" s="41"/>
      <c r="AB442" s="41"/>
      <c r="AD442" s="32"/>
      <c r="AE442" s="41"/>
    </row>
    <row r="443" spans="1:31" s="30" customFormat="1" x14ac:dyDescent="0.25">
      <c r="A443" s="36"/>
      <c r="B443" s="31"/>
      <c r="C443" s="31"/>
      <c r="D443" s="32"/>
      <c r="H443" s="32"/>
      <c r="J443" s="32"/>
      <c r="K443" s="41"/>
      <c r="L443" s="32"/>
      <c r="N443" s="32"/>
      <c r="O443" s="41"/>
      <c r="P443" s="32"/>
      <c r="R443" s="32"/>
      <c r="S443" s="41"/>
      <c r="T443" s="32"/>
      <c r="V443" s="32"/>
      <c r="W443" s="41"/>
      <c r="X443" s="32"/>
      <c r="Z443" s="32"/>
      <c r="AA443" s="41"/>
      <c r="AB443" s="41"/>
      <c r="AD443" s="32"/>
      <c r="AE443" s="41"/>
    </row>
    <row r="444" spans="1:31" s="30" customFormat="1" x14ac:dyDescent="0.25">
      <c r="A444" s="36"/>
      <c r="B444" s="31"/>
      <c r="C444" s="31"/>
      <c r="D444" s="32"/>
      <c r="H444" s="32"/>
      <c r="J444" s="32"/>
      <c r="K444" s="41"/>
      <c r="L444" s="32"/>
      <c r="N444" s="32"/>
      <c r="O444" s="41"/>
      <c r="P444" s="32"/>
      <c r="R444" s="32"/>
      <c r="S444" s="41"/>
      <c r="T444" s="32"/>
      <c r="V444" s="32"/>
      <c r="W444" s="41"/>
      <c r="X444" s="32"/>
      <c r="Z444" s="32"/>
      <c r="AA444" s="41"/>
      <c r="AB444" s="41"/>
      <c r="AD444" s="32"/>
      <c r="AE444" s="41"/>
    </row>
    <row r="445" spans="1:31" s="30" customFormat="1" x14ac:dyDescent="0.25">
      <c r="A445" s="36"/>
      <c r="B445" s="31"/>
      <c r="C445" s="31"/>
      <c r="D445" s="32"/>
      <c r="H445" s="32"/>
      <c r="J445" s="32"/>
      <c r="K445" s="41"/>
      <c r="L445" s="32"/>
      <c r="N445" s="32"/>
      <c r="O445" s="41"/>
      <c r="P445" s="32"/>
      <c r="R445" s="32"/>
      <c r="S445" s="41"/>
      <c r="T445" s="32"/>
      <c r="V445" s="32"/>
      <c r="W445" s="41"/>
      <c r="X445" s="32"/>
      <c r="Z445" s="32"/>
      <c r="AA445" s="41"/>
      <c r="AB445" s="41"/>
      <c r="AD445" s="32"/>
      <c r="AE445" s="41"/>
    </row>
    <row r="446" spans="1:31" s="30" customFormat="1" x14ac:dyDescent="0.25">
      <c r="A446" s="36"/>
      <c r="B446" s="31"/>
      <c r="C446" s="31"/>
      <c r="D446" s="32"/>
      <c r="H446" s="32"/>
      <c r="J446" s="32"/>
      <c r="K446" s="41"/>
      <c r="L446" s="32"/>
      <c r="N446" s="32"/>
      <c r="O446" s="41"/>
      <c r="P446" s="32"/>
      <c r="R446" s="32"/>
      <c r="S446" s="41"/>
      <c r="T446" s="32"/>
      <c r="V446" s="32"/>
      <c r="W446" s="41"/>
      <c r="X446" s="32"/>
      <c r="Z446" s="32"/>
      <c r="AA446" s="41"/>
      <c r="AB446" s="41"/>
      <c r="AD446" s="32"/>
      <c r="AE446" s="41"/>
    </row>
    <row r="447" spans="1:31" s="30" customFormat="1" x14ac:dyDescent="0.25">
      <c r="A447" s="36"/>
      <c r="B447" s="31"/>
      <c r="C447" s="31"/>
      <c r="D447" s="32"/>
      <c r="H447" s="32"/>
      <c r="J447" s="32"/>
      <c r="K447" s="41"/>
      <c r="L447" s="32"/>
      <c r="N447" s="32"/>
      <c r="O447" s="41"/>
      <c r="P447" s="32"/>
      <c r="R447" s="32"/>
      <c r="S447" s="41"/>
      <c r="T447" s="32"/>
      <c r="V447" s="32"/>
      <c r="W447" s="41"/>
      <c r="X447" s="32"/>
      <c r="Z447" s="32"/>
      <c r="AA447" s="41"/>
      <c r="AB447" s="41"/>
      <c r="AD447" s="32"/>
      <c r="AE447" s="41"/>
    </row>
    <row r="448" spans="1:31" s="30" customFormat="1" x14ac:dyDescent="0.25">
      <c r="A448" s="36"/>
      <c r="B448" s="31"/>
      <c r="C448" s="31"/>
      <c r="D448" s="32"/>
      <c r="H448" s="32"/>
      <c r="J448" s="32"/>
      <c r="K448" s="41"/>
      <c r="L448" s="32"/>
      <c r="N448" s="32"/>
      <c r="O448" s="41"/>
      <c r="P448" s="32"/>
      <c r="R448" s="32"/>
      <c r="S448" s="41"/>
      <c r="T448" s="32"/>
      <c r="V448" s="32"/>
      <c r="W448" s="41"/>
      <c r="X448" s="32"/>
      <c r="Z448" s="32"/>
      <c r="AA448" s="41"/>
      <c r="AB448" s="41"/>
      <c r="AD448" s="32"/>
      <c r="AE448" s="41"/>
    </row>
    <row r="449" spans="1:31" s="30" customFormat="1" x14ac:dyDescent="0.25">
      <c r="A449" s="36"/>
      <c r="B449" s="31"/>
      <c r="C449" s="31"/>
      <c r="D449" s="32"/>
      <c r="H449" s="32"/>
      <c r="J449" s="32"/>
      <c r="K449" s="41"/>
      <c r="L449" s="32"/>
      <c r="N449" s="32"/>
      <c r="O449" s="41"/>
      <c r="P449" s="32"/>
      <c r="R449" s="32"/>
      <c r="S449" s="41"/>
      <c r="T449" s="32"/>
      <c r="V449" s="32"/>
      <c r="W449" s="41"/>
      <c r="X449" s="32"/>
      <c r="Z449" s="32"/>
      <c r="AA449" s="41"/>
      <c r="AB449" s="41"/>
      <c r="AD449" s="32"/>
      <c r="AE449" s="41"/>
    </row>
    <row r="450" spans="1:31" s="30" customFormat="1" x14ac:dyDescent="0.25">
      <c r="A450" s="36"/>
      <c r="B450" s="31"/>
      <c r="C450" s="31"/>
      <c r="D450" s="32"/>
      <c r="H450" s="32"/>
      <c r="J450" s="32"/>
      <c r="K450" s="41"/>
      <c r="L450" s="32"/>
      <c r="N450" s="32"/>
      <c r="O450" s="41"/>
      <c r="P450" s="32"/>
      <c r="R450" s="32"/>
      <c r="S450" s="41"/>
      <c r="T450" s="32"/>
      <c r="V450" s="32"/>
      <c r="W450" s="41"/>
      <c r="X450" s="32"/>
      <c r="Z450" s="32"/>
      <c r="AA450" s="41"/>
      <c r="AB450" s="41"/>
      <c r="AD450" s="32"/>
      <c r="AE450" s="41"/>
    </row>
    <row r="451" spans="1:31" s="30" customFormat="1" x14ac:dyDescent="0.25">
      <c r="A451" s="36"/>
      <c r="B451" s="31"/>
      <c r="C451" s="31"/>
      <c r="D451" s="32"/>
      <c r="H451" s="32"/>
      <c r="J451" s="32"/>
      <c r="K451" s="41"/>
      <c r="L451" s="32"/>
      <c r="N451" s="32"/>
      <c r="O451" s="41"/>
      <c r="P451" s="32"/>
      <c r="R451" s="32"/>
      <c r="S451" s="41"/>
      <c r="T451" s="32"/>
      <c r="V451" s="32"/>
      <c r="W451" s="41"/>
      <c r="X451" s="32"/>
      <c r="Z451" s="32"/>
      <c r="AA451" s="41"/>
      <c r="AB451" s="41"/>
      <c r="AD451" s="32"/>
      <c r="AE451" s="41"/>
    </row>
    <row r="452" spans="1:31" s="30" customFormat="1" x14ac:dyDescent="0.25">
      <c r="A452" s="36"/>
      <c r="B452" s="31"/>
      <c r="C452" s="31"/>
      <c r="D452" s="32"/>
      <c r="H452" s="32"/>
      <c r="J452" s="32"/>
      <c r="K452" s="41"/>
      <c r="L452" s="32"/>
      <c r="N452" s="32"/>
      <c r="O452" s="41"/>
      <c r="P452" s="32"/>
      <c r="R452" s="32"/>
      <c r="S452" s="41"/>
      <c r="T452" s="32"/>
      <c r="V452" s="32"/>
      <c r="W452" s="41"/>
      <c r="X452" s="32"/>
      <c r="Z452" s="32"/>
      <c r="AA452" s="41"/>
      <c r="AB452" s="41"/>
      <c r="AD452" s="32"/>
      <c r="AE452" s="41"/>
    </row>
    <row r="453" spans="1:31" s="30" customFormat="1" x14ac:dyDescent="0.25">
      <c r="A453" s="36"/>
      <c r="B453" s="31"/>
      <c r="C453" s="31"/>
      <c r="D453" s="32"/>
      <c r="H453" s="32"/>
      <c r="J453" s="32"/>
      <c r="K453" s="41"/>
      <c r="L453" s="32"/>
      <c r="N453" s="32"/>
      <c r="O453" s="41"/>
      <c r="P453" s="32"/>
      <c r="R453" s="32"/>
      <c r="S453" s="41"/>
      <c r="T453" s="32"/>
      <c r="V453" s="32"/>
      <c r="W453" s="41"/>
      <c r="X453" s="32"/>
      <c r="Z453" s="32"/>
      <c r="AA453" s="41"/>
      <c r="AB453" s="41"/>
      <c r="AD453" s="32"/>
      <c r="AE453" s="41"/>
    </row>
    <row r="454" spans="1:31" s="30" customFormat="1" x14ac:dyDescent="0.25">
      <c r="A454" s="36"/>
      <c r="B454" s="31"/>
      <c r="C454" s="31"/>
      <c r="D454" s="32"/>
      <c r="H454" s="32"/>
      <c r="J454" s="32"/>
      <c r="K454" s="41"/>
      <c r="L454" s="32"/>
      <c r="N454" s="32"/>
      <c r="O454" s="41"/>
      <c r="P454" s="32"/>
      <c r="R454" s="32"/>
      <c r="S454" s="41"/>
      <c r="T454" s="32"/>
      <c r="V454" s="32"/>
      <c r="W454" s="41"/>
      <c r="X454" s="32"/>
      <c r="Z454" s="32"/>
      <c r="AA454" s="41"/>
      <c r="AB454" s="41"/>
      <c r="AD454" s="32"/>
      <c r="AE454" s="41"/>
    </row>
    <row r="455" spans="1:31" s="30" customFormat="1" x14ac:dyDescent="0.25">
      <c r="A455" s="36"/>
      <c r="B455" s="31"/>
      <c r="C455" s="31"/>
      <c r="D455" s="32"/>
      <c r="H455" s="32"/>
      <c r="J455" s="32"/>
      <c r="K455" s="41"/>
      <c r="L455" s="32"/>
      <c r="N455" s="32"/>
      <c r="O455" s="41"/>
      <c r="P455" s="32"/>
      <c r="R455" s="32"/>
      <c r="S455" s="41"/>
      <c r="T455" s="32"/>
      <c r="V455" s="32"/>
      <c r="W455" s="41"/>
      <c r="X455" s="32"/>
      <c r="Z455" s="32"/>
      <c r="AA455" s="41"/>
      <c r="AB455" s="41"/>
      <c r="AD455" s="32"/>
      <c r="AE455" s="41"/>
    </row>
    <row r="456" spans="1:31" s="30" customFormat="1" x14ac:dyDescent="0.25">
      <c r="A456" s="36"/>
      <c r="B456" s="31"/>
      <c r="C456" s="31"/>
      <c r="D456" s="32"/>
      <c r="H456" s="32"/>
      <c r="J456" s="32"/>
      <c r="K456" s="41"/>
      <c r="L456" s="32"/>
      <c r="N456" s="32"/>
      <c r="O456" s="41"/>
      <c r="P456" s="32"/>
      <c r="R456" s="32"/>
      <c r="S456" s="41"/>
      <c r="T456" s="32"/>
      <c r="V456" s="32"/>
      <c r="W456" s="41"/>
      <c r="X456" s="32"/>
      <c r="Z456" s="32"/>
      <c r="AA456" s="41"/>
      <c r="AB456" s="41"/>
      <c r="AD456" s="32"/>
      <c r="AE456" s="41"/>
    </row>
    <row r="457" spans="1:31" s="30" customFormat="1" x14ac:dyDescent="0.25">
      <c r="A457" s="36"/>
      <c r="B457" s="31"/>
      <c r="C457" s="31"/>
      <c r="D457" s="32"/>
      <c r="H457" s="32"/>
      <c r="J457" s="32"/>
      <c r="K457" s="41"/>
      <c r="L457" s="32"/>
      <c r="N457" s="32"/>
      <c r="O457" s="41"/>
      <c r="P457" s="32"/>
      <c r="R457" s="32"/>
      <c r="S457" s="41"/>
      <c r="T457" s="32"/>
      <c r="V457" s="32"/>
      <c r="W457" s="41"/>
      <c r="X457" s="32"/>
      <c r="Z457" s="32"/>
      <c r="AA457" s="41"/>
      <c r="AB457" s="41"/>
      <c r="AD457" s="32"/>
      <c r="AE457" s="41"/>
    </row>
    <row r="458" spans="1:31" s="30" customFormat="1" x14ac:dyDescent="0.25">
      <c r="A458" s="36"/>
      <c r="B458" s="31"/>
      <c r="C458" s="31"/>
      <c r="D458" s="32"/>
      <c r="H458" s="32"/>
      <c r="J458" s="32"/>
      <c r="K458" s="41"/>
      <c r="L458" s="32"/>
      <c r="N458" s="32"/>
      <c r="O458" s="41"/>
      <c r="P458" s="32"/>
      <c r="R458" s="32"/>
      <c r="S458" s="41"/>
      <c r="T458" s="32"/>
      <c r="V458" s="32"/>
      <c r="W458" s="41"/>
      <c r="X458" s="32"/>
      <c r="Z458" s="32"/>
      <c r="AA458" s="41"/>
      <c r="AB458" s="41"/>
      <c r="AD458" s="32"/>
      <c r="AE458" s="41"/>
    </row>
    <row r="459" spans="1:31" s="30" customFormat="1" x14ac:dyDescent="0.25">
      <c r="A459" s="36"/>
      <c r="B459" s="31"/>
      <c r="C459" s="31"/>
      <c r="D459" s="32"/>
      <c r="H459" s="32"/>
      <c r="J459" s="32"/>
      <c r="K459" s="41"/>
      <c r="L459" s="32"/>
      <c r="N459" s="32"/>
      <c r="O459" s="41"/>
      <c r="P459" s="32"/>
      <c r="R459" s="32"/>
      <c r="S459" s="41"/>
      <c r="T459" s="32"/>
      <c r="V459" s="32"/>
      <c r="W459" s="41"/>
      <c r="X459" s="32"/>
      <c r="Z459" s="32"/>
      <c r="AA459" s="41"/>
      <c r="AB459" s="41"/>
      <c r="AD459" s="32"/>
      <c r="AE459" s="41"/>
    </row>
    <row r="460" spans="1:31" s="30" customFormat="1" x14ac:dyDescent="0.25">
      <c r="A460" s="36"/>
      <c r="B460" s="31"/>
      <c r="C460" s="31"/>
      <c r="D460" s="32"/>
      <c r="H460" s="32"/>
      <c r="J460" s="32"/>
      <c r="K460" s="41"/>
      <c r="L460" s="32"/>
      <c r="N460" s="32"/>
      <c r="O460" s="41"/>
      <c r="P460" s="32"/>
      <c r="R460" s="32"/>
      <c r="S460" s="41"/>
      <c r="T460" s="32"/>
      <c r="V460" s="32"/>
      <c r="W460" s="41"/>
      <c r="X460" s="32"/>
      <c r="Z460" s="32"/>
      <c r="AA460" s="41"/>
      <c r="AB460" s="41"/>
      <c r="AD460" s="32"/>
      <c r="AE460" s="41"/>
    </row>
    <row r="461" spans="1:31" s="30" customFormat="1" x14ac:dyDescent="0.25">
      <c r="A461" s="36"/>
      <c r="B461" s="31"/>
      <c r="C461" s="31"/>
      <c r="D461" s="32"/>
      <c r="H461" s="32"/>
      <c r="J461" s="32"/>
      <c r="K461" s="41"/>
      <c r="L461" s="32"/>
      <c r="N461" s="32"/>
      <c r="O461" s="41"/>
      <c r="P461" s="32"/>
      <c r="R461" s="32"/>
      <c r="S461" s="41"/>
      <c r="T461" s="32"/>
      <c r="V461" s="32"/>
      <c r="W461" s="41"/>
      <c r="X461" s="32"/>
      <c r="Z461" s="32"/>
      <c r="AA461" s="41"/>
      <c r="AB461" s="41"/>
      <c r="AD461" s="32"/>
      <c r="AE461" s="41"/>
    </row>
    <row r="462" spans="1:31" s="30" customFormat="1" x14ac:dyDescent="0.25">
      <c r="A462" s="36"/>
      <c r="B462" s="31"/>
      <c r="C462" s="31"/>
      <c r="D462" s="32"/>
      <c r="H462" s="32"/>
      <c r="J462" s="32"/>
      <c r="K462" s="41"/>
      <c r="L462" s="32"/>
      <c r="N462" s="32"/>
      <c r="O462" s="41"/>
      <c r="P462" s="32"/>
      <c r="R462" s="32"/>
      <c r="S462" s="41"/>
      <c r="T462" s="32"/>
      <c r="V462" s="32"/>
      <c r="W462" s="41"/>
      <c r="X462" s="32"/>
      <c r="Z462" s="32"/>
      <c r="AA462" s="41"/>
      <c r="AB462" s="41"/>
      <c r="AD462" s="32"/>
      <c r="AE462" s="41"/>
    </row>
    <row r="463" spans="1:31" s="30" customFormat="1" x14ac:dyDescent="0.25">
      <c r="A463" s="36"/>
      <c r="B463" s="31"/>
      <c r="C463" s="31"/>
      <c r="D463" s="32"/>
      <c r="H463" s="32"/>
      <c r="J463" s="32"/>
      <c r="K463" s="41"/>
      <c r="L463" s="32"/>
      <c r="N463" s="32"/>
      <c r="O463" s="41"/>
      <c r="P463" s="32"/>
      <c r="R463" s="32"/>
      <c r="S463" s="41"/>
      <c r="T463" s="32"/>
      <c r="V463" s="32"/>
      <c r="W463" s="41"/>
      <c r="X463" s="32"/>
      <c r="Z463" s="32"/>
      <c r="AA463" s="41"/>
      <c r="AB463" s="41"/>
      <c r="AD463" s="32"/>
      <c r="AE463" s="41"/>
    </row>
    <row r="464" spans="1:31" s="30" customFormat="1" x14ac:dyDescent="0.25">
      <c r="A464" s="36"/>
      <c r="B464" s="31"/>
      <c r="C464" s="31"/>
      <c r="D464" s="32"/>
      <c r="H464" s="32"/>
      <c r="J464" s="32"/>
      <c r="K464" s="41"/>
      <c r="L464" s="32"/>
      <c r="N464" s="32"/>
      <c r="O464" s="41"/>
      <c r="P464" s="32"/>
      <c r="R464" s="32"/>
      <c r="S464" s="41"/>
      <c r="T464" s="32"/>
      <c r="V464" s="32"/>
      <c r="W464" s="41"/>
      <c r="X464" s="32"/>
      <c r="Z464" s="32"/>
      <c r="AA464" s="41"/>
      <c r="AB464" s="41"/>
      <c r="AD464" s="32"/>
      <c r="AE464" s="41"/>
    </row>
    <row r="465" spans="1:31" s="30" customFormat="1" x14ac:dyDescent="0.25">
      <c r="A465" s="36"/>
      <c r="B465" s="31"/>
      <c r="C465" s="31"/>
      <c r="D465" s="32"/>
      <c r="H465" s="32"/>
      <c r="J465" s="32"/>
      <c r="K465" s="41"/>
      <c r="L465" s="32"/>
      <c r="N465" s="32"/>
      <c r="O465" s="41"/>
      <c r="P465" s="32"/>
      <c r="R465" s="32"/>
      <c r="S465" s="41"/>
      <c r="T465" s="32"/>
      <c r="V465" s="32"/>
      <c r="W465" s="41"/>
      <c r="X465" s="32"/>
      <c r="Z465" s="32"/>
      <c r="AA465" s="41"/>
      <c r="AB465" s="41"/>
      <c r="AD465" s="32"/>
      <c r="AE465" s="41"/>
    </row>
    <row r="466" spans="1:31" s="30" customFormat="1" x14ac:dyDescent="0.25">
      <c r="A466" s="36"/>
      <c r="B466" s="31"/>
      <c r="C466" s="31"/>
      <c r="D466" s="32"/>
      <c r="H466" s="32"/>
      <c r="J466" s="32"/>
      <c r="K466" s="41"/>
      <c r="L466" s="32"/>
      <c r="N466" s="32"/>
      <c r="O466" s="41"/>
      <c r="P466" s="32"/>
      <c r="R466" s="32"/>
      <c r="S466" s="41"/>
      <c r="T466" s="32"/>
      <c r="V466" s="32"/>
      <c r="W466" s="41"/>
      <c r="X466" s="32"/>
      <c r="Z466" s="32"/>
      <c r="AA466" s="41"/>
      <c r="AB466" s="41"/>
      <c r="AD466" s="32"/>
      <c r="AE466" s="41"/>
    </row>
    <row r="467" spans="1:31" s="30" customFormat="1" x14ac:dyDescent="0.25">
      <c r="A467" s="36"/>
      <c r="B467" s="31"/>
      <c r="C467" s="31"/>
      <c r="D467" s="32"/>
      <c r="H467" s="32"/>
      <c r="J467" s="32"/>
      <c r="K467" s="41"/>
      <c r="L467" s="32"/>
      <c r="N467" s="32"/>
      <c r="O467" s="41"/>
      <c r="P467" s="32"/>
      <c r="R467" s="32"/>
      <c r="S467" s="41"/>
      <c r="T467" s="32"/>
      <c r="V467" s="32"/>
      <c r="W467" s="41"/>
      <c r="X467" s="32"/>
      <c r="Z467" s="32"/>
      <c r="AA467" s="41"/>
      <c r="AB467" s="41"/>
      <c r="AD467" s="32"/>
      <c r="AE467" s="41"/>
    </row>
    <row r="468" spans="1:31" s="30" customFormat="1" x14ac:dyDescent="0.25">
      <c r="A468" s="36"/>
      <c r="B468" s="31"/>
      <c r="C468" s="31"/>
      <c r="D468" s="32"/>
      <c r="H468" s="32"/>
      <c r="J468" s="32"/>
      <c r="K468" s="41"/>
      <c r="L468" s="32"/>
      <c r="N468" s="32"/>
      <c r="O468" s="41"/>
      <c r="P468" s="32"/>
      <c r="R468" s="32"/>
      <c r="S468" s="41"/>
      <c r="T468" s="32"/>
      <c r="V468" s="32"/>
      <c r="W468" s="41"/>
      <c r="X468" s="32"/>
      <c r="Z468" s="32"/>
      <c r="AA468" s="41"/>
      <c r="AB468" s="41"/>
      <c r="AD468" s="32"/>
      <c r="AE468" s="41"/>
    </row>
    <row r="469" spans="1:31" s="30" customFormat="1" x14ac:dyDescent="0.25">
      <c r="A469" s="36"/>
      <c r="B469" s="31"/>
      <c r="C469" s="31"/>
      <c r="D469" s="32"/>
      <c r="H469" s="32"/>
      <c r="J469" s="32"/>
      <c r="K469" s="41"/>
      <c r="L469" s="32"/>
      <c r="N469" s="32"/>
      <c r="O469" s="41"/>
      <c r="P469" s="32"/>
      <c r="R469" s="32"/>
      <c r="S469" s="41"/>
      <c r="T469" s="32"/>
      <c r="V469" s="32"/>
      <c r="W469" s="41"/>
      <c r="X469" s="32"/>
      <c r="Z469" s="32"/>
      <c r="AA469" s="41"/>
      <c r="AB469" s="41"/>
      <c r="AD469" s="32"/>
      <c r="AE469" s="41"/>
    </row>
    <row r="470" spans="1:31" s="30" customFormat="1" x14ac:dyDescent="0.25">
      <c r="A470" s="36"/>
      <c r="B470" s="31"/>
      <c r="C470" s="31"/>
      <c r="D470" s="32"/>
      <c r="H470" s="32"/>
      <c r="J470" s="32"/>
      <c r="K470" s="41"/>
      <c r="L470" s="32"/>
      <c r="N470" s="32"/>
      <c r="O470" s="41"/>
      <c r="P470" s="32"/>
      <c r="R470" s="32"/>
      <c r="S470" s="41"/>
      <c r="T470" s="32"/>
      <c r="V470" s="32"/>
      <c r="W470" s="41"/>
      <c r="X470" s="32"/>
      <c r="Z470" s="32"/>
      <c r="AA470" s="41"/>
      <c r="AB470" s="41"/>
      <c r="AD470" s="32"/>
      <c r="AE470" s="41"/>
    </row>
    <row r="471" spans="1:31" s="30" customFormat="1" x14ac:dyDescent="0.25">
      <c r="A471" s="36"/>
      <c r="B471" s="31"/>
      <c r="C471" s="31"/>
      <c r="D471" s="32"/>
      <c r="H471" s="32"/>
      <c r="J471" s="32"/>
      <c r="K471" s="41"/>
      <c r="L471" s="32"/>
      <c r="N471" s="32"/>
      <c r="O471" s="41"/>
      <c r="P471" s="32"/>
      <c r="R471" s="32"/>
      <c r="S471" s="41"/>
      <c r="T471" s="32"/>
      <c r="V471" s="32"/>
      <c r="W471" s="41"/>
      <c r="X471" s="32"/>
      <c r="Z471" s="32"/>
      <c r="AA471" s="41"/>
      <c r="AB471" s="41"/>
      <c r="AD471" s="32"/>
      <c r="AE471" s="41"/>
    </row>
    <row r="472" spans="1:31" s="30" customFormat="1" x14ac:dyDescent="0.25">
      <c r="A472" s="36"/>
      <c r="B472" s="31"/>
      <c r="C472" s="31"/>
      <c r="D472" s="32"/>
      <c r="H472" s="32"/>
      <c r="J472" s="32"/>
      <c r="K472" s="41"/>
      <c r="L472" s="32"/>
      <c r="N472" s="32"/>
      <c r="O472" s="41"/>
      <c r="P472" s="32"/>
      <c r="R472" s="32"/>
      <c r="S472" s="41"/>
      <c r="T472" s="32"/>
      <c r="V472" s="32"/>
      <c r="W472" s="41"/>
      <c r="X472" s="32"/>
      <c r="Z472" s="32"/>
      <c r="AA472" s="41"/>
      <c r="AB472" s="41"/>
      <c r="AD472" s="32"/>
      <c r="AE472" s="41"/>
    </row>
    <row r="473" spans="1:31" s="30" customFormat="1" x14ac:dyDescent="0.25">
      <c r="A473" s="36"/>
      <c r="B473" s="31"/>
      <c r="C473" s="31"/>
      <c r="D473" s="32"/>
      <c r="H473" s="32"/>
      <c r="J473" s="32"/>
      <c r="K473" s="41"/>
      <c r="L473" s="32"/>
      <c r="N473" s="32"/>
      <c r="O473" s="41"/>
      <c r="P473" s="32"/>
      <c r="R473" s="32"/>
      <c r="S473" s="41"/>
      <c r="T473" s="32"/>
      <c r="V473" s="32"/>
      <c r="W473" s="41"/>
      <c r="X473" s="32"/>
      <c r="Z473" s="32"/>
      <c r="AA473" s="41"/>
      <c r="AB473" s="41"/>
      <c r="AD473" s="32"/>
      <c r="AE473" s="41"/>
    </row>
    <row r="474" spans="1:31" s="30" customFormat="1" x14ac:dyDescent="0.25">
      <c r="A474" s="36"/>
      <c r="B474" s="31"/>
      <c r="C474" s="31"/>
      <c r="D474" s="32"/>
      <c r="H474" s="32"/>
      <c r="J474" s="32"/>
      <c r="K474" s="41"/>
      <c r="L474" s="32"/>
      <c r="N474" s="32"/>
      <c r="O474" s="41"/>
      <c r="P474" s="32"/>
      <c r="R474" s="32"/>
      <c r="S474" s="41"/>
      <c r="T474" s="32"/>
      <c r="V474" s="32"/>
      <c r="W474" s="41"/>
      <c r="X474" s="32"/>
      <c r="Z474" s="32"/>
      <c r="AA474" s="41"/>
      <c r="AB474" s="41"/>
      <c r="AD474" s="32"/>
      <c r="AE474" s="41"/>
    </row>
    <row r="475" spans="1:31" s="30" customFormat="1" x14ac:dyDescent="0.25">
      <c r="A475" s="36"/>
      <c r="B475" s="31"/>
      <c r="C475" s="31"/>
      <c r="D475" s="32"/>
      <c r="H475" s="32"/>
      <c r="J475" s="32"/>
      <c r="K475" s="41"/>
      <c r="L475" s="32"/>
      <c r="N475" s="32"/>
      <c r="O475" s="41"/>
      <c r="P475" s="32"/>
      <c r="R475" s="32"/>
      <c r="S475" s="41"/>
      <c r="T475" s="32"/>
      <c r="V475" s="32"/>
      <c r="W475" s="41"/>
      <c r="X475" s="32"/>
      <c r="Z475" s="32"/>
      <c r="AA475" s="41"/>
      <c r="AB475" s="41"/>
      <c r="AD475" s="32"/>
      <c r="AE475" s="41"/>
    </row>
    <row r="476" spans="1:31" s="30" customFormat="1" x14ac:dyDescent="0.25">
      <c r="A476" s="36"/>
      <c r="B476" s="31"/>
      <c r="C476" s="31"/>
      <c r="D476" s="32"/>
      <c r="H476" s="32"/>
      <c r="J476" s="32"/>
      <c r="K476" s="41"/>
      <c r="L476" s="32"/>
      <c r="N476" s="32"/>
      <c r="O476" s="41"/>
      <c r="P476" s="32"/>
      <c r="R476" s="32"/>
      <c r="S476" s="41"/>
      <c r="T476" s="32"/>
      <c r="V476" s="32"/>
      <c r="W476" s="41"/>
      <c r="X476" s="32"/>
      <c r="Z476" s="32"/>
      <c r="AA476" s="41"/>
      <c r="AB476" s="41"/>
      <c r="AD476" s="32"/>
      <c r="AE476" s="41"/>
    </row>
    <row r="477" spans="1:31" s="30" customFormat="1" x14ac:dyDescent="0.25">
      <c r="A477" s="36"/>
      <c r="B477" s="31"/>
      <c r="C477" s="31"/>
      <c r="D477" s="32"/>
      <c r="H477" s="32"/>
      <c r="J477" s="32"/>
      <c r="K477" s="41"/>
      <c r="L477" s="32"/>
      <c r="N477" s="32"/>
      <c r="O477" s="41"/>
      <c r="P477" s="32"/>
      <c r="R477" s="32"/>
      <c r="S477" s="41"/>
      <c r="T477" s="32"/>
      <c r="V477" s="32"/>
      <c r="W477" s="41"/>
      <c r="X477" s="32"/>
      <c r="Z477" s="32"/>
      <c r="AA477" s="41"/>
      <c r="AB477" s="41"/>
      <c r="AD477" s="32"/>
      <c r="AE477" s="41"/>
    </row>
    <row r="478" spans="1:31" s="30" customFormat="1" x14ac:dyDescent="0.25">
      <c r="A478" s="36"/>
      <c r="B478" s="31"/>
      <c r="C478" s="31"/>
      <c r="D478" s="32"/>
      <c r="H478" s="32"/>
      <c r="J478" s="32"/>
      <c r="K478" s="41"/>
      <c r="L478" s="32"/>
      <c r="N478" s="32"/>
      <c r="O478" s="41"/>
      <c r="P478" s="32"/>
      <c r="R478" s="32"/>
      <c r="S478" s="41"/>
      <c r="T478" s="32"/>
      <c r="V478" s="32"/>
      <c r="W478" s="41"/>
      <c r="X478" s="32"/>
      <c r="Z478" s="32"/>
      <c r="AA478" s="41"/>
      <c r="AB478" s="41"/>
      <c r="AD478" s="32"/>
      <c r="AE478" s="41"/>
    </row>
    <row r="479" spans="1:31" s="30" customFormat="1" x14ac:dyDescent="0.25">
      <c r="A479" s="36"/>
      <c r="B479" s="31"/>
      <c r="C479" s="31"/>
      <c r="D479" s="32"/>
      <c r="H479" s="32"/>
      <c r="J479" s="32"/>
      <c r="K479" s="41"/>
      <c r="L479" s="32"/>
      <c r="N479" s="32"/>
      <c r="O479" s="41"/>
      <c r="P479" s="32"/>
      <c r="R479" s="32"/>
      <c r="S479" s="41"/>
      <c r="T479" s="32"/>
      <c r="V479" s="32"/>
      <c r="W479" s="41"/>
      <c r="X479" s="32"/>
      <c r="Z479" s="32"/>
      <c r="AA479" s="41"/>
      <c r="AB479" s="41"/>
      <c r="AD479" s="32"/>
      <c r="AE479" s="41"/>
    </row>
    <row r="480" spans="1:31" s="30" customFormat="1" x14ac:dyDescent="0.25">
      <c r="A480" s="36"/>
      <c r="B480" s="31"/>
      <c r="C480" s="31"/>
      <c r="D480" s="32"/>
      <c r="H480" s="32"/>
      <c r="J480" s="32"/>
      <c r="K480" s="41"/>
      <c r="L480" s="32"/>
      <c r="N480" s="32"/>
      <c r="O480" s="41"/>
      <c r="P480" s="32"/>
      <c r="R480" s="32"/>
      <c r="S480" s="41"/>
      <c r="T480" s="32"/>
      <c r="V480" s="32"/>
      <c r="W480" s="41"/>
      <c r="X480" s="32"/>
      <c r="Z480" s="32"/>
      <c r="AA480" s="41"/>
      <c r="AB480" s="41"/>
      <c r="AD480" s="32"/>
      <c r="AE480" s="41"/>
    </row>
    <row r="481" spans="1:31" s="30" customFormat="1" x14ac:dyDescent="0.25">
      <c r="A481" s="36"/>
      <c r="B481" s="31"/>
      <c r="C481" s="31"/>
      <c r="D481" s="32"/>
      <c r="H481" s="32"/>
      <c r="J481" s="32"/>
      <c r="K481" s="41"/>
      <c r="L481" s="32"/>
      <c r="N481" s="32"/>
      <c r="O481" s="41"/>
      <c r="P481" s="32"/>
      <c r="R481" s="32"/>
      <c r="S481" s="41"/>
      <c r="T481" s="32"/>
      <c r="V481" s="32"/>
      <c r="W481" s="41"/>
      <c r="X481" s="32"/>
      <c r="Z481" s="32"/>
      <c r="AA481" s="41"/>
      <c r="AB481" s="41"/>
      <c r="AD481" s="32"/>
      <c r="AE481" s="41"/>
    </row>
    <row r="482" spans="1:31" s="30" customFormat="1" x14ac:dyDescent="0.25">
      <c r="A482" s="36"/>
      <c r="B482" s="31"/>
      <c r="C482" s="31"/>
      <c r="D482" s="32"/>
      <c r="H482" s="32"/>
      <c r="J482" s="32"/>
      <c r="K482" s="41"/>
      <c r="L482" s="32"/>
      <c r="N482" s="32"/>
      <c r="O482" s="41"/>
      <c r="P482" s="32"/>
      <c r="R482" s="32"/>
      <c r="S482" s="41"/>
      <c r="T482" s="32"/>
      <c r="V482" s="32"/>
      <c r="W482" s="41"/>
      <c r="X482" s="32"/>
      <c r="Z482" s="32"/>
      <c r="AA482" s="41"/>
      <c r="AB482" s="41"/>
      <c r="AD482" s="32"/>
      <c r="AE482" s="41"/>
    </row>
    <row r="483" spans="1:31" s="30" customFormat="1" x14ac:dyDescent="0.25">
      <c r="A483" s="36"/>
      <c r="B483" s="31"/>
      <c r="C483" s="31"/>
      <c r="D483" s="32"/>
      <c r="H483" s="32"/>
      <c r="J483" s="32"/>
      <c r="K483" s="41"/>
      <c r="L483" s="32"/>
      <c r="N483" s="32"/>
      <c r="O483" s="41"/>
      <c r="P483" s="32"/>
      <c r="R483" s="32"/>
      <c r="S483" s="41"/>
      <c r="T483" s="32"/>
      <c r="V483" s="32"/>
      <c r="W483" s="41"/>
      <c r="X483" s="32"/>
      <c r="Z483" s="32"/>
      <c r="AA483" s="41"/>
      <c r="AB483" s="41"/>
      <c r="AD483" s="32"/>
      <c r="AE483" s="41"/>
    </row>
    <row r="484" spans="1:31" s="30" customFormat="1" x14ac:dyDescent="0.25">
      <c r="A484" s="36"/>
      <c r="B484" s="31"/>
      <c r="C484" s="31"/>
      <c r="D484" s="32"/>
      <c r="H484" s="32"/>
      <c r="J484" s="32"/>
      <c r="K484" s="41"/>
      <c r="L484" s="32"/>
      <c r="N484" s="32"/>
      <c r="O484" s="41"/>
      <c r="P484" s="32"/>
      <c r="R484" s="32"/>
      <c r="S484" s="41"/>
      <c r="T484" s="32"/>
      <c r="V484" s="32"/>
      <c r="W484" s="41"/>
      <c r="X484" s="32"/>
      <c r="Z484" s="32"/>
      <c r="AA484" s="41"/>
      <c r="AB484" s="41"/>
      <c r="AD484" s="32"/>
      <c r="AE484" s="41"/>
    </row>
    <row r="485" spans="1:31" s="30" customFormat="1" x14ac:dyDescent="0.25">
      <c r="A485" s="36"/>
      <c r="B485" s="31"/>
      <c r="C485" s="31"/>
      <c r="D485" s="32"/>
      <c r="H485" s="32"/>
      <c r="J485" s="32"/>
      <c r="K485" s="41"/>
      <c r="L485" s="32"/>
      <c r="N485" s="32"/>
      <c r="O485" s="41"/>
      <c r="P485" s="32"/>
      <c r="R485" s="32"/>
      <c r="S485" s="41"/>
      <c r="T485" s="32"/>
      <c r="V485" s="32"/>
      <c r="W485" s="41"/>
      <c r="X485" s="32"/>
      <c r="Z485" s="32"/>
      <c r="AA485" s="41"/>
      <c r="AB485" s="41"/>
      <c r="AD485" s="32"/>
      <c r="AE485" s="41"/>
    </row>
    <row r="486" spans="1:31" s="30" customFormat="1" x14ac:dyDescent="0.25">
      <c r="A486" s="36"/>
      <c r="B486" s="31"/>
      <c r="C486" s="31"/>
      <c r="D486" s="32"/>
      <c r="H486" s="32"/>
      <c r="J486" s="32"/>
      <c r="K486" s="41"/>
      <c r="L486" s="32"/>
      <c r="N486" s="32"/>
      <c r="O486" s="41"/>
      <c r="P486" s="32"/>
      <c r="R486" s="32"/>
      <c r="S486" s="41"/>
      <c r="T486" s="32"/>
      <c r="V486" s="32"/>
      <c r="W486" s="41"/>
      <c r="X486" s="32"/>
      <c r="Z486" s="32"/>
      <c r="AA486" s="41"/>
      <c r="AB486" s="41"/>
      <c r="AD486" s="32"/>
      <c r="AE486" s="41"/>
    </row>
    <row r="487" spans="1:31" s="30" customFormat="1" x14ac:dyDescent="0.25">
      <c r="A487" s="36"/>
      <c r="B487" s="31"/>
      <c r="C487" s="31"/>
      <c r="D487" s="32"/>
      <c r="H487" s="32"/>
      <c r="J487" s="32"/>
      <c r="K487" s="41"/>
      <c r="L487" s="32"/>
      <c r="N487" s="32"/>
      <c r="O487" s="41"/>
      <c r="P487" s="32"/>
      <c r="R487" s="32"/>
      <c r="S487" s="41"/>
      <c r="T487" s="32"/>
      <c r="V487" s="32"/>
      <c r="W487" s="41"/>
      <c r="X487" s="32"/>
      <c r="Z487" s="32"/>
      <c r="AA487" s="41"/>
      <c r="AB487" s="41"/>
      <c r="AD487" s="32"/>
      <c r="AE487" s="41"/>
    </row>
    <row r="488" spans="1:31" s="30" customFormat="1" x14ac:dyDescent="0.25">
      <c r="A488" s="36"/>
      <c r="B488" s="31"/>
      <c r="C488" s="31"/>
      <c r="D488" s="32"/>
      <c r="H488" s="32"/>
      <c r="J488" s="32"/>
      <c r="K488" s="41"/>
      <c r="L488" s="32"/>
      <c r="N488" s="32"/>
      <c r="O488" s="41"/>
      <c r="P488" s="32"/>
      <c r="R488" s="32"/>
      <c r="S488" s="41"/>
      <c r="T488" s="32"/>
      <c r="V488" s="32"/>
      <c r="W488" s="41"/>
      <c r="X488" s="32"/>
      <c r="Z488" s="32"/>
      <c r="AA488" s="41"/>
      <c r="AB488" s="41"/>
      <c r="AD488" s="32"/>
      <c r="AE488" s="41"/>
    </row>
    <row r="489" spans="1:31" s="30" customFormat="1" x14ac:dyDescent="0.25">
      <c r="A489" s="36"/>
      <c r="B489" s="31"/>
      <c r="C489" s="31"/>
      <c r="D489" s="32"/>
      <c r="H489" s="32"/>
      <c r="J489" s="32"/>
      <c r="K489" s="41"/>
      <c r="L489" s="32"/>
      <c r="N489" s="32"/>
      <c r="O489" s="41"/>
      <c r="P489" s="32"/>
      <c r="R489" s="32"/>
      <c r="S489" s="41"/>
      <c r="T489" s="32"/>
      <c r="V489" s="32"/>
      <c r="W489" s="41"/>
      <c r="X489" s="32"/>
      <c r="Z489" s="32"/>
      <c r="AA489" s="41"/>
      <c r="AB489" s="41"/>
      <c r="AD489" s="32"/>
      <c r="AE489" s="41"/>
    </row>
    <row r="490" spans="1:31" s="30" customFormat="1" x14ac:dyDescent="0.25">
      <c r="A490" s="36"/>
      <c r="B490" s="31"/>
      <c r="C490" s="31"/>
      <c r="D490" s="32"/>
      <c r="H490" s="32"/>
      <c r="J490" s="32"/>
      <c r="K490" s="41"/>
      <c r="L490" s="32"/>
      <c r="N490" s="32"/>
      <c r="O490" s="41"/>
      <c r="P490" s="32"/>
      <c r="R490" s="32"/>
      <c r="S490" s="41"/>
      <c r="T490" s="32"/>
      <c r="V490" s="32"/>
      <c r="W490" s="41"/>
      <c r="X490" s="32"/>
      <c r="Z490" s="32"/>
      <c r="AA490" s="41"/>
      <c r="AB490" s="41"/>
      <c r="AD490" s="32"/>
      <c r="AE490" s="41"/>
    </row>
    <row r="491" spans="1:31" s="30" customFormat="1" x14ac:dyDescent="0.25">
      <c r="A491" s="36"/>
      <c r="B491" s="31"/>
      <c r="C491" s="31"/>
      <c r="D491" s="32"/>
      <c r="H491" s="32"/>
      <c r="J491" s="32"/>
      <c r="K491" s="41"/>
      <c r="L491" s="32"/>
      <c r="N491" s="32"/>
      <c r="O491" s="41"/>
      <c r="P491" s="32"/>
      <c r="R491" s="32"/>
      <c r="S491" s="41"/>
      <c r="T491" s="32"/>
      <c r="V491" s="32"/>
      <c r="W491" s="41"/>
      <c r="X491" s="32"/>
      <c r="Z491" s="32"/>
      <c r="AA491" s="41"/>
      <c r="AB491" s="41"/>
      <c r="AD491" s="32"/>
      <c r="AE491" s="41"/>
    </row>
    <row r="492" spans="1:31" s="30" customFormat="1" x14ac:dyDescent="0.25">
      <c r="A492" s="36"/>
      <c r="B492" s="31"/>
      <c r="C492" s="31"/>
      <c r="D492" s="32"/>
      <c r="H492" s="32"/>
      <c r="J492" s="32"/>
      <c r="K492" s="41"/>
      <c r="L492" s="32"/>
      <c r="N492" s="32"/>
      <c r="O492" s="41"/>
      <c r="P492" s="32"/>
      <c r="R492" s="32"/>
      <c r="S492" s="41"/>
      <c r="T492" s="32"/>
      <c r="V492" s="32"/>
      <c r="W492" s="41"/>
      <c r="X492" s="32"/>
      <c r="Z492" s="32"/>
      <c r="AA492" s="41"/>
      <c r="AB492" s="41"/>
      <c r="AD492" s="32"/>
      <c r="AE492" s="41"/>
    </row>
    <row r="493" spans="1:31" s="30" customFormat="1" x14ac:dyDescent="0.25">
      <c r="A493" s="36"/>
      <c r="B493" s="31"/>
      <c r="C493" s="31"/>
      <c r="D493" s="32"/>
      <c r="H493" s="32"/>
      <c r="J493" s="32"/>
      <c r="K493" s="41"/>
      <c r="L493" s="32"/>
      <c r="N493" s="32"/>
      <c r="O493" s="41"/>
      <c r="P493" s="32"/>
      <c r="R493" s="32"/>
      <c r="S493" s="41"/>
      <c r="T493" s="32"/>
      <c r="V493" s="32"/>
      <c r="W493" s="41"/>
      <c r="X493" s="32"/>
      <c r="Z493" s="32"/>
      <c r="AA493" s="41"/>
      <c r="AB493" s="41"/>
      <c r="AD493" s="32"/>
      <c r="AE493" s="41"/>
    </row>
    <row r="494" spans="1:31" s="30" customFormat="1" x14ac:dyDescent="0.25">
      <c r="A494" s="36"/>
      <c r="B494" s="31"/>
      <c r="C494" s="31"/>
      <c r="D494" s="32"/>
      <c r="H494" s="32"/>
      <c r="J494" s="32"/>
      <c r="K494" s="41"/>
      <c r="L494" s="32"/>
      <c r="N494" s="32"/>
      <c r="O494" s="41"/>
      <c r="P494" s="32"/>
      <c r="R494" s="32"/>
      <c r="S494" s="41"/>
      <c r="T494" s="32"/>
      <c r="V494" s="32"/>
      <c r="W494" s="41"/>
      <c r="X494" s="32"/>
      <c r="Z494" s="32"/>
      <c r="AA494" s="41"/>
      <c r="AB494" s="41"/>
      <c r="AD494" s="32"/>
      <c r="AE494" s="41"/>
    </row>
    <row r="495" spans="1:31" s="30" customFormat="1" x14ac:dyDescent="0.25">
      <c r="A495" s="36"/>
      <c r="B495" s="31"/>
      <c r="C495" s="31"/>
      <c r="D495" s="32"/>
      <c r="H495" s="32"/>
      <c r="J495" s="32"/>
      <c r="K495" s="41"/>
      <c r="L495" s="32"/>
      <c r="N495" s="32"/>
      <c r="O495" s="41"/>
      <c r="P495" s="32"/>
      <c r="R495" s="32"/>
      <c r="S495" s="41"/>
      <c r="T495" s="32"/>
      <c r="V495" s="32"/>
      <c r="W495" s="41"/>
      <c r="X495" s="32"/>
      <c r="Z495" s="32"/>
      <c r="AA495" s="41"/>
      <c r="AB495" s="41"/>
      <c r="AD495" s="32"/>
      <c r="AE495" s="41"/>
    </row>
    <row r="496" spans="1:31" s="30" customFormat="1" x14ac:dyDescent="0.25">
      <c r="A496" s="36"/>
      <c r="B496" s="31"/>
      <c r="C496" s="31"/>
      <c r="D496" s="32"/>
      <c r="H496" s="32"/>
      <c r="J496" s="32"/>
      <c r="K496" s="41"/>
      <c r="L496" s="32"/>
      <c r="N496" s="32"/>
      <c r="O496" s="41"/>
      <c r="P496" s="32"/>
      <c r="R496" s="32"/>
      <c r="S496" s="41"/>
      <c r="T496" s="32"/>
      <c r="V496" s="32"/>
      <c r="W496" s="41"/>
      <c r="X496" s="32"/>
      <c r="Z496" s="32"/>
      <c r="AA496" s="41"/>
      <c r="AB496" s="41"/>
      <c r="AD496" s="32"/>
      <c r="AE496" s="41"/>
    </row>
    <row r="497" spans="1:31" s="30" customFormat="1" x14ac:dyDescent="0.25">
      <c r="A497" s="36"/>
      <c r="B497" s="31"/>
      <c r="C497" s="31"/>
      <c r="D497" s="32"/>
      <c r="H497" s="32"/>
      <c r="J497" s="32"/>
      <c r="K497" s="41"/>
      <c r="L497" s="32"/>
      <c r="N497" s="32"/>
      <c r="O497" s="41"/>
      <c r="P497" s="32"/>
      <c r="R497" s="32"/>
      <c r="S497" s="41"/>
      <c r="T497" s="32"/>
      <c r="V497" s="32"/>
      <c r="W497" s="41"/>
      <c r="X497" s="32"/>
      <c r="Z497" s="32"/>
      <c r="AA497" s="41"/>
      <c r="AB497" s="41"/>
      <c r="AD497" s="32"/>
      <c r="AE497" s="41"/>
    </row>
    <row r="498" spans="1:31" s="30" customFormat="1" x14ac:dyDescent="0.25">
      <c r="A498" s="36"/>
      <c r="B498" s="31"/>
      <c r="C498" s="31"/>
      <c r="D498" s="32"/>
      <c r="H498" s="32"/>
      <c r="J498" s="32"/>
      <c r="K498" s="41"/>
      <c r="L498" s="32"/>
      <c r="N498" s="32"/>
      <c r="O498" s="41"/>
      <c r="P498" s="32"/>
      <c r="R498" s="32"/>
      <c r="S498" s="41"/>
      <c r="T498" s="32"/>
      <c r="V498" s="32"/>
      <c r="W498" s="41"/>
      <c r="X498" s="32"/>
      <c r="Z498" s="32"/>
      <c r="AA498" s="41"/>
      <c r="AB498" s="41"/>
      <c r="AD498" s="32"/>
      <c r="AE498" s="41"/>
    </row>
    <row r="499" spans="1:31" s="30" customFormat="1" x14ac:dyDescent="0.25">
      <c r="A499" s="36"/>
      <c r="B499" s="31"/>
      <c r="C499" s="31"/>
      <c r="D499" s="32"/>
      <c r="H499" s="32"/>
      <c r="J499" s="32"/>
      <c r="K499" s="41"/>
      <c r="L499" s="32"/>
      <c r="N499" s="32"/>
      <c r="O499" s="41"/>
      <c r="P499" s="32"/>
      <c r="R499" s="32"/>
      <c r="S499" s="41"/>
      <c r="T499" s="32"/>
      <c r="V499" s="32"/>
      <c r="W499" s="41"/>
      <c r="X499" s="32"/>
      <c r="Z499" s="32"/>
      <c r="AA499" s="41"/>
      <c r="AB499" s="41"/>
      <c r="AD499" s="32"/>
      <c r="AE499" s="41"/>
    </row>
    <row r="500" spans="1:31" s="30" customFormat="1" x14ac:dyDescent="0.25">
      <c r="A500" s="36"/>
      <c r="B500" s="31"/>
      <c r="C500" s="31"/>
      <c r="D500" s="32"/>
      <c r="H500" s="32"/>
      <c r="J500" s="32"/>
      <c r="K500" s="41"/>
      <c r="L500" s="32"/>
      <c r="N500" s="32"/>
      <c r="O500" s="41"/>
      <c r="P500" s="32"/>
      <c r="R500" s="32"/>
      <c r="S500" s="41"/>
      <c r="T500" s="32"/>
      <c r="V500" s="32"/>
      <c r="W500" s="41"/>
      <c r="X500" s="32"/>
      <c r="Z500" s="32"/>
      <c r="AA500" s="41"/>
      <c r="AB500" s="41"/>
      <c r="AD500" s="32"/>
      <c r="AE500" s="41"/>
    </row>
    <row r="501" spans="1:31" s="30" customFormat="1" x14ac:dyDescent="0.25">
      <c r="A501" s="36"/>
      <c r="B501" s="31"/>
      <c r="C501" s="31"/>
      <c r="D501" s="32"/>
      <c r="H501" s="32"/>
      <c r="J501" s="32"/>
      <c r="K501" s="41"/>
      <c r="L501" s="32"/>
      <c r="N501" s="32"/>
      <c r="O501" s="41"/>
      <c r="P501" s="32"/>
      <c r="R501" s="32"/>
      <c r="S501" s="41"/>
      <c r="T501" s="32"/>
      <c r="V501" s="32"/>
      <c r="W501" s="41"/>
      <c r="X501" s="32"/>
      <c r="Z501" s="32"/>
      <c r="AA501" s="41"/>
      <c r="AB501" s="41"/>
      <c r="AD501" s="32"/>
      <c r="AE501" s="41"/>
    </row>
    <row r="502" spans="1:31" s="30" customFormat="1" x14ac:dyDescent="0.25">
      <c r="A502" s="36"/>
      <c r="B502" s="31"/>
      <c r="C502" s="31"/>
      <c r="D502" s="32"/>
      <c r="H502" s="32"/>
      <c r="J502" s="32"/>
      <c r="K502" s="41"/>
      <c r="L502" s="32"/>
      <c r="N502" s="32"/>
      <c r="O502" s="41"/>
      <c r="P502" s="32"/>
      <c r="R502" s="32"/>
      <c r="S502" s="41"/>
      <c r="T502" s="32"/>
      <c r="V502" s="32"/>
      <c r="W502" s="41"/>
      <c r="X502" s="32"/>
      <c r="Z502" s="32"/>
      <c r="AA502" s="41"/>
      <c r="AB502" s="41"/>
      <c r="AD502" s="32"/>
      <c r="AE502" s="41"/>
    </row>
    <row r="503" spans="1:31" s="30" customFormat="1" x14ac:dyDescent="0.25">
      <c r="A503" s="36"/>
      <c r="B503" s="31"/>
      <c r="C503" s="31"/>
      <c r="D503" s="32"/>
      <c r="H503" s="32"/>
      <c r="J503" s="32"/>
      <c r="K503" s="41"/>
      <c r="L503" s="32"/>
      <c r="N503" s="32"/>
      <c r="O503" s="41"/>
      <c r="P503" s="32"/>
      <c r="R503" s="32"/>
      <c r="S503" s="41"/>
      <c r="T503" s="32"/>
      <c r="V503" s="32"/>
      <c r="W503" s="41"/>
      <c r="X503" s="32"/>
      <c r="Z503" s="32"/>
      <c r="AA503" s="41"/>
      <c r="AB503" s="41"/>
      <c r="AD503" s="32"/>
      <c r="AE503" s="41"/>
    </row>
    <row r="504" spans="1:31" s="30" customFormat="1" x14ac:dyDescent="0.25">
      <c r="A504" s="36"/>
      <c r="B504" s="31"/>
      <c r="C504" s="31"/>
      <c r="D504" s="32"/>
      <c r="H504" s="32"/>
      <c r="J504" s="32"/>
      <c r="K504" s="41"/>
      <c r="L504" s="32"/>
      <c r="N504" s="32"/>
      <c r="O504" s="41"/>
      <c r="P504" s="32"/>
      <c r="R504" s="32"/>
      <c r="S504" s="41"/>
      <c r="T504" s="32"/>
      <c r="V504" s="32"/>
      <c r="W504" s="41"/>
      <c r="X504" s="32"/>
      <c r="Z504" s="32"/>
      <c r="AA504" s="41"/>
      <c r="AB504" s="41"/>
      <c r="AD504" s="32"/>
      <c r="AE504" s="41"/>
    </row>
    <row r="505" spans="1:31" s="30" customFormat="1" x14ac:dyDescent="0.25">
      <c r="A505" s="36"/>
      <c r="B505" s="31"/>
      <c r="C505" s="31"/>
      <c r="D505" s="32"/>
      <c r="H505" s="32"/>
      <c r="J505" s="32"/>
      <c r="K505" s="41"/>
      <c r="L505" s="32"/>
      <c r="N505" s="32"/>
      <c r="O505" s="41"/>
      <c r="P505" s="32"/>
      <c r="R505" s="32"/>
      <c r="S505" s="41"/>
      <c r="T505" s="32"/>
      <c r="V505" s="32"/>
      <c r="W505" s="41"/>
      <c r="X505" s="32"/>
      <c r="Z505" s="32"/>
      <c r="AA505" s="41"/>
      <c r="AB505" s="41"/>
      <c r="AD505" s="32"/>
      <c r="AE505" s="41"/>
    </row>
    <row r="506" spans="1:31" s="30" customFormat="1" x14ac:dyDescent="0.25">
      <c r="A506" s="36"/>
      <c r="B506" s="31"/>
      <c r="C506" s="31"/>
      <c r="D506" s="32"/>
      <c r="H506" s="32"/>
      <c r="J506" s="32"/>
      <c r="K506" s="41"/>
      <c r="L506" s="32"/>
      <c r="N506" s="32"/>
      <c r="O506" s="41"/>
      <c r="P506" s="32"/>
      <c r="R506" s="32"/>
      <c r="S506" s="41"/>
      <c r="T506" s="32"/>
      <c r="V506" s="32"/>
      <c r="W506" s="41"/>
      <c r="X506" s="32"/>
      <c r="Z506" s="32"/>
      <c r="AA506" s="41"/>
      <c r="AB506" s="41"/>
      <c r="AD506" s="32"/>
      <c r="AE506" s="41"/>
    </row>
    <row r="507" spans="1:31" s="30" customFormat="1" x14ac:dyDescent="0.25">
      <c r="A507" s="36"/>
      <c r="B507" s="31"/>
      <c r="C507" s="31"/>
      <c r="D507" s="32"/>
      <c r="H507" s="32"/>
      <c r="J507" s="32"/>
      <c r="K507" s="41"/>
      <c r="L507" s="32"/>
      <c r="N507" s="32"/>
      <c r="O507" s="41"/>
      <c r="P507" s="32"/>
      <c r="R507" s="32"/>
      <c r="S507" s="41"/>
      <c r="T507" s="32"/>
      <c r="V507" s="32"/>
      <c r="W507" s="41"/>
      <c r="X507" s="32"/>
      <c r="Z507" s="32"/>
      <c r="AA507" s="41"/>
      <c r="AB507" s="41"/>
      <c r="AD507" s="32"/>
      <c r="AE507" s="41"/>
    </row>
    <row r="508" spans="1:31" s="30" customFormat="1" x14ac:dyDescent="0.25">
      <c r="A508" s="36"/>
      <c r="B508" s="31"/>
      <c r="C508" s="31"/>
      <c r="D508" s="32"/>
      <c r="H508" s="32"/>
      <c r="J508" s="32"/>
      <c r="K508" s="41"/>
      <c r="L508" s="32"/>
      <c r="N508" s="32"/>
      <c r="O508" s="41"/>
      <c r="P508" s="32"/>
      <c r="R508" s="32"/>
      <c r="S508" s="41"/>
      <c r="T508" s="32"/>
      <c r="V508" s="32"/>
      <c r="W508" s="41"/>
      <c r="X508" s="32"/>
      <c r="Z508" s="32"/>
      <c r="AA508" s="41"/>
      <c r="AB508" s="41"/>
      <c r="AD508" s="32"/>
      <c r="AE508" s="41"/>
    </row>
    <row r="509" spans="1:31" s="30" customFormat="1" x14ac:dyDescent="0.25">
      <c r="A509" s="36"/>
      <c r="B509" s="31"/>
      <c r="C509" s="31"/>
      <c r="D509" s="32"/>
      <c r="H509" s="32"/>
      <c r="J509" s="32"/>
      <c r="K509" s="41"/>
      <c r="L509" s="32"/>
      <c r="N509" s="32"/>
      <c r="O509" s="41"/>
      <c r="P509" s="32"/>
      <c r="R509" s="32"/>
      <c r="S509" s="41"/>
      <c r="T509" s="32"/>
      <c r="V509" s="32"/>
      <c r="W509" s="41"/>
      <c r="X509" s="32"/>
      <c r="Z509" s="32"/>
      <c r="AA509" s="41"/>
      <c r="AB509" s="41"/>
      <c r="AD509" s="32"/>
      <c r="AE509" s="41"/>
    </row>
    <row r="510" spans="1:31" s="30" customFormat="1" x14ac:dyDescent="0.25">
      <c r="A510" s="36"/>
      <c r="B510" s="31"/>
      <c r="C510" s="31"/>
      <c r="D510" s="32"/>
      <c r="H510" s="32"/>
      <c r="J510" s="32"/>
      <c r="K510" s="41"/>
      <c r="L510" s="32"/>
      <c r="N510" s="32"/>
      <c r="O510" s="41"/>
      <c r="P510" s="32"/>
      <c r="R510" s="32"/>
      <c r="S510" s="41"/>
      <c r="T510" s="32"/>
      <c r="V510" s="32"/>
      <c r="W510" s="41"/>
      <c r="X510" s="32"/>
      <c r="Z510" s="32"/>
      <c r="AA510" s="41"/>
      <c r="AB510" s="41"/>
      <c r="AD510" s="32"/>
      <c r="AE510" s="41"/>
    </row>
    <row r="511" spans="1:31" s="30" customFormat="1" x14ac:dyDescent="0.25">
      <c r="A511" s="36"/>
      <c r="B511" s="31"/>
      <c r="C511" s="31"/>
      <c r="D511" s="32"/>
      <c r="H511" s="32"/>
      <c r="J511" s="32"/>
      <c r="K511" s="41"/>
      <c r="L511" s="32"/>
      <c r="N511" s="32"/>
      <c r="O511" s="41"/>
      <c r="P511" s="32"/>
      <c r="R511" s="32"/>
      <c r="S511" s="41"/>
      <c r="T511" s="32"/>
      <c r="V511" s="32"/>
      <c r="W511" s="41"/>
      <c r="X511" s="32"/>
      <c r="Z511" s="32"/>
      <c r="AA511" s="41"/>
      <c r="AB511" s="41"/>
      <c r="AD511" s="32"/>
      <c r="AE511" s="41"/>
    </row>
    <row r="512" spans="1:31" s="30" customFormat="1" x14ac:dyDescent="0.25">
      <c r="A512" s="36"/>
      <c r="B512" s="31"/>
      <c r="C512" s="31"/>
      <c r="D512" s="32"/>
      <c r="H512" s="32"/>
      <c r="J512" s="32"/>
      <c r="K512" s="41"/>
      <c r="L512" s="32"/>
      <c r="N512" s="32"/>
      <c r="O512" s="41"/>
      <c r="P512" s="32"/>
      <c r="R512" s="32"/>
      <c r="S512" s="41"/>
      <c r="T512" s="32"/>
      <c r="V512" s="32"/>
      <c r="W512" s="41"/>
      <c r="X512" s="32"/>
      <c r="Z512" s="32"/>
      <c r="AA512" s="41"/>
      <c r="AB512" s="41"/>
      <c r="AD512" s="32"/>
      <c r="AE512" s="41"/>
    </row>
    <row r="513" spans="1:31" s="30" customFormat="1" x14ac:dyDescent="0.25">
      <c r="A513" s="36"/>
      <c r="B513" s="31"/>
      <c r="C513" s="31"/>
      <c r="D513" s="32"/>
      <c r="H513" s="32"/>
      <c r="J513" s="32"/>
      <c r="K513" s="41"/>
      <c r="L513" s="32"/>
      <c r="N513" s="32"/>
      <c r="O513" s="41"/>
      <c r="P513" s="32"/>
      <c r="R513" s="32"/>
      <c r="S513" s="41"/>
      <c r="T513" s="32"/>
      <c r="V513" s="32"/>
      <c r="W513" s="41"/>
      <c r="X513" s="32"/>
      <c r="Z513" s="32"/>
      <c r="AA513" s="41"/>
      <c r="AB513" s="41"/>
      <c r="AD513" s="32"/>
      <c r="AE513" s="41"/>
    </row>
    <row r="514" spans="1:31" s="30" customFormat="1" x14ac:dyDescent="0.25">
      <c r="A514" s="36"/>
      <c r="B514" s="31"/>
      <c r="C514" s="31"/>
      <c r="D514" s="32"/>
      <c r="H514" s="32"/>
      <c r="J514" s="32"/>
      <c r="K514" s="41"/>
      <c r="L514" s="32"/>
      <c r="N514" s="32"/>
      <c r="O514" s="41"/>
      <c r="P514" s="32"/>
      <c r="R514" s="32"/>
      <c r="S514" s="41"/>
      <c r="T514" s="32"/>
      <c r="V514" s="32"/>
      <c r="W514" s="41"/>
      <c r="X514" s="32"/>
      <c r="Z514" s="32"/>
      <c r="AA514" s="41"/>
      <c r="AB514" s="41"/>
      <c r="AD514" s="32"/>
      <c r="AE514" s="41"/>
    </row>
    <row r="515" spans="1:31" s="30" customFormat="1" x14ac:dyDescent="0.25">
      <c r="A515" s="36"/>
      <c r="B515" s="31"/>
      <c r="C515" s="31"/>
      <c r="D515" s="32"/>
      <c r="H515" s="32"/>
      <c r="J515" s="32"/>
      <c r="K515" s="41"/>
      <c r="L515" s="32"/>
      <c r="N515" s="32"/>
      <c r="O515" s="41"/>
      <c r="P515" s="32"/>
      <c r="R515" s="32"/>
      <c r="S515" s="41"/>
      <c r="T515" s="32"/>
      <c r="V515" s="32"/>
      <c r="W515" s="41"/>
      <c r="X515" s="32"/>
      <c r="Z515" s="32"/>
      <c r="AA515" s="41"/>
      <c r="AB515" s="41"/>
      <c r="AD515" s="32"/>
      <c r="AE515" s="41"/>
    </row>
    <row r="516" spans="1:31" s="30" customFormat="1" x14ac:dyDescent="0.25">
      <c r="A516" s="36"/>
      <c r="B516" s="31"/>
      <c r="C516" s="31"/>
      <c r="D516" s="32"/>
      <c r="H516" s="32"/>
      <c r="J516" s="32"/>
      <c r="K516" s="41"/>
      <c r="L516" s="32"/>
      <c r="N516" s="32"/>
      <c r="O516" s="41"/>
      <c r="P516" s="32"/>
      <c r="R516" s="32"/>
      <c r="S516" s="41"/>
      <c r="T516" s="32"/>
      <c r="V516" s="32"/>
      <c r="W516" s="41"/>
      <c r="X516" s="32"/>
      <c r="Z516" s="32"/>
      <c r="AA516" s="41"/>
      <c r="AB516" s="41"/>
      <c r="AD516" s="32"/>
      <c r="AE516" s="41"/>
    </row>
    <row r="517" spans="1:31" s="30" customFormat="1" x14ac:dyDescent="0.25">
      <c r="A517" s="36"/>
      <c r="B517" s="31"/>
      <c r="C517" s="31"/>
      <c r="D517" s="32"/>
      <c r="H517" s="32"/>
      <c r="J517" s="32"/>
      <c r="K517" s="41"/>
      <c r="L517" s="32"/>
      <c r="N517" s="32"/>
      <c r="O517" s="41"/>
      <c r="P517" s="32"/>
      <c r="R517" s="32"/>
      <c r="S517" s="41"/>
      <c r="T517" s="32"/>
      <c r="V517" s="32"/>
      <c r="W517" s="41"/>
      <c r="X517" s="32"/>
      <c r="Z517" s="32"/>
      <c r="AA517" s="41"/>
      <c r="AB517" s="41"/>
      <c r="AD517" s="32"/>
      <c r="AE517" s="41"/>
    </row>
    <row r="518" spans="1:31" s="30" customFormat="1" x14ac:dyDescent="0.25">
      <c r="A518" s="36"/>
      <c r="B518" s="31"/>
      <c r="C518" s="31"/>
      <c r="D518" s="32"/>
      <c r="H518" s="32"/>
      <c r="J518" s="32"/>
      <c r="K518" s="41"/>
      <c r="L518" s="32"/>
      <c r="N518" s="32"/>
      <c r="O518" s="41"/>
      <c r="P518" s="32"/>
      <c r="R518" s="32"/>
      <c r="S518" s="41"/>
      <c r="T518" s="32"/>
      <c r="V518" s="32"/>
      <c r="W518" s="41"/>
      <c r="X518" s="32"/>
      <c r="Z518" s="32"/>
      <c r="AA518" s="41"/>
      <c r="AB518" s="41"/>
      <c r="AD518" s="32"/>
      <c r="AE518" s="41"/>
    </row>
    <row r="519" spans="1:31" s="30" customFormat="1" x14ac:dyDescent="0.25">
      <c r="A519" s="36"/>
      <c r="B519" s="31"/>
      <c r="C519" s="31"/>
      <c r="D519" s="32"/>
      <c r="H519" s="32"/>
      <c r="J519" s="32"/>
      <c r="K519" s="41"/>
      <c r="L519" s="32"/>
      <c r="N519" s="32"/>
      <c r="O519" s="41"/>
      <c r="P519" s="32"/>
      <c r="R519" s="32"/>
      <c r="S519" s="41"/>
      <c r="T519" s="32"/>
      <c r="V519" s="32"/>
      <c r="W519" s="41"/>
      <c r="X519" s="32"/>
      <c r="Z519" s="32"/>
      <c r="AA519" s="41"/>
      <c r="AB519" s="41"/>
      <c r="AD519" s="32"/>
      <c r="AE519" s="41"/>
    </row>
    <row r="520" spans="1:31" s="30" customFormat="1" x14ac:dyDescent="0.25">
      <c r="A520" s="36"/>
      <c r="B520" s="31"/>
      <c r="C520" s="31"/>
      <c r="D520" s="32"/>
      <c r="H520" s="32"/>
      <c r="J520" s="32"/>
      <c r="K520" s="41"/>
      <c r="L520" s="32"/>
      <c r="N520" s="32"/>
      <c r="O520" s="41"/>
      <c r="P520" s="32"/>
      <c r="R520" s="32"/>
      <c r="S520" s="41"/>
      <c r="T520" s="32"/>
      <c r="V520" s="32"/>
      <c r="W520" s="41"/>
      <c r="X520" s="32"/>
      <c r="Z520" s="32"/>
      <c r="AA520" s="41"/>
      <c r="AB520" s="41"/>
      <c r="AD520" s="32"/>
      <c r="AE520" s="41"/>
    </row>
    <row r="521" spans="1:31" s="30" customFormat="1" x14ac:dyDescent="0.25">
      <c r="A521" s="36"/>
      <c r="B521" s="31"/>
      <c r="C521" s="31"/>
      <c r="D521" s="32"/>
      <c r="H521" s="32"/>
      <c r="J521" s="32"/>
      <c r="K521" s="41"/>
      <c r="L521" s="32"/>
      <c r="N521" s="32"/>
      <c r="O521" s="41"/>
      <c r="P521" s="32"/>
      <c r="R521" s="32"/>
      <c r="S521" s="41"/>
      <c r="T521" s="32"/>
      <c r="V521" s="32"/>
      <c r="W521" s="41"/>
      <c r="X521" s="32"/>
      <c r="Z521" s="32"/>
      <c r="AA521" s="41"/>
      <c r="AB521" s="41"/>
      <c r="AD521" s="32"/>
      <c r="AE521" s="41"/>
    </row>
    <row r="522" spans="1:31" s="30" customFormat="1" x14ac:dyDescent="0.25">
      <c r="A522" s="36"/>
      <c r="B522" s="31"/>
      <c r="C522" s="31"/>
      <c r="D522" s="32"/>
      <c r="H522" s="32"/>
      <c r="J522" s="32"/>
      <c r="K522" s="41"/>
      <c r="L522" s="32"/>
      <c r="N522" s="32"/>
      <c r="O522" s="41"/>
      <c r="P522" s="32"/>
      <c r="R522" s="32"/>
      <c r="S522" s="41"/>
      <c r="T522" s="32"/>
      <c r="V522" s="32"/>
      <c r="W522" s="41"/>
      <c r="X522" s="32"/>
      <c r="Z522" s="32"/>
      <c r="AA522" s="41"/>
      <c r="AB522" s="41"/>
      <c r="AD522" s="32"/>
      <c r="AE522" s="41"/>
    </row>
    <row r="523" spans="1:31" s="30" customFormat="1" x14ac:dyDescent="0.25">
      <c r="A523" s="36"/>
      <c r="B523" s="31"/>
      <c r="C523" s="31"/>
      <c r="D523" s="32"/>
      <c r="H523" s="32"/>
      <c r="J523" s="32"/>
      <c r="K523" s="41"/>
      <c r="L523" s="32"/>
      <c r="N523" s="32"/>
      <c r="O523" s="41"/>
      <c r="P523" s="32"/>
      <c r="R523" s="32"/>
      <c r="S523" s="41"/>
      <c r="T523" s="32"/>
      <c r="V523" s="32"/>
      <c r="W523" s="41"/>
      <c r="X523" s="32"/>
      <c r="Z523" s="32"/>
      <c r="AA523" s="41"/>
      <c r="AB523" s="41"/>
      <c r="AD523" s="32"/>
      <c r="AE523" s="41"/>
    </row>
    <row r="524" spans="1:31" s="30" customFormat="1" x14ac:dyDescent="0.25">
      <c r="A524" s="36"/>
      <c r="B524" s="31"/>
      <c r="C524" s="31"/>
      <c r="D524" s="32"/>
      <c r="H524" s="32"/>
      <c r="J524" s="32"/>
      <c r="K524" s="41"/>
      <c r="L524" s="32"/>
      <c r="N524" s="32"/>
      <c r="O524" s="41"/>
      <c r="P524" s="32"/>
      <c r="R524" s="32"/>
      <c r="S524" s="41"/>
      <c r="T524" s="32"/>
      <c r="V524" s="32"/>
      <c r="W524" s="41"/>
      <c r="X524" s="32"/>
      <c r="Z524" s="32"/>
      <c r="AA524" s="41"/>
      <c r="AB524" s="41"/>
      <c r="AD524" s="32"/>
      <c r="AE524" s="41"/>
    </row>
    <row r="525" spans="1:31" s="30" customFormat="1" x14ac:dyDescent="0.25">
      <c r="A525" s="36"/>
      <c r="B525" s="31"/>
      <c r="C525" s="31"/>
      <c r="D525" s="32"/>
      <c r="H525" s="32"/>
      <c r="J525" s="32"/>
      <c r="K525" s="41"/>
      <c r="L525" s="32"/>
      <c r="N525" s="32"/>
      <c r="O525" s="41"/>
      <c r="P525" s="32"/>
      <c r="R525" s="32"/>
      <c r="S525" s="41"/>
      <c r="T525" s="32"/>
      <c r="V525" s="32"/>
      <c r="W525" s="41"/>
      <c r="X525" s="32"/>
      <c r="Z525" s="32"/>
      <c r="AA525" s="41"/>
      <c r="AB525" s="41"/>
      <c r="AD525" s="32"/>
      <c r="AE525" s="41"/>
    </row>
    <row r="526" spans="1:31" s="30" customFormat="1" x14ac:dyDescent="0.25">
      <c r="A526" s="36"/>
      <c r="B526" s="31"/>
      <c r="C526" s="31"/>
      <c r="D526" s="32"/>
      <c r="H526" s="32"/>
      <c r="J526" s="32"/>
      <c r="K526" s="41"/>
      <c r="L526" s="32"/>
      <c r="N526" s="32"/>
      <c r="O526" s="41"/>
      <c r="P526" s="32"/>
      <c r="R526" s="32"/>
      <c r="S526" s="41"/>
      <c r="T526" s="32"/>
      <c r="V526" s="32"/>
      <c r="W526" s="41"/>
      <c r="X526" s="32"/>
      <c r="Z526" s="32"/>
      <c r="AA526" s="41"/>
      <c r="AB526" s="41"/>
      <c r="AD526" s="32"/>
      <c r="AE526" s="41"/>
    </row>
    <row r="527" spans="1:31" s="30" customFormat="1" x14ac:dyDescent="0.25">
      <c r="A527" s="36"/>
      <c r="B527" s="31"/>
      <c r="C527" s="31"/>
      <c r="D527" s="32"/>
      <c r="H527" s="32"/>
      <c r="J527" s="32"/>
      <c r="K527" s="41"/>
      <c r="L527" s="32"/>
      <c r="N527" s="32"/>
      <c r="O527" s="41"/>
      <c r="P527" s="32"/>
      <c r="R527" s="32"/>
      <c r="S527" s="41"/>
      <c r="T527" s="32"/>
      <c r="V527" s="32"/>
      <c r="W527" s="41"/>
      <c r="X527" s="32"/>
      <c r="Z527" s="32"/>
      <c r="AA527" s="41"/>
      <c r="AB527" s="41"/>
      <c r="AD527" s="32"/>
      <c r="AE527" s="41"/>
    </row>
    <row r="528" spans="1:31" s="30" customFormat="1" x14ac:dyDescent="0.25">
      <c r="A528" s="36"/>
      <c r="B528" s="31"/>
      <c r="C528" s="31"/>
      <c r="D528" s="32"/>
      <c r="H528" s="32"/>
      <c r="J528" s="32"/>
      <c r="K528" s="41"/>
      <c r="L528" s="32"/>
      <c r="N528" s="32"/>
      <c r="O528" s="41"/>
      <c r="P528" s="32"/>
      <c r="R528" s="32"/>
      <c r="S528" s="41"/>
      <c r="T528" s="32"/>
      <c r="V528" s="32"/>
      <c r="W528" s="41"/>
      <c r="X528" s="32"/>
      <c r="Z528" s="32"/>
      <c r="AA528" s="41"/>
      <c r="AB528" s="41"/>
      <c r="AD528" s="32"/>
      <c r="AE528" s="41"/>
    </row>
    <row r="529" spans="1:31" s="30" customFormat="1" x14ac:dyDescent="0.25">
      <c r="A529" s="36"/>
      <c r="B529" s="31"/>
      <c r="C529" s="31"/>
      <c r="D529" s="32"/>
      <c r="H529" s="32"/>
      <c r="J529" s="32"/>
      <c r="K529" s="41"/>
      <c r="L529" s="32"/>
      <c r="N529" s="32"/>
      <c r="O529" s="41"/>
      <c r="P529" s="32"/>
      <c r="R529" s="32"/>
      <c r="S529" s="41"/>
      <c r="T529" s="32"/>
      <c r="V529" s="32"/>
      <c r="W529" s="41"/>
      <c r="X529" s="32"/>
      <c r="Z529" s="32"/>
      <c r="AA529" s="41"/>
      <c r="AB529" s="41"/>
      <c r="AD529" s="32"/>
      <c r="AE529" s="41"/>
    </row>
    <row r="530" spans="1:31" s="30" customFormat="1" x14ac:dyDescent="0.25">
      <c r="A530" s="36"/>
      <c r="B530" s="31"/>
      <c r="C530" s="31"/>
      <c r="D530" s="32"/>
      <c r="H530" s="32"/>
      <c r="J530" s="32"/>
      <c r="K530" s="41"/>
      <c r="L530" s="32"/>
      <c r="N530" s="32"/>
      <c r="O530" s="41"/>
      <c r="P530" s="32"/>
      <c r="R530" s="32"/>
      <c r="S530" s="41"/>
      <c r="T530" s="32"/>
      <c r="V530" s="32"/>
      <c r="W530" s="41"/>
      <c r="X530" s="32"/>
      <c r="Z530" s="32"/>
      <c r="AA530" s="41"/>
      <c r="AB530" s="41"/>
      <c r="AD530" s="32"/>
      <c r="AE530" s="41"/>
    </row>
    <row r="531" spans="1:31" s="30" customFormat="1" x14ac:dyDescent="0.25">
      <c r="A531" s="36"/>
      <c r="B531" s="31"/>
      <c r="C531" s="31"/>
      <c r="D531" s="32"/>
      <c r="H531" s="32"/>
      <c r="J531" s="32"/>
      <c r="K531" s="41"/>
      <c r="L531" s="32"/>
      <c r="N531" s="32"/>
      <c r="O531" s="41"/>
      <c r="P531" s="32"/>
      <c r="R531" s="32"/>
      <c r="S531" s="41"/>
      <c r="T531" s="32"/>
      <c r="V531" s="32"/>
      <c r="W531" s="41"/>
      <c r="X531" s="32"/>
      <c r="Z531" s="32"/>
      <c r="AA531" s="41"/>
      <c r="AB531" s="41"/>
      <c r="AD531" s="32"/>
      <c r="AE531" s="41"/>
    </row>
    <row r="532" spans="1:31" s="30" customFormat="1" x14ac:dyDescent="0.25">
      <c r="A532" s="36"/>
      <c r="B532" s="31"/>
      <c r="C532" s="31"/>
      <c r="D532" s="32"/>
      <c r="H532" s="32"/>
      <c r="J532" s="32"/>
      <c r="K532" s="41"/>
      <c r="L532" s="32"/>
      <c r="N532" s="32"/>
      <c r="O532" s="41"/>
      <c r="P532" s="32"/>
      <c r="R532" s="32"/>
      <c r="S532" s="41"/>
      <c r="T532" s="32"/>
      <c r="V532" s="32"/>
      <c r="W532" s="41"/>
      <c r="X532" s="32"/>
      <c r="Z532" s="32"/>
      <c r="AA532" s="41"/>
      <c r="AB532" s="41"/>
      <c r="AD532" s="32"/>
      <c r="AE532" s="41"/>
    </row>
    <row r="533" spans="1:31" s="30" customFormat="1" x14ac:dyDescent="0.25">
      <c r="A533" s="36"/>
      <c r="B533" s="31"/>
      <c r="C533" s="31"/>
      <c r="D533" s="32"/>
      <c r="H533" s="32"/>
      <c r="J533" s="32"/>
      <c r="K533" s="41"/>
      <c r="L533" s="32"/>
      <c r="N533" s="32"/>
      <c r="O533" s="41"/>
      <c r="P533" s="32"/>
      <c r="R533" s="32"/>
      <c r="S533" s="41"/>
      <c r="T533" s="32"/>
      <c r="V533" s="32"/>
      <c r="W533" s="41"/>
      <c r="X533" s="32"/>
      <c r="Z533" s="32"/>
      <c r="AA533" s="41"/>
      <c r="AB533" s="41"/>
      <c r="AD533" s="32"/>
      <c r="AE533" s="41"/>
    </row>
    <row r="534" spans="1:31" s="30" customFormat="1" x14ac:dyDescent="0.25">
      <c r="A534" s="36"/>
      <c r="B534" s="31"/>
      <c r="C534" s="31"/>
      <c r="D534" s="32"/>
      <c r="H534" s="32"/>
      <c r="J534" s="32"/>
      <c r="K534" s="41"/>
      <c r="L534" s="32"/>
      <c r="N534" s="32"/>
      <c r="O534" s="41"/>
      <c r="P534" s="32"/>
      <c r="R534" s="32"/>
      <c r="S534" s="41"/>
      <c r="T534" s="32"/>
      <c r="V534" s="32"/>
      <c r="W534" s="41"/>
      <c r="X534" s="32"/>
      <c r="Z534" s="32"/>
      <c r="AA534" s="41"/>
      <c r="AB534" s="41"/>
      <c r="AD534" s="32"/>
      <c r="AE534" s="41"/>
    </row>
    <row r="535" spans="1:31" s="30" customFormat="1" x14ac:dyDescent="0.25">
      <c r="A535" s="36"/>
      <c r="B535" s="31"/>
      <c r="C535" s="31"/>
      <c r="D535" s="32"/>
      <c r="H535" s="32"/>
      <c r="J535" s="32"/>
      <c r="K535" s="41"/>
      <c r="L535" s="32"/>
      <c r="N535" s="32"/>
      <c r="O535" s="41"/>
      <c r="P535" s="32"/>
      <c r="R535" s="32"/>
      <c r="S535" s="41"/>
      <c r="T535" s="32"/>
      <c r="V535" s="32"/>
      <c r="W535" s="41"/>
      <c r="X535" s="32"/>
      <c r="Z535" s="32"/>
      <c r="AA535" s="41"/>
      <c r="AB535" s="41"/>
      <c r="AD535" s="32"/>
      <c r="AE535" s="41"/>
    </row>
    <row r="536" spans="1:31" s="30" customFormat="1" x14ac:dyDescent="0.25">
      <c r="A536" s="36"/>
      <c r="B536" s="31"/>
      <c r="C536" s="31"/>
      <c r="D536" s="32"/>
      <c r="H536" s="32"/>
      <c r="J536" s="32"/>
      <c r="K536" s="41"/>
      <c r="L536" s="32"/>
      <c r="N536" s="32"/>
      <c r="O536" s="41"/>
      <c r="P536" s="32"/>
      <c r="R536" s="32"/>
      <c r="S536" s="41"/>
      <c r="T536" s="32"/>
      <c r="V536" s="32"/>
      <c r="W536" s="41"/>
      <c r="X536" s="32"/>
      <c r="Z536" s="32"/>
      <c r="AA536" s="41"/>
      <c r="AB536" s="41"/>
      <c r="AD536" s="32"/>
      <c r="AE536" s="41"/>
    </row>
    <row r="537" spans="1:31" s="30" customFormat="1" x14ac:dyDescent="0.25">
      <c r="A537" s="36"/>
      <c r="B537" s="31"/>
      <c r="C537" s="31"/>
      <c r="D537" s="32"/>
      <c r="H537" s="32"/>
      <c r="J537" s="32"/>
      <c r="K537" s="41"/>
      <c r="L537" s="32"/>
      <c r="N537" s="32"/>
      <c r="O537" s="41"/>
      <c r="P537" s="32"/>
      <c r="R537" s="32"/>
      <c r="S537" s="41"/>
      <c r="T537" s="32"/>
      <c r="V537" s="32"/>
      <c r="W537" s="41"/>
      <c r="X537" s="32"/>
      <c r="Z537" s="32"/>
      <c r="AA537" s="41"/>
      <c r="AB537" s="41"/>
      <c r="AD537" s="32"/>
      <c r="AE537" s="41"/>
    </row>
    <row r="538" spans="1:31" s="30" customFormat="1" x14ac:dyDescent="0.25">
      <c r="A538" s="36"/>
      <c r="B538" s="31"/>
      <c r="C538" s="31"/>
      <c r="D538" s="32"/>
      <c r="H538" s="32"/>
      <c r="J538" s="32"/>
      <c r="K538" s="41"/>
      <c r="L538" s="32"/>
      <c r="N538" s="32"/>
      <c r="O538" s="41"/>
      <c r="P538" s="32"/>
      <c r="R538" s="32"/>
      <c r="S538" s="41"/>
      <c r="T538" s="32"/>
      <c r="V538" s="32"/>
      <c r="W538" s="41"/>
      <c r="X538" s="32"/>
      <c r="Z538" s="32"/>
      <c r="AA538" s="41"/>
      <c r="AB538" s="41"/>
      <c r="AD538" s="32"/>
      <c r="AE538" s="41"/>
    </row>
    <row r="539" spans="1:31" s="30" customFormat="1" x14ac:dyDescent="0.25">
      <c r="A539" s="36"/>
      <c r="B539" s="31"/>
      <c r="C539" s="31"/>
      <c r="D539" s="32"/>
      <c r="H539" s="32"/>
      <c r="J539" s="32"/>
      <c r="K539" s="41"/>
      <c r="L539" s="32"/>
      <c r="N539" s="32"/>
      <c r="O539" s="41"/>
      <c r="P539" s="32"/>
      <c r="R539" s="32"/>
      <c r="S539" s="41"/>
      <c r="T539" s="32"/>
      <c r="V539" s="32"/>
      <c r="W539" s="41"/>
      <c r="X539" s="32"/>
      <c r="Z539" s="32"/>
      <c r="AA539" s="41"/>
      <c r="AB539" s="41"/>
      <c r="AD539" s="32"/>
      <c r="AE539" s="41"/>
    </row>
    <row r="540" spans="1:31" s="30" customFormat="1" x14ac:dyDescent="0.25">
      <c r="A540" s="36"/>
      <c r="B540" s="31"/>
      <c r="C540" s="31"/>
      <c r="D540" s="32"/>
      <c r="H540" s="32"/>
      <c r="J540" s="32"/>
      <c r="K540" s="41"/>
      <c r="L540" s="32"/>
      <c r="N540" s="32"/>
      <c r="O540" s="41"/>
      <c r="P540" s="32"/>
      <c r="R540" s="32"/>
      <c r="S540" s="41"/>
      <c r="T540" s="32"/>
      <c r="V540" s="32"/>
      <c r="W540" s="41"/>
      <c r="X540" s="32"/>
      <c r="Z540" s="32"/>
      <c r="AA540" s="41"/>
      <c r="AB540" s="41"/>
      <c r="AD540" s="32"/>
      <c r="AE540" s="41"/>
    </row>
    <row r="541" spans="1:31" s="30" customFormat="1" x14ac:dyDescent="0.25">
      <c r="A541" s="36"/>
      <c r="B541" s="31"/>
      <c r="C541" s="31"/>
      <c r="D541" s="32"/>
      <c r="H541" s="32"/>
      <c r="J541" s="32"/>
      <c r="K541" s="41"/>
      <c r="L541" s="32"/>
      <c r="N541" s="32"/>
      <c r="O541" s="41"/>
      <c r="P541" s="32"/>
      <c r="R541" s="32"/>
      <c r="S541" s="41"/>
      <c r="T541" s="32"/>
      <c r="V541" s="32"/>
      <c r="W541" s="41"/>
      <c r="X541" s="32"/>
      <c r="Z541" s="32"/>
      <c r="AA541" s="41"/>
      <c r="AB541" s="41"/>
      <c r="AD541" s="32"/>
      <c r="AE541" s="41"/>
    </row>
    <row r="542" spans="1:31" s="30" customFormat="1" x14ac:dyDescent="0.25">
      <c r="A542" s="36"/>
      <c r="B542" s="31"/>
      <c r="C542" s="31"/>
      <c r="D542" s="32"/>
      <c r="H542" s="32"/>
      <c r="J542" s="32"/>
      <c r="K542" s="41"/>
      <c r="L542" s="32"/>
      <c r="N542" s="32"/>
      <c r="O542" s="41"/>
      <c r="P542" s="32"/>
      <c r="R542" s="32"/>
      <c r="S542" s="41"/>
      <c r="T542" s="32"/>
      <c r="V542" s="32"/>
      <c r="W542" s="41"/>
      <c r="X542" s="32"/>
      <c r="Z542" s="32"/>
      <c r="AA542" s="41"/>
      <c r="AB542" s="41"/>
      <c r="AD542" s="32"/>
      <c r="AE542" s="41"/>
    </row>
    <row r="543" spans="1:31" s="30" customFormat="1" x14ac:dyDescent="0.25">
      <c r="A543" s="36"/>
      <c r="B543" s="31"/>
      <c r="C543" s="31"/>
      <c r="D543" s="32"/>
      <c r="H543" s="32"/>
      <c r="J543" s="32"/>
      <c r="K543" s="41"/>
      <c r="L543" s="32"/>
      <c r="N543" s="32"/>
      <c r="O543" s="41"/>
      <c r="P543" s="32"/>
      <c r="R543" s="32"/>
      <c r="S543" s="41"/>
      <c r="T543" s="32"/>
      <c r="V543" s="32"/>
      <c r="W543" s="41"/>
      <c r="X543" s="32"/>
      <c r="Z543" s="32"/>
      <c r="AA543" s="41"/>
      <c r="AB543" s="41"/>
      <c r="AD543" s="32"/>
      <c r="AE543" s="41"/>
    </row>
    <row r="544" spans="1:31" s="30" customFormat="1" x14ac:dyDescent="0.25">
      <c r="A544" s="36"/>
      <c r="B544" s="31"/>
      <c r="C544" s="31"/>
      <c r="D544" s="32"/>
      <c r="H544" s="32"/>
      <c r="J544" s="32"/>
      <c r="K544" s="41"/>
      <c r="L544" s="32"/>
      <c r="N544" s="32"/>
      <c r="O544" s="41"/>
      <c r="P544" s="32"/>
      <c r="R544" s="32"/>
      <c r="S544" s="41"/>
      <c r="T544" s="32"/>
      <c r="V544" s="32"/>
      <c r="W544" s="41"/>
      <c r="X544" s="32"/>
      <c r="Z544" s="32"/>
      <c r="AA544" s="41"/>
      <c r="AB544" s="41"/>
      <c r="AD544" s="32"/>
      <c r="AE544" s="41"/>
    </row>
    <row r="545" spans="1:31" s="30" customFormat="1" x14ac:dyDescent="0.25">
      <c r="A545" s="36"/>
      <c r="B545" s="31"/>
      <c r="C545" s="31"/>
      <c r="D545" s="32"/>
      <c r="H545" s="32"/>
      <c r="J545" s="32"/>
      <c r="K545" s="41"/>
      <c r="L545" s="32"/>
      <c r="N545" s="32"/>
      <c r="O545" s="41"/>
      <c r="P545" s="32"/>
      <c r="R545" s="32"/>
      <c r="S545" s="41"/>
      <c r="T545" s="32"/>
      <c r="V545" s="32"/>
      <c r="W545" s="41"/>
      <c r="X545" s="32"/>
      <c r="Z545" s="32"/>
      <c r="AA545" s="41"/>
      <c r="AB545" s="41"/>
      <c r="AD545" s="32"/>
      <c r="AE545" s="41"/>
    </row>
    <row r="546" spans="1:31" s="30" customFormat="1" x14ac:dyDescent="0.25">
      <c r="A546" s="36"/>
      <c r="B546" s="31"/>
      <c r="C546" s="31"/>
      <c r="D546" s="32"/>
      <c r="H546" s="32"/>
      <c r="J546" s="32"/>
      <c r="K546" s="41"/>
      <c r="L546" s="32"/>
      <c r="N546" s="32"/>
      <c r="O546" s="41"/>
      <c r="P546" s="32"/>
      <c r="R546" s="32"/>
      <c r="S546" s="41"/>
      <c r="T546" s="32"/>
      <c r="V546" s="32"/>
      <c r="W546" s="41"/>
      <c r="X546" s="32"/>
      <c r="Z546" s="32"/>
      <c r="AA546" s="41"/>
      <c r="AB546" s="41"/>
      <c r="AD546" s="32"/>
      <c r="AE546" s="41"/>
    </row>
    <row r="547" spans="1:31" s="30" customFormat="1" x14ac:dyDescent="0.25">
      <c r="A547" s="36"/>
      <c r="B547" s="31"/>
      <c r="C547" s="31"/>
      <c r="D547" s="32"/>
      <c r="H547" s="32"/>
      <c r="J547" s="32"/>
      <c r="K547" s="41"/>
      <c r="L547" s="32"/>
      <c r="N547" s="32"/>
      <c r="O547" s="41"/>
      <c r="P547" s="32"/>
      <c r="R547" s="32"/>
      <c r="S547" s="41"/>
      <c r="T547" s="32"/>
      <c r="V547" s="32"/>
      <c r="W547" s="41"/>
      <c r="X547" s="32"/>
      <c r="Z547" s="32"/>
      <c r="AA547" s="41"/>
      <c r="AB547" s="41"/>
      <c r="AD547" s="32"/>
      <c r="AE547" s="41"/>
    </row>
    <row r="548" spans="1:31" s="30" customFormat="1" x14ac:dyDescent="0.25">
      <c r="A548" s="36"/>
      <c r="B548" s="31"/>
      <c r="C548" s="31"/>
      <c r="D548" s="32"/>
      <c r="H548" s="32"/>
      <c r="J548" s="32"/>
      <c r="K548" s="41"/>
      <c r="L548" s="32"/>
      <c r="N548" s="32"/>
      <c r="O548" s="41"/>
      <c r="P548" s="32"/>
      <c r="R548" s="32"/>
      <c r="S548" s="41"/>
      <c r="T548" s="32"/>
      <c r="V548" s="32"/>
      <c r="W548" s="41"/>
      <c r="X548" s="32"/>
      <c r="Z548" s="32"/>
      <c r="AA548" s="41"/>
      <c r="AB548" s="41"/>
      <c r="AD548" s="32"/>
      <c r="AE548" s="41"/>
    </row>
    <row r="549" spans="1:31" s="30" customFormat="1" x14ac:dyDescent="0.25">
      <c r="A549" s="36"/>
      <c r="B549" s="31"/>
      <c r="C549" s="31"/>
      <c r="D549" s="32"/>
      <c r="H549" s="32"/>
      <c r="J549" s="32"/>
      <c r="K549" s="41"/>
      <c r="L549" s="32"/>
      <c r="N549" s="32"/>
      <c r="O549" s="41"/>
      <c r="P549" s="32"/>
      <c r="R549" s="32"/>
      <c r="S549" s="41"/>
      <c r="T549" s="32"/>
      <c r="V549" s="32"/>
      <c r="W549" s="41"/>
      <c r="X549" s="32"/>
      <c r="Z549" s="32"/>
      <c r="AA549" s="41"/>
      <c r="AB549" s="41"/>
      <c r="AD549" s="32"/>
      <c r="AE549" s="41"/>
    </row>
    <row r="550" spans="1:31" s="30" customFormat="1" x14ac:dyDescent="0.25">
      <c r="A550" s="36"/>
      <c r="B550" s="31"/>
      <c r="C550" s="31"/>
      <c r="D550" s="32"/>
      <c r="H550" s="32"/>
      <c r="J550" s="32"/>
      <c r="K550" s="41"/>
      <c r="L550" s="32"/>
      <c r="N550" s="32"/>
      <c r="O550" s="41"/>
      <c r="P550" s="32"/>
      <c r="R550" s="32"/>
      <c r="S550" s="41"/>
      <c r="T550" s="32"/>
      <c r="V550" s="32"/>
      <c r="W550" s="41"/>
      <c r="X550" s="32"/>
      <c r="Z550" s="32"/>
      <c r="AA550" s="41"/>
      <c r="AB550" s="41"/>
      <c r="AD550" s="32"/>
      <c r="AE550" s="41"/>
    </row>
    <row r="551" spans="1:31" s="30" customFormat="1" x14ac:dyDescent="0.25">
      <c r="A551" s="36"/>
      <c r="B551" s="31"/>
      <c r="C551" s="31"/>
      <c r="D551" s="32"/>
      <c r="H551" s="32"/>
      <c r="J551" s="32"/>
      <c r="K551" s="41"/>
      <c r="L551" s="32"/>
      <c r="N551" s="32"/>
      <c r="O551" s="41"/>
      <c r="P551" s="32"/>
      <c r="R551" s="32"/>
      <c r="S551" s="41"/>
      <c r="T551" s="32"/>
      <c r="V551" s="32"/>
      <c r="W551" s="41"/>
      <c r="X551" s="32"/>
      <c r="Z551" s="32"/>
      <c r="AA551" s="41"/>
      <c r="AB551" s="41"/>
      <c r="AD551" s="32"/>
      <c r="AE551" s="41"/>
    </row>
    <row r="552" spans="1:31" s="30" customFormat="1" x14ac:dyDescent="0.25">
      <c r="A552" s="36"/>
      <c r="B552" s="31"/>
      <c r="C552" s="31"/>
      <c r="D552" s="32"/>
      <c r="H552" s="32"/>
      <c r="J552" s="32"/>
      <c r="K552" s="41"/>
      <c r="L552" s="32"/>
      <c r="N552" s="32"/>
      <c r="O552" s="41"/>
      <c r="P552" s="32"/>
      <c r="R552" s="32"/>
      <c r="S552" s="41"/>
      <c r="T552" s="32"/>
      <c r="V552" s="32"/>
      <c r="W552" s="41"/>
      <c r="X552" s="32"/>
      <c r="Z552" s="32"/>
      <c r="AA552" s="41"/>
      <c r="AB552" s="41"/>
      <c r="AD552" s="32"/>
      <c r="AE552" s="41"/>
    </row>
    <row r="553" spans="1:31" s="30" customFormat="1" x14ac:dyDescent="0.25">
      <c r="A553" s="36"/>
      <c r="B553" s="31"/>
      <c r="C553" s="31"/>
      <c r="D553" s="32"/>
      <c r="H553" s="32"/>
      <c r="J553" s="32"/>
      <c r="K553" s="41"/>
      <c r="L553" s="32"/>
      <c r="N553" s="32"/>
      <c r="O553" s="41"/>
      <c r="P553" s="32"/>
      <c r="R553" s="32"/>
      <c r="S553" s="41"/>
      <c r="T553" s="32"/>
      <c r="V553" s="32"/>
      <c r="W553" s="41"/>
      <c r="X553" s="32"/>
      <c r="Z553" s="32"/>
      <c r="AA553" s="41"/>
      <c r="AB553" s="41"/>
      <c r="AD553" s="32"/>
      <c r="AE553" s="41"/>
    </row>
    <row r="554" spans="1:31" s="30" customFormat="1" x14ac:dyDescent="0.25">
      <c r="A554" s="36"/>
      <c r="B554" s="31"/>
      <c r="C554" s="31"/>
      <c r="D554" s="32"/>
      <c r="H554" s="32"/>
      <c r="J554" s="32"/>
      <c r="K554" s="41"/>
      <c r="L554" s="32"/>
      <c r="N554" s="32"/>
      <c r="O554" s="41"/>
      <c r="P554" s="32"/>
      <c r="R554" s="32"/>
      <c r="S554" s="41"/>
      <c r="T554" s="32"/>
      <c r="V554" s="32"/>
      <c r="W554" s="41"/>
      <c r="X554" s="32"/>
      <c r="Z554" s="32"/>
      <c r="AA554" s="41"/>
      <c r="AB554" s="41"/>
      <c r="AD554" s="32"/>
      <c r="AE554" s="41"/>
    </row>
    <row r="555" spans="1:31" s="30" customFormat="1" x14ac:dyDescent="0.25">
      <c r="A555" s="36"/>
      <c r="B555" s="31"/>
      <c r="C555" s="31"/>
      <c r="D555" s="32"/>
      <c r="H555" s="32"/>
      <c r="J555" s="32"/>
      <c r="K555" s="41"/>
      <c r="L555" s="32"/>
      <c r="N555" s="32"/>
      <c r="O555" s="41"/>
      <c r="P555" s="32"/>
      <c r="R555" s="32"/>
      <c r="S555" s="41"/>
      <c r="T555" s="32"/>
      <c r="V555" s="32"/>
      <c r="W555" s="41"/>
      <c r="X555" s="32"/>
      <c r="Z555" s="32"/>
      <c r="AA555" s="41"/>
      <c r="AB555" s="41"/>
      <c r="AD555" s="32"/>
      <c r="AE555" s="41"/>
    </row>
    <row r="556" spans="1:31" s="30" customFormat="1" x14ac:dyDescent="0.25">
      <c r="A556" s="36"/>
      <c r="B556" s="31"/>
      <c r="C556" s="31"/>
      <c r="D556" s="32"/>
      <c r="H556" s="32"/>
      <c r="J556" s="32"/>
      <c r="K556" s="41"/>
      <c r="L556" s="32"/>
      <c r="N556" s="32"/>
      <c r="O556" s="41"/>
      <c r="P556" s="32"/>
      <c r="R556" s="32"/>
      <c r="S556" s="41"/>
      <c r="T556" s="32"/>
      <c r="V556" s="32"/>
      <c r="W556" s="41"/>
      <c r="X556" s="32"/>
      <c r="Z556" s="32"/>
      <c r="AA556" s="41"/>
      <c r="AB556" s="41"/>
      <c r="AD556" s="32"/>
      <c r="AE556" s="41"/>
    </row>
    <row r="557" spans="1:31" s="30" customFormat="1" x14ac:dyDescent="0.25">
      <c r="A557" s="36"/>
      <c r="B557" s="31"/>
      <c r="C557" s="31"/>
      <c r="D557" s="32"/>
      <c r="H557" s="32"/>
      <c r="J557" s="32"/>
      <c r="K557" s="41"/>
      <c r="L557" s="32"/>
      <c r="N557" s="32"/>
      <c r="O557" s="41"/>
      <c r="P557" s="32"/>
      <c r="R557" s="32"/>
      <c r="S557" s="41"/>
      <c r="T557" s="32"/>
      <c r="V557" s="32"/>
      <c r="W557" s="41"/>
      <c r="X557" s="32"/>
      <c r="Z557" s="32"/>
      <c r="AA557" s="41"/>
      <c r="AB557" s="41"/>
      <c r="AD557" s="32"/>
      <c r="AE557" s="41"/>
    </row>
    <row r="558" spans="1:31" s="30" customFormat="1" x14ac:dyDescent="0.25">
      <c r="A558" s="36"/>
      <c r="B558" s="31"/>
      <c r="C558" s="31"/>
      <c r="D558" s="32"/>
      <c r="H558" s="32"/>
      <c r="J558" s="32"/>
      <c r="K558" s="41"/>
      <c r="L558" s="32"/>
      <c r="N558" s="32"/>
      <c r="O558" s="41"/>
      <c r="P558" s="32"/>
      <c r="R558" s="32"/>
      <c r="S558" s="41"/>
      <c r="T558" s="32"/>
      <c r="V558" s="32"/>
      <c r="W558" s="41"/>
      <c r="X558" s="32"/>
      <c r="Z558" s="32"/>
      <c r="AA558" s="41"/>
      <c r="AB558" s="41"/>
      <c r="AD558" s="32"/>
      <c r="AE558" s="41"/>
    </row>
    <row r="559" spans="1:31" s="30" customFormat="1" x14ac:dyDescent="0.25">
      <c r="A559" s="36"/>
      <c r="B559" s="31"/>
      <c r="C559" s="31"/>
      <c r="D559" s="32"/>
      <c r="H559" s="32"/>
      <c r="J559" s="32"/>
      <c r="K559" s="41"/>
      <c r="L559" s="32"/>
      <c r="N559" s="32"/>
      <c r="O559" s="41"/>
      <c r="P559" s="32"/>
      <c r="R559" s="32"/>
      <c r="S559" s="41"/>
      <c r="T559" s="32"/>
      <c r="V559" s="32"/>
      <c r="W559" s="41"/>
      <c r="X559" s="32"/>
      <c r="Z559" s="32"/>
      <c r="AA559" s="41"/>
      <c r="AB559" s="41"/>
      <c r="AD559" s="32"/>
      <c r="AE559" s="41"/>
    </row>
    <row r="560" spans="1:31" s="30" customFormat="1" x14ac:dyDescent="0.25">
      <c r="A560" s="36"/>
      <c r="B560" s="31"/>
      <c r="C560" s="31"/>
      <c r="D560" s="32"/>
      <c r="H560" s="32"/>
      <c r="J560" s="32"/>
      <c r="K560" s="41"/>
      <c r="L560" s="32"/>
      <c r="N560" s="32"/>
      <c r="O560" s="41"/>
      <c r="P560" s="32"/>
      <c r="R560" s="32"/>
      <c r="S560" s="41"/>
      <c r="T560" s="32"/>
      <c r="V560" s="32"/>
      <c r="W560" s="41"/>
      <c r="X560" s="32"/>
      <c r="Z560" s="32"/>
      <c r="AA560" s="41"/>
      <c r="AB560" s="41"/>
      <c r="AD560" s="32"/>
      <c r="AE560" s="41"/>
    </row>
    <row r="561" spans="1:31" s="30" customFormat="1" x14ac:dyDescent="0.25">
      <c r="A561" s="36"/>
      <c r="B561" s="31"/>
      <c r="C561" s="31"/>
      <c r="D561" s="32"/>
      <c r="H561" s="32"/>
      <c r="J561" s="32"/>
      <c r="K561" s="41"/>
      <c r="L561" s="32"/>
      <c r="N561" s="32"/>
      <c r="O561" s="41"/>
      <c r="P561" s="32"/>
      <c r="R561" s="32"/>
      <c r="S561" s="41"/>
      <c r="T561" s="32"/>
      <c r="V561" s="32"/>
      <c r="W561" s="41"/>
      <c r="X561" s="32"/>
      <c r="Z561" s="32"/>
      <c r="AA561" s="41"/>
      <c r="AB561" s="41"/>
      <c r="AD561" s="32"/>
      <c r="AE561" s="41"/>
    </row>
    <row r="562" spans="1:31" s="30" customFormat="1" x14ac:dyDescent="0.25">
      <c r="A562" s="36"/>
      <c r="B562" s="31"/>
      <c r="C562" s="31"/>
      <c r="D562" s="32"/>
      <c r="H562" s="32"/>
      <c r="J562" s="32"/>
      <c r="K562" s="41"/>
      <c r="L562" s="32"/>
      <c r="N562" s="32"/>
      <c r="O562" s="41"/>
      <c r="P562" s="32"/>
      <c r="R562" s="32"/>
      <c r="S562" s="41"/>
      <c r="T562" s="32"/>
      <c r="V562" s="32"/>
      <c r="W562" s="41"/>
      <c r="X562" s="32"/>
      <c r="Z562" s="32"/>
      <c r="AA562" s="41"/>
      <c r="AB562" s="41"/>
      <c r="AD562" s="32"/>
      <c r="AE562" s="41"/>
    </row>
    <row r="563" spans="1:31" s="30" customFormat="1" x14ac:dyDescent="0.25">
      <c r="A563" s="36"/>
      <c r="B563" s="31"/>
      <c r="C563" s="31"/>
      <c r="D563" s="32"/>
      <c r="H563" s="32"/>
      <c r="J563" s="32"/>
      <c r="K563" s="41"/>
      <c r="L563" s="32"/>
      <c r="N563" s="32"/>
      <c r="O563" s="41"/>
      <c r="P563" s="32"/>
      <c r="R563" s="32"/>
      <c r="S563" s="41"/>
      <c r="T563" s="32"/>
      <c r="V563" s="32"/>
      <c r="W563" s="41"/>
      <c r="X563" s="32"/>
      <c r="Z563" s="32"/>
      <c r="AA563" s="41"/>
      <c r="AB563" s="41"/>
      <c r="AD563" s="32"/>
      <c r="AE563" s="41"/>
    </row>
    <row r="564" spans="1:31" s="30" customFormat="1" x14ac:dyDescent="0.25">
      <c r="A564" s="36"/>
      <c r="B564" s="31"/>
      <c r="C564" s="31"/>
      <c r="D564" s="32"/>
      <c r="H564" s="32"/>
      <c r="J564" s="32"/>
      <c r="K564" s="41"/>
      <c r="L564" s="32"/>
      <c r="N564" s="32"/>
      <c r="O564" s="41"/>
      <c r="P564" s="32"/>
      <c r="R564" s="32"/>
      <c r="S564" s="41"/>
      <c r="T564" s="32"/>
      <c r="V564" s="32"/>
      <c r="W564" s="41"/>
      <c r="X564" s="32"/>
      <c r="Z564" s="32"/>
      <c r="AA564" s="41"/>
      <c r="AB564" s="41"/>
      <c r="AD564" s="32"/>
      <c r="AE564" s="41"/>
    </row>
    <row r="565" spans="1:31" s="30" customFormat="1" x14ac:dyDescent="0.25">
      <c r="A565" s="36"/>
      <c r="B565" s="31"/>
      <c r="C565" s="31"/>
      <c r="D565" s="32"/>
      <c r="H565" s="32"/>
      <c r="J565" s="32"/>
      <c r="K565" s="41"/>
      <c r="L565" s="32"/>
      <c r="N565" s="32"/>
      <c r="O565" s="41"/>
      <c r="P565" s="32"/>
      <c r="R565" s="32"/>
      <c r="S565" s="41"/>
      <c r="T565" s="32"/>
      <c r="V565" s="32"/>
      <c r="W565" s="41"/>
      <c r="X565" s="32"/>
      <c r="Z565" s="32"/>
      <c r="AA565" s="41"/>
      <c r="AB565" s="41"/>
      <c r="AD565" s="32"/>
      <c r="AE565" s="41"/>
    </row>
    <row r="566" spans="1:31" s="30" customFormat="1" x14ac:dyDescent="0.25">
      <c r="A566" s="36"/>
      <c r="B566" s="31"/>
      <c r="C566" s="31"/>
      <c r="D566" s="32"/>
      <c r="H566" s="32"/>
      <c r="J566" s="32"/>
      <c r="K566" s="41"/>
      <c r="L566" s="32"/>
      <c r="N566" s="32"/>
      <c r="O566" s="41"/>
      <c r="P566" s="32"/>
      <c r="R566" s="32"/>
      <c r="S566" s="41"/>
      <c r="T566" s="32"/>
      <c r="V566" s="32"/>
      <c r="W566" s="41"/>
      <c r="X566" s="32"/>
      <c r="Z566" s="32"/>
      <c r="AA566" s="41"/>
      <c r="AB566" s="41"/>
      <c r="AD566" s="32"/>
      <c r="AE566" s="41"/>
    </row>
    <row r="567" spans="1:31" s="30" customFormat="1" x14ac:dyDescent="0.25">
      <c r="A567" s="36"/>
      <c r="B567" s="31"/>
      <c r="C567" s="31"/>
      <c r="D567" s="32"/>
      <c r="H567" s="32"/>
      <c r="J567" s="32"/>
      <c r="K567" s="41"/>
      <c r="L567" s="32"/>
      <c r="N567" s="32"/>
      <c r="O567" s="41"/>
      <c r="P567" s="32"/>
      <c r="R567" s="32"/>
      <c r="S567" s="41"/>
      <c r="T567" s="32"/>
      <c r="V567" s="32"/>
      <c r="W567" s="41"/>
      <c r="X567" s="32"/>
      <c r="Z567" s="32"/>
      <c r="AA567" s="41"/>
      <c r="AB567" s="41"/>
      <c r="AD567" s="32"/>
      <c r="AE567" s="41"/>
    </row>
    <row r="568" spans="1:31" s="30" customFormat="1" x14ac:dyDescent="0.25">
      <c r="A568" s="36"/>
      <c r="B568" s="31"/>
      <c r="C568" s="31"/>
      <c r="D568" s="32"/>
      <c r="H568" s="32"/>
      <c r="J568" s="32"/>
      <c r="K568" s="41"/>
      <c r="L568" s="32"/>
      <c r="N568" s="32"/>
      <c r="O568" s="41"/>
      <c r="P568" s="32"/>
      <c r="R568" s="32"/>
      <c r="S568" s="41"/>
      <c r="T568" s="32"/>
      <c r="V568" s="32"/>
      <c r="W568" s="41"/>
      <c r="X568" s="32"/>
      <c r="Z568" s="32"/>
      <c r="AA568" s="41"/>
      <c r="AB568" s="41"/>
      <c r="AD568" s="32"/>
      <c r="AE568" s="41"/>
    </row>
    <row r="569" spans="1:31" s="30" customFormat="1" x14ac:dyDescent="0.25">
      <c r="A569" s="36"/>
      <c r="B569" s="31"/>
      <c r="C569" s="31"/>
      <c r="D569" s="32"/>
      <c r="H569" s="32"/>
      <c r="J569" s="32"/>
      <c r="K569" s="41"/>
      <c r="L569" s="32"/>
      <c r="N569" s="32"/>
      <c r="O569" s="41"/>
      <c r="P569" s="32"/>
      <c r="R569" s="32"/>
      <c r="S569" s="41"/>
      <c r="T569" s="32"/>
      <c r="V569" s="32"/>
      <c r="W569" s="41"/>
      <c r="X569" s="32"/>
      <c r="Z569" s="32"/>
      <c r="AA569" s="41"/>
      <c r="AB569" s="41"/>
      <c r="AD569" s="32"/>
      <c r="AE569" s="41"/>
    </row>
    <row r="570" spans="1:31" s="30" customFormat="1" x14ac:dyDescent="0.25">
      <c r="A570" s="36"/>
      <c r="B570" s="31"/>
      <c r="C570" s="31"/>
      <c r="D570" s="32"/>
      <c r="H570" s="32"/>
      <c r="J570" s="32"/>
      <c r="K570" s="41"/>
      <c r="L570" s="32"/>
      <c r="N570" s="32"/>
      <c r="O570" s="41"/>
      <c r="P570" s="32"/>
      <c r="R570" s="32"/>
      <c r="S570" s="41"/>
      <c r="T570" s="32"/>
      <c r="V570" s="32"/>
      <c r="W570" s="41"/>
      <c r="X570" s="32"/>
      <c r="Z570" s="32"/>
      <c r="AA570" s="41"/>
      <c r="AB570" s="41"/>
      <c r="AD570" s="32"/>
      <c r="AE570" s="41"/>
    </row>
    <row r="571" spans="1:31" s="30" customFormat="1" x14ac:dyDescent="0.25">
      <c r="A571" s="36"/>
      <c r="B571" s="31"/>
      <c r="C571" s="31"/>
      <c r="D571" s="32"/>
      <c r="H571" s="32"/>
      <c r="J571" s="32"/>
      <c r="K571" s="41"/>
      <c r="L571" s="32"/>
      <c r="N571" s="32"/>
      <c r="O571" s="41"/>
      <c r="P571" s="32"/>
      <c r="R571" s="32"/>
      <c r="S571" s="41"/>
      <c r="T571" s="32"/>
      <c r="V571" s="32"/>
      <c r="W571" s="41"/>
      <c r="X571" s="32"/>
      <c r="Z571" s="32"/>
      <c r="AA571" s="41"/>
      <c r="AB571" s="41"/>
      <c r="AD571" s="32"/>
      <c r="AE571" s="41"/>
    </row>
    <row r="572" spans="1:31" s="30" customFormat="1" x14ac:dyDescent="0.25">
      <c r="A572" s="36"/>
      <c r="B572" s="31"/>
      <c r="C572" s="31"/>
      <c r="D572" s="32"/>
      <c r="H572" s="32"/>
      <c r="J572" s="32"/>
      <c r="K572" s="41"/>
      <c r="L572" s="32"/>
      <c r="N572" s="32"/>
      <c r="O572" s="41"/>
      <c r="P572" s="32"/>
      <c r="R572" s="32"/>
      <c r="S572" s="41"/>
      <c r="T572" s="32"/>
      <c r="V572" s="32"/>
      <c r="W572" s="41"/>
      <c r="X572" s="32"/>
      <c r="Z572" s="32"/>
      <c r="AA572" s="41"/>
      <c r="AB572" s="41"/>
      <c r="AD572" s="32"/>
      <c r="AE572" s="41"/>
    </row>
    <row r="573" spans="1:31" s="30" customFormat="1" x14ac:dyDescent="0.25">
      <c r="A573" s="36"/>
      <c r="B573" s="31"/>
      <c r="C573" s="31"/>
      <c r="D573" s="32"/>
      <c r="H573" s="32"/>
      <c r="J573" s="32"/>
      <c r="K573" s="41"/>
      <c r="L573" s="32"/>
      <c r="N573" s="32"/>
      <c r="O573" s="41"/>
      <c r="P573" s="32"/>
      <c r="R573" s="32"/>
      <c r="S573" s="41"/>
      <c r="T573" s="32"/>
      <c r="V573" s="32"/>
      <c r="W573" s="41"/>
      <c r="X573" s="32"/>
      <c r="Z573" s="32"/>
      <c r="AA573" s="41"/>
      <c r="AB573" s="41"/>
      <c r="AD573" s="32"/>
      <c r="AE573" s="41"/>
    </row>
    <row r="574" spans="1:31" s="30" customFormat="1" x14ac:dyDescent="0.25">
      <c r="A574" s="36"/>
      <c r="B574" s="31"/>
      <c r="C574" s="31"/>
      <c r="D574" s="32"/>
      <c r="H574" s="32"/>
      <c r="J574" s="32"/>
      <c r="K574" s="41"/>
      <c r="L574" s="32"/>
      <c r="N574" s="32"/>
      <c r="O574" s="41"/>
      <c r="P574" s="32"/>
      <c r="R574" s="32"/>
      <c r="S574" s="41"/>
      <c r="T574" s="32"/>
      <c r="V574" s="32"/>
      <c r="W574" s="41"/>
      <c r="X574" s="32"/>
      <c r="Z574" s="32"/>
      <c r="AA574" s="41"/>
      <c r="AB574" s="41"/>
      <c r="AD574" s="32"/>
      <c r="AE574" s="41"/>
    </row>
    <row r="575" spans="1:31" s="30" customFormat="1" x14ac:dyDescent="0.25">
      <c r="A575" s="36"/>
      <c r="B575" s="31"/>
      <c r="C575" s="31"/>
      <c r="D575" s="32"/>
      <c r="H575" s="32"/>
      <c r="J575" s="32"/>
      <c r="K575" s="41"/>
      <c r="L575" s="32"/>
      <c r="N575" s="32"/>
      <c r="O575" s="41"/>
      <c r="P575" s="32"/>
      <c r="R575" s="32"/>
      <c r="S575" s="41"/>
      <c r="T575" s="32"/>
      <c r="V575" s="32"/>
      <c r="W575" s="41"/>
      <c r="X575" s="32"/>
      <c r="Z575" s="32"/>
      <c r="AA575" s="41"/>
      <c r="AB575" s="41"/>
      <c r="AD575" s="32"/>
      <c r="AE575" s="41"/>
    </row>
    <row r="576" spans="1:31" s="30" customFormat="1" x14ac:dyDescent="0.25">
      <c r="A576" s="36"/>
      <c r="B576" s="31"/>
      <c r="C576" s="31"/>
      <c r="D576" s="32"/>
      <c r="H576" s="32"/>
      <c r="J576" s="32"/>
      <c r="K576" s="41"/>
      <c r="L576" s="32"/>
      <c r="N576" s="32"/>
      <c r="O576" s="41"/>
      <c r="P576" s="32"/>
      <c r="R576" s="32"/>
      <c r="S576" s="41"/>
      <c r="T576" s="32"/>
      <c r="V576" s="32"/>
      <c r="W576" s="41"/>
      <c r="X576" s="32"/>
      <c r="Z576" s="32"/>
      <c r="AA576" s="41"/>
      <c r="AB576" s="41"/>
      <c r="AD576" s="32"/>
      <c r="AE576" s="41"/>
    </row>
    <row r="577" spans="1:31" s="30" customFormat="1" x14ac:dyDescent="0.25">
      <c r="A577" s="36"/>
      <c r="B577" s="31"/>
      <c r="C577" s="31"/>
      <c r="D577" s="32"/>
      <c r="H577" s="32"/>
      <c r="J577" s="32"/>
      <c r="K577" s="41"/>
      <c r="L577" s="32"/>
      <c r="N577" s="32"/>
      <c r="O577" s="41"/>
      <c r="P577" s="32"/>
      <c r="R577" s="32"/>
      <c r="S577" s="41"/>
      <c r="T577" s="32"/>
      <c r="V577" s="32"/>
      <c r="W577" s="41"/>
      <c r="X577" s="32"/>
      <c r="Z577" s="32"/>
      <c r="AA577" s="41"/>
      <c r="AB577" s="41"/>
      <c r="AD577" s="32"/>
      <c r="AE577" s="41"/>
    </row>
    <row r="578" spans="1:31" s="30" customFormat="1" x14ac:dyDescent="0.25">
      <c r="A578" s="36"/>
      <c r="B578" s="31"/>
      <c r="C578" s="31"/>
      <c r="D578" s="32"/>
      <c r="H578" s="32"/>
      <c r="J578" s="32"/>
      <c r="K578" s="41"/>
      <c r="L578" s="32"/>
      <c r="N578" s="32"/>
      <c r="O578" s="41"/>
      <c r="P578" s="32"/>
      <c r="R578" s="32"/>
      <c r="S578" s="41"/>
      <c r="T578" s="32"/>
      <c r="V578" s="32"/>
      <c r="W578" s="41"/>
      <c r="X578" s="32"/>
      <c r="Z578" s="32"/>
      <c r="AA578" s="41"/>
      <c r="AB578" s="41"/>
      <c r="AD578" s="32"/>
      <c r="AE578" s="41"/>
    </row>
    <row r="579" spans="1:31" s="30" customFormat="1" x14ac:dyDescent="0.25">
      <c r="A579" s="36"/>
      <c r="B579" s="31"/>
      <c r="C579" s="31"/>
      <c r="D579" s="32"/>
      <c r="H579" s="32"/>
      <c r="J579" s="32"/>
      <c r="K579" s="41"/>
      <c r="L579" s="32"/>
      <c r="N579" s="32"/>
      <c r="O579" s="41"/>
      <c r="P579" s="32"/>
      <c r="R579" s="32"/>
      <c r="S579" s="41"/>
      <c r="T579" s="32"/>
      <c r="V579" s="32"/>
      <c r="W579" s="41"/>
      <c r="X579" s="32"/>
      <c r="Z579" s="32"/>
      <c r="AA579" s="41"/>
      <c r="AB579" s="41"/>
      <c r="AD579" s="32"/>
      <c r="AE579" s="41"/>
    </row>
    <row r="580" spans="1:31" s="30" customFormat="1" x14ac:dyDescent="0.25">
      <c r="A580" s="36"/>
      <c r="B580" s="31"/>
      <c r="C580" s="31"/>
      <c r="D580" s="32"/>
      <c r="H580" s="32"/>
      <c r="J580" s="32"/>
      <c r="K580" s="41"/>
      <c r="L580" s="32"/>
      <c r="N580" s="32"/>
      <c r="O580" s="41"/>
      <c r="P580" s="32"/>
      <c r="R580" s="32"/>
      <c r="S580" s="41"/>
      <c r="T580" s="32"/>
      <c r="V580" s="32"/>
      <c r="W580" s="41"/>
      <c r="X580" s="32"/>
      <c r="Z580" s="32"/>
      <c r="AA580" s="41"/>
      <c r="AB580" s="41"/>
      <c r="AD580" s="32"/>
      <c r="AE580" s="41"/>
    </row>
    <row r="581" spans="1:31" s="30" customFormat="1" x14ac:dyDescent="0.25">
      <c r="A581" s="36"/>
      <c r="B581" s="31"/>
      <c r="C581" s="31"/>
      <c r="D581" s="32"/>
      <c r="H581" s="32"/>
      <c r="J581" s="32"/>
      <c r="K581" s="41"/>
      <c r="L581" s="32"/>
      <c r="N581" s="32"/>
      <c r="O581" s="41"/>
      <c r="P581" s="32"/>
      <c r="R581" s="32"/>
      <c r="S581" s="41"/>
      <c r="T581" s="32"/>
      <c r="V581" s="32"/>
      <c r="W581" s="41"/>
      <c r="X581" s="32"/>
      <c r="Z581" s="32"/>
      <c r="AA581" s="41"/>
      <c r="AB581" s="41"/>
      <c r="AD581" s="32"/>
      <c r="AE581" s="41"/>
    </row>
    <row r="582" spans="1:31" s="30" customFormat="1" x14ac:dyDescent="0.25">
      <c r="A582" s="36"/>
      <c r="B582" s="31"/>
      <c r="C582" s="31"/>
      <c r="D582" s="32"/>
      <c r="H582" s="32"/>
      <c r="J582" s="32"/>
      <c r="K582" s="41"/>
      <c r="L582" s="32"/>
      <c r="N582" s="32"/>
      <c r="O582" s="41"/>
      <c r="P582" s="32"/>
      <c r="R582" s="32"/>
      <c r="S582" s="41"/>
      <c r="T582" s="32"/>
      <c r="V582" s="32"/>
      <c r="W582" s="41"/>
      <c r="X582" s="32"/>
      <c r="Z582" s="32"/>
      <c r="AA582" s="41"/>
      <c r="AB582" s="41"/>
      <c r="AD582" s="32"/>
      <c r="AE582" s="41"/>
    </row>
    <row r="583" spans="1:31" s="30" customFormat="1" x14ac:dyDescent="0.25">
      <c r="A583" s="36"/>
      <c r="B583" s="31"/>
      <c r="C583" s="31"/>
      <c r="D583" s="32"/>
      <c r="H583" s="32"/>
      <c r="J583" s="32"/>
      <c r="K583" s="41"/>
      <c r="L583" s="32"/>
      <c r="N583" s="32"/>
      <c r="O583" s="41"/>
      <c r="P583" s="32"/>
      <c r="R583" s="32"/>
      <c r="S583" s="41"/>
      <c r="T583" s="32"/>
      <c r="V583" s="32"/>
      <c r="W583" s="41"/>
      <c r="X583" s="32"/>
      <c r="Z583" s="32"/>
      <c r="AA583" s="41"/>
      <c r="AB583" s="41"/>
      <c r="AD583" s="32"/>
      <c r="AE583" s="41"/>
    </row>
    <row r="584" spans="1:31" s="30" customFormat="1" x14ac:dyDescent="0.25">
      <c r="A584" s="36"/>
      <c r="B584" s="31"/>
      <c r="C584" s="31"/>
      <c r="D584" s="32"/>
      <c r="H584" s="32"/>
      <c r="J584" s="32"/>
      <c r="K584" s="41"/>
      <c r="L584" s="32"/>
      <c r="N584" s="32"/>
      <c r="O584" s="41"/>
      <c r="P584" s="32"/>
      <c r="R584" s="32"/>
      <c r="S584" s="41"/>
      <c r="T584" s="32"/>
      <c r="V584" s="32"/>
      <c r="W584" s="41"/>
      <c r="X584" s="32"/>
      <c r="Z584" s="32"/>
      <c r="AA584" s="41"/>
      <c r="AB584" s="41"/>
      <c r="AD584" s="32"/>
      <c r="AE584" s="41"/>
    </row>
    <row r="585" spans="1:31" s="30" customFormat="1" x14ac:dyDescent="0.25">
      <c r="A585" s="36"/>
      <c r="B585" s="31"/>
      <c r="C585" s="31"/>
      <c r="D585" s="32"/>
      <c r="H585" s="32"/>
      <c r="J585" s="32"/>
      <c r="K585" s="41"/>
      <c r="L585" s="32"/>
      <c r="N585" s="32"/>
      <c r="O585" s="41"/>
      <c r="P585" s="32"/>
      <c r="R585" s="32"/>
      <c r="S585" s="41"/>
      <c r="T585" s="32"/>
      <c r="V585" s="32"/>
      <c r="W585" s="41"/>
      <c r="X585" s="32"/>
      <c r="Z585" s="32"/>
      <c r="AA585" s="41"/>
      <c r="AB585" s="41"/>
      <c r="AD585" s="32"/>
      <c r="AE585" s="41"/>
    </row>
    <row r="586" spans="1:31" s="30" customFormat="1" x14ac:dyDescent="0.25">
      <c r="A586" s="36"/>
      <c r="B586" s="31"/>
      <c r="C586" s="31"/>
      <c r="D586" s="32"/>
      <c r="H586" s="32"/>
      <c r="J586" s="32"/>
      <c r="K586" s="41"/>
      <c r="L586" s="32"/>
      <c r="N586" s="32"/>
      <c r="O586" s="41"/>
      <c r="P586" s="32"/>
      <c r="R586" s="32"/>
      <c r="S586" s="41"/>
      <c r="T586" s="32"/>
      <c r="V586" s="32"/>
      <c r="W586" s="41"/>
      <c r="X586" s="32"/>
      <c r="Z586" s="32"/>
      <c r="AA586" s="41"/>
      <c r="AB586" s="41"/>
      <c r="AD586" s="32"/>
      <c r="AE586" s="41"/>
    </row>
    <row r="587" spans="1:31" s="30" customFormat="1" x14ac:dyDescent="0.25">
      <c r="A587" s="36"/>
      <c r="B587" s="31"/>
      <c r="C587" s="31"/>
      <c r="D587" s="32"/>
      <c r="H587" s="32"/>
      <c r="J587" s="32"/>
      <c r="K587" s="41"/>
      <c r="L587" s="32"/>
      <c r="N587" s="32"/>
      <c r="O587" s="41"/>
      <c r="P587" s="32"/>
      <c r="R587" s="32"/>
      <c r="S587" s="41"/>
      <c r="T587" s="32"/>
      <c r="V587" s="32"/>
      <c r="W587" s="41"/>
      <c r="X587" s="32"/>
      <c r="Z587" s="32"/>
      <c r="AA587" s="41"/>
      <c r="AB587" s="41"/>
      <c r="AD587" s="32"/>
      <c r="AE587" s="41"/>
    </row>
    <row r="588" spans="1:31" s="30" customFormat="1" x14ac:dyDescent="0.25">
      <c r="A588" s="36"/>
      <c r="B588" s="31"/>
      <c r="C588" s="31"/>
      <c r="D588" s="32"/>
      <c r="H588" s="32"/>
      <c r="J588" s="32"/>
      <c r="K588" s="41"/>
      <c r="L588" s="32"/>
      <c r="N588" s="32"/>
      <c r="O588" s="41"/>
      <c r="P588" s="32"/>
      <c r="R588" s="32"/>
      <c r="S588" s="41"/>
      <c r="T588" s="32"/>
      <c r="V588" s="32"/>
      <c r="W588" s="41"/>
      <c r="X588" s="32"/>
      <c r="Z588" s="32"/>
      <c r="AA588" s="41"/>
      <c r="AB588" s="41"/>
      <c r="AD588" s="32"/>
      <c r="AE588" s="41"/>
    </row>
    <row r="589" spans="1:31" s="30" customFormat="1" x14ac:dyDescent="0.25">
      <c r="A589" s="36"/>
      <c r="B589" s="31"/>
      <c r="C589" s="31"/>
      <c r="D589" s="32"/>
      <c r="H589" s="32"/>
      <c r="J589" s="32"/>
      <c r="K589" s="41"/>
      <c r="L589" s="32"/>
      <c r="N589" s="32"/>
      <c r="O589" s="41"/>
      <c r="P589" s="32"/>
      <c r="R589" s="32"/>
      <c r="S589" s="41"/>
      <c r="T589" s="32"/>
      <c r="V589" s="32"/>
      <c r="W589" s="41"/>
      <c r="X589" s="32"/>
      <c r="Z589" s="32"/>
      <c r="AA589" s="41"/>
      <c r="AB589" s="41"/>
      <c r="AD589" s="32"/>
      <c r="AE589" s="41"/>
    </row>
    <row r="590" spans="1:31" s="30" customFormat="1" x14ac:dyDescent="0.25">
      <c r="A590" s="36"/>
      <c r="B590" s="31"/>
      <c r="C590" s="31"/>
      <c r="D590" s="32"/>
      <c r="H590" s="32"/>
      <c r="J590" s="32"/>
      <c r="K590" s="41"/>
      <c r="L590" s="32"/>
      <c r="N590" s="32"/>
      <c r="O590" s="41"/>
      <c r="P590" s="32"/>
      <c r="R590" s="32"/>
      <c r="S590" s="41"/>
      <c r="T590" s="32"/>
      <c r="V590" s="32"/>
      <c r="W590" s="41"/>
      <c r="X590" s="32"/>
      <c r="Z590" s="32"/>
      <c r="AA590" s="41"/>
      <c r="AB590" s="41"/>
      <c r="AD590" s="32"/>
      <c r="AE590" s="41"/>
    </row>
    <row r="591" spans="1:31" s="30" customFormat="1" x14ac:dyDescent="0.25">
      <c r="A591" s="36"/>
      <c r="B591" s="31"/>
      <c r="C591" s="31"/>
      <c r="D591" s="32"/>
      <c r="H591" s="32"/>
      <c r="J591" s="32"/>
      <c r="K591" s="41"/>
      <c r="L591" s="32"/>
      <c r="N591" s="32"/>
      <c r="O591" s="41"/>
      <c r="P591" s="32"/>
      <c r="R591" s="32"/>
      <c r="S591" s="41"/>
      <c r="T591" s="32"/>
      <c r="V591" s="32"/>
      <c r="W591" s="41"/>
      <c r="X591" s="32"/>
      <c r="Z591" s="32"/>
      <c r="AA591" s="41"/>
      <c r="AB591" s="41"/>
      <c r="AD591" s="32"/>
      <c r="AE591" s="41"/>
    </row>
    <row r="592" spans="1:31" s="30" customFormat="1" x14ac:dyDescent="0.25">
      <c r="A592" s="36"/>
      <c r="B592" s="31"/>
      <c r="C592" s="31"/>
      <c r="D592" s="32"/>
      <c r="H592" s="32"/>
      <c r="J592" s="32"/>
      <c r="K592" s="41"/>
      <c r="L592" s="32"/>
      <c r="N592" s="32"/>
      <c r="O592" s="41"/>
      <c r="P592" s="32"/>
      <c r="R592" s="32"/>
      <c r="S592" s="41"/>
      <c r="T592" s="32"/>
      <c r="V592" s="32"/>
      <c r="W592" s="41"/>
      <c r="X592" s="32"/>
      <c r="Z592" s="32"/>
      <c r="AA592" s="41"/>
      <c r="AB592" s="41"/>
      <c r="AD592" s="32"/>
      <c r="AE592" s="41"/>
    </row>
    <row r="593" spans="1:31" s="30" customFormat="1" x14ac:dyDescent="0.25">
      <c r="A593" s="36"/>
      <c r="B593" s="31"/>
      <c r="C593" s="31"/>
      <c r="D593" s="32"/>
      <c r="H593" s="32"/>
      <c r="J593" s="32"/>
      <c r="K593" s="41"/>
      <c r="L593" s="32"/>
      <c r="N593" s="32"/>
      <c r="O593" s="41"/>
      <c r="P593" s="32"/>
      <c r="R593" s="32"/>
      <c r="S593" s="41"/>
      <c r="T593" s="32"/>
      <c r="V593" s="32"/>
      <c r="W593" s="41"/>
      <c r="X593" s="32"/>
      <c r="Z593" s="32"/>
      <c r="AA593" s="41"/>
      <c r="AB593" s="41"/>
      <c r="AD593" s="32"/>
      <c r="AE593" s="41"/>
    </row>
    <row r="594" spans="1:31" s="30" customFormat="1" x14ac:dyDescent="0.25">
      <c r="A594" s="36"/>
      <c r="B594" s="31"/>
      <c r="C594" s="31"/>
      <c r="D594" s="32"/>
      <c r="H594" s="32"/>
      <c r="J594" s="32"/>
      <c r="K594" s="41"/>
      <c r="L594" s="32"/>
      <c r="N594" s="32"/>
      <c r="O594" s="41"/>
      <c r="P594" s="32"/>
      <c r="R594" s="32"/>
      <c r="S594" s="41"/>
      <c r="T594" s="32"/>
      <c r="V594" s="32"/>
      <c r="W594" s="41"/>
      <c r="X594" s="32"/>
      <c r="Z594" s="32"/>
      <c r="AA594" s="41"/>
      <c r="AB594" s="41"/>
      <c r="AD594" s="32"/>
      <c r="AE594" s="41"/>
    </row>
    <row r="595" spans="1:31" s="30" customFormat="1" x14ac:dyDescent="0.25">
      <c r="A595" s="36"/>
      <c r="B595" s="31"/>
      <c r="C595" s="31"/>
      <c r="D595" s="32"/>
      <c r="H595" s="32"/>
      <c r="J595" s="32"/>
      <c r="K595" s="41"/>
      <c r="L595" s="32"/>
      <c r="N595" s="32"/>
      <c r="O595" s="41"/>
      <c r="P595" s="32"/>
      <c r="R595" s="32"/>
      <c r="S595" s="41"/>
      <c r="T595" s="32"/>
      <c r="V595" s="32"/>
      <c r="W595" s="41"/>
      <c r="X595" s="32"/>
      <c r="Z595" s="32"/>
      <c r="AA595" s="41"/>
      <c r="AB595" s="41"/>
      <c r="AD595" s="32"/>
      <c r="AE595" s="41"/>
    </row>
    <row r="596" spans="1:31" s="30" customFormat="1" x14ac:dyDescent="0.25">
      <c r="A596" s="36"/>
      <c r="B596" s="31"/>
      <c r="C596" s="31"/>
      <c r="D596" s="32"/>
      <c r="H596" s="32"/>
      <c r="J596" s="32"/>
      <c r="K596" s="41"/>
      <c r="L596" s="32"/>
      <c r="N596" s="32"/>
      <c r="O596" s="41"/>
      <c r="P596" s="32"/>
      <c r="R596" s="32"/>
      <c r="S596" s="41"/>
      <c r="T596" s="32"/>
      <c r="V596" s="32"/>
      <c r="W596" s="41"/>
      <c r="X596" s="32"/>
      <c r="Z596" s="32"/>
      <c r="AA596" s="41"/>
      <c r="AB596" s="41"/>
      <c r="AD596" s="32"/>
      <c r="AE596" s="41"/>
    </row>
    <row r="597" spans="1:31" s="30" customFormat="1" x14ac:dyDescent="0.25">
      <c r="A597" s="36"/>
      <c r="B597" s="31"/>
      <c r="C597" s="31"/>
      <c r="D597" s="32"/>
      <c r="H597" s="32"/>
      <c r="J597" s="32"/>
      <c r="K597" s="41"/>
      <c r="L597" s="32"/>
      <c r="N597" s="32"/>
      <c r="O597" s="41"/>
      <c r="P597" s="32"/>
      <c r="R597" s="32"/>
      <c r="S597" s="41"/>
      <c r="T597" s="32"/>
      <c r="V597" s="32"/>
      <c r="W597" s="41"/>
      <c r="X597" s="32"/>
      <c r="Z597" s="32"/>
      <c r="AA597" s="41"/>
      <c r="AB597" s="41"/>
      <c r="AD597" s="32"/>
      <c r="AE597" s="41"/>
    </row>
    <row r="598" spans="1:31" s="30" customFormat="1" x14ac:dyDescent="0.25">
      <c r="A598" s="36"/>
      <c r="B598" s="31"/>
      <c r="C598" s="31"/>
      <c r="D598" s="32"/>
      <c r="H598" s="32"/>
      <c r="J598" s="32"/>
      <c r="K598" s="41"/>
      <c r="L598" s="32"/>
      <c r="N598" s="32"/>
      <c r="O598" s="41"/>
      <c r="P598" s="32"/>
      <c r="R598" s="32"/>
      <c r="S598" s="41"/>
      <c r="T598" s="32"/>
      <c r="V598" s="32"/>
      <c r="W598" s="41"/>
      <c r="X598" s="32"/>
      <c r="Z598" s="32"/>
      <c r="AA598" s="41"/>
      <c r="AB598" s="41"/>
      <c r="AD598" s="32"/>
      <c r="AE598" s="41"/>
    </row>
    <row r="599" spans="1:31" s="30" customFormat="1" x14ac:dyDescent="0.25">
      <c r="A599" s="36"/>
      <c r="B599" s="31"/>
      <c r="C599" s="31"/>
      <c r="D599" s="32"/>
      <c r="H599" s="32"/>
      <c r="J599" s="32"/>
      <c r="K599" s="41"/>
      <c r="L599" s="32"/>
      <c r="N599" s="32"/>
      <c r="O599" s="41"/>
      <c r="P599" s="32"/>
      <c r="R599" s="32"/>
      <c r="S599" s="41"/>
      <c r="T599" s="32"/>
      <c r="V599" s="32"/>
      <c r="W599" s="41"/>
      <c r="X599" s="32"/>
      <c r="Z599" s="32"/>
      <c r="AA599" s="41"/>
      <c r="AB599" s="41"/>
      <c r="AD599" s="32"/>
      <c r="AE599" s="41"/>
    </row>
    <row r="600" spans="1:31" s="30" customFormat="1" x14ac:dyDescent="0.25">
      <c r="A600" s="36"/>
      <c r="B600" s="31"/>
      <c r="C600" s="31"/>
      <c r="D600" s="32"/>
      <c r="H600" s="32"/>
      <c r="J600" s="32"/>
      <c r="K600" s="41"/>
      <c r="L600" s="32"/>
      <c r="N600" s="32"/>
      <c r="O600" s="41"/>
      <c r="P600" s="32"/>
      <c r="R600" s="32"/>
      <c r="S600" s="41"/>
      <c r="T600" s="32"/>
      <c r="V600" s="32"/>
      <c r="W600" s="41"/>
      <c r="X600" s="32"/>
      <c r="Z600" s="32"/>
      <c r="AA600" s="41"/>
      <c r="AB600" s="41"/>
      <c r="AD600" s="32"/>
      <c r="AE600" s="41"/>
    </row>
    <row r="601" spans="1:31" s="30" customFormat="1" x14ac:dyDescent="0.25">
      <c r="A601" s="36"/>
      <c r="B601" s="31"/>
      <c r="C601" s="31"/>
      <c r="D601" s="32"/>
      <c r="H601" s="32"/>
      <c r="J601" s="32"/>
      <c r="K601" s="41"/>
      <c r="L601" s="32"/>
      <c r="N601" s="32"/>
      <c r="O601" s="41"/>
      <c r="P601" s="32"/>
      <c r="R601" s="32"/>
      <c r="S601" s="41"/>
      <c r="T601" s="32"/>
      <c r="V601" s="32"/>
      <c r="W601" s="41"/>
      <c r="X601" s="32"/>
      <c r="Z601" s="32"/>
      <c r="AA601" s="41"/>
      <c r="AB601" s="41"/>
      <c r="AD601" s="32"/>
      <c r="AE601" s="41"/>
    </row>
    <row r="602" spans="1:31" s="30" customFormat="1" x14ac:dyDescent="0.25">
      <c r="A602" s="36"/>
      <c r="B602" s="31"/>
      <c r="C602" s="31"/>
      <c r="D602" s="32"/>
      <c r="H602" s="32"/>
      <c r="J602" s="32"/>
      <c r="K602" s="41"/>
      <c r="L602" s="32"/>
      <c r="N602" s="32"/>
      <c r="O602" s="41"/>
      <c r="P602" s="32"/>
      <c r="R602" s="32"/>
      <c r="S602" s="41"/>
      <c r="T602" s="32"/>
      <c r="V602" s="32"/>
      <c r="W602" s="41"/>
      <c r="X602" s="32"/>
      <c r="Z602" s="32"/>
      <c r="AA602" s="41"/>
      <c r="AB602" s="41"/>
      <c r="AD602" s="32"/>
      <c r="AE602" s="41"/>
    </row>
    <row r="603" spans="1:31" s="30" customFormat="1" x14ac:dyDescent="0.25">
      <c r="A603" s="36"/>
      <c r="B603" s="31"/>
      <c r="C603" s="31"/>
      <c r="D603" s="32"/>
      <c r="H603" s="32"/>
      <c r="J603" s="32"/>
      <c r="K603" s="41"/>
      <c r="L603" s="32"/>
      <c r="N603" s="32"/>
      <c r="O603" s="41"/>
      <c r="P603" s="32"/>
      <c r="R603" s="32"/>
      <c r="S603" s="41"/>
      <c r="T603" s="32"/>
      <c r="V603" s="32"/>
      <c r="W603" s="41"/>
      <c r="X603" s="32"/>
      <c r="Z603" s="32"/>
      <c r="AA603" s="41"/>
      <c r="AB603" s="41"/>
      <c r="AD603" s="32"/>
      <c r="AE603" s="41"/>
    </row>
    <row r="604" spans="1:31" s="30" customFormat="1" x14ac:dyDescent="0.25">
      <c r="A604" s="36"/>
      <c r="B604" s="31"/>
      <c r="C604" s="31"/>
      <c r="D604" s="32"/>
      <c r="H604" s="32"/>
      <c r="J604" s="32"/>
      <c r="K604" s="41"/>
      <c r="L604" s="32"/>
      <c r="N604" s="32"/>
      <c r="O604" s="41"/>
      <c r="P604" s="32"/>
      <c r="R604" s="32"/>
      <c r="S604" s="41"/>
      <c r="T604" s="32"/>
      <c r="V604" s="32"/>
      <c r="W604" s="41"/>
      <c r="X604" s="32"/>
      <c r="Z604" s="32"/>
      <c r="AA604" s="41"/>
      <c r="AB604" s="41"/>
      <c r="AD604" s="32"/>
      <c r="AE604" s="41"/>
    </row>
    <row r="605" spans="1:31" s="30" customFormat="1" x14ac:dyDescent="0.25">
      <c r="A605" s="36"/>
      <c r="B605" s="31"/>
      <c r="C605" s="31"/>
      <c r="D605" s="32"/>
      <c r="H605" s="32"/>
      <c r="J605" s="32"/>
      <c r="K605" s="41"/>
      <c r="L605" s="32"/>
      <c r="N605" s="32"/>
      <c r="O605" s="41"/>
      <c r="P605" s="32"/>
      <c r="R605" s="32"/>
      <c r="S605" s="41"/>
      <c r="T605" s="32"/>
      <c r="V605" s="32"/>
      <c r="W605" s="41"/>
      <c r="X605" s="32"/>
      <c r="Z605" s="32"/>
      <c r="AA605" s="41"/>
      <c r="AB605" s="41"/>
      <c r="AD605" s="32"/>
      <c r="AE605" s="41"/>
    </row>
    <row r="606" spans="1:31" s="30" customFormat="1" x14ac:dyDescent="0.25">
      <c r="A606" s="36"/>
      <c r="B606" s="31"/>
      <c r="C606" s="31"/>
      <c r="D606" s="32"/>
      <c r="H606" s="32"/>
      <c r="J606" s="32"/>
      <c r="K606" s="41"/>
      <c r="L606" s="32"/>
      <c r="N606" s="32"/>
      <c r="O606" s="41"/>
      <c r="P606" s="32"/>
      <c r="R606" s="32"/>
      <c r="S606" s="41"/>
      <c r="T606" s="32"/>
      <c r="V606" s="32"/>
      <c r="W606" s="41"/>
      <c r="X606" s="32"/>
      <c r="Z606" s="32"/>
      <c r="AA606" s="41"/>
      <c r="AB606" s="41"/>
      <c r="AD606" s="32"/>
      <c r="AE606" s="41"/>
    </row>
    <row r="607" spans="1:31" s="30" customFormat="1" x14ac:dyDescent="0.25">
      <c r="A607" s="36"/>
      <c r="B607" s="31"/>
      <c r="C607" s="31"/>
      <c r="D607" s="32"/>
      <c r="H607" s="32"/>
      <c r="J607" s="32"/>
      <c r="K607" s="41"/>
      <c r="L607" s="32"/>
      <c r="N607" s="32"/>
      <c r="O607" s="41"/>
      <c r="P607" s="32"/>
      <c r="R607" s="32"/>
      <c r="S607" s="41"/>
      <c r="T607" s="32"/>
      <c r="V607" s="32"/>
      <c r="W607" s="41"/>
      <c r="X607" s="32"/>
      <c r="Z607" s="32"/>
      <c r="AA607" s="41"/>
      <c r="AB607" s="41"/>
      <c r="AD607" s="32"/>
      <c r="AE607" s="41"/>
    </row>
    <row r="608" spans="1:31" s="30" customFormat="1" x14ac:dyDescent="0.25">
      <c r="A608" s="36"/>
      <c r="B608" s="31"/>
      <c r="C608" s="31"/>
      <c r="D608" s="32"/>
      <c r="H608" s="32"/>
      <c r="J608" s="32"/>
      <c r="K608" s="41"/>
      <c r="L608" s="32"/>
      <c r="N608" s="32"/>
      <c r="O608" s="41"/>
      <c r="P608" s="32"/>
      <c r="R608" s="32"/>
      <c r="S608" s="41"/>
      <c r="T608" s="32"/>
      <c r="V608" s="32"/>
      <c r="W608" s="41"/>
      <c r="X608" s="32"/>
      <c r="Z608" s="32"/>
      <c r="AA608" s="41"/>
      <c r="AB608" s="41"/>
      <c r="AD608" s="32"/>
      <c r="AE608" s="41"/>
    </row>
    <row r="609" spans="1:31" s="30" customFormat="1" x14ac:dyDescent="0.25">
      <c r="A609" s="36"/>
      <c r="B609" s="31"/>
      <c r="C609" s="31"/>
      <c r="D609" s="32"/>
      <c r="H609" s="32"/>
      <c r="J609" s="32"/>
      <c r="K609" s="41"/>
      <c r="L609" s="32"/>
      <c r="N609" s="32"/>
      <c r="O609" s="41"/>
      <c r="P609" s="32"/>
      <c r="R609" s="32"/>
      <c r="S609" s="41"/>
      <c r="T609" s="32"/>
      <c r="V609" s="32"/>
      <c r="W609" s="41"/>
      <c r="X609" s="32"/>
      <c r="Z609" s="32"/>
      <c r="AA609" s="41"/>
      <c r="AB609" s="41"/>
      <c r="AD609" s="32"/>
      <c r="AE609" s="41"/>
    </row>
    <row r="610" spans="1:31" s="30" customFormat="1" x14ac:dyDescent="0.25">
      <c r="A610" s="36"/>
      <c r="B610" s="31"/>
      <c r="C610" s="31"/>
      <c r="D610" s="32"/>
      <c r="H610" s="32"/>
      <c r="J610" s="32"/>
      <c r="K610" s="41"/>
      <c r="L610" s="32"/>
      <c r="N610" s="32"/>
      <c r="O610" s="41"/>
      <c r="P610" s="32"/>
      <c r="R610" s="32"/>
      <c r="S610" s="41"/>
      <c r="T610" s="32"/>
      <c r="V610" s="32"/>
      <c r="W610" s="41"/>
      <c r="X610" s="32"/>
      <c r="Z610" s="32"/>
      <c r="AA610" s="41"/>
      <c r="AB610" s="41"/>
      <c r="AD610" s="32"/>
      <c r="AE610" s="41"/>
    </row>
    <row r="611" spans="1:31" s="30" customFormat="1" x14ac:dyDescent="0.25">
      <c r="A611" s="36"/>
      <c r="B611" s="31"/>
      <c r="C611" s="31"/>
      <c r="D611" s="32"/>
      <c r="H611" s="32"/>
      <c r="J611" s="32"/>
      <c r="K611" s="41"/>
      <c r="L611" s="32"/>
      <c r="N611" s="32"/>
      <c r="O611" s="41"/>
      <c r="P611" s="32"/>
      <c r="R611" s="32"/>
      <c r="S611" s="41"/>
      <c r="T611" s="32"/>
      <c r="V611" s="32"/>
      <c r="W611" s="41"/>
      <c r="X611" s="32"/>
      <c r="Z611" s="32"/>
      <c r="AA611" s="41"/>
      <c r="AB611" s="41"/>
      <c r="AD611" s="32"/>
      <c r="AE611" s="41"/>
    </row>
    <row r="612" spans="1:31" s="30" customFormat="1" x14ac:dyDescent="0.25">
      <c r="A612" s="36"/>
      <c r="B612" s="31"/>
      <c r="C612" s="31"/>
      <c r="D612" s="32"/>
      <c r="H612" s="32"/>
      <c r="J612" s="32"/>
      <c r="K612" s="41"/>
      <c r="L612" s="32"/>
      <c r="N612" s="32"/>
      <c r="O612" s="41"/>
      <c r="P612" s="32"/>
      <c r="R612" s="32"/>
      <c r="S612" s="41"/>
      <c r="T612" s="32"/>
      <c r="V612" s="32"/>
      <c r="W612" s="41"/>
      <c r="X612" s="32"/>
      <c r="Z612" s="32"/>
      <c r="AA612" s="41"/>
      <c r="AB612" s="41"/>
      <c r="AD612" s="32"/>
      <c r="AE612" s="41"/>
    </row>
    <row r="613" spans="1:31" s="30" customFormat="1" x14ac:dyDescent="0.25">
      <c r="A613" s="36"/>
      <c r="B613" s="31"/>
      <c r="C613" s="31"/>
      <c r="D613" s="32"/>
      <c r="H613" s="32"/>
      <c r="J613" s="32"/>
      <c r="K613" s="41"/>
      <c r="L613" s="32"/>
      <c r="N613" s="32"/>
      <c r="O613" s="41"/>
      <c r="P613" s="32"/>
      <c r="R613" s="32"/>
      <c r="S613" s="41"/>
      <c r="T613" s="32"/>
      <c r="V613" s="32"/>
      <c r="W613" s="41"/>
      <c r="X613" s="32"/>
      <c r="Z613" s="32"/>
      <c r="AA613" s="41"/>
      <c r="AB613" s="41"/>
      <c r="AD613" s="32"/>
      <c r="AE613" s="41"/>
    </row>
    <row r="614" spans="1:31" s="30" customFormat="1" x14ac:dyDescent="0.25">
      <c r="A614" s="36"/>
      <c r="B614" s="31"/>
      <c r="C614" s="31"/>
      <c r="D614" s="32"/>
      <c r="H614" s="32"/>
      <c r="J614" s="32"/>
      <c r="K614" s="41"/>
      <c r="L614" s="32"/>
      <c r="N614" s="32"/>
      <c r="O614" s="41"/>
      <c r="P614" s="32"/>
      <c r="R614" s="32"/>
      <c r="S614" s="41"/>
      <c r="T614" s="32"/>
      <c r="V614" s="32"/>
      <c r="W614" s="41"/>
      <c r="X614" s="32"/>
      <c r="Z614" s="32"/>
      <c r="AA614" s="41"/>
      <c r="AB614" s="41"/>
      <c r="AD614" s="32"/>
      <c r="AE614" s="41"/>
    </row>
    <row r="615" spans="1:31" s="30" customFormat="1" x14ac:dyDescent="0.25">
      <c r="A615" s="36"/>
      <c r="B615" s="31"/>
      <c r="C615" s="31"/>
      <c r="D615" s="32"/>
      <c r="H615" s="32"/>
      <c r="J615" s="32"/>
      <c r="K615" s="41"/>
      <c r="L615" s="32"/>
      <c r="N615" s="32"/>
      <c r="O615" s="41"/>
      <c r="P615" s="32"/>
      <c r="R615" s="32"/>
      <c r="S615" s="41"/>
      <c r="T615" s="32"/>
      <c r="V615" s="32"/>
      <c r="W615" s="41"/>
      <c r="X615" s="32"/>
      <c r="Z615" s="32"/>
      <c r="AA615" s="41"/>
      <c r="AB615" s="41"/>
      <c r="AD615" s="32"/>
      <c r="AE615" s="41"/>
    </row>
    <row r="616" spans="1:31" s="30" customFormat="1" x14ac:dyDescent="0.25">
      <c r="A616" s="36"/>
      <c r="B616" s="31"/>
      <c r="C616" s="31"/>
      <c r="D616" s="32"/>
      <c r="H616" s="32"/>
      <c r="J616" s="32"/>
      <c r="K616" s="41"/>
      <c r="L616" s="32"/>
      <c r="N616" s="32"/>
      <c r="O616" s="41"/>
      <c r="P616" s="32"/>
      <c r="R616" s="32"/>
      <c r="S616" s="41"/>
      <c r="T616" s="32"/>
      <c r="V616" s="32"/>
      <c r="W616" s="41"/>
      <c r="X616" s="32"/>
      <c r="Z616" s="32"/>
      <c r="AA616" s="41"/>
      <c r="AB616" s="41"/>
      <c r="AD616" s="32"/>
      <c r="AE616" s="41"/>
    </row>
    <row r="617" spans="1:31" s="30" customFormat="1" x14ac:dyDescent="0.25">
      <c r="A617" s="36"/>
      <c r="B617" s="31"/>
      <c r="C617" s="31"/>
      <c r="D617" s="32"/>
      <c r="H617" s="32"/>
      <c r="J617" s="32"/>
      <c r="K617" s="41"/>
      <c r="L617" s="32"/>
      <c r="N617" s="32"/>
      <c r="O617" s="41"/>
      <c r="P617" s="32"/>
      <c r="R617" s="32"/>
      <c r="S617" s="41"/>
      <c r="T617" s="32"/>
      <c r="V617" s="32"/>
      <c r="W617" s="41"/>
      <c r="X617" s="32"/>
      <c r="Z617" s="32"/>
      <c r="AA617" s="41"/>
      <c r="AB617" s="41"/>
      <c r="AD617" s="32"/>
      <c r="AE617" s="41"/>
    </row>
    <row r="618" spans="1:31" s="30" customFormat="1" x14ac:dyDescent="0.25">
      <c r="A618" s="36"/>
      <c r="B618" s="31"/>
      <c r="C618" s="31"/>
      <c r="D618" s="32"/>
      <c r="H618" s="32"/>
      <c r="J618" s="32"/>
      <c r="K618" s="41"/>
      <c r="L618" s="32"/>
      <c r="N618" s="32"/>
      <c r="O618" s="41"/>
      <c r="P618" s="32"/>
      <c r="R618" s="32"/>
      <c r="S618" s="41"/>
      <c r="T618" s="32"/>
      <c r="V618" s="32"/>
      <c r="W618" s="41"/>
      <c r="X618" s="32"/>
      <c r="Z618" s="32"/>
      <c r="AA618" s="41"/>
      <c r="AB618" s="41"/>
      <c r="AD618" s="32"/>
      <c r="AE618" s="41"/>
    </row>
    <row r="619" spans="1:31" s="30" customFormat="1" x14ac:dyDescent="0.25">
      <c r="A619" s="36"/>
      <c r="B619" s="31"/>
      <c r="C619" s="31"/>
      <c r="D619" s="32"/>
      <c r="H619" s="32"/>
      <c r="J619" s="32"/>
      <c r="K619" s="41"/>
      <c r="L619" s="32"/>
      <c r="N619" s="32"/>
      <c r="O619" s="41"/>
      <c r="P619" s="32"/>
      <c r="R619" s="32"/>
      <c r="S619" s="41"/>
      <c r="T619" s="32"/>
      <c r="V619" s="32"/>
      <c r="W619" s="41"/>
      <c r="X619" s="32"/>
      <c r="Z619" s="32"/>
      <c r="AA619" s="41"/>
      <c r="AB619" s="41"/>
      <c r="AD619" s="32"/>
      <c r="AE619" s="41"/>
    </row>
    <row r="620" spans="1:31" s="30" customFormat="1" x14ac:dyDescent="0.25">
      <c r="A620" s="36"/>
      <c r="B620" s="31"/>
      <c r="C620" s="31"/>
      <c r="D620" s="32"/>
      <c r="H620" s="32"/>
      <c r="J620" s="32"/>
      <c r="K620" s="41"/>
      <c r="L620" s="32"/>
      <c r="N620" s="32"/>
      <c r="O620" s="41"/>
      <c r="P620" s="32"/>
      <c r="R620" s="32"/>
      <c r="S620" s="41"/>
      <c r="T620" s="32"/>
      <c r="V620" s="32"/>
      <c r="W620" s="41"/>
      <c r="X620" s="32"/>
      <c r="Z620" s="32"/>
      <c r="AA620" s="41"/>
      <c r="AB620" s="41"/>
      <c r="AD620" s="32"/>
      <c r="AE620" s="41"/>
    </row>
    <row r="621" spans="1:31" s="30" customFormat="1" x14ac:dyDescent="0.25">
      <c r="A621" s="36"/>
      <c r="B621" s="31"/>
      <c r="C621" s="31"/>
      <c r="D621" s="32"/>
      <c r="H621" s="32"/>
      <c r="J621" s="32"/>
      <c r="K621" s="41"/>
      <c r="L621" s="32"/>
      <c r="N621" s="32"/>
      <c r="O621" s="41"/>
      <c r="P621" s="32"/>
      <c r="R621" s="32"/>
      <c r="S621" s="41"/>
      <c r="T621" s="32"/>
      <c r="V621" s="32"/>
      <c r="W621" s="41"/>
      <c r="X621" s="32"/>
      <c r="Z621" s="32"/>
      <c r="AA621" s="41"/>
      <c r="AB621" s="41"/>
      <c r="AD621" s="32"/>
      <c r="AE621" s="41"/>
    </row>
    <row r="622" spans="1:31" s="30" customFormat="1" x14ac:dyDescent="0.25">
      <c r="A622" s="36"/>
      <c r="B622" s="31"/>
      <c r="C622" s="31"/>
      <c r="D622" s="32"/>
      <c r="H622" s="32"/>
      <c r="J622" s="32"/>
      <c r="K622" s="41"/>
      <c r="L622" s="32"/>
      <c r="N622" s="32"/>
      <c r="O622" s="41"/>
      <c r="P622" s="32"/>
      <c r="R622" s="32"/>
      <c r="S622" s="41"/>
      <c r="T622" s="32"/>
      <c r="V622" s="32"/>
      <c r="W622" s="41"/>
      <c r="X622" s="32"/>
      <c r="Z622" s="32"/>
      <c r="AA622" s="41"/>
      <c r="AB622" s="41"/>
      <c r="AD622" s="32"/>
      <c r="AE622" s="41"/>
    </row>
    <row r="623" spans="1:31" s="30" customFormat="1" x14ac:dyDescent="0.25">
      <c r="A623" s="36"/>
      <c r="B623" s="31"/>
      <c r="C623" s="31"/>
      <c r="D623" s="32"/>
      <c r="H623" s="32"/>
      <c r="J623" s="32"/>
      <c r="K623" s="41"/>
      <c r="L623" s="32"/>
      <c r="N623" s="32"/>
      <c r="O623" s="41"/>
      <c r="P623" s="32"/>
      <c r="R623" s="32"/>
      <c r="S623" s="41"/>
      <c r="T623" s="32"/>
      <c r="V623" s="32"/>
      <c r="W623" s="41"/>
      <c r="X623" s="32"/>
      <c r="Z623" s="32"/>
      <c r="AA623" s="41"/>
      <c r="AB623" s="41"/>
      <c r="AD623" s="32"/>
      <c r="AE623" s="41"/>
    </row>
    <row r="624" spans="1:31" s="30" customFormat="1" x14ac:dyDescent="0.25">
      <c r="A624" s="36"/>
      <c r="B624" s="31"/>
      <c r="C624" s="31"/>
      <c r="D624" s="32"/>
      <c r="H624" s="32"/>
      <c r="J624" s="32"/>
      <c r="K624" s="41"/>
      <c r="L624" s="32"/>
      <c r="N624" s="32"/>
      <c r="O624" s="41"/>
      <c r="P624" s="32"/>
      <c r="R624" s="32"/>
      <c r="S624" s="41"/>
      <c r="T624" s="32"/>
      <c r="V624" s="32"/>
      <c r="W624" s="41"/>
      <c r="X624" s="32"/>
      <c r="Z624" s="32"/>
      <c r="AA624" s="41"/>
      <c r="AB624" s="41"/>
      <c r="AD624" s="32"/>
      <c r="AE624" s="41"/>
    </row>
    <row r="625" spans="1:31" s="30" customFormat="1" x14ac:dyDescent="0.25">
      <c r="A625" s="36"/>
      <c r="B625" s="31"/>
      <c r="C625" s="31"/>
      <c r="D625" s="32"/>
      <c r="H625" s="32"/>
      <c r="J625" s="32"/>
      <c r="K625" s="41"/>
      <c r="L625" s="32"/>
      <c r="N625" s="32"/>
      <c r="O625" s="41"/>
      <c r="P625" s="32"/>
      <c r="R625" s="32"/>
      <c r="S625" s="41"/>
      <c r="T625" s="32"/>
      <c r="V625" s="32"/>
      <c r="W625" s="41"/>
      <c r="X625" s="32"/>
      <c r="Z625" s="32"/>
      <c r="AA625" s="41"/>
      <c r="AB625" s="41"/>
      <c r="AD625" s="32"/>
      <c r="AE625" s="41"/>
    </row>
    <row r="626" spans="1:31" s="30" customFormat="1" x14ac:dyDescent="0.25">
      <c r="A626" s="36"/>
      <c r="B626" s="31"/>
      <c r="C626" s="31"/>
      <c r="D626" s="32"/>
      <c r="H626" s="32"/>
      <c r="J626" s="32"/>
      <c r="K626" s="41"/>
      <c r="L626" s="32"/>
      <c r="N626" s="32"/>
      <c r="O626" s="41"/>
      <c r="P626" s="32"/>
      <c r="R626" s="32"/>
      <c r="S626" s="41"/>
      <c r="T626" s="32"/>
      <c r="V626" s="32"/>
      <c r="W626" s="41"/>
      <c r="X626" s="32"/>
      <c r="Z626" s="32"/>
      <c r="AA626" s="41"/>
      <c r="AB626" s="41"/>
      <c r="AD626" s="32"/>
      <c r="AE626" s="41"/>
    </row>
    <row r="627" spans="1:31" s="30" customFormat="1" x14ac:dyDescent="0.25">
      <c r="A627" s="36"/>
      <c r="B627" s="31"/>
      <c r="C627" s="31"/>
      <c r="D627" s="32"/>
      <c r="H627" s="32"/>
      <c r="J627" s="32"/>
      <c r="K627" s="41"/>
      <c r="L627" s="32"/>
      <c r="N627" s="32"/>
      <c r="O627" s="41"/>
      <c r="P627" s="32"/>
      <c r="R627" s="32"/>
      <c r="S627" s="41"/>
      <c r="T627" s="32"/>
      <c r="V627" s="32"/>
      <c r="W627" s="41"/>
      <c r="X627" s="32"/>
      <c r="Z627" s="32"/>
      <c r="AA627" s="41"/>
      <c r="AB627" s="41"/>
      <c r="AD627" s="32"/>
      <c r="AE627" s="41"/>
    </row>
    <row r="628" spans="1:31" s="30" customFormat="1" x14ac:dyDescent="0.25">
      <c r="A628" s="36"/>
      <c r="B628" s="31"/>
      <c r="C628" s="31"/>
      <c r="D628" s="32"/>
      <c r="H628" s="32"/>
      <c r="J628" s="32"/>
      <c r="K628" s="41"/>
      <c r="L628" s="32"/>
      <c r="N628" s="32"/>
      <c r="O628" s="41"/>
      <c r="P628" s="32"/>
      <c r="R628" s="32"/>
      <c r="S628" s="41"/>
      <c r="T628" s="32"/>
      <c r="V628" s="32"/>
      <c r="W628" s="41"/>
      <c r="X628" s="32"/>
      <c r="Z628" s="32"/>
      <c r="AA628" s="41"/>
      <c r="AB628" s="41"/>
      <c r="AD628" s="32"/>
      <c r="AE628" s="41"/>
    </row>
    <row r="629" spans="1:31" s="30" customFormat="1" x14ac:dyDescent="0.25">
      <c r="A629" s="36"/>
      <c r="B629" s="31"/>
      <c r="C629" s="31"/>
      <c r="D629" s="32"/>
      <c r="H629" s="32"/>
      <c r="J629" s="32"/>
      <c r="K629" s="41"/>
      <c r="L629" s="32"/>
      <c r="N629" s="32"/>
      <c r="O629" s="41"/>
      <c r="P629" s="32"/>
      <c r="R629" s="32"/>
      <c r="S629" s="41"/>
      <c r="T629" s="32"/>
      <c r="V629" s="32"/>
      <c r="W629" s="41"/>
      <c r="X629" s="32"/>
      <c r="Z629" s="32"/>
      <c r="AA629" s="41"/>
      <c r="AB629" s="41"/>
      <c r="AD629" s="32"/>
      <c r="AE629" s="41"/>
    </row>
    <row r="630" spans="1:31" s="30" customFormat="1" x14ac:dyDescent="0.25">
      <c r="A630" s="36"/>
      <c r="B630" s="31"/>
      <c r="C630" s="31"/>
      <c r="D630" s="32"/>
      <c r="H630" s="32"/>
      <c r="J630" s="32"/>
      <c r="K630" s="41"/>
      <c r="L630" s="32"/>
      <c r="N630" s="32"/>
      <c r="O630" s="41"/>
      <c r="P630" s="32"/>
      <c r="R630" s="32"/>
      <c r="S630" s="41"/>
      <c r="T630" s="32"/>
      <c r="V630" s="32"/>
      <c r="W630" s="41"/>
      <c r="X630" s="32"/>
      <c r="Z630" s="32"/>
      <c r="AA630" s="41"/>
      <c r="AB630" s="41"/>
      <c r="AD630" s="32"/>
      <c r="AE630" s="41"/>
    </row>
    <row r="631" spans="1:31" s="30" customFormat="1" x14ac:dyDescent="0.25">
      <c r="A631" s="36"/>
      <c r="B631" s="31"/>
      <c r="C631" s="31"/>
      <c r="D631" s="32"/>
      <c r="H631" s="32"/>
      <c r="J631" s="32"/>
      <c r="K631" s="41"/>
      <c r="L631" s="32"/>
      <c r="N631" s="32"/>
      <c r="O631" s="41"/>
      <c r="P631" s="32"/>
      <c r="R631" s="32"/>
      <c r="S631" s="41"/>
      <c r="T631" s="32"/>
      <c r="V631" s="32"/>
      <c r="W631" s="41"/>
      <c r="X631" s="32"/>
      <c r="Z631" s="32"/>
      <c r="AA631" s="41"/>
      <c r="AB631" s="41"/>
      <c r="AD631" s="32"/>
      <c r="AE631" s="41"/>
    </row>
    <row r="632" spans="1:31" s="30" customFormat="1" x14ac:dyDescent="0.25">
      <c r="A632" s="36"/>
      <c r="B632" s="31"/>
      <c r="C632" s="31"/>
      <c r="D632" s="32"/>
      <c r="H632" s="32"/>
      <c r="J632" s="32"/>
      <c r="K632" s="41"/>
      <c r="L632" s="32"/>
      <c r="N632" s="32"/>
      <c r="O632" s="41"/>
      <c r="P632" s="32"/>
      <c r="R632" s="32"/>
      <c r="S632" s="41"/>
      <c r="T632" s="32"/>
      <c r="V632" s="32"/>
      <c r="W632" s="41"/>
      <c r="X632" s="32"/>
      <c r="Z632" s="32"/>
      <c r="AA632" s="41"/>
      <c r="AB632" s="41"/>
      <c r="AD632" s="32"/>
      <c r="AE632" s="41"/>
    </row>
    <row r="633" spans="1:31" s="30" customFormat="1" x14ac:dyDescent="0.25">
      <c r="A633" s="36"/>
      <c r="B633" s="31"/>
      <c r="C633" s="31"/>
      <c r="D633" s="32"/>
      <c r="H633" s="32"/>
      <c r="J633" s="32"/>
      <c r="K633" s="41"/>
      <c r="L633" s="32"/>
      <c r="N633" s="32"/>
      <c r="O633" s="41"/>
      <c r="P633" s="32"/>
      <c r="R633" s="32"/>
      <c r="S633" s="41"/>
      <c r="T633" s="32"/>
      <c r="V633" s="32"/>
      <c r="W633" s="41"/>
      <c r="X633" s="32"/>
      <c r="Z633" s="32"/>
      <c r="AA633" s="41"/>
      <c r="AB633" s="41"/>
      <c r="AD633" s="32"/>
      <c r="AE633" s="41"/>
    </row>
    <row r="634" spans="1:31" s="30" customFormat="1" x14ac:dyDescent="0.25">
      <c r="A634" s="36"/>
      <c r="B634" s="31"/>
      <c r="C634" s="31"/>
      <c r="D634" s="32"/>
      <c r="H634" s="32"/>
      <c r="J634" s="32"/>
      <c r="K634" s="41"/>
      <c r="L634" s="32"/>
      <c r="N634" s="32"/>
      <c r="O634" s="41"/>
      <c r="P634" s="32"/>
      <c r="R634" s="32"/>
      <c r="S634" s="41"/>
      <c r="T634" s="32"/>
      <c r="V634" s="32"/>
      <c r="W634" s="41"/>
      <c r="X634" s="32"/>
      <c r="Z634" s="32"/>
      <c r="AA634" s="41"/>
      <c r="AB634" s="41"/>
      <c r="AD634" s="32"/>
      <c r="AE634" s="41"/>
    </row>
    <row r="635" spans="1:31" s="30" customFormat="1" x14ac:dyDescent="0.25">
      <c r="A635" s="36"/>
      <c r="B635" s="31"/>
      <c r="C635" s="31"/>
      <c r="D635" s="32"/>
      <c r="H635" s="32"/>
      <c r="J635" s="32"/>
      <c r="K635" s="41"/>
      <c r="L635" s="32"/>
      <c r="N635" s="32"/>
      <c r="O635" s="41"/>
      <c r="P635" s="32"/>
      <c r="R635" s="32"/>
      <c r="S635" s="41"/>
      <c r="T635" s="32"/>
      <c r="V635" s="32"/>
      <c r="W635" s="41"/>
      <c r="X635" s="32"/>
      <c r="Z635" s="32"/>
      <c r="AA635" s="41"/>
      <c r="AB635" s="41"/>
      <c r="AD635" s="32"/>
      <c r="AE635" s="41"/>
    </row>
    <row r="636" spans="1:31" s="30" customFormat="1" x14ac:dyDescent="0.25">
      <c r="A636" s="36"/>
      <c r="B636" s="31"/>
      <c r="C636" s="31"/>
      <c r="D636" s="32"/>
      <c r="H636" s="32"/>
      <c r="J636" s="32"/>
      <c r="K636" s="41"/>
      <c r="L636" s="32"/>
      <c r="N636" s="32"/>
      <c r="O636" s="41"/>
      <c r="P636" s="32"/>
      <c r="R636" s="32"/>
      <c r="S636" s="41"/>
      <c r="T636" s="32"/>
      <c r="V636" s="32"/>
      <c r="W636" s="41"/>
      <c r="X636" s="32"/>
      <c r="Z636" s="32"/>
      <c r="AA636" s="41"/>
      <c r="AB636" s="41"/>
      <c r="AD636" s="32"/>
      <c r="AE636" s="41"/>
    </row>
    <row r="637" spans="1:31" s="30" customFormat="1" x14ac:dyDescent="0.25">
      <c r="A637" s="36"/>
      <c r="B637" s="31"/>
      <c r="C637" s="31"/>
      <c r="D637" s="32"/>
      <c r="H637" s="32"/>
      <c r="J637" s="32"/>
      <c r="K637" s="41"/>
      <c r="L637" s="32"/>
      <c r="N637" s="32"/>
      <c r="O637" s="41"/>
      <c r="P637" s="32"/>
      <c r="R637" s="32"/>
      <c r="S637" s="41"/>
      <c r="T637" s="32"/>
      <c r="V637" s="32"/>
      <c r="W637" s="41"/>
      <c r="X637" s="32"/>
      <c r="Z637" s="32"/>
      <c r="AA637" s="41"/>
      <c r="AB637" s="41"/>
      <c r="AD637" s="32"/>
      <c r="AE637" s="41"/>
    </row>
    <row r="638" spans="1:31" s="30" customFormat="1" x14ac:dyDescent="0.25">
      <c r="A638" s="36"/>
      <c r="B638" s="31"/>
      <c r="C638" s="31"/>
      <c r="D638" s="32"/>
      <c r="H638" s="32"/>
      <c r="J638" s="32"/>
      <c r="K638" s="41"/>
      <c r="L638" s="32"/>
      <c r="N638" s="32"/>
      <c r="O638" s="41"/>
      <c r="P638" s="32"/>
      <c r="R638" s="32"/>
      <c r="S638" s="41"/>
      <c r="T638" s="32"/>
      <c r="V638" s="32"/>
      <c r="W638" s="41"/>
      <c r="X638" s="32"/>
      <c r="Z638" s="32"/>
      <c r="AA638" s="41"/>
      <c r="AB638" s="41"/>
      <c r="AD638" s="32"/>
      <c r="AE638" s="41"/>
    </row>
    <row r="639" spans="1:31" s="30" customFormat="1" x14ac:dyDescent="0.25">
      <c r="A639" s="36"/>
      <c r="B639" s="31"/>
      <c r="C639" s="31"/>
      <c r="D639" s="32"/>
      <c r="H639" s="32"/>
      <c r="J639" s="32"/>
      <c r="K639" s="41"/>
      <c r="L639" s="32"/>
      <c r="N639" s="32"/>
      <c r="O639" s="41"/>
      <c r="P639" s="32"/>
      <c r="R639" s="32"/>
      <c r="S639" s="41"/>
      <c r="T639" s="32"/>
      <c r="V639" s="32"/>
      <c r="W639" s="41"/>
      <c r="X639" s="32"/>
      <c r="Z639" s="32"/>
      <c r="AA639" s="41"/>
      <c r="AB639" s="41"/>
      <c r="AD639" s="32"/>
      <c r="AE639" s="41"/>
    </row>
    <row r="640" spans="1:31" s="30" customFormat="1" x14ac:dyDescent="0.25">
      <c r="A640" s="36"/>
      <c r="B640" s="31"/>
      <c r="C640" s="31"/>
      <c r="D640" s="32"/>
      <c r="H640" s="32"/>
      <c r="J640" s="32"/>
      <c r="K640" s="41"/>
      <c r="L640" s="32"/>
      <c r="N640" s="32"/>
      <c r="O640" s="41"/>
      <c r="P640" s="32"/>
      <c r="R640" s="32"/>
      <c r="S640" s="41"/>
      <c r="T640" s="32"/>
      <c r="V640" s="32"/>
      <c r="W640" s="41"/>
      <c r="X640" s="32"/>
      <c r="Z640" s="32"/>
      <c r="AA640" s="41"/>
      <c r="AB640" s="41"/>
      <c r="AD640" s="32"/>
      <c r="AE640" s="41"/>
    </row>
    <row r="641" spans="1:31" s="30" customFormat="1" x14ac:dyDescent="0.25">
      <c r="A641" s="36"/>
      <c r="B641" s="31"/>
      <c r="C641" s="31"/>
      <c r="D641" s="32"/>
      <c r="H641" s="32"/>
      <c r="J641" s="32"/>
      <c r="K641" s="41"/>
      <c r="L641" s="32"/>
      <c r="N641" s="32"/>
      <c r="O641" s="41"/>
      <c r="P641" s="32"/>
      <c r="R641" s="32"/>
      <c r="S641" s="41"/>
      <c r="T641" s="32"/>
      <c r="V641" s="32"/>
      <c r="W641" s="41"/>
      <c r="X641" s="32"/>
      <c r="Z641" s="32"/>
      <c r="AA641" s="41"/>
      <c r="AB641" s="41"/>
      <c r="AD641" s="32"/>
      <c r="AE641" s="41"/>
    </row>
    <row r="642" spans="1:31" s="30" customFormat="1" x14ac:dyDescent="0.25">
      <c r="A642" s="36"/>
      <c r="B642" s="31"/>
      <c r="C642" s="31"/>
      <c r="D642" s="32"/>
      <c r="H642" s="32"/>
      <c r="J642" s="32"/>
      <c r="K642" s="41"/>
      <c r="L642" s="32"/>
      <c r="N642" s="32"/>
      <c r="O642" s="41"/>
      <c r="P642" s="32"/>
      <c r="R642" s="32"/>
      <c r="S642" s="41"/>
      <c r="T642" s="32"/>
      <c r="V642" s="32"/>
      <c r="W642" s="41"/>
      <c r="X642" s="32"/>
      <c r="Z642" s="32"/>
      <c r="AA642" s="41"/>
      <c r="AB642" s="41"/>
      <c r="AD642" s="32"/>
      <c r="AE642" s="41"/>
    </row>
    <row r="643" spans="1:31" s="30" customFormat="1" x14ac:dyDescent="0.25">
      <c r="A643" s="36"/>
      <c r="B643" s="31"/>
      <c r="C643" s="31"/>
      <c r="D643" s="32"/>
      <c r="H643" s="32"/>
      <c r="J643" s="32"/>
      <c r="K643" s="41"/>
      <c r="L643" s="32"/>
      <c r="N643" s="32"/>
      <c r="O643" s="41"/>
      <c r="P643" s="32"/>
      <c r="R643" s="32"/>
      <c r="S643" s="41"/>
      <c r="T643" s="32"/>
      <c r="V643" s="32"/>
      <c r="W643" s="41"/>
      <c r="X643" s="32"/>
      <c r="Z643" s="32"/>
      <c r="AA643" s="41"/>
      <c r="AB643" s="41"/>
      <c r="AD643" s="32"/>
      <c r="AE643" s="41"/>
    </row>
    <row r="644" spans="1:31" s="30" customFormat="1" x14ac:dyDescent="0.25">
      <c r="A644" s="36"/>
      <c r="B644" s="31"/>
      <c r="C644" s="31"/>
      <c r="D644" s="32"/>
      <c r="H644" s="32"/>
      <c r="J644" s="32"/>
      <c r="K644" s="41"/>
      <c r="L644" s="32"/>
      <c r="N644" s="32"/>
      <c r="O644" s="41"/>
      <c r="P644" s="32"/>
      <c r="R644" s="32"/>
      <c r="S644" s="41"/>
      <c r="T644" s="32"/>
      <c r="V644" s="32"/>
      <c r="W644" s="41"/>
      <c r="X644" s="32"/>
      <c r="Z644" s="32"/>
      <c r="AA644" s="41"/>
      <c r="AB644" s="41"/>
      <c r="AD644" s="32"/>
      <c r="AE644" s="41"/>
    </row>
    <row r="645" spans="1:31" s="30" customFormat="1" x14ac:dyDescent="0.25">
      <c r="A645" s="36"/>
      <c r="B645" s="31"/>
      <c r="C645" s="31"/>
      <c r="D645" s="32"/>
      <c r="H645" s="32"/>
      <c r="J645" s="32"/>
      <c r="K645" s="41"/>
      <c r="L645" s="32"/>
      <c r="N645" s="32"/>
      <c r="O645" s="41"/>
      <c r="P645" s="32"/>
      <c r="R645" s="32"/>
      <c r="S645" s="41"/>
      <c r="T645" s="32"/>
      <c r="V645" s="32"/>
      <c r="W645" s="41"/>
      <c r="X645" s="32"/>
      <c r="Z645" s="32"/>
      <c r="AA645" s="41"/>
      <c r="AB645" s="41"/>
      <c r="AD645" s="32"/>
      <c r="AE645" s="41"/>
    </row>
    <row r="646" spans="1:31" s="30" customFormat="1" x14ac:dyDescent="0.25">
      <c r="A646" s="36"/>
      <c r="B646" s="31"/>
      <c r="C646" s="31"/>
      <c r="D646" s="32"/>
      <c r="H646" s="32"/>
      <c r="J646" s="32"/>
      <c r="K646" s="41"/>
      <c r="L646" s="32"/>
      <c r="N646" s="32"/>
      <c r="O646" s="41"/>
      <c r="P646" s="32"/>
      <c r="R646" s="32"/>
      <c r="S646" s="41"/>
      <c r="T646" s="32"/>
      <c r="V646" s="32"/>
      <c r="W646" s="41"/>
      <c r="X646" s="32"/>
      <c r="Z646" s="32"/>
      <c r="AA646" s="41"/>
      <c r="AB646" s="41"/>
      <c r="AD646" s="32"/>
      <c r="AE646" s="41"/>
    </row>
    <row r="647" spans="1:31" s="30" customFormat="1" x14ac:dyDescent="0.25">
      <c r="A647" s="36"/>
      <c r="B647" s="31"/>
      <c r="C647" s="31"/>
      <c r="D647" s="32"/>
      <c r="H647" s="32"/>
      <c r="J647" s="32"/>
      <c r="K647" s="41"/>
      <c r="L647" s="32"/>
      <c r="N647" s="32"/>
      <c r="O647" s="41"/>
      <c r="P647" s="32"/>
      <c r="R647" s="32"/>
      <c r="S647" s="41"/>
      <c r="T647" s="32"/>
      <c r="V647" s="32"/>
      <c r="W647" s="41"/>
      <c r="X647" s="32"/>
      <c r="Z647" s="32"/>
      <c r="AA647" s="41"/>
      <c r="AB647" s="41"/>
      <c r="AD647" s="32"/>
      <c r="AE647" s="41"/>
    </row>
    <row r="648" spans="1:31" s="30" customFormat="1" x14ac:dyDescent="0.25">
      <c r="A648" s="36"/>
      <c r="B648" s="31"/>
      <c r="C648" s="31"/>
      <c r="D648" s="32"/>
      <c r="H648" s="32"/>
      <c r="J648" s="32"/>
      <c r="K648" s="41"/>
      <c r="L648" s="32"/>
      <c r="N648" s="32"/>
      <c r="O648" s="41"/>
      <c r="P648" s="32"/>
      <c r="R648" s="32"/>
      <c r="S648" s="41"/>
      <c r="T648" s="32"/>
      <c r="V648" s="32"/>
      <c r="W648" s="41"/>
      <c r="X648" s="32"/>
      <c r="Z648" s="32"/>
      <c r="AA648" s="41"/>
      <c r="AB648" s="41"/>
      <c r="AD648" s="32"/>
      <c r="AE648" s="41"/>
    </row>
    <row r="649" spans="1:31" s="30" customFormat="1" x14ac:dyDescent="0.25">
      <c r="A649" s="36"/>
      <c r="B649" s="31"/>
      <c r="C649" s="31"/>
      <c r="D649" s="32"/>
      <c r="H649" s="32"/>
      <c r="J649" s="32"/>
      <c r="K649" s="41"/>
      <c r="L649" s="32"/>
      <c r="N649" s="32"/>
      <c r="O649" s="41"/>
      <c r="P649" s="32"/>
      <c r="R649" s="32"/>
      <c r="S649" s="41"/>
      <c r="T649" s="32"/>
      <c r="V649" s="32"/>
      <c r="W649" s="41"/>
      <c r="X649" s="32"/>
      <c r="Z649" s="32"/>
      <c r="AA649" s="41"/>
      <c r="AB649" s="41"/>
      <c r="AD649" s="32"/>
      <c r="AE649" s="41"/>
    </row>
    <row r="650" spans="1:31" s="30" customFormat="1" x14ac:dyDescent="0.25">
      <c r="A650" s="36"/>
      <c r="B650" s="31"/>
      <c r="C650" s="31"/>
      <c r="D650" s="32"/>
      <c r="H650" s="32"/>
      <c r="J650" s="32"/>
      <c r="K650" s="41"/>
      <c r="L650" s="32"/>
      <c r="N650" s="32"/>
      <c r="O650" s="41"/>
      <c r="P650" s="32"/>
      <c r="R650" s="32"/>
      <c r="S650" s="41"/>
      <c r="T650" s="32"/>
      <c r="V650" s="32"/>
      <c r="W650" s="41"/>
      <c r="X650" s="32"/>
      <c r="Z650" s="32"/>
      <c r="AA650" s="41"/>
      <c r="AB650" s="41"/>
      <c r="AD650" s="32"/>
      <c r="AE650" s="41"/>
    </row>
    <row r="651" spans="1:31" s="30" customFormat="1" x14ac:dyDescent="0.25">
      <c r="A651" s="36"/>
      <c r="B651" s="31"/>
      <c r="C651" s="31"/>
      <c r="D651" s="32"/>
      <c r="H651" s="32"/>
      <c r="J651" s="32"/>
      <c r="K651" s="41"/>
      <c r="L651" s="32"/>
      <c r="N651" s="32"/>
      <c r="O651" s="41"/>
      <c r="P651" s="32"/>
      <c r="R651" s="32"/>
      <c r="S651" s="41"/>
      <c r="T651" s="32"/>
      <c r="V651" s="32"/>
      <c r="W651" s="41"/>
      <c r="X651" s="32"/>
      <c r="Z651" s="32"/>
      <c r="AA651" s="41"/>
      <c r="AB651" s="41"/>
      <c r="AD651" s="32"/>
      <c r="AE651" s="41"/>
    </row>
    <row r="652" spans="1:31" s="30" customFormat="1" x14ac:dyDescent="0.25">
      <c r="A652" s="36"/>
      <c r="B652" s="31"/>
      <c r="C652" s="31"/>
      <c r="D652" s="32"/>
      <c r="H652" s="32"/>
      <c r="J652" s="32"/>
      <c r="K652" s="41"/>
      <c r="L652" s="32"/>
      <c r="N652" s="32"/>
      <c r="O652" s="41"/>
      <c r="P652" s="32"/>
      <c r="R652" s="32"/>
      <c r="S652" s="41"/>
      <c r="T652" s="32"/>
      <c r="V652" s="32"/>
      <c r="W652" s="41"/>
      <c r="X652" s="32"/>
      <c r="Z652" s="32"/>
      <c r="AA652" s="41"/>
      <c r="AB652" s="41"/>
      <c r="AD652" s="32"/>
      <c r="AE652" s="41"/>
    </row>
    <row r="653" spans="1:31" s="30" customFormat="1" x14ac:dyDescent="0.25">
      <c r="A653" s="36"/>
      <c r="B653" s="31"/>
      <c r="C653" s="31"/>
      <c r="D653" s="32"/>
      <c r="H653" s="32"/>
      <c r="J653" s="32"/>
      <c r="K653" s="41"/>
      <c r="L653" s="32"/>
      <c r="N653" s="32"/>
      <c r="O653" s="41"/>
      <c r="P653" s="32"/>
      <c r="R653" s="32"/>
      <c r="S653" s="41"/>
      <c r="T653" s="32"/>
      <c r="V653" s="32"/>
      <c r="W653" s="41"/>
      <c r="X653" s="32"/>
      <c r="Z653" s="32"/>
      <c r="AA653" s="41"/>
      <c r="AB653" s="41"/>
      <c r="AD653" s="32"/>
      <c r="AE653" s="41"/>
    </row>
    <row r="654" spans="1:31" s="30" customFormat="1" x14ac:dyDescent="0.25">
      <c r="A654" s="36"/>
      <c r="B654" s="31"/>
      <c r="C654" s="31"/>
      <c r="D654" s="32"/>
      <c r="H654" s="32"/>
      <c r="J654" s="32"/>
      <c r="K654" s="41"/>
      <c r="L654" s="32"/>
      <c r="N654" s="32"/>
      <c r="O654" s="41"/>
      <c r="P654" s="32"/>
      <c r="R654" s="32"/>
      <c r="S654" s="41"/>
      <c r="T654" s="32"/>
      <c r="V654" s="32"/>
      <c r="W654" s="41"/>
      <c r="X654" s="32"/>
      <c r="Z654" s="32"/>
      <c r="AA654" s="41"/>
      <c r="AB654" s="41"/>
      <c r="AD654" s="32"/>
      <c r="AE654" s="41"/>
    </row>
    <row r="655" spans="1:31" s="30" customFormat="1" x14ac:dyDescent="0.25">
      <c r="A655" s="36"/>
      <c r="B655" s="31"/>
      <c r="C655" s="31"/>
      <c r="D655" s="32"/>
      <c r="H655" s="32"/>
      <c r="J655" s="32"/>
      <c r="K655" s="41"/>
      <c r="L655" s="32"/>
      <c r="N655" s="32"/>
      <c r="O655" s="41"/>
      <c r="P655" s="32"/>
      <c r="R655" s="32"/>
      <c r="S655" s="41"/>
      <c r="T655" s="32"/>
      <c r="V655" s="32"/>
      <c r="W655" s="41"/>
      <c r="X655" s="32"/>
      <c r="Z655" s="32"/>
      <c r="AA655" s="41"/>
      <c r="AB655" s="41"/>
      <c r="AD655" s="32"/>
      <c r="AE655" s="41"/>
    </row>
    <row r="656" spans="1:31" s="30" customFormat="1" x14ac:dyDescent="0.25">
      <c r="A656" s="36"/>
      <c r="B656" s="31"/>
      <c r="C656" s="31"/>
      <c r="D656" s="32"/>
      <c r="H656" s="32"/>
      <c r="J656" s="32"/>
      <c r="K656" s="41"/>
      <c r="L656" s="32"/>
      <c r="N656" s="32"/>
      <c r="O656" s="41"/>
      <c r="P656" s="32"/>
      <c r="R656" s="32"/>
      <c r="S656" s="41"/>
      <c r="T656" s="32"/>
      <c r="V656" s="32"/>
      <c r="W656" s="41"/>
      <c r="X656" s="32"/>
      <c r="Z656" s="32"/>
      <c r="AA656" s="41"/>
      <c r="AB656" s="41"/>
      <c r="AD656" s="32"/>
      <c r="AE656" s="41"/>
    </row>
    <row r="657" spans="1:31" s="30" customFormat="1" x14ac:dyDescent="0.25">
      <c r="A657" s="36"/>
      <c r="B657" s="31"/>
      <c r="C657" s="31"/>
      <c r="D657" s="32"/>
      <c r="H657" s="32"/>
      <c r="J657" s="32"/>
      <c r="K657" s="41"/>
      <c r="L657" s="32"/>
      <c r="N657" s="32"/>
      <c r="O657" s="41"/>
      <c r="P657" s="32"/>
      <c r="R657" s="32"/>
      <c r="S657" s="41"/>
      <c r="T657" s="32"/>
      <c r="V657" s="32"/>
      <c r="W657" s="41"/>
      <c r="X657" s="32"/>
      <c r="Z657" s="32"/>
      <c r="AA657" s="41"/>
      <c r="AB657" s="41"/>
      <c r="AD657" s="32"/>
      <c r="AE657" s="41"/>
    </row>
    <row r="658" spans="1:31" s="30" customFormat="1" x14ac:dyDescent="0.25">
      <c r="A658" s="36"/>
      <c r="B658" s="31"/>
      <c r="C658" s="31"/>
      <c r="D658" s="32"/>
      <c r="H658" s="32"/>
      <c r="J658" s="32"/>
      <c r="K658" s="41"/>
      <c r="L658" s="32"/>
      <c r="N658" s="32"/>
      <c r="O658" s="41"/>
      <c r="P658" s="32"/>
      <c r="R658" s="32"/>
      <c r="S658" s="41"/>
      <c r="T658" s="32"/>
      <c r="V658" s="32"/>
      <c r="W658" s="41"/>
      <c r="X658" s="32"/>
      <c r="Z658" s="32"/>
      <c r="AA658" s="41"/>
      <c r="AB658" s="41"/>
      <c r="AD658" s="32"/>
      <c r="AE658" s="41"/>
    </row>
    <row r="659" spans="1:31" s="30" customFormat="1" x14ac:dyDescent="0.25">
      <c r="A659" s="36"/>
      <c r="B659" s="31"/>
      <c r="C659" s="31"/>
      <c r="D659" s="32"/>
      <c r="H659" s="32"/>
      <c r="J659" s="32"/>
      <c r="K659" s="41"/>
      <c r="L659" s="32"/>
      <c r="N659" s="32"/>
      <c r="O659" s="41"/>
      <c r="P659" s="32"/>
      <c r="R659" s="32"/>
      <c r="S659" s="41"/>
      <c r="T659" s="32"/>
      <c r="V659" s="32"/>
      <c r="W659" s="41"/>
      <c r="X659" s="32"/>
      <c r="Z659" s="32"/>
      <c r="AA659" s="41"/>
      <c r="AB659" s="41"/>
      <c r="AD659" s="32"/>
      <c r="AE659" s="41"/>
    </row>
    <row r="660" spans="1:31" s="30" customFormat="1" x14ac:dyDescent="0.25">
      <c r="A660" s="36"/>
      <c r="B660" s="31"/>
      <c r="C660" s="31"/>
      <c r="D660" s="32"/>
      <c r="H660" s="32"/>
      <c r="J660" s="32"/>
      <c r="K660" s="41"/>
      <c r="L660" s="32"/>
      <c r="N660" s="32"/>
      <c r="O660" s="41"/>
      <c r="P660" s="32"/>
      <c r="R660" s="32"/>
      <c r="S660" s="41"/>
      <c r="T660" s="32"/>
      <c r="V660" s="32"/>
      <c r="W660" s="41"/>
      <c r="X660" s="32"/>
      <c r="Z660" s="32"/>
      <c r="AA660" s="41"/>
      <c r="AB660" s="41"/>
      <c r="AD660" s="32"/>
      <c r="AE660" s="41"/>
    </row>
    <row r="661" spans="1:31" s="30" customFormat="1" x14ac:dyDescent="0.25">
      <c r="A661" s="36"/>
      <c r="B661" s="31"/>
      <c r="C661" s="31"/>
      <c r="D661" s="32"/>
      <c r="H661" s="32"/>
      <c r="J661" s="32"/>
      <c r="K661" s="41"/>
      <c r="L661" s="32"/>
      <c r="N661" s="32"/>
      <c r="O661" s="41"/>
      <c r="P661" s="32"/>
      <c r="R661" s="32"/>
      <c r="S661" s="41"/>
      <c r="T661" s="32"/>
      <c r="V661" s="32"/>
      <c r="W661" s="41"/>
      <c r="X661" s="32"/>
      <c r="Z661" s="32"/>
      <c r="AA661" s="41"/>
      <c r="AB661" s="41"/>
      <c r="AD661" s="32"/>
      <c r="AE661" s="41"/>
    </row>
    <row r="662" spans="1:31" s="30" customFormat="1" x14ac:dyDescent="0.25">
      <c r="A662" s="36"/>
      <c r="B662" s="31"/>
      <c r="C662" s="31"/>
      <c r="D662" s="32"/>
      <c r="H662" s="32"/>
      <c r="J662" s="32"/>
      <c r="K662" s="41"/>
      <c r="L662" s="32"/>
      <c r="N662" s="32"/>
      <c r="O662" s="41"/>
      <c r="P662" s="32"/>
      <c r="R662" s="32"/>
      <c r="S662" s="41"/>
      <c r="T662" s="32"/>
      <c r="V662" s="32"/>
      <c r="W662" s="41"/>
      <c r="X662" s="32"/>
      <c r="Z662" s="32"/>
      <c r="AA662" s="41"/>
      <c r="AB662" s="41"/>
      <c r="AD662" s="32"/>
      <c r="AE662" s="41"/>
    </row>
    <row r="663" spans="1:31" s="30" customFormat="1" x14ac:dyDescent="0.25">
      <c r="A663" s="36"/>
      <c r="B663" s="31"/>
      <c r="C663" s="31"/>
      <c r="D663" s="32"/>
      <c r="H663" s="32"/>
      <c r="J663" s="32"/>
      <c r="K663" s="41"/>
      <c r="L663" s="32"/>
      <c r="N663" s="32"/>
      <c r="O663" s="41"/>
      <c r="P663" s="32"/>
      <c r="R663" s="32"/>
      <c r="S663" s="41"/>
      <c r="T663" s="32"/>
      <c r="V663" s="32"/>
      <c r="W663" s="41"/>
      <c r="X663" s="32"/>
      <c r="Z663" s="32"/>
      <c r="AA663" s="41"/>
      <c r="AB663" s="41"/>
      <c r="AD663" s="32"/>
      <c r="AE663" s="41"/>
    </row>
    <row r="664" spans="1:31" s="30" customFormat="1" x14ac:dyDescent="0.25">
      <c r="A664" s="36"/>
      <c r="B664" s="31"/>
      <c r="C664" s="31"/>
      <c r="D664" s="32"/>
      <c r="H664" s="32"/>
      <c r="J664" s="32"/>
      <c r="K664" s="41"/>
      <c r="L664" s="32"/>
      <c r="N664" s="32"/>
      <c r="O664" s="41"/>
      <c r="P664" s="32"/>
      <c r="R664" s="32"/>
      <c r="S664" s="41"/>
      <c r="T664" s="32"/>
      <c r="V664" s="32"/>
      <c r="W664" s="41"/>
      <c r="X664" s="32"/>
      <c r="Z664" s="32"/>
      <c r="AA664" s="41"/>
      <c r="AB664" s="41"/>
      <c r="AD664" s="32"/>
      <c r="AE664" s="41"/>
    </row>
    <row r="665" spans="1:31" s="30" customFormat="1" x14ac:dyDescent="0.25">
      <c r="A665" s="36"/>
      <c r="B665" s="31"/>
      <c r="C665" s="31"/>
      <c r="D665" s="32"/>
      <c r="H665" s="32"/>
      <c r="J665" s="32"/>
      <c r="K665" s="41"/>
      <c r="L665" s="32"/>
      <c r="N665" s="32"/>
      <c r="O665" s="41"/>
      <c r="P665" s="32"/>
      <c r="R665" s="32"/>
      <c r="S665" s="41"/>
      <c r="T665" s="32"/>
      <c r="V665" s="32"/>
      <c r="W665" s="41"/>
      <c r="X665" s="32"/>
      <c r="Z665" s="32"/>
      <c r="AA665" s="41"/>
      <c r="AB665" s="41"/>
      <c r="AD665" s="32"/>
      <c r="AE665" s="41"/>
    </row>
    <row r="666" spans="1:31" s="30" customFormat="1" x14ac:dyDescent="0.25">
      <c r="A666" s="36"/>
      <c r="B666" s="31"/>
      <c r="C666" s="31"/>
      <c r="D666" s="32"/>
      <c r="H666" s="32"/>
      <c r="J666" s="32"/>
      <c r="K666" s="41"/>
      <c r="L666" s="32"/>
      <c r="N666" s="32"/>
      <c r="O666" s="41"/>
      <c r="P666" s="32"/>
      <c r="R666" s="32"/>
      <c r="S666" s="41"/>
      <c r="T666" s="32"/>
      <c r="V666" s="32"/>
      <c r="W666" s="41"/>
      <c r="X666" s="32"/>
      <c r="Z666" s="32"/>
      <c r="AA666" s="41"/>
      <c r="AB666" s="41"/>
      <c r="AD666" s="32"/>
      <c r="AE666" s="41"/>
    </row>
    <row r="667" spans="1:31" s="30" customFormat="1" x14ac:dyDescent="0.25">
      <c r="A667" s="36"/>
      <c r="B667" s="31"/>
      <c r="C667" s="31"/>
      <c r="D667" s="32"/>
      <c r="H667" s="32"/>
      <c r="J667" s="32"/>
      <c r="K667" s="41"/>
      <c r="L667" s="32"/>
      <c r="N667" s="32"/>
      <c r="O667" s="41"/>
      <c r="P667" s="32"/>
      <c r="R667" s="32"/>
      <c r="S667" s="41"/>
      <c r="T667" s="32"/>
      <c r="V667" s="32"/>
      <c r="W667" s="41"/>
      <c r="X667" s="32"/>
      <c r="Z667" s="32"/>
      <c r="AA667" s="41"/>
      <c r="AB667" s="41"/>
      <c r="AD667" s="32"/>
      <c r="AE667" s="41"/>
    </row>
    <row r="668" spans="1:31" s="30" customFormat="1" x14ac:dyDescent="0.25">
      <c r="A668" s="36"/>
      <c r="B668" s="31"/>
      <c r="C668" s="31"/>
      <c r="D668" s="32"/>
      <c r="H668" s="32"/>
      <c r="J668" s="32"/>
      <c r="K668" s="41"/>
      <c r="L668" s="32"/>
      <c r="N668" s="32"/>
      <c r="O668" s="41"/>
      <c r="P668" s="32"/>
      <c r="R668" s="32"/>
      <c r="S668" s="41"/>
      <c r="T668" s="32"/>
      <c r="V668" s="32"/>
      <c r="W668" s="41"/>
      <c r="X668" s="32"/>
      <c r="Z668" s="32"/>
      <c r="AA668" s="41"/>
      <c r="AB668" s="41"/>
      <c r="AD668" s="32"/>
      <c r="AE668" s="41"/>
    </row>
    <row r="669" spans="1:31" s="30" customFormat="1" x14ac:dyDescent="0.25">
      <c r="A669" s="36"/>
      <c r="B669" s="31"/>
      <c r="C669" s="31"/>
      <c r="D669" s="32"/>
      <c r="H669" s="32"/>
      <c r="J669" s="32"/>
      <c r="K669" s="41"/>
      <c r="L669" s="32"/>
      <c r="N669" s="32"/>
      <c r="O669" s="41"/>
      <c r="P669" s="32"/>
      <c r="R669" s="32"/>
      <c r="S669" s="41"/>
      <c r="T669" s="32"/>
      <c r="V669" s="32"/>
      <c r="W669" s="41"/>
      <c r="X669" s="32"/>
      <c r="Z669" s="32"/>
      <c r="AA669" s="41"/>
      <c r="AB669" s="41"/>
      <c r="AD669" s="32"/>
      <c r="AE669" s="41"/>
    </row>
    <row r="670" spans="1:31" s="30" customFormat="1" x14ac:dyDescent="0.25">
      <c r="A670" s="36"/>
      <c r="B670" s="31"/>
      <c r="C670" s="31"/>
      <c r="D670" s="32"/>
      <c r="H670" s="32"/>
      <c r="J670" s="32"/>
      <c r="K670" s="41"/>
      <c r="L670" s="32"/>
      <c r="N670" s="32"/>
      <c r="O670" s="41"/>
      <c r="P670" s="32"/>
      <c r="R670" s="32"/>
      <c r="S670" s="41"/>
      <c r="T670" s="32"/>
      <c r="V670" s="32"/>
      <c r="W670" s="41"/>
      <c r="X670" s="32"/>
      <c r="Z670" s="32"/>
      <c r="AA670" s="41"/>
      <c r="AB670" s="41"/>
      <c r="AD670" s="32"/>
      <c r="AE670" s="41"/>
    </row>
    <row r="671" spans="1:31" s="30" customFormat="1" x14ac:dyDescent="0.25">
      <c r="A671" s="36"/>
      <c r="B671" s="31"/>
      <c r="C671" s="31"/>
      <c r="D671" s="32"/>
      <c r="H671" s="32"/>
      <c r="J671" s="32"/>
      <c r="K671" s="41"/>
      <c r="L671" s="32"/>
      <c r="N671" s="32"/>
      <c r="O671" s="41"/>
      <c r="P671" s="32"/>
      <c r="R671" s="32"/>
      <c r="S671" s="41"/>
      <c r="T671" s="32"/>
      <c r="V671" s="32"/>
      <c r="W671" s="41"/>
      <c r="X671" s="32"/>
      <c r="Z671" s="32"/>
      <c r="AA671" s="41"/>
      <c r="AB671" s="41"/>
      <c r="AD671" s="32"/>
      <c r="AE671" s="41"/>
    </row>
    <row r="672" spans="1:31" s="30" customFormat="1" x14ac:dyDescent="0.25">
      <c r="A672" s="36"/>
      <c r="B672" s="31"/>
      <c r="C672" s="31"/>
      <c r="D672" s="32"/>
      <c r="H672" s="32"/>
      <c r="J672" s="32"/>
      <c r="K672" s="41"/>
      <c r="L672" s="32"/>
      <c r="N672" s="32"/>
      <c r="O672" s="41"/>
      <c r="P672" s="32"/>
      <c r="R672" s="32"/>
      <c r="S672" s="41"/>
      <c r="T672" s="32"/>
      <c r="V672" s="32"/>
      <c r="W672" s="41"/>
      <c r="X672" s="32"/>
      <c r="Z672" s="32"/>
      <c r="AA672" s="41"/>
      <c r="AB672" s="41"/>
      <c r="AD672" s="32"/>
      <c r="AE672" s="41"/>
    </row>
    <row r="673" spans="1:31" s="30" customFormat="1" x14ac:dyDescent="0.25">
      <c r="A673" s="36"/>
      <c r="B673" s="31"/>
      <c r="C673" s="31"/>
      <c r="D673" s="32"/>
      <c r="H673" s="32"/>
      <c r="J673" s="32"/>
      <c r="K673" s="41"/>
      <c r="L673" s="32"/>
      <c r="N673" s="32"/>
      <c r="O673" s="41"/>
      <c r="P673" s="32"/>
      <c r="R673" s="32"/>
      <c r="S673" s="41"/>
      <c r="T673" s="32"/>
      <c r="V673" s="32"/>
      <c r="W673" s="41"/>
      <c r="X673" s="32"/>
      <c r="Z673" s="32"/>
      <c r="AA673" s="41"/>
      <c r="AB673" s="41"/>
      <c r="AD673" s="32"/>
      <c r="AE673" s="41"/>
    </row>
    <row r="674" spans="1:31" s="30" customFormat="1" x14ac:dyDescent="0.25">
      <c r="A674" s="36"/>
      <c r="B674" s="31"/>
      <c r="C674" s="31"/>
      <c r="D674" s="32"/>
      <c r="H674" s="32"/>
      <c r="J674" s="32"/>
      <c r="K674" s="41"/>
      <c r="L674" s="32"/>
      <c r="N674" s="32"/>
      <c r="O674" s="41"/>
      <c r="P674" s="32"/>
      <c r="R674" s="32"/>
      <c r="S674" s="41"/>
      <c r="T674" s="32"/>
      <c r="V674" s="32"/>
      <c r="W674" s="41"/>
      <c r="X674" s="32"/>
      <c r="Z674" s="32"/>
      <c r="AA674" s="41"/>
      <c r="AB674" s="41"/>
      <c r="AD674" s="32"/>
      <c r="AE674" s="41"/>
    </row>
    <row r="675" spans="1:31" s="30" customFormat="1" x14ac:dyDescent="0.25">
      <c r="A675" s="36"/>
      <c r="B675" s="31"/>
      <c r="C675" s="31"/>
      <c r="D675" s="32"/>
      <c r="H675" s="32"/>
      <c r="J675" s="32"/>
      <c r="K675" s="41"/>
      <c r="L675" s="32"/>
      <c r="N675" s="32"/>
      <c r="O675" s="41"/>
      <c r="P675" s="32"/>
      <c r="R675" s="32"/>
      <c r="S675" s="41"/>
      <c r="T675" s="32"/>
      <c r="V675" s="32"/>
      <c r="W675" s="41"/>
      <c r="X675" s="32"/>
      <c r="Z675" s="32"/>
      <c r="AA675" s="41"/>
      <c r="AB675" s="41"/>
      <c r="AD675" s="32"/>
      <c r="AE675" s="41"/>
    </row>
    <row r="676" spans="1:31" s="30" customFormat="1" x14ac:dyDescent="0.25">
      <c r="A676" s="36"/>
      <c r="B676" s="31"/>
      <c r="C676" s="31"/>
      <c r="D676" s="32"/>
      <c r="H676" s="32"/>
      <c r="J676" s="32"/>
      <c r="K676" s="41"/>
      <c r="L676" s="32"/>
      <c r="N676" s="32"/>
      <c r="O676" s="41"/>
      <c r="P676" s="32"/>
      <c r="R676" s="32"/>
      <c r="S676" s="41"/>
      <c r="T676" s="32"/>
      <c r="V676" s="32"/>
      <c r="W676" s="41"/>
      <c r="X676" s="32"/>
      <c r="Z676" s="32"/>
      <c r="AA676" s="41"/>
      <c r="AB676" s="41"/>
      <c r="AD676" s="32"/>
      <c r="AE676" s="41"/>
    </row>
    <row r="677" spans="1:31" s="30" customFormat="1" x14ac:dyDescent="0.25">
      <c r="A677" s="36"/>
      <c r="B677" s="31"/>
      <c r="C677" s="31"/>
      <c r="D677" s="32"/>
      <c r="H677" s="32"/>
      <c r="J677" s="32"/>
      <c r="K677" s="41"/>
      <c r="L677" s="32"/>
      <c r="N677" s="32"/>
      <c r="O677" s="41"/>
      <c r="P677" s="32"/>
      <c r="R677" s="32"/>
      <c r="S677" s="41"/>
      <c r="T677" s="32"/>
      <c r="V677" s="32"/>
      <c r="W677" s="41"/>
      <c r="X677" s="32"/>
      <c r="Z677" s="32"/>
      <c r="AA677" s="41"/>
      <c r="AB677" s="41"/>
      <c r="AD677" s="32"/>
      <c r="AE677" s="41"/>
    </row>
    <row r="678" spans="1:31" s="30" customFormat="1" x14ac:dyDescent="0.25">
      <c r="A678" s="36"/>
      <c r="B678" s="31"/>
      <c r="C678" s="31"/>
      <c r="D678" s="32"/>
      <c r="H678" s="32"/>
      <c r="J678" s="32"/>
      <c r="K678" s="41"/>
      <c r="L678" s="32"/>
      <c r="N678" s="32"/>
      <c r="O678" s="41"/>
      <c r="P678" s="32"/>
      <c r="R678" s="32"/>
      <c r="S678" s="41"/>
      <c r="T678" s="32"/>
      <c r="V678" s="32"/>
      <c r="W678" s="41"/>
      <c r="X678" s="32"/>
      <c r="Z678" s="32"/>
      <c r="AA678" s="41"/>
      <c r="AB678" s="41"/>
      <c r="AD678" s="32"/>
      <c r="AE678" s="41"/>
    </row>
    <row r="679" spans="1:31" s="30" customFormat="1" x14ac:dyDescent="0.25">
      <c r="A679" s="36"/>
      <c r="B679" s="31"/>
      <c r="C679" s="31"/>
      <c r="D679" s="32"/>
      <c r="H679" s="32"/>
      <c r="J679" s="32"/>
      <c r="K679" s="41"/>
      <c r="L679" s="32"/>
      <c r="N679" s="32"/>
      <c r="O679" s="41"/>
      <c r="P679" s="32"/>
      <c r="R679" s="32"/>
      <c r="S679" s="41"/>
      <c r="T679" s="32"/>
      <c r="V679" s="32"/>
      <c r="W679" s="41"/>
      <c r="X679" s="32"/>
      <c r="Z679" s="32"/>
      <c r="AA679" s="41"/>
      <c r="AB679" s="41"/>
      <c r="AD679" s="32"/>
      <c r="AE679" s="41"/>
    </row>
    <row r="680" spans="1:31" s="30" customFormat="1" x14ac:dyDescent="0.25">
      <c r="A680" s="36"/>
      <c r="B680" s="31"/>
      <c r="C680" s="31"/>
      <c r="D680" s="32"/>
      <c r="H680" s="32"/>
      <c r="J680" s="32"/>
      <c r="K680" s="41"/>
      <c r="L680" s="32"/>
      <c r="N680" s="32"/>
      <c r="O680" s="41"/>
      <c r="P680" s="32"/>
      <c r="R680" s="32"/>
      <c r="S680" s="41"/>
      <c r="T680" s="32"/>
      <c r="V680" s="32"/>
      <c r="W680" s="41"/>
      <c r="X680" s="32"/>
      <c r="Z680" s="32"/>
      <c r="AA680" s="41"/>
      <c r="AB680" s="41"/>
      <c r="AD680" s="32"/>
      <c r="AE680" s="41"/>
    </row>
    <row r="681" spans="1:31" s="30" customFormat="1" x14ac:dyDescent="0.25">
      <c r="A681" s="36"/>
      <c r="B681" s="31"/>
      <c r="C681" s="31"/>
      <c r="D681" s="32"/>
      <c r="H681" s="32"/>
      <c r="J681" s="32"/>
      <c r="K681" s="41"/>
      <c r="L681" s="32"/>
      <c r="N681" s="32"/>
      <c r="O681" s="41"/>
      <c r="P681" s="32"/>
      <c r="R681" s="32"/>
      <c r="S681" s="41"/>
      <c r="T681" s="32"/>
      <c r="V681" s="32"/>
      <c r="W681" s="41"/>
      <c r="X681" s="32"/>
      <c r="Z681" s="32"/>
      <c r="AA681" s="41"/>
      <c r="AB681" s="41"/>
      <c r="AD681" s="32"/>
      <c r="AE681" s="41"/>
    </row>
    <row r="682" spans="1:31" s="30" customFormat="1" x14ac:dyDescent="0.25">
      <c r="A682" s="36"/>
      <c r="B682" s="31"/>
      <c r="C682" s="31"/>
      <c r="D682" s="32"/>
      <c r="H682" s="32"/>
      <c r="J682" s="32"/>
      <c r="K682" s="41"/>
      <c r="L682" s="32"/>
      <c r="N682" s="32"/>
      <c r="O682" s="41"/>
      <c r="P682" s="32"/>
      <c r="R682" s="32"/>
      <c r="S682" s="41"/>
      <c r="T682" s="32"/>
      <c r="V682" s="32"/>
      <c r="W682" s="41"/>
      <c r="X682" s="32"/>
      <c r="Z682" s="32"/>
      <c r="AA682" s="41"/>
      <c r="AB682" s="41"/>
      <c r="AD682" s="32"/>
      <c r="AE682" s="41"/>
    </row>
    <row r="683" spans="1:31" s="30" customFormat="1" x14ac:dyDescent="0.25">
      <c r="A683" s="36"/>
      <c r="B683" s="31"/>
      <c r="C683" s="31"/>
      <c r="D683" s="32"/>
      <c r="H683" s="32"/>
      <c r="J683" s="32"/>
      <c r="K683" s="41"/>
      <c r="L683" s="32"/>
      <c r="N683" s="32"/>
      <c r="O683" s="41"/>
      <c r="P683" s="32"/>
      <c r="R683" s="32"/>
      <c r="S683" s="41"/>
      <c r="T683" s="32"/>
      <c r="V683" s="32"/>
      <c r="W683" s="41"/>
      <c r="X683" s="32"/>
      <c r="Z683" s="32"/>
      <c r="AA683" s="41"/>
      <c r="AB683" s="41"/>
      <c r="AD683" s="32"/>
      <c r="AE683" s="41"/>
    </row>
    <row r="684" spans="1:31" s="30" customFormat="1" x14ac:dyDescent="0.25">
      <c r="A684" s="36"/>
      <c r="B684" s="31"/>
      <c r="C684" s="31"/>
      <c r="D684" s="32"/>
      <c r="H684" s="32"/>
      <c r="J684" s="32"/>
      <c r="K684" s="41"/>
      <c r="L684" s="32"/>
      <c r="N684" s="32"/>
      <c r="O684" s="41"/>
      <c r="P684" s="32"/>
      <c r="R684" s="32"/>
      <c r="S684" s="41"/>
      <c r="T684" s="32"/>
      <c r="V684" s="32"/>
      <c r="W684" s="41"/>
      <c r="X684" s="32"/>
      <c r="Z684" s="32"/>
      <c r="AA684" s="41"/>
      <c r="AB684" s="41"/>
      <c r="AD684" s="32"/>
      <c r="AE684" s="41"/>
    </row>
    <row r="685" spans="1:31" s="30" customFormat="1" x14ac:dyDescent="0.25">
      <c r="A685" s="36"/>
      <c r="B685" s="31"/>
      <c r="C685" s="31"/>
      <c r="D685" s="32"/>
      <c r="H685" s="32"/>
      <c r="J685" s="32"/>
      <c r="K685" s="41"/>
      <c r="L685" s="32"/>
      <c r="N685" s="32"/>
      <c r="O685" s="41"/>
      <c r="P685" s="32"/>
      <c r="R685" s="32"/>
      <c r="S685" s="41"/>
      <c r="T685" s="32"/>
      <c r="V685" s="32"/>
      <c r="W685" s="41"/>
      <c r="X685" s="32"/>
      <c r="Z685" s="32"/>
      <c r="AA685" s="41"/>
      <c r="AB685" s="41"/>
      <c r="AD685" s="32"/>
      <c r="AE685" s="41"/>
    </row>
    <row r="686" spans="1:31" s="30" customFormat="1" x14ac:dyDescent="0.25">
      <c r="A686" s="36"/>
      <c r="B686" s="31"/>
      <c r="C686" s="31"/>
      <c r="D686" s="32"/>
      <c r="H686" s="32"/>
      <c r="J686" s="32"/>
      <c r="K686" s="41"/>
      <c r="L686" s="32"/>
      <c r="N686" s="32"/>
      <c r="O686" s="41"/>
      <c r="P686" s="32"/>
      <c r="R686" s="32"/>
      <c r="S686" s="41"/>
      <c r="T686" s="32"/>
      <c r="V686" s="32"/>
      <c r="W686" s="41"/>
      <c r="X686" s="32"/>
      <c r="Z686" s="32"/>
      <c r="AA686" s="41"/>
      <c r="AB686" s="41"/>
      <c r="AD686" s="32"/>
      <c r="AE686" s="41"/>
    </row>
    <row r="687" spans="1:31" s="30" customFormat="1" x14ac:dyDescent="0.25">
      <c r="A687" s="36"/>
      <c r="B687" s="31"/>
      <c r="C687" s="31"/>
      <c r="D687" s="32"/>
      <c r="H687" s="32"/>
      <c r="J687" s="32"/>
      <c r="K687" s="41"/>
      <c r="L687" s="32"/>
      <c r="N687" s="32"/>
      <c r="O687" s="41"/>
      <c r="P687" s="32"/>
      <c r="R687" s="32"/>
      <c r="S687" s="41"/>
      <c r="T687" s="32"/>
      <c r="V687" s="32"/>
      <c r="W687" s="41"/>
      <c r="X687" s="32"/>
      <c r="Z687" s="32"/>
      <c r="AA687" s="41"/>
      <c r="AB687" s="41"/>
      <c r="AD687" s="32"/>
      <c r="AE687" s="41"/>
    </row>
    <row r="688" spans="1:31" s="30" customFormat="1" x14ac:dyDescent="0.25">
      <c r="A688" s="36"/>
      <c r="B688" s="31"/>
      <c r="C688" s="31"/>
      <c r="D688" s="32"/>
      <c r="H688" s="32"/>
      <c r="J688" s="32"/>
      <c r="K688" s="41"/>
      <c r="L688" s="32"/>
      <c r="N688" s="32"/>
      <c r="O688" s="41"/>
      <c r="P688" s="32"/>
      <c r="R688" s="32"/>
      <c r="S688" s="41"/>
      <c r="T688" s="32"/>
      <c r="V688" s="32"/>
      <c r="W688" s="41"/>
      <c r="X688" s="32"/>
      <c r="Z688" s="32"/>
      <c r="AA688" s="41"/>
      <c r="AB688" s="41"/>
      <c r="AD688" s="32"/>
      <c r="AE688" s="41"/>
    </row>
    <row r="689" spans="1:31" s="30" customFormat="1" x14ac:dyDescent="0.25">
      <c r="A689" s="36"/>
      <c r="B689" s="31"/>
      <c r="C689" s="31"/>
      <c r="D689" s="32"/>
      <c r="H689" s="32"/>
      <c r="J689" s="32"/>
      <c r="K689" s="41"/>
      <c r="L689" s="32"/>
      <c r="N689" s="32"/>
      <c r="O689" s="41"/>
      <c r="P689" s="32"/>
      <c r="R689" s="32"/>
      <c r="S689" s="41"/>
      <c r="T689" s="32"/>
      <c r="V689" s="32"/>
      <c r="W689" s="41"/>
      <c r="X689" s="32"/>
      <c r="Z689" s="32"/>
      <c r="AA689" s="41"/>
      <c r="AB689" s="41"/>
      <c r="AD689" s="32"/>
      <c r="AE689" s="41"/>
    </row>
    <row r="690" spans="1:31" s="30" customFormat="1" x14ac:dyDescent="0.25">
      <c r="A690" s="36"/>
      <c r="B690" s="31"/>
      <c r="C690" s="31"/>
      <c r="D690" s="32"/>
      <c r="H690" s="32"/>
      <c r="J690" s="32"/>
      <c r="K690" s="41"/>
      <c r="L690" s="32"/>
      <c r="N690" s="32"/>
      <c r="O690" s="41"/>
      <c r="P690" s="32"/>
      <c r="R690" s="32"/>
      <c r="S690" s="41"/>
      <c r="T690" s="32"/>
      <c r="V690" s="32"/>
      <c r="W690" s="41"/>
      <c r="X690" s="32"/>
      <c r="Z690" s="32"/>
      <c r="AA690" s="41"/>
      <c r="AB690" s="41"/>
      <c r="AD690" s="32"/>
      <c r="AE690" s="41"/>
    </row>
    <row r="691" spans="1:31" s="30" customFormat="1" x14ac:dyDescent="0.25">
      <c r="A691" s="36"/>
      <c r="B691" s="31"/>
      <c r="C691" s="31"/>
      <c r="D691" s="32"/>
      <c r="H691" s="32"/>
      <c r="J691" s="32"/>
      <c r="K691" s="41"/>
      <c r="L691" s="32"/>
      <c r="N691" s="32"/>
      <c r="O691" s="41"/>
      <c r="P691" s="32"/>
      <c r="R691" s="32"/>
      <c r="S691" s="41"/>
      <c r="T691" s="32"/>
      <c r="V691" s="32"/>
      <c r="W691" s="41"/>
      <c r="X691" s="32"/>
      <c r="Z691" s="32"/>
      <c r="AA691" s="41"/>
      <c r="AB691" s="41"/>
      <c r="AD691" s="32"/>
      <c r="AE691" s="41"/>
    </row>
    <row r="692" spans="1:31" s="30" customFormat="1" x14ac:dyDescent="0.25">
      <c r="A692" s="36"/>
      <c r="B692" s="31"/>
      <c r="C692" s="31"/>
      <c r="D692" s="32"/>
      <c r="H692" s="32"/>
      <c r="J692" s="32"/>
      <c r="K692" s="41"/>
      <c r="L692" s="32"/>
      <c r="N692" s="32"/>
      <c r="O692" s="41"/>
      <c r="P692" s="32"/>
      <c r="R692" s="32"/>
      <c r="S692" s="41"/>
      <c r="T692" s="32"/>
      <c r="V692" s="32"/>
      <c r="W692" s="41"/>
      <c r="X692" s="32"/>
      <c r="Z692" s="32"/>
      <c r="AA692" s="41"/>
      <c r="AB692" s="41"/>
      <c r="AD692" s="32"/>
      <c r="AE692" s="41"/>
    </row>
    <row r="693" spans="1:31" s="30" customFormat="1" x14ac:dyDescent="0.25">
      <c r="A693" s="36"/>
      <c r="B693" s="31"/>
      <c r="C693" s="31"/>
      <c r="D693" s="32"/>
      <c r="H693" s="32"/>
      <c r="J693" s="32"/>
      <c r="K693" s="41"/>
      <c r="L693" s="32"/>
      <c r="N693" s="32"/>
      <c r="O693" s="41"/>
      <c r="P693" s="32"/>
      <c r="R693" s="32"/>
      <c r="S693" s="41"/>
      <c r="T693" s="32"/>
      <c r="V693" s="32"/>
      <c r="W693" s="41"/>
      <c r="X693" s="32"/>
      <c r="Z693" s="32"/>
      <c r="AA693" s="41"/>
      <c r="AB693" s="41"/>
      <c r="AD693" s="32"/>
      <c r="AE693" s="41"/>
    </row>
    <row r="694" spans="1:31" s="30" customFormat="1" x14ac:dyDescent="0.25">
      <c r="A694" s="36"/>
      <c r="B694" s="31"/>
      <c r="C694" s="31"/>
      <c r="D694" s="32"/>
      <c r="H694" s="32"/>
      <c r="J694" s="32"/>
      <c r="K694" s="41"/>
      <c r="L694" s="32"/>
      <c r="N694" s="32"/>
      <c r="O694" s="41"/>
      <c r="P694" s="32"/>
      <c r="R694" s="32"/>
      <c r="S694" s="41"/>
      <c r="T694" s="32"/>
      <c r="V694" s="32"/>
      <c r="W694" s="41"/>
      <c r="X694" s="32"/>
      <c r="Z694" s="32"/>
      <c r="AA694" s="41"/>
      <c r="AB694" s="41"/>
      <c r="AD694" s="32"/>
      <c r="AE694" s="41"/>
    </row>
    <row r="695" spans="1:31" s="30" customFormat="1" x14ac:dyDescent="0.25">
      <c r="A695" s="36"/>
      <c r="B695" s="31"/>
      <c r="C695" s="31"/>
      <c r="D695" s="32"/>
      <c r="H695" s="32"/>
      <c r="J695" s="32"/>
      <c r="K695" s="41"/>
      <c r="L695" s="32"/>
      <c r="N695" s="32"/>
      <c r="O695" s="41"/>
      <c r="P695" s="32"/>
      <c r="R695" s="32"/>
      <c r="S695" s="41"/>
      <c r="T695" s="32"/>
      <c r="V695" s="32"/>
      <c r="W695" s="41"/>
      <c r="X695" s="32"/>
      <c r="Z695" s="32"/>
      <c r="AA695" s="41"/>
      <c r="AB695" s="41"/>
      <c r="AD695" s="32"/>
      <c r="AE695" s="41"/>
    </row>
    <row r="696" spans="1:31" s="30" customFormat="1" x14ac:dyDescent="0.25">
      <c r="A696" s="36"/>
      <c r="B696" s="31"/>
      <c r="C696" s="31"/>
      <c r="D696" s="32"/>
      <c r="H696" s="32"/>
      <c r="J696" s="32"/>
      <c r="K696" s="41"/>
      <c r="L696" s="32"/>
      <c r="N696" s="32"/>
      <c r="O696" s="41"/>
      <c r="P696" s="32"/>
      <c r="R696" s="32"/>
      <c r="S696" s="41"/>
      <c r="T696" s="32"/>
      <c r="V696" s="32"/>
      <c r="W696" s="41"/>
      <c r="X696" s="32"/>
      <c r="Z696" s="32"/>
      <c r="AA696" s="41"/>
      <c r="AB696" s="41"/>
      <c r="AD696" s="32"/>
      <c r="AE696" s="41"/>
    </row>
    <row r="697" spans="1:31" s="30" customFormat="1" x14ac:dyDescent="0.25">
      <c r="A697" s="36"/>
      <c r="B697" s="31"/>
      <c r="C697" s="31"/>
      <c r="D697" s="32"/>
      <c r="H697" s="32"/>
      <c r="J697" s="32"/>
      <c r="K697" s="41"/>
      <c r="L697" s="32"/>
      <c r="N697" s="32"/>
      <c r="O697" s="41"/>
      <c r="P697" s="32"/>
      <c r="R697" s="32"/>
      <c r="S697" s="41"/>
      <c r="T697" s="32"/>
      <c r="V697" s="32"/>
      <c r="W697" s="41"/>
      <c r="X697" s="32"/>
      <c r="Z697" s="32"/>
      <c r="AA697" s="41"/>
      <c r="AB697" s="41"/>
      <c r="AD697" s="32"/>
      <c r="AE697" s="41"/>
    </row>
    <row r="698" spans="1:31" s="30" customFormat="1" x14ac:dyDescent="0.25">
      <c r="A698" s="36"/>
      <c r="B698" s="31"/>
      <c r="C698" s="31"/>
      <c r="D698" s="32"/>
      <c r="H698" s="32"/>
      <c r="J698" s="32"/>
      <c r="K698" s="41"/>
      <c r="L698" s="32"/>
      <c r="N698" s="32"/>
      <c r="O698" s="41"/>
      <c r="P698" s="32"/>
      <c r="R698" s="32"/>
      <c r="S698" s="41"/>
      <c r="T698" s="32"/>
      <c r="V698" s="32"/>
      <c r="W698" s="41"/>
      <c r="X698" s="32"/>
      <c r="Z698" s="32"/>
      <c r="AA698" s="41"/>
      <c r="AB698" s="41"/>
      <c r="AD698" s="32"/>
      <c r="AE698" s="41"/>
    </row>
    <row r="699" spans="1:31" s="30" customFormat="1" x14ac:dyDescent="0.25">
      <c r="A699" s="36"/>
      <c r="B699" s="31"/>
      <c r="C699" s="31"/>
      <c r="D699" s="32"/>
      <c r="H699" s="32"/>
      <c r="J699" s="32"/>
      <c r="K699" s="41"/>
      <c r="L699" s="32"/>
      <c r="N699" s="32"/>
      <c r="O699" s="41"/>
      <c r="P699" s="32"/>
      <c r="R699" s="32"/>
      <c r="S699" s="41"/>
      <c r="T699" s="32"/>
      <c r="V699" s="32"/>
      <c r="W699" s="41"/>
      <c r="X699" s="32"/>
      <c r="Z699" s="32"/>
      <c r="AA699" s="41"/>
      <c r="AB699" s="41"/>
      <c r="AD699" s="32"/>
      <c r="AE699" s="41"/>
    </row>
    <row r="700" spans="1:31" s="30" customFormat="1" x14ac:dyDescent="0.25">
      <c r="A700" s="36"/>
      <c r="B700" s="31"/>
      <c r="C700" s="31"/>
      <c r="D700" s="32"/>
      <c r="H700" s="32"/>
      <c r="J700" s="32"/>
      <c r="K700" s="41"/>
      <c r="L700" s="32"/>
      <c r="N700" s="32"/>
      <c r="O700" s="41"/>
      <c r="P700" s="32"/>
      <c r="R700" s="32"/>
      <c r="S700" s="41"/>
      <c r="T700" s="32"/>
      <c r="V700" s="32"/>
      <c r="W700" s="41"/>
      <c r="X700" s="32"/>
      <c r="Z700" s="32"/>
      <c r="AA700" s="41"/>
      <c r="AB700" s="41"/>
      <c r="AD700" s="32"/>
      <c r="AE700" s="41"/>
    </row>
    <row r="701" spans="1:31" s="30" customFormat="1" x14ac:dyDescent="0.25">
      <c r="A701" s="36"/>
      <c r="B701" s="31"/>
      <c r="C701" s="31"/>
      <c r="D701" s="32"/>
      <c r="H701" s="32"/>
      <c r="J701" s="32"/>
      <c r="K701" s="41"/>
      <c r="L701" s="32"/>
      <c r="N701" s="32"/>
      <c r="O701" s="41"/>
      <c r="P701" s="32"/>
      <c r="R701" s="32"/>
      <c r="S701" s="41"/>
      <c r="T701" s="32"/>
      <c r="V701" s="32"/>
      <c r="W701" s="41"/>
      <c r="X701" s="32"/>
      <c r="Z701" s="32"/>
      <c r="AA701" s="41"/>
      <c r="AB701" s="41"/>
      <c r="AD701" s="32"/>
      <c r="AE701" s="41"/>
    </row>
    <row r="702" spans="1:31" s="30" customFormat="1" x14ac:dyDescent="0.25">
      <c r="A702" s="36"/>
      <c r="B702" s="31"/>
      <c r="C702" s="31"/>
      <c r="D702" s="32"/>
      <c r="H702" s="32"/>
      <c r="J702" s="32"/>
      <c r="K702" s="41"/>
      <c r="L702" s="32"/>
      <c r="N702" s="32"/>
      <c r="O702" s="41"/>
      <c r="P702" s="32"/>
      <c r="R702" s="32"/>
      <c r="S702" s="41"/>
      <c r="T702" s="32"/>
      <c r="V702" s="32"/>
      <c r="W702" s="41"/>
      <c r="X702" s="32"/>
      <c r="Z702" s="32"/>
      <c r="AA702" s="41"/>
      <c r="AB702" s="41"/>
      <c r="AD702" s="32"/>
      <c r="AE702" s="41"/>
    </row>
    <row r="703" spans="1:31" s="30" customFormat="1" x14ac:dyDescent="0.25">
      <c r="A703" s="36"/>
      <c r="B703" s="31"/>
      <c r="C703" s="31"/>
      <c r="D703" s="32"/>
      <c r="H703" s="32"/>
      <c r="J703" s="32"/>
      <c r="K703" s="41"/>
      <c r="L703" s="32"/>
      <c r="N703" s="32"/>
      <c r="O703" s="41"/>
      <c r="P703" s="32"/>
      <c r="R703" s="32"/>
      <c r="S703" s="41"/>
      <c r="T703" s="32"/>
      <c r="V703" s="32"/>
      <c r="W703" s="41"/>
      <c r="X703" s="32"/>
      <c r="Z703" s="32"/>
      <c r="AA703" s="41"/>
      <c r="AB703" s="41"/>
      <c r="AD703" s="32"/>
      <c r="AE703" s="41"/>
    </row>
    <row r="704" spans="1:31" s="30" customFormat="1" x14ac:dyDescent="0.25">
      <c r="A704" s="36"/>
      <c r="B704" s="31"/>
      <c r="C704" s="31"/>
      <c r="D704" s="32"/>
      <c r="H704" s="32"/>
      <c r="J704" s="32"/>
      <c r="K704" s="41"/>
      <c r="L704" s="32"/>
      <c r="N704" s="32"/>
      <c r="O704" s="41"/>
      <c r="P704" s="32"/>
      <c r="R704" s="32"/>
      <c r="S704" s="41"/>
      <c r="T704" s="32"/>
      <c r="V704" s="32"/>
      <c r="W704" s="41"/>
      <c r="X704" s="32"/>
      <c r="Z704" s="32"/>
      <c r="AA704" s="41"/>
      <c r="AB704" s="41"/>
      <c r="AD704" s="32"/>
      <c r="AE704" s="41"/>
    </row>
    <row r="705" spans="1:31" s="30" customFormat="1" x14ac:dyDescent="0.25">
      <c r="A705" s="36"/>
      <c r="B705" s="31"/>
      <c r="C705" s="31"/>
      <c r="D705" s="32"/>
      <c r="H705" s="32"/>
      <c r="J705" s="32"/>
      <c r="K705" s="41"/>
      <c r="L705" s="32"/>
      <c r="N705" s="32"/>
      <c r="O705" s="41"/>
      <c r="P705" s="32"/>
      <c r="R705" s="32"/>
      <c r="S705" s="41"/>
      <c r="T705" s="32"/>
      <c r="V705" s="32"/>
      <c r="W705" s="41"/>
      <c r="X705" s="32"/>
      <c r="Z705" s="32"/>
      <c r="AA705" s="41"/>
      <c r="AB705" s="41"/>
      <c r="AD705" s="32"/>
      <c r="AE705" s="41"/>
    </row>
    <row r="706" spans="1:31" s="30" customFormat="1" x14ac:dyDescent="0.25">
      <c r="A706" s="36"/>
      <c r="B706" s="31"/>
      <c r="C706" s="31"/>
      <c r="D706" s="32"/>
      <c r="H706" s="32"/>
      <c r="J706" s="32"/>
      <c r="K706" s="41"/>
      <c r="L706" s="32"/>
      <c r="N706" s="32"/>
      <c r="O706" s="41"/>
      <c r="P706" s="32"/>
      <c r="R706" s="32"/>
      <c r="S706" s="41"/>
      <c r="T706" s="32"/>
      <c r="V706" s="32"/>
      <c r="W706" s="41"/>
      <c r="X706" s="32"/>
      <c r="Z706" s="32"/>
      <c r="AA706" s="41"/>
      <c r="AB706" s="41"/>
      <c r="AD706" s="32"/>
      <c r="AE706" s="41"/>
    </row>
    <row r="707" spans="1:31" s="30" customFormat="1" x14ac:dyDescent="0.25">
      <c r="A707" s="36"/>
      <c r="B707" s="31"/>
      <c r="C707" s="31"/>
      <c r="D707" s="32"/>
      <c r="H707" s="32"/>
      <c r="J707" s="32"/>
      <c r="K707" s="41"/>
      <c r="L707" s="32"/>
      <c r="N707" s="32"/>
      <c r="O707" s="41"/>
      <c r="P707" s="32"/>
      <c r="R707" s="32"/>
      <c r="S707" s="41"/>
      <c r="T707" s="32"/>
      <c r="V707" s="32"/>
      <c r="W707" s="41"/>
      <c r="X707" s="32"/>
      <c r="Z707" s="32"/>
      <c r="AA707" s="41"/>
      <c r="AB707" s="41"/>
      <c r="AD707" s="32"/>
      <c r="AE707" s="41"/>
    </row>
    <row r="708" spans="1:31" s="30" customFormat="1" x14ac:dyDescent="0.25">
      <c r="A708" s="36"/>
      <c r="B708" s="31"/>
      <c r="C708" s="31"/>
      <c r="D708" s="32"/>
      <c r="H708" s="32"/>
      <c r="J708" s="32"/>
      <c r="K708" s="41"/>
      <c r="L708" s="32"/>
      <c r="N708" s="32"/>
      <c r="O708" s="41"/>
      <c r="P708" s="32"/>
      <c r="R708" s="32"/>
      <c r="S708" s="41"/>
      <c r="T708" s="32"/>
      <c r="V708" s="32"/>
      <c r="W708" s="41"/>
      <c r="X708" s="32"/>
      <c r="Z708" s="32"/>
      <c r="AA708" s="41"/>
      <c r="AB708" s="41"/>
      <c r="AD708" s="32"/>
      <c r="AE708" s="41"/>
    </row>
    <row r="709" spans="1:31" s="30" customFormat="1" x14ac:dyDescent="0.25">
      <c r="A709" s="36"/>
      <c r="B709" s="31"/>
      <c r="C709" s="31"/>
      <c r="D709" s="32"/>
      <c r="H709" s="32"/>
      <c r="J709" s="32"/>
      <c r="K709" s="41"/>
      <c r="L709" s="32"/>
      <c r="N709" s="32"/>
      <c r="O709" s="41"/>
      <c r="P709" s="32"/>
      <c r="R709" s="32"/>
      <c r="S709" s="41"/>
      <c r="T709" s="32"/>
      <c r="V709" s="32"/>
      <c r="W709" s="41"/>
      <c r="X709" s="32"/>
      <c r="Z709" s="32"/>
      <c r="AA709" s="41"/>
      <c r="AB709" s="41"/>
      <c r="AD709" s="32"/>
      <c r="AE709" s="41"/>
    </row>
    <row r="710" spans="1:31" s="30" customFormat="1" x14ac:dyDescent="0.25">
      <c r="A710" s="36"/>
      <c r="B710" s="31"/>
      <c r="C710" s="31"/>
      <c r="D710" s="32"/>
      <c r="H710" s="32"/>
      <c r="J710" s="32"/>
      <c r="K710" s="41"/>
      <c r="L710" s="32"/>
      <c r="N710" s="32"/>
      <c r="O710" s="41"/>
      <c r="P710" s="32"/>
      <c r="R710" s="32"/>
      <c r="S710" s="41"/>
      <c r="T710" s="32"/>
      <c r="V710" s="32"/>
      <c r="W710" s="41"/>
      <c r="X710" s="32"/>
      <c r="Z710" s="32"/>
      <c r="AA710" s="41"/>
      <c r="AB710" s="41"/>
      <c r="AD710" s="32"/>
      <c r="AE710" s="41"/>
    </row>
    <row r="711" spans="1:31" s="30" customFormat="1" x14ac:dyDescent="0.25">
      <c r="A711" s="36"/>
      <c r="B711" s="31"/>
      <c r="C711" s="31"/>
      <c r="D711" s="32"/>
      <c r="H711" s="32"/>
      <c r="J711" s="32"/>
      <c r="K711" s="41"/>
      <c r="L711" s="32"/>
      <c r="N711" s="32"/>
      <c r="O711" s="41"/>
      <c r="P711" s="32"/>
      <c r="R711" s="32"/>
      <c r="S711" s="41"/>
      <c r="T711" s="32"/>
      <c r="V711" s="32"/>
      <c r="W711" s="41"/>
      <c r="X711" s="32"/>
      <c r="Z711" s="32"/>
      <c r="AA711" s="41"/>
      <c r="AB711" s="41"/>
      <c r="AD711" s="32"/>
      <c r="AE711" s="41"/>
    </row>
    <row r="712" spans="1:31" s="30" customFormat="1" x14ac:dyDescent="0.25">
      <c r="A712" s="36"/>
      <c r="B712" s="31"/>
      <c r="C712" s="31"/>
      <c r="D712" s="32"/>
      <c r="H712" s="32"/>
      <c r="J712" s="32"/>
      <c r="K712" s="41"/>
      <c r="L712" s="32"/>
      <c r="N712" s="32"/>
      <c r="O712" s="41"/>
      <c r="P712" s="32"/>
      <c r="R712" s="32"/>
      <c r="S712" s="41"/>
      <c r="T712" s="32"/>
      <c r="V712" s="32"/>
      <c r="W712" s="41"/>
      <c r="X712" s="32"/>
      <c r="Z712" s="32"/>
      <c r="AA712" s="41"/>
      <c r="AB712" s="41"/>
      <c r="AD712" s="32"/>
      <c r="AE712" s="41"/>
    </row>
    <row r="713" spans="1:31" s="30" customFormat="1" x14ac:dyDescent="0.25">
      <c r="A713" s="36"/>
      <c r="B713" s="31"/>
      <c r="C713" s="31"/>
      <c r="D713" s="32"/>
      <c r="H713" s="32"/>
      <c r="J713" s="32"/>
      <c r="K713" s="41"/>
      <c r="L713" s="32"/>
      <c r="N713" s="32"/>
      <c r="O713" s="41"/>
      <c r="P713" s="32"/>
      <c r="R713" s="32"/>
      <c r="S713" s="41"/>
      <c r="T713" s="32"/>
      <c r="V713" s="32"/>
      <c r="W713" s="41"/>
      <c r="X713" s="32"/>
      <c r="Z713" s="32"/>
      <c r="AA713" s="41"/>
      <c r="AB713" s="41"/>
      <c r="AD713" s="32"/>
      <c r="AE713" s="41"/>
    </row>
    <row r="714" spans="1:31" s="30" customFormat="1" x14ac:dyDescent="0.25">
      <c r="A714" s="36"/>
      <c r="B714" s="31"/>
      <c r="C714" s="31"/>
      <c r="D714" s="32"/>
      <c r="H714" s="32"/>
      <c r="J714" s="32"/>
      <c r="K714" s="41"/>
      <c r="L714" s="32"/>
      <c r="N714" s="32"/>
      <c r="O714" s="41"/>
      <c r="P714" s="32"/>
      <c r="R714" s="32"/>
      <c r="S714" s="41"/>
      <c r="T714" s="32"/>
      <c r="V714" s="32"/>
      <c r="W714" s="41"/>
      <c r="X714" s="32"/>
      <c r="Z714" s="32"/>
      <c r="AA714" s="41"/>
      <c r="AB714" s="41"/>
      <c r="AD714" s="32"/>
      <c r="AE714" s="41"/>
    </row>
    <row r="715" spans="1:31" s="30" customFormat="1" x14ac:dyDescent="0.25">
      <c r="A715" s="36"/>
      <c r="B715" s="31"/>
      <c r="C715" s="31"/>
      <c r="D715" s="32"/>
      <c r="H715" s="32"/>
      <c r="J715" s="32"/>
      <c r="K715" s="41"/>
      <c r="L715" s="32"/>
      <c r="N715" s="32"/>
      <c r="O715" s="41"/>
      <c r="P715" s="32"/>
      <c r="R715" s="32"/>
      <c r="S715" s="41"/>
      <c r="T715" s="32"/>
      <c r="V715" s="32"/>
      <c r="W715" s="41"/>
      <c r="X715" s="32"/>
      <c r="Z715" s="32"/>
      <c r="AA715" s="41"/>
      <c r="AB715" s="41"/>
      <c r="AD715" s="32"/>
      <c r="AE715" s="41"/>
    </row>
    <row r="716" spans="1:31" s="30" customFormat="1" x14ac:dyDescent="0.25">
      <c r="A716" s="36"/>
      <c r="B716" s="31"/>
      <c r="C716" s="31"/>
      <c r="D716" s="32"/>
      <c r="H716" s="32"/>
      <c r="J716" s="32"/>
      <c r="K716" s="41"/>
      <c r="L716" s="32"/>
      <c r="N716" s="32"/>
      <c r="O716" s="41"/>
      <c r="P716" s="32"/>
      <c r="R716" s="32"/>
      <c r="S716" s="41"/>
      <c r="T716" s="32"/>
      <c r="V716" s="32"/>
      <c r="W716" s="41"/>
      <c r="X716" s="32"/>
      <c r="Z716" s="32"/>
      <c r="AA716" s="41"/>
      <c r="AB716" s="41"/>
      <c r="AD716" s="32"/>
      <c r="AE716" s="41"/>
    </row>
    <row r="717" spans="1:31" s="30" customFormat="1" x14ac:dyDescent="0.25">
      <c r="A717" s="36"/>
      <c r="B717" s="31"/>
      <c r="C717" s="31"/>
      <c r="D717" s="32"/>
      <c r="H717" s="32"/>
      <c r="J717" s="32"/>
      <c r="K717" s="41"/>
      <c r="L717" s="32"/>
      <c r="N717" s="32"/>
      <c r="O717" s="41"/>
      <c r="P717" s="32"/>
      <c r="R717" s="32"/>
      <c r="S717" s="41"/>
      <c r="T717" s="32"/>
      <c r="V717" s="32"/>
      <c r="W717" s="41"/>
      <c r="X717" s="32"/>
      <c r="Z717" s="32"/>
      <c r="AA717" s="41"/>
      <c r="AB717" s="41"/>
      <c r="AD717" s="32"/>
      <c r="AE717" s="41"/>
    </row>
    <row r="718" spans="1:31" s="30" customFormat="1" x14ac:dyDescent="0.25">
      <c r="A718" s="36"/>
      <c r="B718" s="31"/>
      <c r="C718" s="31"/>
      <c r="D718" s="32"/>
      <c r="H718" s="32"/>
      <c r="J718" s="32"/>
      <c r="K718" s="41"/>
      <c r="L718" s="32"/>
      <c r="N718" s="32"/>
      <c r="O718" s="41"/>
      <c r="P718" s="32"/>
      <c r="R718" s="32"/>
      <c r="S718" s="41"/>
      <c r="T718" s="32"/>
      <c r="V718" s="32"/>
      <c r="W718" s="41"/>
      <c r="X718" s="32"/>
      <c r="Z718" s="32"/>
      <c r="AA718" s="41"/>
      <c r="AB718" s="41"/>
      <c r="AD718" s="32"/>
      <c r="AE718" s="41"/>
    </row>
    <row r="719" spans="1:31" s="30" customFormat="1" x14ac:dyDescent="0.25">
      <c r="A719" s="36"/>
      <c r="B719" s="31"/>
      <c r="C719" s="31"/>
      <c r="D719" s="32"/>
      <c r="H719" s="32"/>
      <c r="J719" s="32"/>
      <c r="K719" s="41"/>
      <c r="L719" s="32"/>
      <c r="N719" s="32"/>
      <c r="O719" s="41"/>
      <c r="P719" s="32"/>
      <c r="R719" s="32"/>
      <c r="S719" s="41"/>
      <c r="T719" s="32"/>
      <c r="V719" s="32"/>
      <c r="W719" s="41"/>
      <c r="X719" s="32"/>
      <c r="Z719" s="32"/>
      <c r="AA719" s="41"/>
      <c r="AB719" s="41"/>
      <c r="AD719" s="32"/>
      <c r="AE719" s="41"/>
    </row>
    <row r="720" spans="1:31" s="30" customFormat="1" x14ac:dyDescent="0.25">
      <c r="A720" s="36"/>
      <c r="B720" s="31"/>
      <c r="C720" s="31"/>
      <c r="D720" s="32"/>
      <c r="H720" s="32"/>
      <c r="J720" s="32"/>
      <c r="K720" s="41"/>
      <c r="L720" s="32"/>
      <c r="N720" s="32"/>
      <c r="O720" s="41"/>
      <c r="P720" s="32"/>
      <c r="R720" s="32"/>
      <c r="S720" s="41"/>
      <c r="T720" s="32"/>
      <c r="V720" s="32"/>
      <c r="W720" s="41"/>
      <c r="X720" s="32"/>
      <c r="Z720" s="32"/>
      <c r="AA720" s="41"/>
      <c r="AB720" s="41"/>
      <c r="AD720" s="32"/>
      <c r="AE720" s="41"/>
    </row>
    <row r="721" spans="1:31" s="30" customFormat="1" x14ac:dyDescent="0.25">
      <c r="A721" s="36"/>
      <c r="B721" s="31"/>
      <c r="C721" s="31"/>
      <c r="D721" s="32"/>
      <c r="H721" s="32"/>
      <c r="J721" s="32"/>
      <c r="K721" s="41"/>
      <c r="L721" s="32"/>
      <c r="N721" s="32"/>
      <c r="O721" s="41"/>
      <c r="P721" s="32"/>
      <c r="R721" s="32"/>
      <c r="S721" s="41"/>
      <c r="T721" s="32"/>
      <c r="V721" s="32"/>
      <c r="W721" s="41"/>
      <c r="X721" s="32"/>
      <c r="Z721" s="32"/>
      <c r="AA721" s="41"/>
      <c r="AB721" s="41"/>
      <c r="AD721" s="32"/>
      <c r="AE721" s="41"/>
    </row>
    <row r="722" spans="1:31" s="30" customFormat="1" x14ac:dyDescent="0.25">
      <c r="A722" s="36"/>
      <c r="B722" s="31"/>
      <c r="C722" s="31"/>
      <c r="D722" s="32"/>
      <c r="H722" s="32"/>
      <c r="J722" s="32"/>
      <c r="K722" s="41"/>
      <c r="L722" s="32"/>
      <c r="N722" s="32"/>
      <c r="O722" s="41"/>
      <c r="P722" s="32"/>
      <c r="R722" s="32"/>
      <c r="S722" s="41"/>
      <c r="T722" s="32"/>
      <c r="V722" s="32"/>
      <c r="W722" s="41"/>
      <c r="X722" s="32"/>
      <c r="Z722" s="32"/>
      <c r="AA722" s="41"/>
      <c r="AB722" s="41"/>
      <c r="AD722" s="32"/>
      <c r="AE722" s="41"/>
    </row>
    <row r="723" spans="1:31" s="30" customFormat="1" x14ac:dyDescent="0.25">
      <c r="A723" s="36"/>
      <c r="B723" s="31"/>
      <c r="C723" s="31"/>
      <c r="D723" s="32"/>
      <c r="H723" s="32"/>
      <c r="J723" s="32"/>
      <c r="K723" s="41"/>
      <c r="L723" s="32"/>
      <c r="N723" s="32"/>
      <c r="O723" s="41"/>
      <c r="P723" s="32"/>
      <c r="R723" s="32"/>
      <c r="S723" s="41"/>
      <c r="T723" s="32"/>
      <c r="V723" s="32"/>
      <c r="W723" s="41"/>
      <c r="X723" s="32"/>
      <c r="Z723" s="32"/>
      <c r="AA723" s="41"/>
      <c r="AB723" s="41"/>
      <c r="AD723" s="32"/>
      <c r="AE723" s="41"/>
    </row>
    <row r="724" spans="1:31" s="30" customFormat="1" x14ac:dyDescent="0.25">
      <c r="A724" s="36"/>
      <c r="B724" s="31"/>
      <c r="C724" s="31"/>
      <c r="D724" s="32"/>
      <c r="H724" s="32"/>
      <c r="J724" s="32"/>
      <c r="K724" s="41"/>
      <c r="L724" s="32"/>
      <c r="N724" s="32"/>
      <c r="O724" s="41"/>
      <c r="P724" s="32"/>
      <c r="R724" s="32"/>
      <c r="S724" s="41"/>
      <c r="T724" s="32"/>
      <c r="V724" s="32"/>
      <c r="W724" s="41"/>
      <c r="X724" s="32"/>
      <c r="Z724" s="32"/>
      <c r="AA724" s="41"/>
      <c r="AB724" s="41"/>
      <c r="AD724" s="32"/>
      <c r="AE724" s="41"/>
    </row>
    <row r="725" spans="1:31" s="30" customFormat="1" x14ac:dyDescent="0.25">
      <c r="A725" s="36"/>
      <c r="B725" s="31"/>
      <c r="C725" s="31"/>
      <c r="D725" s="32"/>
      <c r="H725" s="32"/>
      <c r="J725" s="32"/>
      <c r="K725" s="41"/>
      <c r="L725" s="32"/>
      <c r="N725" s="32"/>
      <c r="O725" s="41"/>
      <c r="P725" s="32"/>
      <c r="R725" s="32"/>
      <c r="S725" s="41"/>
      <c r="T725" s="32"/>
      <c r="V725" s="32"/>
      <c r="W725" s="41"/>
      <c r="X725" s="32"/>
      <c r="Z725" s="32"/>
      <c r="AA725" s="41"/>
      <c r="AB725" s="41"/>
      <c r="AD725" s="32"/>
      <c r="AE725" s="41"/>
    </row>
    <row r="726" spans="1:31" s="30" customFormat="1" x14ac:dyDescent="0.25">
      <c r="A726" s="36"/>
      <c r="B726" s="31"/>
      <c r="C726" s="31"/>
      <c r="D726" s="32"/>
      <c r="H726" s="32"/>
      <c r="J726" s="32"/>
      <c r="K726" s="41"/>
      <c r="L726" s="32"/>
      <c r="N726" s="32"/>
      <c r="O726" s="41"/>
      <c r="P726" s="32"/>
      <c r="R726" s="32"/>
      <c r="S726" s="41"/>
      <c r="T726" s="32"/>
      <c r="V726" s="32"/>
      <c r="W726" s="41"/>
      <c r="X726" s="32"/>
      <c r="Z726" s="32"/>
      <c r="AA726" s="41"/>
      <c r="AB726" s="41"/>
      <c r="AD726" s="32"/>
      <c r="AE726" s="41"/>
    </row>
    <row r="727" spans="1:31" s="30" customFormat="1" x14ac:dyDescent="0.25">
      <c r="A727" s="36"/>
      <c r="B727" s="31"/>
      <c r="C727" s="31"/>
      <c r="D727" s="32"/>
      <c r="H727" s="32"/>
      <c r="J727" s="32"/>
      <c r="K727" s="41"/>
      <c r="L727" s="32"/>
      <c r="N727" s="32"/>
      <c r="O727" s="41"/>
      <c r="P727" s="32"/>
      <c r="R727" s="32"/>
      <c r="S727" s="41"/>
      <c r="T727" s="32"/>
      <c r="V727" s="32"/>
      <c r="W727" s="41"/>
      <c r="X727" s="32"/>
      <c r="Z727" s="32"/>
      <c r="AA727" s="41"/>
      <c r="AB727" s="41"/>
      <c r="AD727" s="32"/>
      <c r="AE727" s="41"/>
    </row>
    <row r="728" spans="1:31" s="30" customFormat="1" x14ac:dyDescent="0.25">
      <c r="A728" s="36"/>
      <c r="B728" s="31"/>
      <c r="C728" s="31"/>
      <c r="D728" s="32"/>
      <c r="H728" s="32"/>
      <c r="J728" s="32"/>
      <c r="K728" s="41"/>
      <c r="L728" s="32"/>
      <c r="N728" s="32"/>
      <c r="O728" s="41"/>
      <c r="P728" s="32"/>
      <c r="R728" s="32"/>
      <c r="S728" s="41"/>
      <c r="T728" s="32"/>
      <c r="V728" s="32"/>
      <c r="W728" s="41"/>
      <c r="X728" s="32"/>
      <c r="Z728" s="32"/>
      <c r="AA728" s="41"/>
      <c r="AB728" s="41"/>
      <c r="AD728" s="32"/>
      <c r="AE728" s="41"/>
    </row>
    <row r="729" spans="1:31" s="30" customFormat="1" x14ac:dyDescent="0.25">
      <c r="A729" s="36"/>
      <c r="B729" s="31"/>
      <c r="C729" s="31"/>
      <c r="D729" s="32"/>
      <c r="H729" s="32"/>
      <c r="J729" s="32"/>
      <c r="K729" s="41"/>
      <c r="L729" s="32"/>
      <c r="N729" s="32"/>
      <c r="O729" s="41"/>
      <c r="P729" s="32"/>
      <c r="R729" s="32"/>
      <c r="S729" s="41"/>
      <c r="T729" s="32"/>
      <c r="V729" s="32"/>
      <c r="W729" s="41"/>
      <c r="X729" s="32"/>
      <c r="Z729" s="32"/>
      <c r="AA729" s="41"/>
      <c r="AB729" s="41"/>
      <c r="AD729" s="32"/>
      <c r="AE729" s="41"/>
    </row>
    <row r="730" spans="1:31" s="30" customFormat="1" x14ac:dyDescent="0.25">
      <c r="A730" s="36"/>
      <c r="B730" s="31"/>
      <c r="C730" s="31"/>
      <c r="D730" s="32"/>
      <c r="H730" s="32"/>
      <c r="J730" s="32"/>
      <c r="K730" s="41"/>
      <c r="L730" s="32"/>
      <c r="N730" s="32"/>
      <c r="O730" s="41"/>
      <c r="P730" s="32"/>
      <c r="R730" s="32"/>
      <c r="S730" s="41"/>
      <c r="T730" s="32"/>
      <c r="V730" s="32"/>
      <c r="W730" s="41"/>
      <c r="X730" s="32"/>
      <c r="Z730" s="32"/>
      <c r="AA730" s="41"/>
      <c r="AB730" s="41"/>
      <c r="AD730" s="32"/>
      <c r="AE730" s="41"/>
    </row>
    <row r="731" spans="1:31" s="30" customFormat="1" x14ac:dyDescent="0.25">
      <c r="A731" s="36"/>
      <c r="B731" s="31"/>
      <c r="C731" s="31"/>
      <c r="D731" s="32"/>
      <c r="H731" s="32"/>
      <c r="J731" s="32"/>
      <c r="K731" s="41"/>
      <c r="L731" s="32"/>
      <c r="N731" s="32"/>
      <c r="O731" s="41"/>
      <c r="P731" s="32"/>
      <c r="R731" s="32"/>
      <c r="S731" s="41"/>
      <c r="T731" s="32"/>
      <c r="V731" s="32"/>
      <c r="W731" s="41"/>
      <c r="X731" s="32"/>
      <c r="Z731" s="32"/>
      <c r="AA731" s="41"/>
      <c r="AB731" s="41"/>
      <c r="AD731" s="32"/>
      <c r="AE731" s="41"/>
    </row>
    <row r="732" spans="1:31" s="30" customFormat="1" x14ac:dyDescent="0.25">
      <c r="A732" s="36"/>
      <c r="B732" s="31"/>
      <c r="C732" s="31"/>
      <c r="D732" s="32"/>
      <c r="H732" s="32"/>
      <c r="J732" s="32"/>
      <c r="K732" s="41"/>
      <c r="L732" s="32"/>
      <c r="N732" s="32"/>
      <c r="O732" s="41"/>
      <c r="P732" s="32"/>
      <c r="R732" s="32"/>
      <c r="S732" s="41"/>
      <c r="T732" s="32"/>
      <c r="V732" s="32"/>
      <c r="W732" s="41"/>
      <c r="X732" s="32"/>
      <c r="Z732" s="32"/>
      <c r="AA732" s="41"/>
      <c r="AB732" s="41"/>
      <c r="AD732" s="32"/>
      <c r="AE732" s="41"/>
    </row>
    <row r="733" spans="1:31" s="30" customFormat="1" x14ac:dyDescent="0.25">
      <c r="A733" s="36"/>
      <c r="B733" s="31"/>
      <c r="C733" s="31"/>
      <c r="D733" s="32"/>
      <c r="H733" s="32"/>
      <c r="J733" s="32"/>
      <c r="K733" s="41"/>
      <c r="L733" s="32"/>
      <c r="N733" s="32"/>
      <c r="O733" s="41"/>
      <c r="P733" s="32"/>
      <c r="R733" s="32"/>
      <c r="S733" s="41"/>
      <c r="T733" s="32"/>
      <c r="V733" s="32"/>
      <c r="W733" s="41"/>
      <c r="X733" s="32"/>
      <c r="Z733" s="32"/>
      <c r="AA733" s="41"/>
      <c r="AB733" s="41"/>
      <c r="AD733" s="32"/>
      <c r="AE733" s="41"/>
    </row>
    <row r="734" spans="1:31" s="30" customFormat="1" x14ac:dyDescent="0.25">
      <c r="A734" s="36"/>
      <c r="B734" s="31"/>
      <c r="C734" s="31"/>
      <c r="D734" s="32"/>
      <c r="H734" s="32"/>
      <c r="J734" s="32"/>
      <c r="K734" s="41"/>
      <c r="L734" s="32"/>
      <c r="N734" s="32"/>
      <c r="O734" s="41"/>
      <c r="P734" s="32"/>
      <c r="R734" s="32"/>
      <c r="S734" s="41"/>
      <c r="T734" s="32"/>
      <c r="V734" s="32"/>
      <c r="W734" s="41"/>
      <c r="X734" s="32"/>
      <c r="Z734" s="32"/>
      <c r="AA734" s="41"/>
      <c r="AB734" s="41"/>
      <c r="AD734" s="32"/>
      <c r="AE734" s="41"/>
    </row>
    <row r="735" spans="1:31" s="30" customFormat="1" x14ac:dyDescent="0.25">
      <c r="A735" s="36"/>
      <c r="B735" s="31"/>
      <c r="C735" s="31"/>
      <c r="D735" s="32"/>
      <c r="H735" s="32"/>
      <c r="J735" s="32"/>
      <c r="K735" s="41"/>
      <c r="L735" s="32"/>
      <c r="N735" s="32"/>
      <c r="O735" s="41"/>
      <c r="P735" s="32"/>
      <c r="R735" s="32"/>
      <c r="S735" s="41"/>
      <c r="T735" s="32"/>
      <c r="V735" s="32"/>
      <c r="W735" s="41"/>
      <c r="X735" s="32"/>
      <c r="Z735" s="32"/>
      <c r="AA735" s="41"/>
      <c r="AB735" s="41"/>
      <c r="AD735" s="32"/>
      <c r="AE735" s="41"/>
    </row>
    <row r="736" spans="1:31" s="30" customFormat="1" x14ac:dyDescent="0.25">
      <c r="A736" s="36"/>
      <c r="B736" s="31"/>
      <c r="C736" s="31"/>
      <c r="D736" s="32"/>
      <c r="H736" s="32"/>
      <c r="J736" s="32"/>
      <c r="K736" s="41"/>
      <c r="L736" s="32"/>
      <c r="N736" s="32"/>
      <c r="O736" s="41"/>
      <c r="P736" s="32"/>
      <c r="R736" s="32"/>
      <c r="S736" s="41"/>
      <c r="T736" s="32"/>
      <c r="V736" s="32"/>
      <c r="W736" s="41"/>
      <c r="X736" s="32"/>
      <c r="Z736" s="32"/>
      <c r="AA736" s="41"/>
      <c r="AB736" s="41"/>
      <c r="AD736" s="32"/>
      <c r="AE736" s="41"/>
    </row>
    <row r="737" spans="1:31" s="30" customFormat="1" x14ac:dyDescent="0.25">
      <c r="A737" s="36"/>
      <c r="B737" s="31"/>
      <c r="C737" s="31"/>
      <c r="D737" s="32"/>
      <c r="H737" s="32"/>
      <c r="J737" s="32"/>
      <c r="K737" s="41"/>
      <c r="L737" s="32"/>
      <c r="N737" s="32"/>
      <c r="O737" s="41"/>
      <c r="P737" s="32"/>
      <c r="R737" s="32"/>
      <c r="S737" s="41"/>
      <c r="T737" s="32"/>
      <c r="V737" s="32"/>
      <c r="W737" s="41"/>
      <c r="X737" s="32"/>
      <c r="Z737" s="32"/>
      <c r="AA737" s="41"/>
      <c r="AB737" s="41"/>
      <c r="AD737" s="32"/>
      <c r="AE737" s="41"/>
    </row>
    <row r="738" spans="1:31" s="30" customFormat="1" x14ac:dyDescent="0.25">
      <c r="A738" s="36"/>
      <c r="B738" s="31"/>
      <c r="C738" s="31"/>
      <c r="D738" s="32"/>
      <c r="H738" s="32"/>
      <c r="J738" s="32"/>
      <c r="K738" s="41"/>
      <c r="L738" s="32"/>
      <c r="N738" s="32"/>
      <c r="O738" s="41"/>
      <c r="P738" s="32"/>
      <c r="R738" s="32"/>
      <c r="S738" s="41"/>
      <c r="T738" s="32"/>
      <c r="V738" s="32"/>
      <c r="W738" s="41"/>
      <c r="X738" s="32"/>
      <c r="Z738" s="32"/>
      <c r="AA738" s="41"/>
      <c r="AB738" s="41"/>
      <c r="AD738" s="32"/>
      <c r="AE738" s="41"/>
    </row>
    <row r="739" spans="1:31" s="30" customFormat="1" x14ac:dyDescent="0.25">
      <c r="A739" s="36"/>
      <c r="B739" s="31"/>
      <c r="C739" s="31"/>
      <c r="D739" s="32"/>
      <c r="H739" s="32"/>
      <c r="J739" s="32"/>
      <c r="K739" s="41"/>
      <c r="L739" s="32"/>
      <c r="N739" s="32"/>
      <c r="O739" s="41"/>
      <c r="P739" s="32"/>
      <c r="R739" s="32"/>
      <c r="S739" s="41"/>
      <c r="T739" s="32"/>
      <c r="V739" s="32"/>
      <c r="W739" s="41"/>
      <c r="X739" s="32"/>
      <c r="Z739" s="32"/>
      <c r="AA739" s="41"/>
      <c r="AB739" s="41"/>
      <c r="AD739" s="32"/>
      <c r="AE739" s="41"/>
    </row>
    <row r="740" spans="1:31" s="30" customFormat="1" x14ac:dyDescent="0.25">
      <c r="A740" s="36"/>
      <c r="B740" s="31"/>
      <c r="C740" s="31"/>
      <c r="D740" s="32"/>
      <c r="H740" s="32"/>
      <c r="J740" s="32"/>
      <c r="K740" s="41"/>
      <c r="L740" s="32"/>
      <c r="N740" s="32"/>
      <c r="O740" s="41"/>
      <c r="P740" s="32"/>
      <c r="R740" s="32"/>
      <c r="S740" s="41"/>
      <c r="T740" s="32"/>
      <c r="V740" s="32"/>
      <c r="W740" s="41"/>
      <c r="X740" s="32"/>
      <c r="Z740" s="32"/>
      <c r="AA740" s="41"/>
      <c r="AB740" s="41"/>
      <c r="AD740" s="32"/>
      <c r="AE740" s="41"/>
    </row>
    <row r="741" spans="1:31" s="30" customFormat="1" x14ac:dyDescent="0.25">
      <c r="A741" s="36"/>
      <c r="B741" s="31"/>
      <c r="C741" s="31"/>
      <c r="D741" s="32"/>
      <c r="H741" s="32"/>
      <c r="J741" s="32"/>
      <c r="K741" s="41"/>
      <c r="L741" s="32"/>
      <c r="N741" s="32"/>
      <c r="O741" s="41"/>
      <c r="P741" s="32"/>
      <c r="R741" s="32"/>
      <c r="S741" s="41"/>
      <c r="T741" s="32"/>
      <c r="V741" s="32"/>
      <c r="W741" s="41"/>
      <c r="X741" s="32"/>
      <c r="Z741" s="32"/>
      <c r="AA741" s="41"/>
      <c r="AB741" s="41"/>
      <c r="AD741" s="32"/>
      <c r="AE741" s="41"/>
    </row>
    <row r="742" spans="1:31" s="30" customFormat="1" x14ac:dyDescent="0.25">
      <c r="A742" s="36"/>
      <c r="B742" s="31"/>
      <c r="C742" s="31"/>
      <c r="D742" s="32"/>
      <c r="H742" s="32"/>
      <c r="J742" s="32"/>
      <c r="K742" s="41"/>
      <c r="L742" s="32"/>
      <c r="N742" s="32"/>
      <c r="O742" s="41"/>
      <c r="P742" s="32"/>
      <c r="R742" s="32"/>
      <c r="S742" s="41"/>
      <c r="T742" s="32"/>
      <c r="V742" s="32"/>
      <c r="W742" s="41"/>
      <c r="X742" s="32"/>
      <c r="Z742" s="32"/>
      <c r="AA742" s="41"/>
      <c r="AB742" s="41"/>
      <c r="AD742" s="32"/>
      <c r="AE742" s="41"/>
    </row>
    <row r="743" spans="1:31" s="30" customFormat="1" x14ac:dyDescent="0.25">
      <c r="A743" s="36"/>
      <c r="B743" s="31"/>
      <c r="C743" s="31"/>
      <c r="D743" s="32"/>
      <c r="H743" s="32"/>
      <c r="J743" s="32"/>
      <c r="K743" s="41"/>
      <c r="L743" s="32"/>
      <c r="N743" s="32"/>
      <c r="O743" s="41"/>
      <c r="P743" s="32"/>
      <c r="R743" s="32"/>
      <c r="S743" s="41"/>
      <c r="T743" s="32"/>
      <c r="V743" s="32"/>
      <c r="W743" s="41"/>
      <c r="X743" s="32"/>
      <c r="Z743" s="32"/>
      <c r="AA743" s="41"/>
      <c r="AB743" s="41"/>
      <c r="AD743" s="32"/>
      <c r="AE743" s="41"/>
    </row>
    <row r="744" spans="1:31" s="30" customFormat="1" x14ac:dyDescent="0.25">
      <c r="A744" s="36"/>
      <c r="B744" s="31"/>
      <c r="C744" s="31"/>
      <c r="D744" s="32"/>
      <c r="H744" s="32"/>
      <c r="J744" s="32"/>
      <c r="K744" s="41"/>
      <c r="L744" s="32"/>
      <c r="N744" s="32"/>
      <c r="O744" s="41"/>
      <c r="P744" s="32"/>
      <c r="R744" s="32"/>
      <c r="S744" s="41"/>
      <c r="T744" s="32"/>
      <c r="V744" s="32"/>
      <c r="W744" s="41"/>
      <c r="X744" s="32"/>
      <c r="Z744" s="32"/>
      <c r="AA744" s="41"/>
      <c r="AB744" s="41"/>
      <c r="AD744" s="32"/>
      <c r="AE744" s="41"/>
    </row>
    <row r="745" spans="1:31" s="30" customFormat="1" x14ac:dyDescent="0.25">
      <c r="A745" s="36"/>
      <c r="B745" s="31"/>
      <c r="C745" s="31"/>
      <c r="D745" s="32"/>
      <c r="H745" s="32"/>
      <c r="J745" s="32"/>
      <c r="K745" s="41"/>
      <c r="L745" s="32"/>
      <c r="N745" s="32"/>
      <c r="O745" s="41"/>
      <c r="P745" s="32"/>
      <c r="R745" s="32"/>
      <c r="S745" s="41"/>
      <c r="T745" s="32"/>
      <c r="V745" s="32"/>
      <c r="W745" s="41"/>
      <c r="X745" s="32"/>
      <c r="Z745" s="32"/>
      <c r="AA745" s="41"/>
      <c r="AB745" s="41"/>
      <c r="AD745" s="32"/>
      <c r="AE745" s="41"/>
    </row>
    <row r="746" spans="1:31" s="30" customFormat="1" x14ac:dyDescent="0.25">
      <c r="A746" s="36"/>
      <c r="B746" s="31"/>
      <c r="C746" s="31"/>
      <c r="D746" s="32"/>
      <c r="H746" s="32"/>
      <c r="J746" s="32"/>
      <c r="K746" s="41"/>
      <c r="L746" s="32"/>
      <c r="N746" s="32"/>
      <c r="O746" s="41"/>
      <c r="P746" s="32"/>
      <c r="R746" s="32"/>
      <c r="S746" s="41"/>
      <c r="T746" s="32"/>
      <c r="V746" s="32"/>
      <c r="W746" s="41"/>
      <c r="X746" s="32"/>
      <c r="Z746" s="32"/>
      <c r="AA746" s="41"/>
      <c r="AB746" s="41"/>
      <c r="AD746" s="32"/>
      <c r="AE746" s="41"/>
    </row>
    <row r="747" spans="1:31" s="30" customFormat="1" x14ac:dyDescent="0.25">
      <c r="A747" s="36"/>
      <c r="B747" s="31"/>
      <c r="C747" s="31"/>
      <c r="D747" s="32"/>
      <c r="H747" s="32"/>
      <c r="J747" s="32"/>
      <c r="K747" s="41"/>
      <c r="L747" s="32"/>
      <c r="N747" s="32"/>
      <c r="O747" s="41"/>
      <c r="P747" s="32"/>
      <c r="R747" s="32"/>
      <c r="S747" s="41"/>
      <c r="T747" s="32"/>
      <c r="V747" s="32"/>
      <c r="W747" s="41"/>
      <c r="X747" s="32"/>
      <c r="Z747" s="32"/>
      <c r="AA747" s="41"/>
      <c r="AB747" s="41"/>
      <c r="AD747" s="32"/>
      <c r="AE747" s="41"/>
    </row>
    <row r="748" spans="1:31" s="30" customFormat="1" x14ac:dyDescent="0.25">
      <c r="A748" s="36"/>
      <c r="B748" s="31"/>
      <c r="C748" s="31"/>
      <c r="D748" s="32"/>
      <c r="H748" s="32"/>
      <c r="J748" s="32"/>
      <c r="K748" s="41"/>
      <c r="L748" s="32"/>
      <c r="N748" s="32"/>
      <c r="O748" s="41"/>
      <c r="P748" s="32"/>
      <c r="R748" s="32"/>
      <c r="S748" s="41"/>
      <c r="T748" s="32"/>
      <c r="V748" s="32"/>
      <c r="W748" s="41"/>
      <c r="X748" s="32"/>
      <c r="Z748" s="32"/>
      <c r="AA748" s="41"/>
      <c r="AB748" s="41"/>
      <c r="AD748" s="32"/>
      <c r="AE748" s="41"/>
    </row>
    <row r="749" spans="1:31" s="30" customFormat="1" x14ac:dyDescent="0.25">
      <c r="A749" s="36"/>
      <c r="B749" s="31"/>
      <c r="C749" s="31"/>
      <c r="D749" s="32"/>
      <c r="H749" s="32"/>
      <c r="J749" s="32"/>
      <c r="K749" s="41"/>
      <c r="L749" s="32"/>
      <c r="N749" s="32"/>
      <c r="O749" s="41"/>
      <c r="P749" s="32"/>
      <c r="R749" s="32"/>
      <c r="S749" s="41"/>
      <c r="T749" s="32"/>
      <c r="V749" s="32"/>
      <c r="W749" s="41"/>
      <c r="X749" s="32"/>
      <c r="Z749" s="32"/>
      <c r="AA749" s="41"/>
      <c r="AB749" s="41"/>
      <c r="AD749" s="32"/>
      <c r="AE749" s="41"/>
    </row>
    <row r="750" spans="1:31" s="30" customFormat="1" x14ac:dyDescent="0.25">
      <c r="A750" s="36"/>
      <c r="B750" s="31"/>
      <c r="C750" s="31"/>
      <c r="D750" s="32"/>
      <c r="H750" s="32"/>
      <c r="J750" s="32"/>
      <c r="K750" s="41"/>
      <c r="L750" s="32"/>
      <c r="N750" s="32"/>
      <c r="O750" s="41"/>
      <c r="P750" s="32"/>
      <c r="R750" s="32"/>
      <c r="S750" s="41"/>
      <c r="T750" s="32"/>
      <c r="V750" s="32"/>
      <c r="W750" s="41"/>
      <c r="X750" s="32"/>
      <c r="Z750" s="32"/>
      <c r="AA750" s="41"/>
      <c r="AB750" s="41"/>
      <c r="AD750" s="32"/>
      <c r="AE750" s="41"/>
    </row>
    <row r="751" spans="1:31" s="30" customFormat="1" x14ac:dyDescent="0.25">
      <c r="A751" s="36"/>
      <c r="B751" s="31"/>
      <c r="C751" s="31"/>
      <c r="D751" s="32"/>
      <c r="H751" s="32"/>
      <c r="J751" s="32"/>
      <c r="K751" s="41"/>
      <c r="L751" s="32"/>
      <c r="N751" s="32"/>
      <c r="O751" s="41"/>
      <c r="P751" s="32"/>
      <c r="R751" s="32"/>
      <c r="S751" s="41"/>
      <c r="T751" s="32"/>
      <c r="V751" s="32"/>
      <c r="W751" s="41"/>
      <c r="X751" s="32"/>
      <c r="Z751" s="32"/>
      <c r="AA751" s="41"/>
      <c r="AB751" s="41"/>
      <c r="AD751" s="32"/>
      <c r="AE751" s="41"/>
    </row>
    <row r="752" spans="1:31" s="30" customFormat="1" x14ac:dyDescent="0.25">
      <c r="A752" s="36"/>
      <c r="B752" s="31"/>
      <c r="C752" s="31"/>
      <c r="D752" s="32"/>
      <c r="H752" s="32"/>
      <c r="J752" s="32"/>
      <c r="K752" s="41"/>
      <c r="L752" s="32"/>
      <c r="N752" s="32"/>
      <c r="O752" s="41"/>
      <c r="P752" s="32"/>
      <c r="R752" s="32"/>
      <c r="S752" s="41"/>
      <c r="T752" s="32"/>
      <c r="V752" s="32"/>
      <c r="W752" s="41"/>
      <c r="X752" s="32"/>
      <c r="Z752" s="32"/>
      <c r="AA752" s="41"/>
      <c r="AB752" s="41"/>
      <c r="AD752" s="32"/>
      <c r="AE752" s="41"/>
    </row>
    <row r="753" spans="1:31" s="30" customFormat="1" x14ac:dyDescent="0.25">
      <c r="A753" s="36"/>
      <c r="B753" s="31"/>
      <c r="C753" s="31"/>
      <c r="D753" s="32"/>
      <c r="H753" s="32"/>
      <c r="J753" s="32"/>
      <c r="K753" s="41"/>
      <c r="L753" s="32"/>
      <c r="N753" s="32"/>
      <c r="O753" s="41"/>
      <c r="P753" s="32"/>
      <c r="R753" s="32"/>
      <c r="S753" s="41"/>
      <c r="T753" s="32"/>
      <c r="V753" s="32"/>
      <c r="W753" s="41"/>
      <c r="X753" s="32"/>
      <c r="Z753" s="32"/>
      <c r="AA753" s="41"/>
      <c r="AB753" s="41"/>
      <c r="AD753" s="32"/>
      <c r="AE753" s="41"/>
    </row>
    <row r="754" spans="1:31" s="30" customFormat="1" x14ac:dyDescent="0.25">
      <c r="A754" s="36"/>
      <c r="B754" s="31"/>
      <c r="C754" s="31"/>
      <c r="D754" s="32"/>
      <c r="H754" s="32"/>
      <c r="J754" s="32"/>
      <c r="K754" s="41"/>
      <c r="L754" s="32"/>
      <c r="N754" s="32"/>
      <c r="O754" s="41"/>
      <c r="P754" s="32"/>
      <c r="R754" s="32"/>
      <c r="S754" s="41"/>
      <c r="T754" s="32"/>
      <c r="V754" s="32"/>
      <c r="W754" s="41"/>
      <c r="X754" s="32"/>
      <c r="Z754" s="32"/>
      <c r="AA754" s="41"/>
      <c r="AB754" s="41"/>
      <c r="AD754" s="32"/>
      <c r="AE754" s="41"/>
    </row>
    <row r="755" spans="1:31" s="30" customFormat="1" x14ac:dyDescent="0.25">
      <c r="A755" s="36"/>
      <c r="B755" s="31"/>
      <c r="C755" s="31"/>
      <c r="D755" s="32"/>
      <c r="H755" s="32"/>
      <c r="J755" s="32"/>
      <c r="K755" s="41"/>
      <c r="L755" s="32"/>
      <c r="N755" s="32"/>
      <c r="O755" s="41"/>
      <c r="P755" s="32"/>
      <c r="R755" s="32"/>
      <c r="S755" s="41"/>
      <c r="T755" s="32"/>
      <c r="V755" s="32"/>
      <c r="W755" s="41"/>
      <c r="X755" s="32"/>
      <c r="Z755" s="32"/>
      <c r="AA755" s="41"/>
      <c r="AB755" s="41"/>
      <c r="AD755" s="32"/>
      <c r="AE755" s="41"/>
    </row>
    <row r="756" spans="1:31" s="30" customFormat="1" x14ac:dyDescent="0.25">
      <c r="A756" s="36"/>
      <c r="B756" s="31"/>
      <c r="C756" s="31"/>
      <c r="D756" s="32"/>
      <c r="H756" s="32"/>
      <c r="J756" s="32"/>
      <c r="K756" s="41"/>
      <c r="L756" s="32"/>
      <c r="N756" s="32"/>
      <c r="O756" s="41"/>
      <c r="P756" s="32"/>
      <c r="R756" s="32"/>
      <c r="S756" s="41"/>
      <c r="T756" s="32"/>
      <c r="V756" s="32"/>
      <c r="W756" s="41"/>
      <c r="X756" s="32"/>
      <c r="Z756" s="32"/>
      <c r="AA756" s="41"/>
      <c r="AB756" s="41"/>
      <c r="AD756" s="32"/>
      <c r="AE756" s="41"/>
    </row>
    <row r="757" spans="1:31" s="30" customFormat="1" x14ac:dyDescent="0.25">
      <c r="A757" s="36"/>
      <c r="B757" s="31"/>
      <c r="C757" s="31"/>
      <c r="D757" s="32"/>
      <c r="H757" s="32"/>
      <c r="J757" s="32"/>
      <c r="K757" s="41"/>
      <c r="L757" s="32"/>
      <c r="N757" s="32"/>
      <c r="O757" s="41"/>
      <c r="P757" s="32"/>
      <c r="R757" s="32"/>
      <c r="S757" s="41"/>
      <c r="T757" s="32"/>
      <c r="V757" s="32"/>
      <c r="W757" s="41"/>
      <c r="X757" s="32"/>
      <c r="Z757" s="32"/>
      <c r="AA757" s="41"/>
      <c r="AB757" s="41"/>
      <c r="AD757" s="32"/>
      <c r="AE757" s="41"/>
    </row>
    <row r="758" spans="1:31" s="30" customFormat="1" x14ac:dyDescent="0.25">
      <c r="A758" s="36"/>
      <c r="B758" s="31"/>
      <c r="C758" s="31"/>
      <c r="D758" s="32"/>
      <c r="H758" s="32"/>
      <c r="J758" s="32"/>
      <c r="K758" s="41"/>
      <c r="L758" s="32"/>
      <c r="N758" s="32"/>
      <c r="O758" s="41"/>
      <c r="P758" s="32"/>
      <c r="R758" s="32"/>
      <c r="S758" s="41"/>
      <c r="T758" s="32"/>
      <c r="V758" s="32"/>
      <c r="W758" s="41"/>
      <c r="X758" s="32"/>
      <c r="Z758" s="32"/>
      <c r="AA758" s="41"/>
      <c r="AB758" s="41"/>
      <c r="AD758" s="32"/>
      <c r="AE758" s="41"/>
    </row>
    <row r="759" spans="1:31" s="30" customFormat="1" x14ac:dyDescent="0.25">
      <c r="A759" s="36"/>
      <c r="B759" s="31"/>
      <c r="C759" s="31"/>
      <c r="D759" s="32"/>
      <c r="H759" s="32"/>
      <c r="J759" s="32"/>
      <c r="K759" s="41"/>
      <c r="L759" s="32"/>
      <c r="N759" s="32"/>
      <c r="O759" s="41"/>
      <c r="P759" s="32"/>
      <c r="R759" s="32"/>
      <c r="S759" s="41"/>
      <c r="T759" s="32"/>
      <c r="V759" s="32"/>
      <c r="W759" s="41"/>
      <c r="X759" s="32"/>
      <c r="Z759" s="32"/>
      <c r="AA759" s="41"/>
      <c r="AB759" s="41"/>
      <c r="AD759" s="32"/>
      <c r="AE759" s="41"/>
    </row>
    <row r="760" spans="1:31" s="30" customFormat="1" x14ac:dyDescent="0.25">
      <c r="A760" s="36"/>
      <c r="B760" s="31"/>
      <c r="C760" s="31"/>
      <c r="D760" s="32"/>
      <c r="H760" s="32"/>
      <c r="J760" s="32"/>
      <c r="K760" s="41"/>
      <c r="L760" s="32"/>
      <c r="N760" s="32"/>
      <c r="O760" s="41"/>
      <c r="P760" s="32"/>
      <c r="R760" s="32"/>
      <c r="S760" s="41"/>
      <c r="T760" s="32"/>
      <c r="V760" s="32"/>
      <c r="W760" s="41"/>
      <c r="X760" s="32"/>
      <c r="Z760" s="32"/>
      <c r="AA760" s="41"/>
      <c r="AB760" s="41"/>
      <c r="AD760" s="32"/>
      <c r="AE760" s="41"/>
    </row>
    <row r="761" spans="1:31" s="30" customFormat="1" x14ac:dyDescent="0.25">
      <c r="A761" s="36"/>
      <c r="B761" s="31"/>
      <c r="C761" s="31"/>
      <c r="D761" s="32"/>
      <c r="H761" s="32"/>
      <c r="J761" s="32"/>
      <c r="K761" s="41"/>
      <c r="L761" s="32"/>
      <c r="N761" s="32"/>
      <c r="O761" s="41"/>
      <c r="P761" s="32"/>
      <c r="R761" s="32"/>
      <c r="S761" s="41"/>
      <c r="T761" s="32"/>
      <c r="V761" s="32"/>
      <c r="W761" s="41"/>
      <c r="X761" s="32"/>
      <c r="Z761" s="32"/>
      <c r="AA761" s="41"/>
      <c r="AB761" s="41"/>
      <c r="AD761" s="32"/>
      <c r="AE761" s="41"/>
    </row>
    <row r="762" spans="1:31" s="30" customFormat="1" x14ac:dyDescent="0.25">
      <c r="A762" s="36"/>
      <c r="B762" s="31"/>
      <c r="C762" s="31"/>
      <c r="D762" s="32"/>
      <c r="H762" s="32"/>
      <c r="J762" s="32"/>
      <c r="K762" s="41"/>
      <c r="L762" s="32"/>
      <c r="N762" s="32"/>
      <c r="O762" s="41"/>
      <c r="P762" s="32"/>
      <c r="R762" s="32"/>
      <c r="S762" s="41"/>
      <c r="T762" s="32"/>
      <c r="V762" s="32"/>
      <c r="W762" s="41"/>
      <c r="X762" s="32"/>
      <c r="Z762" s="32"/>
      <c r="AA762" s="41"/>
      <c r="AB762" s="41"/>
      <c r="AD762" s="32"/>
      <c r="AE762" s="41"/>
    </row>
    <row r="763" spans="1:31" s="30" customFormat="1" x14ac:dyDescent="0.25">
      <c r="A763" s="36"/>
      <c r="B763" s="31"/>
      <c r="C763" s="31"/>
      <c r="D763" s="32"/>
      <c r="H763" s="32"/>
      <c r="J763" s="32"/>
      <c r="K763" s="41"/>
      <c r="L763" s="32"/>
      <c r="N763" s="32"/>
      <c r="O763" s="41"/>
      <c r="P763" s="32"/>
      <c r="R763" s="32"/>
      <c r="S763" s="41"/>
      <c r="T763" s="32"/>
      <c r="V763" s="32"/>
      <c r="W763" s="41"/>
      <c r="X763" s="32"/>
      <c r="Z763" s="32"/>
      <c r="AA763" s="41"/>
      <c r="AB763" s="41"/>
      <c r="AD763" s="32"/>
      <c r="AE763" s="41"/>
    </row>
    <row r="764" spans="1:31" s="30" customFormat="1" x14ac:dyDescent="0.25">
      <c r="A764" s="36"/>
      <c r="B764" s="31"/>
      <c r="C764" s="31"/>
      <c r="D764" s="32"/>
      <c r="H764" s="32"/>
      <c r="J764" s="32"/>
      <c r="K764" s="41"/>
      <c r="L764" s="32"/>
      <c r="N764" s="32"/>
      <c r="O764" s="41"/>
      <c r="P764" s="32"/>
      <c r="R764" s="32"/>
      <c r="S764" s="41"/>
      <c r="T764" s="32"/>
      <c r="V764" s="32"/>
      <c r="W764" s="41"/>
      <c r="X764" s="32"/>
      <c r="Z764" s="32"/>
      <c r="AA764" s="41"/>
      <c r="AB764" s="41"/>
      <c r="AD764" s="32"/>
      <c r="AE764" s="41"/>
    </row>
    <row r="765" spans="1:31" s="30" customFormat="1" x14ac:dyDescent="0.25">
      <c r="A765" s="36"/>
      <c r="B765" s="31"/>
      <c r="C765" s="31"/>
      <c r="D765" s="32"/>
      <c r="H765" s="32"/>
      <c r="J765" s="32"/>
      <c r="K765" s="41"/>
      <c r="L765" s="32"/>
      <c r="N765" s="32"/>
      <c r="O765" s="41"/>
      <c r="P765" s="32"/>
      <c r="R765" s="32"/>
      <c r="S765" s="41"/>
      <c r="T765" s="32"/>
      <c r="V765" s="32"/>
      <c r="W765" s="41"/>
      <c r="X765" s="32"/>
      <c r="Z765" s="32"/>
      <c r="AA765" s="41"/>
      <c r="AB765" s="41"/>
      <c r="AD765" s="32"/>
      <c r="AE765" s="41"/>
    </row>
    <row r="766" spans="1:31" s="30" customFormat="1" x14ac:dyDescent="0.25">
      <c r="A766" s="36"/>
      <c r="B766" s="31"/>
      <c r="C766" s="31"/>
      <c r="D766" s="32"/>
      <c r="H766" s="32"/>
      <c r="J766" s="32"/>
      <c r="K766" s="41"/>
      <c r="L766" s="32"/>
      <c r="N766" s="32"/>
      <c r="O766" s="41"/>
      <c r="P766" s="32"/>
      <c r="R766" s="32"/>
      <c r="S766" s="41"/>
      <c r="T766" s="32"/>
      <c r="V766" s="32"/>
      <c r="W766" s="41"/>
      <c r="X766" s="32"/>
      <c r="Z766" s="32"/>
      <c r="AA766" s="41"/>
      <c r="AB766" s="41"/>
      <c r="AD766" s="32"/>
      <c r="AE766" s="41"/>
    </row>
    <row r="767" spans="1:31" s="30" customFormat="1" x14ac:dyDescent="0.25">
      <c r="A767" s="36"/>
      <c r="B767" s="31"/>
      <c r="C767" s="31"/>
      <c r="D767" s="32"/>
      <c r="H767" s="32"/>
      <c r="J767" s="32"/>
      <c r="K767" s="41"/>
      <c r="L767" s="32"/>
      <c r="N767" s="32"/>
      <c r="O767" s="41"/>
      <c r="P767" s="32"/>
      <c r="R767" s="32"/>
      <c r="S767" s="41"/>
      <c r="T767" s="32"/>
      <c r="V767" s="32"/>
      <c r="W767" s="41"/>
      <c r="X767" s="32"/>
      <c r="Z767" s="32"/>
      <c r="AA767" s="41"/>
      <c r="AB767" s="41"/>
      <c r="AD767" s="32"/>
      <c r="AE767" s="41"/>
    </row>
    <row r="768" spans="1:31" s="30" customFormat="1" x14ac:dyDescent="0.25">
      <c r="A768" s="36"/>
      <c r="B768" s="31"/>
      <c r="C768" s="31"/>
      <c r="D768" s="32"/>
      <c r="H768" s="32"/>
      <c r="J768" s="32"/>
      <c r="K768" s="41"/>
      <c r="L768" s="32"/>
      <c r="N768" s="32"/>
      <c r="O768" s="41"/>
      <c r="P768" s="32"/>
      <c r="R768" s="32"/>
      <c r="S768" s="41"/>
      <c r="T768" s="32"/>
      <c r="V768" s="32"/>
      <c r="W768" s="41"/>
      <c r="X768" s="32"/>
      <c r="Z768" s="32"/>
      <c r="AA768" s="41"/>
      <c r="AB768" s="41"/>
      <c r="AD768" s="32"/>
      <c r="AE768" s="41"/>
    </row>
    <row r="769" spans="1:31" s="30" customFormat="1" x14ac:dyDescent="0.25">
      <c r="A769" s="36"/>
      <c r="B769" s="31"/>
      <c r="C769" s="31"/>
      <c r="D769" s="32"/>
      <c r="H769" s="32"/>
      <c r="J769" s="32"/>
      <c r="K769" s="41"/>
      <c r="L769" s="32"/>
      <c r="N769" s="32"/>
      <c r="O769" s="41"/>
      <c r="P769" s="32"/>
      <c r="R769" s="32"/>
      <c r="S769" s="41"/>
      <c r="T769" s="32"/>
      <c r="V769" s="32"/>
      <c r="W769" s="41"/>
      <c r="X769" s="32"/>
      <c r="Z769" s="32"/>
      <c r="AA769" s="41"/>
      <c r="AB769" s="41"/>
      <c r="AD769" s="32"/>
      <c r="AE769" s="41"/>
    </row>
    <row r="770" spans="1:31" s="30" customFormat="1" x14ac:dyDescent="0.25">
      <c r="A770" s="36"/>
      <c r="B770" s="31"/>
      <c r="C770" s="31"/>
      <c r="D770" s="32"/>
      <c r="H770" s="32"/>
      <c r="J770" s="32"/>
      <c r="K770" s="41"/>
      <c r="L770" s="32"/>
      <c r="N770" s="32"/>
      <c r="O770" s="41"/>
      <c r="P770" s="32"/>
      <c r="R770" s="32"/>
      <c r="S770" s="41"/>
      <c r="T770" s="32"/>
      <c r="V770" s="32"/>
      <c r="W770" s="41"/>
      <c r="X770" s="32"/>
      <c r="Z770" s="32"/>
      <c r="AA770" s="41"/>
      <c r="AB770" s="41"/>
      <c r="AD770" s="32"/>
      <c r="AE770" s="41"/>
    </row>
    <row r="771" spans="1:31" s="30" customFormat="1" x14ac:dyDescent="0.25">
      <c r="A771" s="36"/>
      <c r="B771" s="31"/>
      <c r="C771" s="31"/>
      <c r="D771" s="32"/>
      <c r="H771" s="32"/>
      <c r="J771" s="32"/>
      <c r="K771" s="41"/>
      <c r="L771" s="32"/>
      <c r="N771" s="32"/>
      <c r="O771" s="41"/>
      <c r="P771" s="32"/>
      <c r="R771" s="32"/>
      <c r="S771" s="41"/>
      <c r="T771" s="32"/>
      <c r="V771" s="32"/>
      <c r="W771" s="41"/>
      <c r="X771" s="32"/>
      <c r="Z771" s="32"/>
      <c r="AA771" s="41"/>
      <c r="AB771" s="41"/>
      <c r="AD771" s="32"/>
      <c r="AE771" s="41"/>
    </row>
    <row r="772" spans="1:31" s="30" customFormat="1" x14ac:dyDescent="0.25">
      <c r="A772" s="36"/>
      <c r="B772" s="31"/>
      <c r="C772" s="31"/>
      <c r="D772" s="32"/>
      <c r="H772" s="32"/>
      <c r="J772" s="32"/>
      <c r="K772" s="41"/>
      <c r="L772" s="32"/>
      <c r="N772" s="32"/>
      <c r="O772" s="41"/>
      <c r="P772" s="32"/>
      <c r="R772" s="32"/>
      <c r="S772" s="41"/>
      <c r="T772" s="32"/>
      <c r="V772" s="32"/>
      <c r="W772" s="41"/>
      <c r="X772" s="32"/>
      <c r="Z772" s="32"/>
      <c r="AA772" s="41"/>
      <c r="AB772" s="41"/>
      <c r="AD772" s="32"/>
      <c r="AE772" s="41"/>
    </row>
    <row r="773" spans="1:31" s="30" customFormat="1" x14ac:dyDescent="0.25">
      <c r="A773" s="36"/>
      <c r="B773" s="31"/>
      <c r="C773" s="31"/>
      <c r="D773" s="32"/>
      <c r="H773" s="32"/>
      <c r="J773" s="32"/>
      <c r="K773" s="41"/>
      <c r="L773" s="32"/>
      <c r="N773" s="32"/>
      <c r="O773" s="41"/>
      <c r="P773" s="32"/>
      <c r="R773" s="32"/>
      <c r="S773" s="41"/>
      <c r="T773" s="32"/>
      <c r="V773" s="32"/>
      <c r="W773" s="41"/>
      <c r="X773" s="32"/>
      <c r="Z773" s="32"/>
      <c r="AA773" s="41"/>
      <c r="AB773" s="41"/>
      <c r="AD773" s="32"/>
      <c r="AE773" s="41"/>
    </row>
    <row r="774" spans="1:31" s="30" customFormat="1" x14ac:dyDescent="0.25">
      <c r="A774" s="36"/>
      <c r="B774" s="31"/>
      <c r="C774" s="31"/>
      <c r="D774" s="32"/>
      <c r="H774" s="32"/>
      <c r="J774" s="32"/>
      <c r="K774" s="41"/>
      <c r="L774" s="32"/>
      <c r="N774" s="32"/>
      <c r="O774" s="41"/>
      <c r="P774" s="32"/>
      <c r="R774" s="32"/>
      <c r="S774" s="41"/>
      <c r="T774" s="32"/>
      <c r="V774" s="32"/>
      <c r="W774" s="41"/>
      <c r="X774" s="32"/>
      <c r="Z774" s="32"/>
      <c r="AA774" s="41"/>
      <c r="AB774" s="41"/>
      <c r="AD774" s="32"/>
      <c r="AE774" s="41"/>
    </row>
    <row r="775" spans="1:31" s="30" customFormat="1" x14ac:dyDescent="0.25">
      <c r="A775" s="36"/>
      <c r="B775" s="31"/>
      <c r="C775" s="31"/>
      <c r="D775" s="32"/>
      <c r="H775" s="32"/>
      <c r="J775" s="32"/>
      <c r="K775" s="41"/>
      <c r="L775" s="32"/>
      <c r="N775" s="32"/>
      <c r="O775" s="41"/>
      <c r="P775" s="32"/>
      <c r="R775" s="32"/>
      <c r="S775" s="41"/>
      <c r="T775" s="32"/>
      <c r="V775" s="32"/>
      <c r="W775" s="41"/>
      <c r="X775" s="32"/>
      <c r="Z775" s="32"/>
      <c r="AA775" s="41"/>
      <c r="AB775" s="41"/>
      <c r="AD775" s="32"/>
      <c r="AE775" s="41"/>
    </row>
    <row r="776" spans="1:31" s="30" customFormat="1" x14ac:dyDescent="0.25">
      <c r="A776" s="36"/>
      <c r="B776" s="31"/>
      <c r="C776" s="31"/>
      <c r="D776" s="32"/>
      <c r="H776" s="32"/>
      <c r="J776" s="32"/>
      <c r="K776" s="41"/>
      <c r="L776" s="32"/>
      <c r="N776" s="32"/>
      <c r="O776" s="41"/>
      <c r="P776" s="32"/>
      <c r="R776" s="32"/>
      <c r="S776" s="41"/>
      <c r="T776" s="32"/>
      <c r="V776" s="32"/>
      <c r="W776" s="41"/>
      <c r="X776" s="32"/>
      <c r="Z776" s="32"/>
      <c r="AA776" s="41"/>
      <c r="AB776" s="41"/>
      <c r="AD776" s="32"/>
      <c r="AE776" s="41"/>
    </row>
    <row r="777" spans="1:31" s="30" customFormat="1" x14ac:dyDescent="0.25">
      <c r="A777" s="36"/>
      <c r="B777" s="31"/>
      <c r="C777" s="31"/>
      <c r="D777" s="32"/>
      <c r="H777" s="32"/>
      <c r="J777" s="32"/>
      <c r="K777" s="41"/>
      <c r="L777" s="32"/>
      <c r="N777" s="32"/>
      <c r="O777" s="41"/>
      <c r="P777" s="32"/>
      <c r="R777" s="32"/>
      <c r="S777" s="41"/>
      <c r="T777" s="32"/>
      <c r="V777" s="32"/>
      <c r="W777" s="41"/>
      <c r="X777" s="32"/>
      <c r="Z777" s="32"/>
      <c r="AA777" s="41"/>
      <c r="AB777" s="41"/>
      <c r="AD777" s="32"/>
      <c r="AE777" s="41"/>
    </row>
    <row r="778" spans="1:31" s="30" customFormat="1" x14ac:dyDescent="0.25">
      <c r="A778" s="36"/>
      <c r="B778" s="31"/>
      <c r="C778" s="31"/>
      <c r="D778" s="32"/>
      <c r="H778" s="32"/>
      <c r="J778" s="32"/>
      <c r="K778" s="41"/>
      <c r="L778" s="32"/>
      <c r="N778" s="32"/>
      <c r="O778" s="41"/>
      <c r="P778" s="32"/>
      <c r="R778" s="32"/>
      <c r="S778" s="41"/>
      <c r="T778" s="32"/>
      <c r="V778" s="32"/>
      <c r="W778" s="41"/>
      <c r="X778" s="32"/>
      <c r="Z778" s="32"/>
      <c r="AA778" s="41"/>
      <c r="AB778" s="41"/>
      <c r="AD778" s="32"/>
      <c r="AE778" s="41"/>
    </row>
    <row r="779" spans="1:31" s="30" customFormat="1" x14ac:dyDescent="0.25">
      <c r="A779" s="36"/>
      <c r="B779" s="31"/>
      <c r="C779" s="31"/>
      <c r="D779" s="32"/>
      <c r="H779" s="32"/>
      <c r="J779" s="32"/>
      <c r="K779" s="41"/>
      <c r="L779" s="32"/>
      <c r="N779" s="32"/>
      <c r="O779" s="41"/>
      <c r="P779" s="32"/>
      <c r="R779" s="32"/>
      <c r="S779" s="41"/>
      <c r="T779" s="32"/>
      <c r="V779" s="32"/>
      <c r="W779" s="41"/>
      <c r="X779" s="32"/>
      <c r="Z779" s="32"/>
      <c r="AA779" s="41"/>
      <c r="AB779" s="41"/>
      <c r="AD779" s="32"/>
      <c r="AE779" s="41"/>
    </row>
    <row r="780" spans="1:31" s="30" customFormat="1" x14ac:dyDescent="0.25">
      <c r="A780" s="36"/>
      <c r="B780" s="31"/>
      <c r="C780" s="31"/>
      <c r="D780" s="32"/>
      <c r="H780" s="32"/>
      <c r="J780" s="32"/>
      <c r="K780" s="41"/>
      <c r="L780" s="32"/>
      <c r="N780" s="32"/>
      <c r="O780" s="41"/>
      <c r="P780" s="32"/>
      <c r="R780" s="32"/>
      <c r="S780" s="41"/>
      <c r="T780" s="32"/>
      <c r="V780" s="32"/>
      <c r="W780" s="41"/>
      <c r="X780" s="32"/>
      <c r="Z780" s="32"/>
      <c r="AA780" s="41"/>
      <c r="AB780" s="41"/>
      <c r="AD780" s="32"/>
      <c r="AE780" s="41"/>
    </row>
    <row r="781" spans="1:31" s="30" customFormat="1" x14ac:dyDescent="0.25">
      <c r="A781" s="36"/>
      <c r="B781" s="31"/>
      <c r="C781" s="31"/>
      <c r="D781" s="32"/>
      <c r="H781" s="32"/>
      <c r="J781" s="32"/>
      <c r="K781" s="41"/>
      <c r="L781" s="32"/>
      <c r="N781" s="32"/>
      <c r="O781" s="41"/>
      <c r="P781" s="32"/>
      <c r="R781" s="32"/>
      <c r="S781" s="41"/>
      <c r="T781" s="32"/>
      <c r="V781" s="32"/>
      <c r="W781" s="41"/>
      <c r="X781" s="32"/>
      <c r="Z781" s="32"/>
      <c r="AA781" s="41"/>
      <c r="AB781" s="41"/>
      <c r="AD781" s="32"/>
      <c r="AE781" s="41"/>
    </row>
    <row r="782" spans="1:31" s="30" customFormat="1" x14ac:dyDescent="0.25">
      <c r="A782" s="36"/>
      <c r="B782" s="31"/>
      <c r="C782" s="31"/>
      <c r="D782" s="32"/>
      <c r="H782" s="32"/>
      <c r="J782" s="32"/>
      <c r="K782" s="41"/>
      <c r="L782" s="32"/>
      <c r="N782" s="32"/>
      <c r="O782" s="41"/>
      <c r="P782" s="32"/>
      <c r="R782" s="32"/>
      <c r="S782" s="41"/>
      <c r="T782" s="32"/>
      <c r="V782" s="32"/>
      <c r="W782" s="41"/>
      <c r="X782" s="32"/>
      <c r="Z782" s="32"/>
      <c r="AA782" s="41"/>
      <c r="AB782" s="41"/>
      <c r="AD782" s="32"/>
      <c r="AE782" s="41"/>
    </row>
    <row r="783" spans="1:31" s="30" customFormat="1" x14ac:dyDescent="0.25">
      <c r="A783" s="36"/>
      <c r="B783" s="31"/>
      <c r="C783" s="31"/>
      <c r="D783" s="32"/>
      <c r="H783" s="32"/>
      <c r="J783" s="32"/>
      <c r="K783" s="41"/>
      <c r="L783" s="32"/>
      <c r="N783" s="32"/>
      <c r="O783" s="41"/>
      <c r="P783" s="32"/>
      <c r="R783" s="32"/>
      <c r="S783" s="41"/>
      <c r="T783" s="32"/>
      <c r="V783" s="32"/>
      <c r="W783" s="41"/>
      <c r="X783" s="32"/>
      <c r="Z783" s="32"/>
      <c r="AA783" s="41"/>
      <c r="AB783" s="41"/>
      <c r="AD783" s="32"/>
      <c r="AE783" s="41"/>
    </row>
    <row r="784" spans="1:31" s="30" customFormat="1" x14ac:dyDescent="0.25">
      <c r="A784" s="36"/>
      <c r="B784" s="31"/>
      <c r="C784" s="31"/>
      <c r="D784" s="32"/>
      <c r="H784" s="32"/>
      <c r="J784" s="32"/>
      <c r="K784" s="41"/>
      <c r="L784" s="32"/>
      <c r="N784" s="32"/>
      <c r="O784" s="41"/>
      <c r="P784" s="32"/>
      <c r="R784" s="32"/>
      <c r="S784" s="41"/>
      <c r="T784" s="32"/>
      <c r="V784" s="32"/>
      <c r="W784" s="41"/>
      <c r="X784" s="32"/>
      <c r="Z784" s="32"/>
      <c r="AA784" s="41"/>
      <c r="AB784" s="41"/>
      <c r="AD784" s="32"/>
      <c r="AE784" s="41"/>
    </row>
    <row r="785" spans="1:31" s="30" customFormat="1" x14ac:dyDescent="0.25">
      <c r="A785" s="36"/>
      <c r="B785" s="31"/>
      <c r="C785" s="31"/>
      <c r="D785" s="32"/>
      <c r="H785" s="32"/>
      <c r="J785" s="32"/>
      <c r="K785" s="41"/>
      <c r="L785" s="32"/>
      <c r="N785" s="32"/>
      <c r="O785" s="41"/>
      <c r="P785" s="32"/>
      <c r="R785" s="32"/>
      <c r="S785" s="41"/>
      <c r="T785" s="32"/>
      <c r="V785" s="32"/>
      <c r="W785" s="41"/>
      <c r="X785" s="32"/>
      <c r="Z785" s="32"/>
      <c r="AA785" s="41"/>
      <c r="AB785" s="41"/>
      <c r="AD785" s="32"/>
      <c r="AE785" s="41"/>
    </row>
    <row r="786" spans="1:31" s="30" customFormat="1" x14ac:dyDescent="0.25">
      <c r="A786" s="36"/>
      <c r="B786" s="31"/>
      <c r="C786" s="31"/>
      <c r="D786" s="32"/>
      <c r="H786" s="32"/>
      <c r="J786" s="32"/>
      <c r="K786" s="41"/>
      <c r="L786" s="32"/>
      <c r="N786" s="32"/>
      <c r="O786" s="41"/>
      <c r="P786" s="32"/>
      <c r="R786" s="32"/>
      <c r="S786" s="41"/>
      <c r="T786" s="32"/>
      <c r="V786" s="32"/>
      <c r="W786" s="41"/>
      <c r="X786" s="32"/>
      <c r="Z786" s="32"/>
      <c r="AA786" s="41"/>
      <c r="AB786" s="41"/>
      <c r="AD786" s="32"/>
      <c r="AE786" s="41"/>
    </row>
    <row r="787" spans="1:31" s="30" customFormat="1" x14ac:dyDescent="0.25">
      <c r="A787" s="36"/>
      <c r="B787" s="31"/>
      <c r="C787" s="31"/>
      <c r="D787" s="32"/>
      <c r="H787" s="32"/>
      <c r="J787" s="32"/>
      <c r="K787" s="41"/>
      <c r="L787" s="32"/>
      <c r="N787" s="32"/>
      <c r="O787" s="41"/>
      <c r="P787" s="32"/>
      <c r="R787" s="32"/>
      <c r="S787" s="41"/>
      <c r="T787" s="32"/>
      <c r="V787" s="32"/>
      <c r="W787" s="41"/>
      <c r="X787" s="32"/>
      <c r="Z787" s="32"/>
      <c r="AA787" s="41"/>
      <c r="AB787" s="41"/>
      <c r="AD787" s="32"/>
      <c r="AE787" s="41"/>
    </row>
    <row r="788" spans="1:31" s="30" customFormat="1" x14ac:dyDescent="0.25">
      <c r="A788" s="36"/>
      <c r="B788" s="31"/>
      <c r="C788" s="31"/>
      <c r="D788" s="32"/>
      <c r="H788" s="32"/>
      <c r="J788" s="32"/>
      <c r="K788" s="41"/>
      <c r="L788" s="32"/>
      <c r="N788" s="32"/>
      <c r="O788" s="41"/>
      <c r="P788" s="32"/>
      <c r="R788" s="32"/>
      <c r="S788" s="41"/>
      <c r="T788" s="32"/>
      <c r="V788" s="32"/>
      <c r="W788" s="41"/>
      <c r="X788" s="32"/>
      <c r="Z788" s="32"/>
      <c r="AA788" s="41"/>
      <c r="AB788" s="41"/>
      <c r="AD788" s="32"/>
      <c r="AE788" s="41"/>
    </row>
    <row r="789" spans="1:31" s="30" customFormat="1" x14ac:dyDescent="0.25">
      <c r="A789" s="36"/>
      <c r="B789" s="31"/>
      <c r="C789" s="31"/>
      <c r="D789" s="32"/>
      <c r="H789" s="32"/>
      <c r="J789" s="32"/>
      <c r="K789" s="41"/>
      <c r="L789" s="32"/>
      <c r="N789" s="32"/>
      <c r="O789" s="41"/>
      <c r="P789" s="32"/>
      <c r="R789" s="32"/>
      <c r="S789" s="41"/>
      <c r="T789" s="32"/>
      <c r="V789" s="32"/>
      <c r="W789" s="41"/>
      <c r="X789" s="32"/>
      <c r="Z789" s="32"/>
      <c r="AA789" s="41"/>
      <c r="AB789" s="41"/>
      <c r="AD789" s="32"/>
      <c r="AE789" s="41"/>
    </row>
    <row r="790" spans="1:31" s="30" customFormat="1" x14ac:dyDescent="0.25">
      <c r="A790" s="36"/>
      <c r="B790" s="31"/>
      <c r="C790" s="31"/>
      <c r="D790" s="32"/>
      <c r="F790" s="10"/>
      <c r="G790" s="10"/>
      <c r="H790" s="32"/>
      <c r="J790" s="32"/>
      <c r="K790" s="41"/>
      <c r="L790" s="32"/>
      <c r="N790" s="32"/>
      <c r="O790" s="41"/>
      <c r="P790" s="32"/>
      <c r="R790" s="32"/>
      <c r="S790" s="41"/>
      <c r="T790" s="32"/>
      <c r="V790" s="32"/>
      <c r="W790" s="41"/>
      <c r="X790" s="32"/>
      <c r="Z790" s="32"/>
      <c r="AA790" s="41"/>
      <c r="AB790" s="41"/>
      <c r="AD790" s="32"/>
      <c r="AE790" s="41"/>
    </row>
    <row r="791" spans="1:31" s="30" customFormat="1" x14ac:dyDescent="0.25">
      <c r="A791" s="36"/>
      <c r="B791" s="31"/>
      <c r="C791" s="31"/>
      <c r="D791" s="32"/>
      <c r="F791" s="10"/>
      <c r="G791" s="10"/>
      <c r="H791" s="32"/>
      <c r="J791" s="32"/>
      <c r="K791" s="41"/>
      <c r="L791" s="32"/>
      <c r="N791" s="32"/>
      <c r="O791" s="41"/>
      <c r="P791" s="32"/>
      <c r="R791" s="32"/>
      <c r="S791" s="41"/>
      <c r="T791" s="32"/>
      <c r="V791" s="32"/>
      <c r="W791" s="41"/>
      <c r="X791" s="32"/>
      <c r="Z791" s="32"/>
      <c r="AA791" s="41"/>
      <c r="AB791" s="41"/>
      <c r="AD791" s="32"/>
      <c r="AE791" s="41"/>
    </row>
  </sheetData>
  <sheetProtection algorithmName="SHA-512" hashValue="5b9nCLmkPupQjrLI0uyv+iL41HESiCIw3x6NGgk3f5UMMS4M2Eldi5wSihXIAFGAMAhvbYwlIrR1jUosK3XtpA==" saltValue="fBE/um61M+3ff4ReY5Gzpg==" spinCount="100000" sheet="1" objects="1" scenarios="1" formatColumns="0" formatRows="0" selectLockedCells="1"/>
  <mergeCells count="25">
    <mergeCell ref="A7:C7"/>
    <mergeCell ref="A9:C9"/>
    <mergeCell ref="Q7:S7"/>
    <mergeCell ref="E16:G16"/>
    <mergeCell ref="I16:K16"/>
    <mergeCell ref="M16:O16"/>
    <mergeCell ref="Q16:S16"/>
    <mergeCell ref="M7:O7"/>
    <mergeCell ref="E7:G7"/>
    <mergeCell ref="I7:K7"/>
    <mergeCell ref="E9:G9"/>
    <mergeCell ref="I9:K9"/>
    <mergeCell ref="M9:O9"/>
    <mergeCell ref="Q9:S9"/>
    <mergeCell ref="U16:W16"/>
    <mergeCell ref="Y16:AA16"/>
    <mergeCell ref="AC16:AE16"/>
    <mergeCell ref="A16:C16"/>
    <mergeCell ref="A33:B33"/>
    <mergeCell ref="U7:W7"/>
    <mergeCell ref="AC7:AE7"/>
    <mergeCell ref="Y7:AA7"/>
    <mergeCell ref="U9:W9"/>
    <mergeCell ref="Y9:AA9"/>
    <mergeCell ref="AC9:AE9"/>
  </mergeCells>
  <phoneticPr fontId="29" type="noConversion"/>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7244A7-B202-4414-A88E-998A6F3DD55E}">
  <dimension ref="A1:B12"/>
  <sheetViews>
    <sheetView workbookViewId="0">
      <selection sqref="A1:XFD1048576"/>
    </sheetView>
    <sheetView workbookViewId="1"/>
  </sheetViews>
  <sheetFormatPr defaultColWidth="9.140625" defaultRowHeight="15" x14ac:dyDescent="0.25"/>
  <cols>
    <col min="1" max="1" width="80.42578125" style="10" customWidth="1"/>
    <col min="2" max="2" width="18.42578125" style="10" customWidth="1"/>
    <col min="3" max="16384" width="9.140625" style="10"/>
  </cols>
  <sheetData>
    <row r="1" spans="1:2" ht="15.75" thickBot="1" x14ac:dyDescent="0.3">
      <c r="A1" s="126" t="s">
        <v>626</v>
      </c>
      <c r="B1" s="503" t="str">
        <f>'FFP CLINs X007-X021'!B1</f>
        <v>NAME</v>
      </c>
    </row>
    <row r="3" spans="1:2" ht="15.75" x14ac:dyDescent="0.25">
      <c r="A3" s="52" t="s">
        <v>24</v>
      </c>
      <c r="B3" s="53" t="s">
        <v>25</v>
      </c>
    </row>
    <row r="4" spans="1:2" ht="15.75" x14ac:dyDescent="0.25">
      <c r="A4" s="54" t="s">
        <v>288</v>
      </c>
      <c r="B4" s="55">
        <f>SUMMARY!G32</f>
        <v>0</v>
      </c>
    </row>
    <row r="5" spans="1:2" ht="17.25" customHeight="1" x14ac:dyDescent="0.25">
      <c r="A5" s="54" t="s">
        <v>83</v>
      </c>
      <c r="B5" s="55">
        <f>SUMMARY!K32</f>
        <v>0</v>
      </c>
    </row>
    <row r="6" spans="1:2" ht="15.75" x14ac:dyDescent="0.25">
      <c r="A6" s="54" t="s">
        <v>84</v>
      </c>
      <c r="B6" s="55">
        <f>SUMMARY!O32</f>
        <v>0</v>
      </c>
    </row>
    <row r="7" spans="1:2" ht="15.75" x14ac:dyDescent="0.25">
      <c r="A7" s="54" t="s">
        <v>85</v>
      </c>
      <c r="B7" s="55">
        <f>SUMMARY!S32</f>
        <v>0</v>
      </c>
    </row>
    <row r="8" spans="1:2" ht="15.75" x14ac:dyDescent="0.25">
      <c r="A8" s="54" t="s">
        <v>86</v>
      </c>
      <c r="B8" s="55">
        <f>SUMMARY!W32</f>
        <v>0</v>
      </c>
    </row>
    <row r="9" spans="1:2" ht="15.75" x14ac:dyDescent="0.25">
      <c r="A9" s="54" t="s">
        <v>87</v>
      </c>
      <c r="B9" s="55">
        <f>SUMMARY!AA32</f>
        <v>0</v>
      </c>
    </row>
    <row r="10" spans="1:2" ht="15.75" x14ac:dyDescent="0.25">
      <c r="A10" s="54" t="s">
        <v>88</v>
      </c>
      <c r="B10" s="56">
        <f>SUMMARY!AE32</f>
        <v>0</v>
      </c>
    </row>
    <row r="11" spans="1:2" ht="32.25" thickBot="1" x14ac:dyDescent="0.3">
      <c r="A11" s="57" t="s">
        <v>289</v>
      </c>
      <c r="B11" s="58">
        <f>SUM(B4:B10)</f>
        <v>0</v>
      </c>
    </row>
    <row r="12" spans="1:2" ht="15.75" thickTop="1" x14ac:dyDescent="0.25"/>
  </sheetData>
  <sheetProtection algorithmName="SHA-512" hashValue="Z8qFUPjEPV+3kFqU8CiaxU8sUletmAbdiqWBFq0pmgT8r4H1XkoSuD5h+pldFFOvgQUsOrMS0moAfifiYl3Oiw==" saltValue="KKCxxYk4PbSy35mM8G3PoQ==" spinCount="100000" sheet="1" objects="1" scenarios="1" selectLockedCells="1"/>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6362D9-D4D9-4544-B5D2-F5F0F1A4781A}">
  <sheetPr>
    <tabColor rgb="FFFFFF00"/>
  </sheetPr>
  <dimension ref="A1:AI780"/>
  <sheetViews>
    <sheetView zoomScale="130" zoomScaleNormal="130" workbookViewId="0">
      <pane xSplit="3" topLeftCell="D1" activePane="topRight" state="frozen"/>
      <selection pane="topRight" activeCell="B1" sqref="B1"/>
    </sheetView>
    <sheetView workbookViewId="1"/>
  </sheetViews>
  <sheetFormatPr defaultColWidth="9.140625" defaultRowHeight="15" x14ac:dyDescent="0.25"/>
  <cols>
    <col min="1" max="1" width="59.28515625" style="47" customWidth="1"/>
    <col min="2" max="2" width="12.5703125" style="48" customWidth="1"/>
    <col min="3" max="3" width="18.85546875" style="48" bestFit="1" customWidth="1"/>
    <col min="4" max="4" width="8" style="5" customWidth="1"/>
    <col min="5" max="5" width="12.28515625" style="10" customWidth="1"/>
    <col min="6" max="6" width="15.7109375" style="10" customWidth="1"/>
    <col min="7" max="7" width="20.85546875" style="10" customWidth="1"/>
    <col min="8" max="8" width="8" style="5" customWidth="1"/>
    <col min="9" max="9" width="12.28515625" style="10" bestFit="1" customWidth="1"/>
    <col min="10" max="10" width="15.7109375" style="49" customWidth="1"/>
    <col min="11" max="11" width="20.5703125" style="50" customWidth="1"/>
    <col min="12" max="12" width="9.28515625" style="5" customWidth="1"/>
    <col min="13" max="13" width="12.28515625" style="10" bestFit="1" customWidth="1"/>
    <col min="14" max="14" width="15.7109375" style="49" customWidth="1"/>
    <col min="15" max="15" width="20.7109375" style="50" customWidth="1"/>
    <col min="16" max="16" width="9.7109375" style="5" customWidth="1"/>
    <col min="17" max="17" width="12.28515625" style="10" bestFit="1" customWidth="1"/>
    <col min="18" max="18" width="15.7109375" style="49" customWidth="1"/>
    <col min="19" max="19" width="20.7109375" style="50" customWidth="1"/>
    <col min="20" max="20" width="9.140625" style="5" bestFit="1"/>
    <col min="21" max="21" width="12.28515625" style="10" bestFit="1" customWidth="1"/>
    <col min="22" max="22" width="15.7109375" style="49" customWidth="1"/>
    <col min="23" max="23" width="20.7109375" style="50" customWidth="1"/>
    <col min="24" max="24" width="9.140625" style="5" bestFit="1"/>
    <col min="25" max="25" width="12.28515625" style="10" bestFit="1" customWidth="1"/>
    <col min="26" max="26" width="15.7109375" style="49" customWidth="1"/>
    <col min="27" max="27" width="20.85546875" style="50" customWidth="1"/>
    <col min="28" max="28" width="7.7109375" style="50" customWidth="1"/>
    <col min="29" max="29" width="12.28515625" style="10" bestFit="1" customWidth="1"/>
    <col min="30" max="30" width="15.7109375" style="49" customWidth="1"/>
    <col min="31" max="31" width="20.7109375" style="50" customWidth="1"/>
    <col min="32" max="32" width="1.140625" style="30" customWidth="1"/>
    <col min="33" max="33" width="22.7109375" style="10" customWidth="1"/>
    <col min="34" max="34" width="18.28515625" style="51" customWidth="1"/>
    <col min="35" max="35" width="15.7109375" style="10" customWidth="1"/>
    <col min="36" max="16384" width="9.140625" style="10"/>
  </cols>
  <sheetData>
    <row r="1" spans="1:34" ht="15.75" thickBot="1" x14ac:dyDescent="0.3">
      <c r="A1" s="126" t="s">
        <v>626</v>
      </c>
      <c r="B1" s="92" t="s">
        <v>394</v>
      </c>
      <c r="C1" s="93"/>
      <c r="J1" s="32"/>
      <c r="N1" s="32"/>
      <c r="R1" s="32"/>
      <c r="V1" s="32"/>
      <c r="Z1" s="32"/>
      <c r="AD1" s="32"/>
      <c r="AH1" s="30"/>
    </row>
    <row r="2" spans="1:34" x14ac:dyDescent="0.25">
      <c r="A2" s="413"/>
      <c r="B2" s="504"/>
      <c r="C2" s="504"/>
      <c r="J2" s="32"/>
      <c r="N2" s="32"/>
      <c r="R2" s="32"/>
      <c r="V2" s="32"/>
      <c r="Z2" s="32"/>
      <c r="AD2" s="32"/>
      <c r="AH2" s="30"/>
    </row>
    <row r="3" spans="1:34" x14ac:dyDescent="0.25">
      <c r="A3" s="414" t="s">
        <v>404</v>
      </c>
      <c r="B3" s="504"/>
      <c r="C3" s="504"/>
      <c r="J3" s="32"/>
      <c r="N3" s="32"/>
      <c r="R3" s="32"/>
      <c r="V3" s="32"/>
      <c r="Z3" s="32"/>
      <c r="AD3" s="32"/>
      <c r="AH3" s="30"/>
    </row>
    <row r="4" spans="1:34" x14ac:dyDescent="0.25">
      <c r="A4" s="414" t="s">
        <v>409</v>
      </c>
      <c r="B4" s="504"/>
      <c r="C4" s="504"/>
      <c r="J4" s="32"/>
      <c r="N4" s="32"/>
      <c r="R4" s="32"/>
      <c r="V4" s="32"/>
      <c r="Z4" s="32"/>
      <c r="AD4" s="32"/>
      <c r="AH4" s="30"/>
    </row>
    <row r="5" spans="1:34" x14ac:dyDescent="0.25">
      <c r="A5" s="414" t="s">
        <v>410</v>
      </c>
      <c r="J5" s="32"/>
      <c r="N5" s="32"/>
      <c r="R5" s="32"/>
      <c r="V5" s="32"/>
      <c r="Z5" s="32"/>
      <c r="AD5" s="32"/>
      <c r="AH5" s="30"/>
    </row>
    <row r="6" spans="1:34" ht="48" customHeight="1" x14ac:dyDescent="0.25">
      <c r="A6" s="567" t="s">
        <v>432</v>
      </c>
      <c r="B6" s="567"/>
      <c r="C6" s="567"/>
      <c r="J6" s="32"/>
      <c r="N6" s="32"/>
      <c r="R6" s="32"/>
      <c r="V6" s="32"/>
      <c r="Z6" s="32"/>
      <c r="AD6" s="32"/>
      <c r="AH6" s="30"/>
    </row>
    <row r="7" spans="1:34" x14ac:dyDescent="0.25">
      <c r="A7" s="495" t="s">
        <v>431</v>
      </c>
      <c r="B7" s="495"/>
      <c r="C7" s="495"/>
      <c r="J7" s="32"/>
      <c r="N7" s="32"/>
      <c r="R7" s="32"/>
      <c r="V7" s="32"/>
      <c r="Z7" s="32"/>
      <c r="AD7" s="32"/>
      <c r="AH7" s="30"/>
    </row>
    <row r="8" spans="1:34" ht="15.75" thickBot="1" x14ac:dyDescent="0.3">
      <c r="A8" s="505"/>
      <c r="J8" s="32"/>
      <c r="N8" s="32"/>
      <c r="R8" s="32"/>
      <c r="V8" s="32"/>
      <c r="Z8" s="32"/>
      <c r="AD8" s="32"/>
      <c r="AH8" s="30"/>
    </row>
    <row r="9" spans="1:34" ht="48" customHeight="1" thickBot="1" x14ac:dyDescent="0.3">
      <c r="A9" s="557" t="s">
        <v>434</v>
      </c>
      <c r="B9" s="558"/>
      <c r="C9" s="559"/>
      <c r="D9" s="8"/>
      <c r="E9" s="571" t="s">
        <v>283</v>
      </c>
      <c r="F9" s="572"/>
      <c r="G9" s="573"/>
      <c r="H9" s="8"/>
      <c r="I9" s="547" t="s">
        <v>53</v>
      </c>
      <c r="J9" s="548"/>
      <c r="K9" s="549"/>
      <c r="L9" s="8"/>
      <c r="M9" s="547" t="s">
        <v>54</v>
      </c>
      <c r="N9" s="548"/>
      <c r="O9" s="549"/>
      <c r="P9" s="8"/>
      <c r="Q9" s="547" t="s">
        <v>55</v>
      </c>
      <c r="R9" s="548"/>
      <c r="S9" s="549"/>
      <c r="T9" s="8"/>
      <c r="U9" s="547" t="s">
        <v>56</v>
      </c>
      <c r="V9" s="548"/>
      <c r="W9" s="549"/>
      <c r="X9" s="8"/>
      <c r="Y9" s="547" t="s">
        <v>57</v>
      </c>
      <c r="Z9" s="548"/>
      <c r="AA9" s="549"/>
      <c r="AB9" s="7"/>
      <c r="AC9" s="547" t="s">
        <v>58</v>
      </c>
      <c r="AD9" s="548"/>
      <c r="AE9" s="549"/>
      <c r="AF9" s="6"/>
      <c r="AG9" s="8"/>
      <c r="AH9" s="9"/>
    </row>
    <row r="10" spans="1:34" ht="60.75" thickBot="1" x14ac:dyDescent="0.3">
      <c r="A10" s="68" t="s">
        <v>7</v>
      </c>
      <c r="B10" s="68" t="s">
        <v>32</v>
      </c>
      <c r="C10" s="69" t="s">
        <v>8</v>
      </c>
      <c r="D10" s="13" t="s">
        <v>9</v>
      </c>
      <c r="E10" s="71" t="s">
        <v>10</v>
      </c>
      <c r="F10" s="72" t="s">
        <v>11</v>
      </c>
      <c r="G10" s="12" t="s">
        <v>12</v>
      </c>
      <c r="H10" s="13" t="s">
        <v>14</v>
      </c>
      <c r="I10" s="71" t="s">
        <v>10</v>
      </c>
      <c r="J10" s="72" t="s">
        <v>11</v>
      </c>
      <c r="K10" s="12" t="s">
        <v>12</v>
      </c>
      <c r="L10" s="13" t="s">
        <v>48</v>
      </c>
      <c r="M10" s="71" t="s">
        <v>10</v>
      </c>
      <c r="N10" s="72" t="s">
        <v>11</v>
      </c>
      <c r="O10" s="12" t="s">
        <v>12</v>
      </c>
      <c r="P10" s="13" t="s">
        <v>49</v>
      </c>
      <c r="Q10" s="71" t="s">
        <v>10</v>
      </c>
      <c r="R10" s="72" t="s">
        <v>11</v>
      </c>
      <c r="S10" s="12" t="s">
        <v>12</v>
      </c>
      <c r="T10" s="13" t="s">
        <v>50</v>
      </c>
      <c r="U10" s="71" t="s">
        <v>10</v>
      </c>
      <c r="V10" s="72" t="s">
        <v>11</v>
      </c>
      <c r="W10" s="12" t="s">
        <v>13</v>
      </c>
      <c r="X10" s="13" t="s">
        <v>51</v>
      </c>
      <c r="Y10" s="71" t="s">
        <v>10</v>
      </c>
      <c r="Z10" s="72" t="s">
        <v>11</v>
      </c>
      <c r="AA10" s="12" t="s">
        <v>12</v>
      </c>
      <c r="AB10" s="15" t="s">
        <v>52</v>
      </c>
      <c r="AC10" s="73" t="s">
        <v>10</v>
      </c>
      <c r="AD10" s="74" t="s">
        <v>11</v>
      </c>
      <c r="AE10" s="75" t="s">
        <v>12</v>
      </c>
      <c r="AF10" s="6"/>
      <c r="AG10" s="94" t="s">
        <v>108</v>
      </c>
      <c r="AH10" s="10"/>
    </row>
    <row r="11" spans="1:34" ht="15.75" thickBot="1" x14ac:dyDescent="0.3">
      <c r="A11" s="568" t="s">
        <v>71</v>
      </c>
      <c r="B11" s="569"/>
      <c r="C11" s="570"/>
      <c r="D11" s="66"/>
      <c r="E11" s="3"/>
      <c r="F11" s="2"/>
      <c r="G11" s="2"/>
      <c r="H11" s="66"/>
      <c r="I11" s="3"/>
      <c r="J11" s="2"/>
      <c r="K11" s="2"/>
      <c r="L11" s="66"/>
      <c r="M11" s="3"/>
      <c r="N11" s="2"/>
      <c r="O11" s="2"/>
      <c r="P11" s="66"/>
      <c r="Q11" s="4"/>
      <c r="R11" s="2"/>
      <c r="S11" s="2"/>
      <c r="T11" s="66"/>
      <c r="U11" s="4"/>
      <c r="V11" s="2"/>
      <c r="W11" s="2"/>
      <c r="X11" s="66"/>
      <c r="Y11" s="4"/>
      <c r="Z11" s="2"/>
      <c r="AA11" s="2"/>
      <c r="AB11" s="64"/>
      <c r="AC11" s="18"/>
      <c r="AD11" s="2"/>
      <c r="AE11" s="2"/>
      <c r="AF11" s="6"/>
      <c r="AG11" s="96"/>
      <c r="AH11" s="10"/>
    </row>
    <row r="12" spans="1:34" x14ac:dyDescent="0.25">
      <c r="A12" s="59" t="s">
        <v>37</v>
      </c>
      <c r="B12" s="17" t="s">
        <v>46</v>
      </c>
      <c r="C12" s="431" t="s">
        <v>18</v>
      </c>
      <c r="D12" s="250" t="s">
        <v>170</v>
      </c>
      <c r="E12" s="433">
        <v>16</v>
      </c>
      <c r="F12" s="1">
        <v>0</v>
      </c>
      <c r="G12" s="2">
        <f t="shared" ref="G12:G23" si="0">ROUND(E12*F12,0)</f>
        <v>0</v>
      </c>
      <c r="H12" s="66">
        <v>1007</v>
      </c>
      <c r="I12" s="433">
        <v>50</v>
      </c>
      <c r="J12" s="1">
        <v>0</v>
      </c>
      <c r="K12" s="2">
        <f t="shared" ref="K12:K23" si="1">ROUND(I12*J12,0)</f>
        <v>0</v>
      </c>
      <c r="L12" s="66">
        <v>2007</v>
      </c>
      <c r="M12" s="433">
        <v>50</v>
      </c>
      <c r="N12" s="1">
        <v>0</v>
      </c>
      <c r="O12" s="2">
        <f t="shared" ref="O12:O23" si="2">ROUND(M12*N12,0)</f>
        <v>0</v>
      </c>
      <c r="P12" s="66">
        <v>3007</v>
      </c>
      <c r="Q12" s="435">
        <v>47</v>
      </c>
      <c r="R12" s="1">
        <v>0</v>
      </c>
      <c r="S12" s="2">
        <f t="shared" ref="S12:S23" si="3">ROUND(Q12*R12,0)</f>
        <v>0</v>
      </c>
      <c r="T12" s="66">
        <v>4007</v>
      </c>
      <c r="U12" s="435">
        <v>45</v>
      </c>
      <c r="V12" s="1">
        <v>0</v>
      </c>
      <c r="W12" s="2">
        <f t="shared" ref="W12:W23" si="4">ROUND(U12*V12,0)</f>
        <v>0</v>
      </c>
      <c r="X12" s="66">
        <v>5007</v>
      </c>
      <c r="Y12" s="435">
        <v>45</v>
      </c>
      <c r="Z12" s="1">
        <v>0</v>
      </c>
      <c r="AA12" s="2">
        <f t="shared" ref="AA12:AA23" si="5">ROUND(Y12*Z12,0)</f>
        <v>0</v>
      </c>
      <c r="AB12" s="66">
        <v>6007</v>
      </c>
      <c r="AC12" s="437">
        <v>53</v>
      </c>
      <c r="AD12" s="1">
        <v>0</v>
      </c>
      <c r="AE12" s="2">
        <f t="shared" ref="AE12:AE23" si="6">ROUND(AC12*AD12,0)</f>
        <v>0</v>
      </c>
      <c r="AF12" s="6"/>
      <c r="AG12" s="19">
        <f>G12+K12+O12+S12+W12+AA12+AE12</f>
        <v>0</v>
      </c>
      <c r="AH12" s="10"/>
    </row>
    <row r="13" spans="1:34" x14ac:dyDescent="0.25">
      <c r="A13" s="59" t="s">
        <v>38</v>
      </c>
      <c r="B13" s="17" t="s">
        <v>46</v>
      </c>
      <c r="C13" s="431" t="s">
        <v>18</v>
      </c>
      <c r="D13" s="250" t="s">
        <v>72</v>
      </c>
      <c r="E13" s="433">
        <v>12</v>
      </c>
      <c r="F13" s="1">
        <v>0</v>
      </c>
      <c r="G13" s="2">
        <f t="shared" si="0"/>
        <v>0</v>
      </c>
      <c r="H13" s="66">
        <v>1008</v>
      </c>
      <c r="I13" s="433">
        <v>45</v>
      </c>
      <c r="J13" s="1">
        <v>0</v>
      </c>
      <c r="K13" s="2">
        <f t="shared" si="1"/>
        <v>0</v>
      </c>
      <c r="L13" s="66">
        <v>2008</v>
      </c>
      <c r="M13" s="433">
        <v>45</v>
      </c>
      <c r="N13" s="1">
        <v>0</v>
      </c>
      <c r="O13" s="2">
        <f t="shared" si="2"/>
        <v>0</v>
      </c>
      <c r="P13" s="66">
        <v>3008</v>
      </c>
      <c r="Q13" s="435">
        <v>45</v>
      </c>
      <c r="R13" s="1">
        <v>0</v>
      </c>
      <c r="S13" s="2">
        <f t="shared" si="3"/>
        <v>0</v>
      </c>
      <c r="T13" s="66">
        <v>4008</v>
      </c>
      <c r="U13" s="435">
        <v>45</v>
      </c>
      <c r="V13" s="1">
        <v>0</v>
      </c>
      <c r="W13" s="2">
        <f t="shared" si="4"/>
        <v>0</v>
      </c>
      <c r="X13" s="66">
        <v>5008</v>
      </c>
      <c r="Y13" s="435">
        <v>45</v>
      </c>
      <c r="Z13" s="1">
        <v>0</v>
      </c>
      <c r="AA13" s="2">
        <f t="shared" si="5"/>
        <v>0</v>
      </c>
      <c r="AB13" s="66">
        <v>6008</v>
      </c>
      <c r="AC13" s="437">
        <v>53</v>
      </c>
      <c r="AD13" s="1">
        <v>0</v>
      </c>
      <c r="AE13" s="2">
        <f t="shared" si="6"/>
        <v>0</v>
      </c>
      <c r="AF13" s="6"/>
      <c r="AG13" s="19">
        <f t="shared" ref="AG13:AG23" si="7">G13+K13+O13+S13+W13+AA13+AE13</f>
        <v>0</v>
      </c>
      <c r="AH13" s="10"/>
    </row>
    <row r="14" spans="1:34" x14ac:dyDescent="0.25">
      <c r="A14" s="59" t="s">
        <v>449</v>
      </c>
      <c r="B14" s="17" t="s">
        <v>46</v>
      </c>
      <c r="C14" s="432" t="s">
        <v>148</v>
      </c>
      <c r="D14" s="250" t="s">
        <v>73</v>
      </c>
      <c r="E14" s="433">
        <v>1</v>
      </c>
      <c r="F14" s="1">
        <v>0</v>
      </c>
      <c r="G14" s="2">
        <f t="shared" si="0"/>
        <v>0</v>
      </c>
      <c r="H14" s="66">
        <v>1009</v>
      </c>
      <c r="I14" s="433">
        <v>1</v>
      </c>
      <c r="J14" s="1">
        <v>0</v>
      </c>
      <c r="K14" s="2">
        <f t="shared" si="1"/>
        <v>0</v>
      </c>
      <c r="L14" s="66">
        <v>2009</v>
      </c>
      <c r="M14" s="433">
        <v>1</v>
      </c>
      <c r="N14" s="460">
        <v>0</v>
      </c>
      <c r="O14" s="461">
        <f t="shared" si="2"/>
        <v>0</v>
      </c>
      <c r="P14" s="64">
        <v>3009</v>
      </c>
      <c r="Q14" s="435">
        <v>1</v>
      </c>
      <c r="R14" s="460">
        <v>0</v>
      </c>
      <c r="S14" s="461">
        <f t="shared" si="3"/>
        <v>0</v>
      </c>
      <c r="T14" s="64">
        <v>4009</v>
      </c>
      <c r="U14" s="435">
        <v>1</v>
      </c>
      <c r="V14" s="460">
        <v>0</v>
      </c>
      <c r="W14" s="461">
        <f t="shared" si="4"/>
        <v>0</v>
      </c>
      <c r="X14" s="64">
        <v>5009</v>
      </c>
      <c r="Y14" s="435">
        <v>1</v>
      </c>
      <c r="Z14" s="1">
        <v>0</v>
      </c>
      <c r="AA14" s="2">
        <f t="shared" si="5"/>
        <v>0</v>
      </c>
      <c r="AB14" s="66">
        <v>6009</v>
      </c>
      <c r="AC14" s="437">
        <v>1</v>
      </c>
      <c r="AD14" s="1">
        <v>0</v>
      </c>
      <c r="AE14" s="2">
        <f t="shared" si="6"/>
        <v>0</v>
      </c>
      <c r="AF14" s="6"/>
      <c r="AG14" s="19">
        <f t="shared" si="7"/>
        <v>0</v>
      </c>
      <c r="AH14" s="10"/>
    </row>
    <row r="15" spans="1:34" x14ac:dyDescent="0.25">
      <c r="A15" s="59" t="s">
        <v>433</v>
      </c>
      <c r="B15" s="17" t="s">
        <v>46</v>
      </c>
      <c r="C15" s="432" t="s">
        <v>18</v>
      </c>
      <c r="D15" s="250" t="s">
        <v>74</v>
      </c>
      <c r="E15" s="434" t="s">
        <v>5</v>
      </c>
      <c r="F15" s="429" t="s">
        <v>5</v>
      </c>
      <c r="G15" s="429" t="s">
        <v>5</v>
      </c>
      <c r="H15" s="66">
        <v>1010</v>
      </c>
      <c r="I15" s="433">
        <v>12</v>
      </c>
      <c r="J15" s="1">
        <v>0</v>
      </c>
      <c r="K15" s="2">
        <f t="shared" si="1"/>
        <v>0</v>
      </c>
      <c r="L15" s="66">
        <v>2010</v>
      </c>
      <c r="M15" s="433">
        <v>45</v>
      </c>
      <c r="N15" s="1">
        <v>0</v>
      </c>
      <c r="O15" s="2">
        <f t="shared" si="2"/>
        <v>0</v>
      </c>
      <c r="P15" s="66">
        <v>3010</v>
      </c>
      <c r="Q15" s="435">
        <v>45</v>
      </c>
      <c r="R15" s="1">
        <v>0</v>
      </c>
      <c r="S15" s="2">
        <f t="shared" si="3"/>
        <v>0</v>
      </c>
      <c r="T15" s="66">
        <v>4010</v>
      </c>
      <c r="U15" s="435">
        <v>45</v>
      </c>
      <c r="V15" s="1">
        <v>0</v>
      </c>
      <c r="W15" s="2">
        <f t="shared" si="4"/>
        <v>0</v>
      </c>
      <c r="X15" s="66">
        <v>5010</v>
      </c>
      <c r="Y15" s="435">
        <v>45</v>
      </c>
      <c r="Z15" s="1">
        <v>0</v>
      </c>
      <c r="AA15" s="2">
        <f t="shared" si="5"/>
        <v>0</v>
      </c>
      <c r="AB15" s="66">
        <v>6010</v>
      </c>
      <c r="AC15" s="437">
        <v>45</v>
      </c>
      <c r="AD15" s="1">
        <v>0</v>
      </c>
      <c r="AE15" s="2">
        <f t="shared" si="6"/>
        <v>0</v>
      </c>
      <c r="AF15" s="6"/>
      <c r="AG15" s="19">
        <f>K15+O15+S15+W15+AA15+AE15</f>
        <v>0</v>
      </c>
      <c r="AH15" s="10"/>
    </row>
    <row r="16" spans="1:34" x14ac:dyDescent="0.25">
      <c r="A16" s="59" t="s">
        <v>274</v>
      </c>
      <c r="B16" s="17" t="s">
        <v>46</v>
      </c>
      <c r="C16" s="431" t="s">
        <v>16</v>
      </c>
      <c r="D16" s="250" t="s">
        <v>75</v>
      </c>
      <c r="E16" s="434" t="s">
        <v>5</v>
      </c>
      <c r="F16" s="429" t="s">
        <v>5</v>
      </c>
      <c r="G16" s="429" t="s">
        <v>5</v>
      </c>
      <c r="H16" s="66">
        <v>1011</v>
      </c>
      <c r="I16" s="433">
        <v>12</v>
      </c>
      <c r="J16" s="1">
        <v>0</v>
      </c>
      <c r="K16" s="2">
        <f t="shared" si="1"/>
        <v>0</v>
      </c>
      <c r="L16" s="66">
        <v>2011</v>
      </c>
      <c r="M16" s="433">
        <v>12</v>
      </c>
      <c r="N16" s="1">
        <v>0</v>
      </c>
      <c r="O16" s="2">
        <f t="shared" si="2"/>
        <v>0</v>
      </c>
      <c r="P16" s="66">
        <v>3011</v>
      </c>
      <c r="Q16" s="435">
        <v>12</v>
      </c>
      <c r="R16" s="1">
        <v>0</v>
      </c>
      <c r="S16" s="2">
        <f t="shared" si="3"/>
        <v>0</v>
      </c>
      <c r="T16" s="66">
        <v>4011</v>
      </c>
      <c r="U16" s="435">
        <v>12</v>
      </c>
      <c r="V16" s="1">
        <v>0</v>
      </c>
      <c r="W16" s="2">
        <f t="shared" si="4"/>
        <v>0</v>
      </c>
      <c r="X16" s="66">
        <v>5011</v>
      </c>
      <c r="Y16" s="435">
        <v>12</v>
      </c>
      <c r="Z16" s="1">
        <v>0</v>
      </c>
      <c r="AA16" s="2">
        <f t="shared" si="5"/>
        <v>0</v>
      </c>
      <c r="AB16" s="66">
        <v>6011</v>
      </c>
      <c r="AC16" s="435">
        <v>12</v>
      </c>
      <c r="AD16" s="1">
        <v>0</v>
      </c>
      <c r="AE16" s="2">
        <f t="shared" si="6"/>
        <v>0</v>
      </c>
      <c r="AF16" s="6"/>
      <c r="AG16" s="19">
        <f>K16+O16+S16+W16+AA16+AE16</f>
        <v>0</v>
      </c>
      <c r="AH16" s="10"/>
    </row>
    <row r="17" spans="1:35" x14ac:dyDescent="0.25">
      <c r="A17" s="59" t="s">
        <v>448</v>
      </c>
      <c r="B17" s="17" t="s">
        <v>46</v>
      </c>
      <c r="C17" s="431" t="s">
        <v>16</v>
      </c>
      <c r="D17" s="250" t="s">
        <v>76</v>
      </c>
      <c r="E17" s="434" t="s">
        <v>5</v>
      </c>
      <c r="F17" s="429" t="s">
        <v>5</v>
      </c>
      <c r="G17" s="429" t="s">
        <v>5</v>
      </c>
      <c r="H17" s="66">
        <v>1012</v>
      </c>
      <c r="I17" s="433">
        <v>12</v>
      </c>
      <c r="J17" s="1">
        <v>0</v>
      </c>
      <c r="K17" s="2">
        <f t="shared" si="1"/>
        <v>0</v>
      </c>
      <c r="L17" s="66">
        <v>2012</v>
      </c>
      <c r="M17" s="433">
        <v>12</v>
      </c>
      <c r="N17" s="1">
        <v>0</v>
      </c>
      <c r="O17" s="2">
        <f t="shared" si="2"/>
        <v>0</v>
      </c>
      <c r="P17" s="66">
        <v>3012</v>
      </c>
      <c r="Q17" s="435">
        <v>12</v>
      </c>
      <c r="R17" s="1">
        <v>0</v>
      </c>
      <c r="S17" s="2">
        <f t="shared" si="3"/>
        <v>0</v>
      </c>
      <c r="T17" s="66">
        <v>4012</v>
      </c>
      <c r="U17" s="435">
        <v>12</v>
      </c>
      <c r="V17" s="1">
        <v>0</v>
      </c>
      <c r="W17" s="2">
        <f t="shared" si="4"/>
        <v>0</v>
      </c>
      <c r="X17" s="66">
        <v>5012</v>
      </c>
      <c r="Y17" s="435">
        <v>12</v>
      </c>
      <c r="Z17" s="1">
        <v>0</v>
      </c>
      <c r="AA17" s="2">
        <f t="shared" si="5"/>
        <v>0</v>
      </c>
      <c r="AB17" s="66">
        <v>6012</v>
      </c>
      <c r="AC17" s="435">
        <v>12</v>
      </c>
      <c r="AD17" s="1">
        <v>0</v>
      </c>
      <c r="AE17" s="2">
        <f t="shared" si="6"/>
        <v>0</v>
      </c>
      <c r="AF17" s="6"/>
      <c r="AG17" s="19">
        <f>K17+O17+S17+W17+AA17+AE17</f>
        <v>0</v>
      </c>
      <c r="AH17" s="10"/>
    </row>
    <row r="18" spans="1:35" x14ac:dyDescent="0.25">
      <c r="A18" s="59" t="s">
        <v>42</v>
      </c>
      <c r="B18" s="17" t="s">
        <v>46</v>
      </c>
      <c r="C18" s="431" t="s">
        <v>16</v>
      </c>
      <c r="D18" s="250" t="s">
        <v>77</v>
      </c>
      <c r="E18" s="434" t="s">
        <v>5</v>
      </c>
      <c r="F18" s="429" t="s">
        <v>5</v>
      </c>
      <c r="G18" s="429" t="s">
        <v>5</v>
      </c>
      <c r="H18" s="66">
        <v>1013</v>
      </c>
      <c r="I18" s="433">
        <v>12</v>
      </c>
      <c r="J18" s="1">
        <v>0</v>
      </c>
      <c r="K18" s="2">
        <f t="shared" si="1"/>
        <v>0</v>
      </c>
      <c r="L18" s="66">
        <v>2013</v>
      </c>
      <c r="M18" s="433">
        <v>12</v>
      </c>
      <c r="N18" s="1">
        <v>0</v>
      </c>
      <c r="O18" s="2">
        <f t="shared" si="2"/>
        <v>0</v>
      </c>
      <c r="P18" s="66">
        <v>3013</v>
      </c>
      <c r="Q18" s="435">
        <v>12</v>
      </c>
      <c r="R18" s="1">
        <v>0</v>
      </c>
      <c r="S18" s="2">
        <f t="shared" si="3"/>
        <v>0</v>
      </c>
      <c r="T18" s="66">
        <v>4013</v>
      </c>
      <c r="U18" s="435">
        <v>12</v>
      </c>
      <c r="V18" s="1">
        <v>0</v>
      </c>
      <c r="W18" s="2">
        <f t="shared" si="4"/>
        <v>0</v>
      </c>
      <c r="X18" s="66">
        <v>5013</v>
      </c>
      <c r="Y18" s="435">
        <v>12</v>
      </c>
      <c r="Z18" s="1">
        <v>0</v>
      </c>
      <c r="AA18" s="2">
        <f t="shared" si="5"/>
        <v>0</v>
      </c>
      <c r="AB18" s="66">
        <v>6013</v>
      </c>
      <c r="AC18" s="435">
        <v>12</v>
      </c>
      <c r="AD18" s="1">
        <v>0</v>
      </c>
      <c r="AE18" s="2">
        <f t="shared" si="6"/>
        <v>0</v>
      </c>
      <c r="AF18" s="6"/>
      <c r="AG18" s="19">
        <f>K18+O18+S18+W18+AA18+AE18</f>
        <v>0</v>
      </c>
      <c r="AH18" s="10"/>
    </row>
    <row r="19" spans="1:35" x14ac:dyDescent="0.25">
      <c r="A19" s="60" t="s">
        <v>447</v>
      </c>
      <c r="B19" s="17" t="s">
        <v>46</v>
      </c>
      <c r="C19" s="432" t="s">
        <v>18</v>
      </c>
      <c r="D19" s="250" t="s">
        <v>78</v>
      </c>
      <c r="E19" s="433">
        <v>3</v>
      </c>
      <c r="F19" s="1">
        <v>0</v>
      </c>
      <c r="G19" s="2">
        <f>ROUND(E19*F19,0)</f>
        <v>0</v>
      </c>
      <c r="H19" s="66">
        <v>1014</v>
      </c>
      <c r="I19" s="433">
        <v>6</v>
      </c>
      <c r="J19" s="1">
        <v>0</v>
      </c>
      <c r="K19" s="2">
        <f t="shared" si="1"/>
        <v>0</v>
      </c>
      <c r="L19" s="66">
        <v>2014</v>
      </c>
      <c r="M19" s="433">
        <v>6</v>
      </c>
      <c r="N19" s="1">
        <v>0</v>
      </c>
      <c r="O19" s="2">
        <f t="shared" si="2"/>
        <v>0</v>
      </c>
      <c r="P19" s="66">
        <v>3014</v>
      </c>
      <c r="Q19" s="435">
        <v>6</v>
      </c>
      <c r="R19" s="1">
        <v>0</v>
      </c>
      <c r="S19" s="2">
        <f t="shared" si="3"/>
        <v>0</v>
      </c>
      <c r="T19" s="66">
        <v>4014</v>
      </c>
      <c r="U19" s="436" t="s">
        <v>5</v>
      </c>
      <c r="V19" s="429" t="s">
        <v>5</v>
      </c>
      <c r="W19" s="429" t="s">
        <v>5</v>
      </c>
      <c r="X19" s="66">
        <v>5014</v>
      </c>
      <c r="Y19" s="436" t="s">
        <v>5</v>
      </c>
      <c r="Z19" s="429" t="s">
        <v>5</v>
      </c>
      <c r="AA19" s="429" t="s">
        <v>5</v>
      </c>
      <c r="AB19" s="66">
        <v>6014</v>
      </c>
      <c r="AC19" s="438" t="s">
        <v>5</v>
      </c>
      <c r="AD19" s="429" t="s">
        <v>5</v>
      </c>
      <c r="AE19" s="429" t="s">
        <v>5</v>
      </c>
      <c r="AF19" s="6"/>
      <c r="AG19" s="19">
        <f>K19+O19+S19</f>
        <v>0</v>
      </c>
      <c r="AH19" s="10"/>
    </row>
    <row r="20" spans="1:35" x14ac:dyDescent="0.25">
      <c r="A20" s="60" t="s">
        <v>446</v>
      </c>
      <c r="B20" s="17" t="s">
        <v>46</v>
      </c>
      <c r="C20" s="431" t="s">
        <v>18</v>
      </c>
      <c r="D20" s="250" t="s">
        <v>79</v>
      </c>
      <c r="E20" s="434" t="s">
        <v>5</v>
      </c>
      <c r="F20" s="429" t="s">
        <v>5</v>
      </c>
      <c r="G20" s="429" t="s">
        <v>5</v>
      </c>
      <c r="H20" s="66">
        <v>1015</v>
      </c>
      <c r="I20" s="434" t="s">
        <v>5</v>
      </c>
      <c r="J20" s="429" t="s">
        <v>5</v>
      </c>
      <c r="K20" s="429" t="s">
        <v>5</v>
      </c>
      <c r="L20" s="66">
        <v>2015</v>
      </c>
      <c r="M20" s="433">
        <v>1</v>
      </c>
      <c r="N20" s="1">
        <v>0</v>
      </c>
      <c r="O20" s="2">
        <f t="shared" si="2"/>
        <v>0</v>
      </c>
      <c r="P20" s="66">
        <v>3015</v>
      </c>
      <c r="Q20" s="434" t="s">
        <v>5</v>
      </c>
      <c r="R20" s="429" t="s">
        <v>5</v>
      </c>
      <c r="S20" s="429" t="s">
        <v>5</v>
      </c>
      <c r="T20" s="66">
        <v>4015</v>
      </c>
      <c r="U20" s="434" t="s">
        <v>5</v>
      </c>
      <c r="V20" s="429" t="s">
        <v>5</v>
      </c>
      <c r="W20" s="429" t="s">
        <v>5</v>
      </c>
      <c r="X20" s="66">
        <v>5015</v>
      </c>
      <c r="Y20" s="434" t="s">
        <v>5</v>
      </c>
      <c r="Z20" s="429" t="s">
        <v>5</v>
      </c>
      <c r="AA20" s="429" t="s">
        <v>5</v>
      </c>
      <c r="AB20" s="66">
        <v>6015</v>
      </c>
      <c r="AC20" s="434" t="s">
        <v>5</v>
      </c>
      <c r="AD20" s="429" t="s">
        <v>5</v>
      </c>
      <c r="AE20" s="429" t="s">
        <v>5</v>
      </c>
      <c r="AF20" s="6"/>
      <c r="AG20" s="19">
        <f>O20</f>
        <v>0</v>
      </c>
      <c r="AH20" s="10"/>
    </row>
    <row r="21" spans="1:35" x14ac:dyDescent="0.25">
      <c r="A21" s="59" t="s">
        <v>44</v>
      </c>
      <c r="B21" s="17" t="s">
        <v>46</v>
      </c>
      <c r="C21" s="432" t="s">
        <v>16</v>
      </c>
      <c r="D21" s="250" t="s">
        <v>80</v>
      </c>
      <c r="E21" s="433">
        <v>12</v>
      </c>
      <c r="F21" s="1">
        <v>0</v>
      </c>
      <c r="G21" s="2">
        <f t="shared" si="0"/>
        <v>0</v>
      </c>
      <c r="H21" s="66">
        <v>1016</v>
      </c>
      <c r="I21" s="433">
        <v>12</v>
      </c>
      <c r="J21" s="1">
        <v>0</v>
      </c>
      <c r="K21" s="2">
        <f t="shared" si="1"/>
        <v>0</v>
      </c>
      <c r="L21" s="66">
        <v>2016</v>
      </c>
      <c r="M21" s="433">
        <v>12</v>
      </c>
      <c r="N21" s="1">
        <v>0</v>
      </c>
      <c r="O21" s="2">
        <f t="shared" si="2"/>
        <v>0</v>
      </c>
      <c r="P21" s="66">
        <v>3016</v>
      </c>
      <c r="Q21" s="435">
        <v>12</v>
      </c>
      <c r="R21" s="1">
        <v>0</v>
      </c>
      <c r="S21" s="2">
        <f t="shared" si="3"/>
        <v>0</v>
      </c>
      <c r="T21" s="66">
        <v>4016</v>
      </c>
      <c r="U21" s="435">
        <v>12</v>
      </c>
      <c r="V21" s="1">
        <v>0</v>
      </c>
      <c r="W21" s="2">
        <f t="shared" si="4"/>
        <v>0</v>
      </c>
      <c r="X21" s="66">
        <v>5016</v>
      </c>
      <c r="Y21" s="435">
        <v>12</v>
      </c>
      <c r="Z21" s="1">
        <v>0</v>
      </c>
      <c r="AA21" s="2">
        <f t="shared" si="5"/>
        <v>0</v>
      </c>
      <c r="AB21" s="66">
        <v>6016</v>
      </c>
      <c r="AC21" s="435">
        <v>12</v>
      </c>
      <c r="AD21" s="1">
        <v>0</v>
      </c>
      <c r="AE21" s="2">
        <f t="shared" si="6"/>
        <v>0</v>
      </c>
      <c r="AF21" s="6"/>
      <c r="AG21" s="19">
        <f t="shared" si="7"/>
        <v>0</v>
      </c>
      <c r="AH21" s="10"/>
    </row>
    <row r="22" spans="1:35" x14ac:dyDescent="0.25">
      <c r="A22" s="59" t="s">
        <v>435</v>
      </c>
      <c r="B22" s="17" t="s">
        <v>46</v>
      </c>
      <c r="C22" s="432" t="s">
        <v>16</v>
      </c>
      <c r="D22" s="250" t="s">
        <v>81</v>
      </c>
      <c r="E22" s="433">
        <v>12</v>
      </c>
      <c r="F22" s="1">
        <v>0</v>
      </c>
      <c r="G22" s="2">
        <f t="shared" si="0"/>
        <v>0</v>
      </c>
      <c r="H22" s="66">
        <v>1020</v>
      </c>
      <c r="I22" s="433">
        <v>12</v>
      </c>
      <c r="J22" s="1">
        <v>0</v>
      </c>
      <c r="K22" s="2">
        <f t="shared" si="1"/>
        <v>0</v>
      </c>
      <c r="L22" s="66">
        <v>2020</v>
      </c>
      <c r="M22" s="433">
        <v>12</v>
      </c>
      <c r="N22" s="1">
        <v>0</v>
      </c>
      <c r="O22" s="2">
        <f t="shared" si="2"/>
        <v>0</v>
      </c>
      <c r="P22" s="66">
        <v>3020</v>
      </c>
      <c r="Q22" s="435">
        <v>12</v>
      </c>
      <c r="R22" s="1">
        <v>0</v>
      </c>
      <c r="S22" s="2">
        <f t="shared" si="3"/>
        <v>0</v>
      </c>
      <c r="T22" s="66">
        <v>4020</v>
      </c>
      <c r="U22" s="435">
        <v>12</v>
      </c>
      <c r="V22" s="1">
        <v>0</v>
      </c>
      <c r="W22" s="2">
        <f t="shared" si="4"/>
        <v>0</v>
      </c>
      <c r="X22" s="66">
        <v>5020</v>
      </c>
      <c r="Y22" s="435">
        <v>12</v>
      </c>
      <c r="Z22" s="1">
        <v>0</v>
      </c>
      <c r="AA22" s="2">
        <f t="shared" si="5"/>
        <v>0</v>
      </c>
      <c r="AB22" s="66">
        <v>6020</v>
      </c>
      <c r="AC22" s="437">
        <v>12</v>
      </c>
      <c r="AD22" s="1">
        <v>0</v>
      </c>
      <c r="AE22" s="2">
        <f t="shared" si="6"/>
        <v>0</v>
      </c>
      <c r="AF22" s="6"/>
      <c r="AG22" s="19">
        <f t="shared" si="7"/>
        <v>0</v>
      </c>
      <c r="AH22" s="10"/>
    </row>
    <row r="23" spans="1:35" ht="15.75" thickBot="1" x14ac:dyDescent="0.3">
      <c r="A23" s="59" t="s">
        <v>445</v>
      </c>
      <c r="B23" s="17" t="s">
        <v>46</v>
      </c>
      <c r="C23" s="432" t="s">
        <v>18</v>
      </c>
      <c r="D23" s="250" t="s">
        <v>82</v>
      </c>
      <c r="E23" s="433">
        <v>2</v>
      </c>
      <c r="F23" s="2">
        <f>'SPARES-FFP CLIN X021 INPUTS'!F25</f>
        <v>0</v>
      </c>
      <c r="G23" s="2">
        <f t="shared" si="0"/>
        <v>0</v>
      </c>
      <c r="H23" s="66">
        <v>1021</v>
      </c>
      <c r="I23" s="433">
        <v>6</v>
      </c>
      <c r="J23" s="2">
        <f>'SPARES-FFP CLIN X021 INPUTS'!H25</f>
        <v>0</v>
      </c>
      <c r="K23" s="2">
        <f t="shared" si="1"/>
        <v>0</v>
      </c>
      <c r="L23" s="66">
        <v>2021</v>
      </c>
      <c r="M23" s="433">
        <v>7</v>
      </c>
      <c r="N23" s="2">
        <f>'SPARES-FFP CLIN X021 INPUTS'!J25</f>
        <v>0</v>
      </c>
      <c r="O23" s="2">
        <f t="shared" si="2"/>
        <v>0</v>
      </c>
      <c r="P23" s="66">
        <v>3021</v>
      </c>
      <c r="Q23" s="435">
        <v>8</v>
      </c>
      <c r="R23" s="2">
        <f>'SPARES-FFP CLIN X021 INPUTS'!L25</f>
        <v>0</v>
      </c>
      <c r="S23" s="2">
        <f t="shared" si="3"/>
        <v>0</v>
      </c>
      <c r="T23" s="66">
        <v>4021</v>
      </c>
      <c r="U23" s="435">
        <v>10</v>
      </c>
      <c r="V23" s="2">
        <f>'SPARES-FFP CLIN X021 INPUTS'!N25</f>
        <v>0</v>
      </c>
      <c r="W23" s="2">
        <f t="shared" si="4"/>
        <v>0</v>
      </c>
      <c r="X23" s="66">
        <v>5021</v>
      </c>
      <c r="Y23" s="435">
        <v>10</v>
      </c>
      <c r="Z23" s="2">
        <f>'SPARES-FFP CLIN X021 INPUTS'!P25</f>
        <v>0</v>
      </c>
      <c r="AA23" s="2">
        <f t="shared" si="5"/>
        <v>0</v>
      </c>
      <c r="AB23" s="66">
        <v>6021</v>
      </c>
      <c r="AC23" s="437">
        <v>7</v>
      </c>
      <c r="AD23" s="2">
        <f>'SPARES-FFP CLIN X021 INPUTS'!R25</f>
        <v>0</v>
      </c>
      <c r="AE23" s="2">
        <f t="shared" si="6"/>
        <v>0</v>
      </c>
      <c r="AF23" s="6"/>
      <c r="AG23" s="19">
        <f t="shared" si="7"/>
        <v>0</v>
      </c>
      <c r="AH23" s="10"/>
    </row>
    <row r="24" spans="1:35" ht="31.5" customHeight="1" thickBot="1" x14ac:dyDescent="0.3">
      <c r="A24" s="566" t="s">
        <v>624</v>
      </c>
      <c r="B24" s="566"/>
      <c r="C24" s="566"/>
      <c r="D24" s="22"/>
      <c r="E24" s="20"/>
      <c r="F24" s="23" t="s">
        <v>107</v>
      </c>
      <c r="G24" s="24">
        <f>G12+G13+G14+G19+G21+G22+G23</f>
        <v>0</v>
      </c>
      <c r="H24" s="22"/>
      <c r="J24" s="23" t="s">
        <v>107</v>
      </c>
      <c r="K24" s="24">
        <f>K12+K13+K14+K15+K16+K17+K18+K19+K21+K22+K23</f>
        <v>0</v>
      </c>
      <c r="L24" s="22"/>
      <c r="M24" s="25"/>
      <c r="N24" s="23" t="s">
        <v>107</v>
      </c>
      <c r="O24" s="24">
        <f>O12+O13+O14+O15+O16+O17+O18+O19+O20+O21+O22+O23</f>
        <v>0</v>
      </c>
      <c r="P24" s="22"/>
      <c r="R24" s="23" t="s">
        <v>107</v>
      </c>
      <c r="S24" s="24">
        <f>S12+S13+S14+S15+S16+S17+S18+S19+S21+S22+S23</f>
        <v>0</v>
      </c>
      <c r="T24" s="22"/>
      <c r="V24" s="23" t="s">
        <v>107</v>
      </c>
      <c r="W24" s="24">
        <f>W12+W13+W14+W15+W16+W17+W18+W21+W22+W23</f>
        <v>0</v>
      </c>
      <c r="X24" s="22"/>
      <c r="Z24" s="23" t="s">
        <v>107</v>
      </c>
      <c r="AA24" s="24">
        <f>AA12+AA13+AA14+AA15+AA16+AA17+AA18+AA21+AA22+AA23</f>
        <v>0</v>
      </c>
      <c r="AB24" s="26"/>
      <c r="AD24" s="23" t="s">
        <v>107</v>
      </c>
      <c r="AE24" s="24">
        <f>AE12+AE13+AE14+AE15+AE16+AE17+AE18+AE21+AE22+AE23</f>
        <v>0</v>
      </c>
      <c r="AF24" s="27"/>
      <c r="AG24" s="90">
        <f>AG12+AG13+AG14+AG15+AG16+AG17+AG18+AG19+AG20+AG21+AG22+AG23</f>
        <v>0</v>
      </c>
      <c r="AH24" s="91" t="s">
        <v>108</v>
      </c>
      <c r="AI24" s="30"/>
    </row>
    <row r="25" spans="1:35" s="30" customFormat="1" ht="14.25" customHeight="1" thickBot="1" x14ac:dyDescent="0.3">
      <c r="B25" s="506"/>
      <c r="C25" s="48"/>
      <c r="D25" s="32"/>
      <c r="F25" s="315" t="s">
        <v>5</v>
      </c>
      <c r="G25" s="315"/>
      <c r="H25" s="32"/>
      <c r="J25" s="32"/>
      <c r="K25" s="41"/>
      <c r="L25" s="32"/>
      <c r="N25" s="32"/>
      <c r="O25" s="41"/>
      <c r="P25" s="32"/>
      <c r="R25" s="32"/>
      <c r="S25" s="41"/>
      <c r="T25" s="32"/>
      <c r="V25" s="32"/>
      <c r="W25" s="41"/>
      <c r="X25" s="32"/>
      <c r="Z25" s="32"/>
      <c r="AA25" s="41"/>
      <c r="AB25" s="41"/>
      <c r="AD25" s="32"/>
      <c r="AE25" s="41"/>
      <c r="AG25" s="90">
        <f>G24+K24+O24+S24+W24+AA24+AE24</f>
        <v>0</v>
      </c>
      <c r="AH25" s="91" t="s">
        <v>22</v>
      </c>
    </row>
    <row r="26" spans="1:35" s="30" customFormat="1" ht="27.75" customHeight="1" x14ac:dyDescent="0.25">
      <c r="D26" s="32"/>
      <c r="E26" s="439"/>
      <c r="F26" s="315"/>
      <c r="H26" s="32"/>
      <c r="J26" s="32"/>
      <c r="K26" s="41"/>
      <c r="L26" s="32"/>
      <c r="N26" s="32"/>
      <c r="O26" s="41"/>
      <c r="P26" s="32"/>
      <c r="R26" s="32"/>
      <c r="S26" s="41"/>
      <c r="T26" s="32"/>
      <c r="V26" s="32"/>
      <c r="W26" s="41"/>
      <c r="X26" s="32"/>
      <c r="Z26" s="32"/>
      <c r="AA26" s="41"/>
      <c r="AB26" s="41"/>
      <c r="AD26" s="32"/>
      <c r="AE26" s="41"/>
      <c r="AG26" s="44">
        <f>AG24-AG25</f>
        <v>0</v>
      </c>
      <c r="AH26" s="45" t="s">
        <v>23</v>
      </c>
    </row>
    <row r="27" spans="1:35" s="30" customFormat="1" x14ac:dyDescent="0.25">
      <c r="A27" s="47"/>
      <c r="B27" s="48"/>
      <c r="C27" s="48"/>
      <c r="D27" s="32"/>
      <c r="E27" s="439"/>
      <c r="F27" s="315"/>
      <c r="H27" s="32"/>
      <c r="J27" s="32"/>
      <c r="K27" s="41"/>
      <c r="L27" s="32"/>
      <c r="N27" s="32"/>
      <c r="O27" s="41"/>
      <c r="P27" s="32"/>
      <c r="R27" s="32"/>
      <c r="S27" s="41"/>
      <c r="T27" s="32"/>
      <c r="V27" s="32"/>
      <c r="W27" s="41"/>
      <c r="X27" s="32"/>
      <c r="Z27" s="32"/>
      <c r="AA27" s="41"/>
      <c r="AB27" s="41"/>
      <c r="AD27" s="32"/>
      <c r="AE27" s="41"/>
    </row>
    <row r="28" spans="1:35" s="30" customFormat="1" x14ac:dyDescent="0.25">
      <c r="A28" s="507" t="s">
        <v>5</v>
      </c>
      <c r="B28" s="48"/>
      <c r="C28" s="48"/>
      <c r="D28" s="32"/>
      <c r="E28" s="439"/>
      <c r="F28" s="315"/>
      <c r="H28" s="32"/>
      <c r="J28" s="32"/>
      <c r="K28" s="41"/>
      <c r="L28" s="32"/>
      <c r="N28" s="32"/>
      <c r="O28" s="41"/>
      <c r="P28" s="32"/>
      <c r="R28" s="32"/>
      <c r="S28" s="41"/>
      <c r="T28" s="32"/>
      <c r="V28" s="32"/>
      <c r="W28" s="41"/>
      <c r="X28" s="32"/>
      <c r="Z28" s="32"/>
      <c r="AA28" s="41"/>
      <c r="AB28" s="41"/>
      <c r="AD28" s="32"/>
      <c r="AE28" s="41"/>
    </row>
    <row r="29" spans="1:35" s="30" customFormat="1" x14ac:dyDescent="0.25">
      <c r="A29" s="36"/>
      <c r="B29" s="31"/>
      <c r="C29" s="31"/>
      <c r="D29" s="32"/>
      <c r="H29" s="32"/>
      <c r="J29" s="32"/>
      <c r="K29" s="41"/>
      <c r="L29" s="32"/>
      <c r="N29" s="32"/>
      <c r="O29" s="41"/>
      <c r="P29" s="32"/>
      <c r="R29" s="32"/>
      <c r="S29" s="41"/>
      <c r="T29" s="32"/>
      <c r="V29" s="32"/>
      <c r="W29" s="41"/>
      <c r="X29" s="32"/>
      <c r="Z29" s="32"/>
      <c r="AA29" s="41"/>
      <c r="AB29" s="41"/>
      <c r="AD29" s="32"/>
      <c r="AE29" s="41"/>
    </row>
    <row r="30" spans="1:35" s="30" customFormat="1" x14ac:dyDescent="0.25">
      <c r="A30" s="36"/>
      <c r="B30" s="31"/>
      <c r="C30" s="31"/>
      <c r="D30" s="32"/>
      <c r="H30" s="32"/>
      <c r="J30" s="32"/>
      <c r="K30" s="41"/>
      <c r="L30" s="32"/>
      <c r="N30" s="32"/>
      <c r="O30" s="41"/>
      <c r="P30" s="32"/>
      <c r="R30" s="32"/>
      <c r="S30" s="41"/>
      <c r="T30" s="32"/>
      <c r="V30" s="32"/>
      <c r="W30" s="41"/>
      <c r="X30" s="32"/>
      <c r="Z30" s="32"/>
      <c r="AA30" s="41"/>
      <c r="AB30" s="41"/>
      <c r="AD30" s="32"/>
      <c r="AE30" s="41"/>
    </row>
    <row r="31" spans="1:35" s="30" customFormat="1" x14ac:dyDescent="0.25">
      <c r="A31" s="36"/>
      <c r="B31" s="31"/>
      <c r="C31" s="31"/>
      <c r="D31" s="32"/>
      <c r="H31" s="32"/>
      <c r="J31" s="32"/>
      <c r="K31" s="41"/>
      <c r="L31" s="32"/>
      <c r="N31" s="32"/>
      <c r="O31" s="41"/>
      <c r="P31" s="32"/>
      <c r="R31" s="32"/>
      <c r="S31" s="41"/>
      <c r="T31" s="32"/>
      <c r="V31" s="32"/>
      <c r="W31" s="41"/>
      <c r="X31" s="32"/>
      <c r="Z31" s="32"/>
      <c r="AA31" s="41"/>
      <c r="AB31" s="41"/>
      <c r="AD31" s="32"/>
      <c r="AE31" s="41"/>
    </row>
    <row r="32" spans="1:35" s="30" customFormat="1" x14ac:dyDescent="0.25">
      <c r="A32" s="36"/>
      <c r="B32" s="31"/>
      <c r="C32" s="31"/>
      <c r="D32" s="32"/>
      <c r="H32" s="32"/>
      <c r="J32" s="32"/>
      <c r="K32" s="41"/>
      <c r="L32" s="32"/>
      <c r="N32" s="32"/>
      <c r="O32" s="41"/>
      <c r="P32" s="32"/>
      <c r="R32" s="32"/>
      <c r="S32" s="41"/>
      <c r="T32" s="32"/>
      <c r="V32" s="32"/>
      <c r="W32" s="41"/>
      <c r="X32" s="32"/>
      <c r="Z32" s="32"/>
      <c r="AA32" s="41"/>
      <c r="AB32" s="41"/>
      <c r="AD32" s="32"/>
      <c r="AE32" s="41"/>
    </row>
    <row r="33" spans="1:31" s="30" customFormat="1" x14ac:dyDescent="0.25">
      <c r="A33" s="36"/>
      <c r="B33" s="31"/>
      <c r="C33" s="31"/>
      <c r="D33" s="32"/>
      <c r="H33" s="32"/>
      <c r="J33" s="32"/>
      <c r="K33" s="41"/>
      <c r="L33" s="32"/>
      <c r="N33" s="32"/>
      <c r="O33" s="41"/>
      <c r="P33" s="32"/>
      <c r="R33" s="32"/>
      <c r="S33" s="41"/>
      <c r="T33" s="32"/>
      <c r="V33" s="32"/>
      <c r="W33" s="41"/>
      <c r="X33" s="32"/>
      <c r="Z33" s="32"/>
      <c r="AA33" s="41"/>
      <c r="AB33" s="41"/>
      <c r="AD33" s="32"/>
      <c r="AE33" s="41"/>
    </row>
    <row r="34" spans="1:31" s="30" customFormat="1" x14ac:dyDescent="0.25">
      <c r="A34" s="36"/>
      <c r="B34" s="31"/>
      <c r="C34" s="31"/>
      <c r="D34" s="32"/>
      <c r="H34" s="32"/>
      <c r="J34" s="32"/>
      <c r="K34" s="41"/>
      <c r="L34" s="32"/>
      <c r="N34" s="32"/>
      <c r="O34" s="41"/>
      <c r="P34" s="32"/>
      <c r="R34" s="32"/>
      <c r="S34" s="41"/>
      <c r="T34" s="32"/>
      <c r="V34" s="32"/>
      <c r="W34" s="41"/>
      <c r="X34" s="32"/>
      <c r="Z34" s="32"/>
      <c r="AA34" s="41"/>
      <c r="AB34" s="41"/>
      <c r="AD34" s="32"/>
      <c r="AE34" s="41"/>
    </row>
    <row r="35" spans="1:31" s="30" customFormat="1" x14ac:dyDescent="0.25">
      <c r="A35" s="36"/>
      <c r="B35" s="31"/>
      <c r="C35" s="31"/>
      <c r="D35" s="32"/>
      <c r="H35" s="32"/>
      <c r="J35" s="32"/>
      <c r="K35" s="41"/>
      <c r="L35" s="32"/>
      <c r="N35" s="32"/>
      <c r="O35" s="41"/>
      <c r="P35" s="32"/>
      <c r="R35" s="32"/>
      <c r="S35" s="41"/>
      <c r="T35" s="32"/>
      <c r="V35" s="32"/>
      <c r="W35" s="41"/>
      <c r="X35" s="32"/>
      <c r="Z35" s="32"/>
      <c r="AA35" s="41"/>
      <c r="AB35" s="41"/>
      <c r="AD35" s="32"/>
      <c r="AE35" s="41"/>
    </row>
    <row r="36" spans="1:31" s="30" customFormat="1" x14ac:dyDescent="0.25">
      <c r="A36" s="36"/>
      <c r="B36" s="31"/>
      <c r="C36" s="31"/>
      <c r="D36" s="32"/>
      <c r="H36" s="32"/>
      <c r="J36" s="32"/>
      <c r="K36" s="41"/>
      <c r="L36" s="32"/>
      <c r="N36" s="32"/>
      <c r="O36" s="41"/>
      <c r="P36" s="32"/>
      <c r="R36" s="32"/>
      <c r="S36" s="41"/>
      <c r="T36" s="32"/>
      <c r="V36" s="32"/>
      <c r="W36" s="41"/>
      <c r="X36" s="32"/>
      <c r="Z36" s="32"/>
      <c r="AA36" s="41"/>
      <c r="AB36" s="41"/>
      <c r="AD36" s="32"/>
      <c r="AE36" s="41"/>
    </row>
    <row r="37" spans="1:31" s="30" customFormat="1" x14ac:dyDescent="0.25">
      <c r="A37" s="36"/>
      <c r="B37" s="31"/>
      <c r="C37" s="31"/>
      <c r="D37" s="32"/>
      <c r="H37" s="32"/>
      <c r="J37" s="32"/>
      <c r="K37" s="41"/>
      <c r="L37" s="32"/>
      <c r="N37" s="32"/>
      <c r="O37" s="41"/>
      <c r="P37" s="32"/>
      <c r="R37" s="32"/>
      <c r="S37" s="41"/>
      <c r="T37" s="32"/>
      <c r="V37" s="32"/>
      <c r="W37" s="41"/>
      <c r="X37" s="32"/>
      <c r="Z37" s="32"/>
      <c r="AA37" s="41"/>
      <c r="AB37" s="41"/>
      <c r="AD37" s="32"/>
      <c r="AE37" s="41"/>
    </row>
    <row r="38" spans="1:31" s="30" customFormat="1" x14ac:dyDescent="0.25">
      <c r="A38" s="36"/>
      <c r="B38" s="31"/>
      <c r="C38" s="31"/>
      <c r="D38" s="32"/>
      <c r="H38" s="32"/>
      <c r="J38" s="32"/>
      <c r="K38" s="41"/>
      <c r="L38" s="32"/>
      <c r="N38" s="32"/>
      <c r="O38" s="41"/>
      <c r="P38" s="32"/>
      <c r="R38" s="32"/>
      <c r="S38" s="41"/>
      <c r="T38" s="32"/>
      <c r="V38" s="32"/>
      <c r="W38" s="41"/>
      <c r="X38" s="32"/>
      <c r="Z38" s="32"/>
      <c r="AA38" s="41"/>
      <c r="AB38" s="41"/>
      <c r="AD38" s="32"/>
      <c r="AE38" s="41"/>
    </row>
    <row r="39" spans="1:31" s="30" customFormat="1" x14ac:dyDescent="0.25">
      <c r="A39" s="36"/>
      <c r="B39" s="31"/>
      <c r="C39" s="31"/>
      <c r="D39" s="32"/>
      <c r="H39" s="32"/>
      <c r="J39" s="32"/>
      <c r="K39" s="41"/>
      <c r="L39" s="32"/>
      <c r="N39" s="32"/>
      <c r="O39" s="41"/>
      <c r="P39" s="32"/>
      <c r="R39" s="32"/>
      <c r="S39" s="41"/>
      <c r="T39" s="32"/>
      <c r="V39" s="32"/>
      <c r="W39" s="41"/>
      <c r="X39" s="32"/>
      <c r="Z39" s="32"/>
      <c r="AA39" s="41"/>
      <c r="AB39" s="41"/>
      <c r="AD39" s="32"/>
      <c r="AE39" s="41"/>
    </row>
    <row r="40" spans="1:31" s="30" customFormat="1" x14ac:dyDescent="0.25">
      <c r="A40" s="36"/>
      <c r="B40" s="31"/>
      <c r="C40" s="31"/>
      <c r="D40" s="32"/>
      <c r="H40" s="32"/>
      <c r="J40" s="32"/>
      <c r="K40" s="41"/>
      <c r="L40" s="32"/>
      <c r="N40" s="32"/>
      <c r="O40" s="41"/>
      <c r="P40" s="32"/>
      <c r="R40" s="32"/>
      <c r="S40" s="41"/>
      <c r="T40" s="32"/>
      <c r="V40" s="32"/>
      <c r="W40" s="41"/>
      <c r="X40" s="32"/>
      <c r="Z40" s="32"/>
      <c r="AA40" s="41"/>
      <c r="AB40" s="41"/>
      <c r="AD40" s="32"/>
      <c r="AE40" s="41"/>
    </row>
    <row r="41" spans="1:31" s="30" customFormat="1" x14ac:dyDescent="0.25">
      <c r="A41" s="36"/>
      <c r="B41" s="31"/>
      <c r="C41" s="31"/>
      <c r="D41" s="32"/>
      <c r="H41" s="32"/>
      <c r="J41" s="32"/>
      <c r="K41" s="41"/>
      <c r="L41" s="32"/>
      <c r="N41" s="32"/>
      <c r="O41" s="41"/>
      <c r="P41" s="32"/>
      <c r="R41" s="32"/>
      <c r="S41" s="41"/>
      <c r="T41" s="32"/>
      <c r="V41" s="32"/>
      <c r="W41" s="41"/>
      <c r="X41" s="32"/>
      <c r="Z41" s="32"/>
      <c r="AA41" s="41"/>
      <c r="AB41" s="41"/>
      <c r="AD41" s="32"/>
      <c r="AE41" s="41"/>
    </row>
    <row r="42" spans="1:31" s="30" customFormat="1" x14ac:dyDescent="0.25">
      <c r="A42" s="36"/>
      <c r="B42" s="31"/>
      <c r="C42" s="31"/>
      <c r="D42" s="32"/>
      <c r="H42" s="32"/>
      <c r="J42" s="32"/>
      <c r="K42" s="41"/>
      <c r="L42" s="32"/>
      <c r="N42" s="32"/>
      <c r="O42" s="41"/>
      <c r="P42" s="32"/>
      <c r="R42" s="32"/>
      <c r="S42" s="41"/>
      <c r="T42" s="32"/>
      <c r="V42" s="32"/>
      <c r="W42" s="41"/>
      <c r="X42" s="32"/>
      <c r="Z42" s="32"/>
      <c r="AA42" s="41"/>
      <c r="AB42" s="41"/>
      <c r="AD42" s="32"/>
      <c r="AE42" s="41"/>
    </row>
    <row r="43" spans="1:31" s="30" customFormat="1" x14ac:dyDescent="0.25">
      <c r="A43" s="36"/>
      <c r="B43" s="31"/>
      <c r="C43" s="31"/>
      <c r="D43" s="32"/>
      <c r="H43" s="32"/>
      <c r="J43" s="32"/>
      <c r="K43" s="41"/>
      <c r="L43" s="32"/>
      <c r="N43" s="32"/>
      <c r="O43" s="41"/>
      <c r="P43" s="32"/>
      <c r="R43" s="32"/>
      <c r="S43" s="41"/>
      <c r="T43" s="32"/>
      <c r="V43" s="32"/>
      <c r="W43" s="41"/>
      <c r="X43" s="32"/>
      <c r="Z43" s="32"/>
      <c r="AA43" s="41"/>
      <c r="AB43" s="41"/>
      <c r="AD43" s="32"/>
      <c r="AE43" s="41"/>
    </row>
    <row r="44" spans="1:31" s="30" customFormat="1" x14ac:dyDescent="0.25">
      <c r="A44" s="36"/>
      <c r="B44" s="31"/>
      <c r="C44" s="31"/>
      <c r="D44" s="32"/>
      <c r="H44" s="32"/>
      <c r="J44" s="32"/>
      <c r="K44" s="41"/>
      <c r="L44" s="32"/>
      <c r="N44" s="32"/>
      <c r="O44" s="41"/>
      <c r="P44" s="32"/>
      <c r="R44" s="32"/>
      <c r="S44" s="41"/>
      <c r="T44" s="32"/>
      <c r="V44" s="32"/>
      <c r="W44" s="41"/>
      <c r="X44" s="32"/>
      <c r="Z44" s="32"/>
      <c r="AA44" s="41"/>
      <c r="AB44" s="41"/>
      <c r="AD44" s="32"/>
      <c r="AE44" s="41"/>
    </row>
    <row r="45" spans="1:31" s="30" customFormat="1" x14ac:dyDescent="0.25">
      <c r="A45" s="36"/>
      <c r="B45" s="31"/>
      <c r="C45" s="31"/>
      <c r="D45" s="32"/>
      <c r="H45" s="32"/>
      <c r="J45" s="32"/>
      <c r="K45" s="41"/>
      <c r="L45" s="32"/>
      <c r="N45" s="32"/>
      <c r="O45" s="41"/>
      <c r="P45" s="32"/>
      <c r="R45" s="32"/>
      <c r="S45" s="41"/>
      <c r="T45" s="32"/>
      <c r="V45" s="32"/>
      <c r="W45" s="41"/>
      <c r="X45" s="32"/>
      <c r="Z45" s="32"/>
      <c r="AA45" s="41"/>
      <c r="AB45" s="41"/>
      <c r="AD45" s="32"/>
      <c r="AE45" s="41"/>
    </row>
    <row r="46" spans="1:31" s="30" customFormat="1" x14ac:dyDescent="0.25">
      <c r="A46" s="36"/>
      <c r="B46" s="31"/>
      <c r="C46" s="31"/>
      <c r="D46" s="32"/>
      <c r="H46" s="32"/>
      <c r="J46" s="32"/>
      <c r="K46" s="41"/>
      <c r="L46" s="32"/>
      <c r="N46" s="32"/>
      <c r="O46" s="41"/>
      <c r="P46" s="32"/>
      <c r="R46" s="32"/>
      <c r="S46" s="41"/>
      <c r="T46" s="32"/>
      <c r="V46" s="32"/>
      <c r="W46" s="41"/>
      <c r="X46" s="32"/>
      <c r="Z46" s="32"/>
      <c r="AA46" s="41"/>
      <c r="AB46" s="41"/>
      <c r="AD46" s="32"/>
      <c r="AE46" s="41"/>
    </row>
    <row r="47" spans="1:31" s="30" customFormat="1" x14ac:dyDescent="0.25">
      <c r="A47" s="36"/>
      <c r="B47" s="31"/>
      <c r="C47" s="31"/>
      <c r="D47" s="32"/>
      <c r="H47" s="32"/>
      <c r="J47" s="32"/>
      <c r="K47" s="41"/>
      <c r="L47" s="32"/>
      <c r="N47" s="32"/>
      <c r="O47" s="41"/>
      <c r="P47" s="32"/>
      <c r="R47" s="32"/>
      <c r="S47" s="41"/>
      <c r="T47" s="32"/>
      <c r="V47" s="32"/>
      <c r="W47" s="41"/>
      <c r="X47" s="32"/>
      <c r="Z47" s="32"/>
      <c r="AA47" s="41"/>
      <c r="AB47" s="41"/>
      <c r="AD47" s="32"/>
      <c r="AE47" s="41"/>
    </row>
    <row r="48" spans="1:31" s="30" customFormat="1" x14ac:dyDescent="0.25">
      <c r="A48" s="36"/>
      <c r="B48" s="31"/>
      <c r="C48" s="31"/>
      <c r="D48" s="32"/>
      <c r="H48" s="32"/>
      <c r="J48" s="32"/>
      <c r="K48" s="41"/>
      <c r="L48" s="32"/>
      <c r="N48" s="32"/>
      <c r="O48" s="41"/>
      <c r="P48" s="32"/>
      <c r="R48" s="32"/>
      <c r="S48" s="41"/>
      <c r="T48" s="32"/>
      <c r="V48" s="32"/>
      <c r="W48" s="41"/>
      <c r="X48" s="32"/>
      <c r="Z48" s="32"/>
      <c r="AA48" s="41"/>
      <c r="AB48" s="41"/>
      <c r="AD48" s="32"/>
      <c r="AE48" s="41"/>
    </row>
    <row r="49" spans="1:31" s="30" customFormat="1" x14ac:dyDescent="0.25">
      <c r="A49" s="36"/>
      <c r="B49" s="31"/>
      <c r="C49" s="31"/>
      <c r="D49" s="32"/>
      <c r="H49" s="32"/>
      <c r="J49" s="32"/>
      <c r="K49" s="41"/>
      <c r="L49" s="32"/>
      <c r="N49" s="32"/>
      <c r="O49" s="41"/>
      <c r="P49" s="32"/>
      <c r="R49" s="32"/>
      <c r="S49" s="41"/>
      <c r="T49" s="32"/>
      <c r="V49" s="32"/>
      <c r="W49" s="41"/>
      <c r="X49" s="32"/>
      <c r="Z49" s="32"/>
      <c r="AA49" s="41"/>
      <c r="AB49" s="41"/>
      <c r="AD49" s="32"/>
      <c r="AE49" s="41"/>
    </row>
    <row r="50" spans="1:31" s="30" customFormat="1" x14ac:dyDescent="0.25">
      <c r="A50" s="36"/>
      <c r="B50" s="31"/>
      <c r="C50" s="31"/>
      <c r="D50" s="32"/>
      <c r="H50" s="32"/>
      <c r="J50" s="32"/>
      <c r="K50" s="41"/>
      <c r="L50" s="32"/>
      <c r="N50" s="32"/>
      <c r="O50" s="41"/>
      <c r="P50" s="32"/>
      <c r="R50" s="32"/>
      <c r="S50" s="41"/>
      <c r="T50" s="32"/>
      <c r="V50" s="32"/>
      <c r="W50" s="41"/>
      <c r="X50" s="32"/>
      <c r="Z50" s="32"/>
      <c r="AA50" s="41"/>
      <c r="AB50" s="41"/>
      <c r="AD50" s="32"/>
      <c r="AE50" s="41"/>
    </row>
    <row r="51" spans="1:31" s="30" customFormat="1" x14ac:dyDescent="0.25">
      <c r="A51" s="36"/>
      <c r="B51" s="31"/>
      <c r="C51" s="31"/>
      <c r="D51" s="32"/>
      <c r="H51" s="32"/>
      <c r="J51" s="32"/>
      <c r="K51" s="41"/>
      <c r="L51" s="32"/>
      <c r="N51" s="32"/>
      <c r="O51" s="41"/>
      <c r="P51" s="32"/>
      <c r="R51" s="32"/>
      <c r="S51" s="41"/>
      <c r="T51" s="32"/>
      <c r="V51" s="32"/>
      <c r="W51" s="41"/>
      <c r="X51" s="32"/>
      <c r="Z51" s="32"/>
      <c r="AA51" s="41"/>
      <c r="AB51" s="41"/>
      <c r="AD51" s="32"/>
      <c r="AE51" s="41"/>
    </row>
    <row r="52" spans="1:31" s="30" customFormat="1" x14ac:dyDescent="0.25">
      <c r="A52" s="36"/>
      <c r="B52" s="31"/>
      <c r="C52" s="31"/>
      <c r="D52" s="32"/>
      <c r="H52" s="32"/>
      <c r="J52" s="32"/>
      <c r="K52" s="41"/>
      <c r="L52" s="32"/>
      <c r="N52" s="32"/>
      <c r="O52" s="41"/>
      <c r="P52" s="32"/>
      <c r="R52" s="32"/>
      <c r="S52" s="41"/>
      <c r="T52" s="32"/>
      <c r="V52" s="32"/>
      <c r="W52" s="41"/>
      <c r="X52" s="32"/>
      <c r="Z52" s="32"/>
      <c r="AA52" s="41"/>
      <c r="AB52" s="41"/>
      <c r="AD52" s="32"/>
      <c r="AE52" s="41"/>
    </row>
    <row r="53" spans="1:31" s="30" customFormat="1" x14ac:dyDescent="0.25">
      <c r="A53" s="36"/>
      <c r="B53" s="31"/>
      <c r="C53" s="31"/>
      <c r="D53" s="32"/>
      <c r="H53" s="32"/>
      <c r="J53" s="32"/>
      <c r="K53" s="41"/>
      <c r="L53" s="32"/>
      <c r="N53" s="32"/>
      <c r="O53" s="41"/>
      <c r="P53" s="32"/>
      <c r="R53" s="32"/>
      <c r="S53" s="41"/>
      <c r="T53" s="32"/>
      <c r="V53" s="32"/>
      <c r="W53" s="41"/>
      <c r="X53" s="32"/>
      <c r="Z53" s="32"/>
      <c r="AA53" s="41"/>
      <c r="AB53" s="41"/>
      <c r="AD53" s="32"/>
      <c r="AE53" s="41"/>
    </row>
    <row r="54" spans="1:31" s="30" customFormat="1" x14ac:dyDescent="0.25">
      <c r="A54" s="36"/>
      <c r="B54" s="31"/>
      <c r="C54" s="31"/>
      <c r="D54" s="32"/>
      <c r="H54" s="32"/>
      <c r="J54" s="32"/>
      <c r="K54" s="41"/>
      <c r="L54" s="32"/>
      <c r="N54" s="32"/>
      <c r="O54" s="41"/>
      <c r="P54" s="32"/>
      <c r="R54" s="32"/>
      <c r="S54" s="41"/>
      <c r="T54" s="32"/>
      <c r="V54" s="32"/>
      <c r="W54" s="41"/>
      <c r="X54" s="32"/>
      <c r="Z54" s="32"/>
      <c r="AA54" s="41"/>
      <c r="AB54" s="41"/>
      <c r="AD54" s="32"/>
      <c r="AE54" s="41"/>
    </row>
    <row r="55" spans="1:31" s="30" customFormat="1" x14ac:dyDescent="0.25">
      <c r="A55" s="36"/>
      <c r="B55" s="31"/>
      <c r="C55" s="31"/>
      <c r="D55" s="32"/>
      <c r="H55" s="32"/>
      <c r="J55" s="32"/>
      <c r="K55" s="41"/>
      <c r="L55" s="32"/>
      <c r="N55" s="32"/>
      <c r="O55" s="41"/>
      <c r="P55" s="32"/>
      <c r="R55" s="32"/>
      <c r="S55" s="41"/>
      <c r="T55" s="32"/>
      <c r="V55" s="32"/>
      <c r="W55" s="41"/>
      <c r="X55" s="32"/>
      <c r="Z55" s="32"/>
      <c r="AA55" s="41"/>
      <c r="AB55" s="41"/>
      <c r="AD55" s="32"/>
      <c r="AE55" s="41"/>
    </row>
    <row r="56" spans="1:31" s="30" customFormat="1" x14ac:dyDescent="0.25">
      <c r="A56" s="36"/>
      <c r="B56" s="31"/>
      <c r="C56" s="31"/>
      <c r="D56" s="32"/>
      <c r="H56" s="32"/>
      <c r="J56" s="32"/>
      <c r="K56" s="41"/>
      <c r="L56" s="32"/>
      <c r="N56" s="32"/>
      <c r="O56" s="41"/>
      <c r="P56" s="32"/>
      <c r="R56" s="32"/>
      <c r="S56" s="41"/>
      <c r="T56" s="32"/>
      <c r="V56" s="32"/>
      <c r="W56" s="41"/>
      <c r="X56" s="32"/>
      <c r="Z56" s="32"/>
      <c r="AA56" s="41"/>
      <c r="AB56" s="41"/>
      <c r="AD56" s="32"/>
      <c r="AE56" s="41"/>
    </row>
    <row r="57" spans="1:31" s="30" customFormat="1" x14ac:dyDescent="0.25">
      <c r="A57" s="36"/>
      <c r="B57" s="31"/>
      <c r="C57" s="31"/>
      <c r="D57" s="32"/>
      <c r="H57" s="32"/>
      <c r="J57" s="32"/>
      <c r="K57" s="41"/>
      <c r="L57" s="32"/>
      <c r="N57" s="32"/>
      <c r="O57" s="41"/>
      <c r="P57" s="32"/>
      <c r="R57" s="32"/>
      <c r="S57" s="41"/>
      <c r="T57" s="32"/>
      <c r="V57" s="32"/>
      <c r="W57" s="41"/>
      <c r="X57" s="32"/>
      <c r="Z57" s="32"/>
      <c r="AA57" s="41"/>
      <c r="AB57" s="41"/>
      <c r="AD57" s="32"/>
      <c r="AE57" s="41"/>
    </row>
    <row r="58" spans="1:31" s="30" customFormat="1" x14ac:dyDescent="0.25">
      <c r="A58" s="36"/>
      <c r="B58" s="31"/>
      <c r="C58" s="31"/>
      <c r="D58" s="32"/>
      <c r="H58" s="32"/>
      <c r="J58" s="32"/>
      <c r="K58" s="41"/>
      <c r="L58" s="32"/>
      <c r="N58" s="32"/>
      <c r="O58" s="41"/>
      <c r="P58" s="32"/>
      <c r="R58" s="32"/>
      <c r="S58" s="41"/>
      <c r="T58" s="32"/>
      <c r="V58" s="32"/>
      <c r="W58" s="41"/>
      <c r="X58" s="32"/>
      <c r="Z58" s="32"/>
      <c r="AA58" s="41"/>
      <c r="AB58" s="41"/>
      <c r="AD58" s="32"/>
      <c r="AE58" s="41"/>
    </row>
    <row r="59" spans="1:31" s="30" customFormat="1" x14ac:dyDescent="0.25">
      <c r="A59" s="36"/>
      <c r="B59" s="31"/>
      <c r="C59" s="31"/>
      <c r="D59" s="32"/>
      <c r="H59" s="32"/>
      <c r="J59" s="32"/>
      <c r="K59" s="41"/>
      <c r="L59" s="32"/>
      <c r="N59" s="32"/>
      <c r="O59" s="41"/>
      <c r="P59" s="32"/>
      <c r="R59" s="32"/>
      <c r="S59" s="41"/>
      <c r="T59" s="32"/>
      <c r="V59" s="32"/>
      <c r="W59" s="41"/>
      <c r="X59" s="32"/>
      <c r="Z59" s="32"/>
      <c r="AA59" s="41"/>
      <c r="AB59" s="41"/>
      <c r="AD59" s="32"/>
      <c r="AE59" s="41"/>
    </row>
    <row r="60" spans="1:31" s="30" customFormat="1" x14ac:dyDescent="0.25">
      <c r="A60" s="36"/>
      <c r="B60" s="31"/>
      <c r="C60" s="31"/>
      <c r="D60" s="32"/>
      <c r="H60" s="32"/>
      <c r="J60" s="32"/>
      <c r="K60" s="41"/>
      <c r="L60" s="32"/>
      <c r="N60" s="32"/>
      <c r="O60" s="41"/>
      <c r="P60" s="32"/>
      <c r="R60" s="32"/>
      <c r="S60" s="41"/>
      <c r="T60" s="32"/>
      <c r="V60" s="32"/>
      <c r="W60" s="41"/>
      <c r="X60" s="32"/>
      <c r="Z60" s="32"/>
      <c r="AA60" s="41"/>
      <c r="AB60" s="41"/>
      <c r="AD60" s="32"/>
      <c r="AE60" s="41"/>
    </row>
    <row r="61" spans="1:31" s="30" customFormat="1" x14ac:dyDescent="0.25">
      <c r="A61" s="36"/>
      <c r="B61" s="31"/>
      <c r="C61" s="31"/>
      <c r="D61" s="32"/>
      <c r="H61" s="32"/>
      <c r="J61" s="32"/>
      <c r="K61" s="41"/>
      <c r="L61" s="32"/>
      <c r="N61" s="32"/>
      <c r="O61" s="41"/>
      <c r="P61" s="32"/>
      <c r="R61" s="32"/>
      <c r="S61" s="41"/>
      <c r="T61" s="32"/>
      <c r="V61" s="32"/>
      <c r="W61" s="41"/>
      <c r="X61" s="32"/>
      <c r="Z61" s="32"/>
      <c r="AA61" s="41"/>
      <c r="AB61" s="41"/>
      <c r="AD61" s="32"/>
      <c r="AE61" s="41"/>
    </row>
    <row r="62" spans="1:31" s="30" customFormat="1" x14ac:dyDescent="0.25">
      <c r="A62" s="36"/>
      <c r="B62" s="31"/>
      <c r="C62" s="31"/>
      <c r="D62" s="32"/>
      <c r="H62" s="32"/>
      <c r="J62" s="32"/>
      <c r="K62" s="41"/>
      <c r="L62" s="32"/>
      <c r="N62" s="32"/>
      <c r="O62" s="41"/>
      <c r="P62" s="32"/>
      <c r="R62" s="32"/>
      <c r="S62" s="41"/>
      <c r="T62" s="32"/>
      <c r="V62" s="32"/>
      <c r="W62" s="41"/>
      <c r="X62" s="32"/>
      <c r="Z62" s="32"/>
      <c r="AA62" s="41"/>
      <c r="AB62" s="41"/>
      <c r="AD62" s="32"/>
      <c r="AE62" s="41"/>
    </row>
    <row r="63" spans="1:31" s="30" customFormat="1" x14ac:dyDescent="0.25">
      <c r="A63" s="36"/>
      <c r="B63" s="31"/>
      <c r="C63" s="31"/>
      <c r="D63" s="32"/>
      <c r="H63" s="32"/>
      <c r="J63" s="32"/>
      <c r="K63" s="41"/>
      <c r="L63" s="32"/>
      <c r="N63" s="32"/>
      <c r="O63" s="41"/>
      <c r="P63" s="32"/>
      <c r="R63" s="32"/>
      <c r="S63" s="41"/>
      <c r="T63" s="32"/>
      <c r="V63" s="32"/>
      <c r="W63" s="41"/>
      <c r="X63" s="32"/>
      <c r="Z63" s="32"/>
      <c r="AA63" s="41"/>
      <c r="AB63" s="41"/>
      <c r="AD63" s="32"/>
      <c r="AE63" s="41"/>
    </row>
    <row r="64" spans="1:31" s="30" customFormat="1" x14ac:dyDescent="0.25">
      <c r="A64" s="36"/>
      <c r="B64" s="31"/>
      <c r="C64" s="31"/>
      <c r="D64" s="32"/>
      <c r="H64" s="32"/>
      <c r="J64" s="32"/>
      <c r="K64" s="41"/>
      <c r="L64" s="32"/>
      <c r="N64" s="32"/>
      <c r="O64" s="41"/>
      <c r="P64" s="32"/>
      <c r="R64" s="32"/>
      <c r="S64" s="41"/>
      <c r="T64" s="32"/>
      <c r="V64" s="32"/>
      <c r="W64" s="41"/>
      <c r="X64" s="32"/>
      <c r="Z64" s="32"/>
      <c r="AA64" s="41"/>
      <c r="AB64" s="41"/>
      <c r="AD64" s="32"/>
      <c r="AE64" s="41"/>
    </row>
    <row r="65" spans="1:31" s="30" customFormat="1" x14ac:dyDescent="0.25">
      <c r="A65" s="36"/>
      <c r="B65" s="31"/>
      <c r="C65" s="31"/>
      <c r="D65" s="32"/>
      <c r="H65" s="32"/>
      <c r="J65" s="32"/>
      <c r="K65" s="41"/>
      <c r="L65" s="32"/>
      <c r="N65" s="32"/>
      <c r="O65" s="41"/>
      <c r="P65" s="32"/>
      <c r="R65" s="32"/>
      <c r="S65" s="41"/>
      <c r="T65" s="32"/>
      <c r="V65" s="32"/>
      <c r="W65" s="41"/>
      <c r="X65" s="32"/>
      <c r="Z65" s="32"/>
      <c r="AA65" s="41"/>
      <c r="AB65" s="41"/>
      <c r="AD65" s="32"/>
      <c r="AE65" s="41"/>
    </row>
    <row r="66" spans="1:31" s="30" customFormat="1" x14ac:dyDescent="0.25">
      <c r="A66" s="36"/>
      <c r="B66" s="31"/>
      <c r="C66" s="31"/>
      <c r="D66" s="32"/>
      <c r="H66" s="32"/>
      <c r="J66" s="32"/>
      <c r="K66" s="41"/>
      <c r="L66" s="32"/>
      <c r="N66" s="32"/>
      <c r="O66" s="41"/>
      <c r="P66" s="32"/>
      <c r="R66" s="32"/>
      <c r="S66" s="41"/>
      <c r="T66" s="32"/>
      <c r="V66" s="32"/>
      <c r="W66" s="41"/>
      <c r="X66" s="32"/>
      <c r="Z66" s="32"/>
      <c r="AA66" s="41"/>
      <c r="AB66" s="41"/>
      <c r="AD66" s="32"/>
      <c r="AE66" s="41"/>
    </row>
    <row r="67" spans="1:31" s="30" customFormat="1" x14ac:dyDescent="0.25">
      <c r="A67" s="36"/>
      <c r="B67" s="31"/>
      <c r="C67" s="31"/>
      <c r="D67" s="32"/>
      <c r="H67" s="32"/>
      <c r="J67" s="32"/>
      <c r="K67" s="41"/>
      <c r="L67" s="32"/>
      <c r="N67" s="32"/>
      <c r="O67" s="41"/>
      <c r="P67" s="32"/>
      <c r="R67" s="32"/>
      <c r="S67" s="41"/>
      <c r="T67" s="32"/>
      <c r="V67" s="32"/>
      <c r="W67" s="41"/>
      <c r="X67" s="32"/>
      <c r="Z67" s="32"/>
      <c r="AA67" s="41"/>
      <c r="AB67" s="41"/>
      <c r="AD67" s="32"/>
      <c r="AE67" s="41"/>
    </row>
    <row r="68" spans="1:31" s="30" customFormat="1" x14ac:dyDescent="0.25">
      <c r="A68" s="36"/>
      <c r="B68" s="31"/>
      <c r="C68" s="31"/>
      <c r="D68" s="32"/>
      <c r="H68" s="32"/>
      <c r="J68" s="32"/>
      <c r="K68" s="41"/>
      <c r="L68" s="32"/>
      <c r="N68" s="32"/>
      <c r="O68" s="41"/>
      <c r="P68" s="32"/>
      <c r="R68" s="32"/>
      <c r="S68" s="41"/>
      <c r="T68" s="32"/>
      <c r="V68" s="32"/>
      <c r="W68" s="41"/>
      <c r="X68" s="32"/>
      <c r="Z68" s="32"/>
      <c r="AA68" s="41"/>
      <c r="AB68" s="41"/>
      <c r="AD68" s="32"/>
      <c r="AE68" s="41"/>
    </row>
    <row r="69" spans="1:31" s="30" customFormat="1" x14ac:dyDescent="0.25">
      <c r="A69" s="36"/>
      <c r="B69" s="31"/>
      <c r="C69" s="31"/>
      <c r="D69" s="32"/>
      <c r="H69" s="32"/>
      <c r="J69" s="32"/>
      <c r="K69" s="41"/>
      <c r="L69" s="32"/>
      <c r="N69" s="32"/>
      <c r="O69" s="41"/>
      <c r="P69" s="32"/>
      <c r="R69" s="32"/>
      <c r="S69" s="41"/>
      <c r="T69" s="32"/>
      <c r="V69" s="32"/>
      <c r="W69" s="41"/>
      <c r="X69" s="32"/>
      <c r="Z69" s="32"/>
      <c r="AA69" s="41"/>
      <c r="AB69" s="41"/>
      <c r="AD69" s="32"/>
      <c r="AE69" s="41"/>
    </row>
    <row r="70" spans="1:31" s="30" customFormat="1" x14ac:dyDescent="0.25">
      <c r="A70" s="36"/>
      <c r="B70" s="31"/>
      <c r="C70" s="31"/>
      <c r="D70" s="32"/>
      <c r="H70" s="32"/>
      <c r="J70" s="32"/>
      <c r="K70" s="41"/>
      <c r="L70" s="32"/>
      <c r="N70" s="32"/>
      <c r="O70" s="41"/>
      <c r="P70" s="32"/>
      <c r="R70" s="32"/>
      <c r="S70" s="41"/>
      <c r="T70" s="32"/>
      <c r="V70" s="32"/>
      <c r="W70" s="41"/>
      <c r="X70" s="32"/>
      <c r="Z70" s="32"/>
      <c r="AA70" s="41"/>
      <c r="AB70" s="41"/>
      <c r="AD70" s="32"/>
      <c r="AE70" s="41"/>
    </row>
    <row r="71" spans="1:31" s="30" customFormat="1" x14ac:dyDescent="0.25">
      <c r="A71" s="36"/>
      <c r="B71" s="31"/>
      <c r="C71" s="31"/>
      <c r="D71" s="32"/>
      <c r="H71" s="32"/>
      <c r="J71" s="32"/>
      <c r="K71" s="41"/>
      <c r="L71" s="32"/>
      <c r="N71" s="32"/>
      <c r="O71" s="41"/>
      <c r="P71" s="32"/>
      <c r="R71" s="32"/>
      <c r="S71" s="41"/>
      <c r="T71" s="32"/>
      <c r="V71" s="32"/>
      <c r="W71" s="41"/>
      <c r="X71" s="32"/>
      <c r="Z71" s="32"/>
      <c r="AA71" s="41"/>
      <c r="AB71" s="41"/>
      <c r="AD71" s="32"/>
      <c r="AE71" s="41"/>
    </row>
    <row r="72" spans="1:31" s="30" customFormat="1" x14ac:dyDescent="0.25">
      <c r="A72" s="36"/>
      <c r="B72" s="31"/>
      <c r="C72" s="31"/>
      <c r="D72" s="32"/>
      <c r="H72" s="32"/>
      <c r="J72" s="32"/>
      <c r="K72" s="41"/>
      <c r="L72" s="32"/>
      <c r="N72" s="32"/>
      <c r="O72" s="41"/>
      <c r="P72" s="32"/>
      <c r="R72" s="32"/>
      <c r="S72" s="41"/>
      <c r="T72" s="32"/>
      <c r="V72" s="32"/>
      <c r="W72" s="41"/>
      <c r="X72" s="32"/>
      <c r="Z72" s="32"/>
      <c r="AA72" s="41"/>
      <c r="AB72" s="41"/>
      <c r="AD72" s="32"/>
      <c r="AE72" s="41"/>
    </row>
    <row r="73" spans="1:31" s="30" customFormat="1" x14ac:dyDescent="0.25">
      <c r="A73" s="36"/>
      <c r="B73" s="31"/>
      <c r="C73" s="31"/>
      <c r="D73" s="32"/>
      <c r="H73" s="32"/>
      <c r="J73" s="32"/>
      <c r="K73" s="41"/>
      <c r="L73" s="32"/>
      <c r="N73" s="32"/>
      <c r="O73" s="41"/>
      <c r="P73" s="32"/>
      <c r="R73" s="32"/>
      <c r="S73" s="41"/>
      <c r="T73" s="32"/>
      <c r="V73" s="32"/>
      <c r="W73" s="41"/>
      <c r="X73" s="32"/>
      <c r="Z73" s="32"/>
      <c r="AA73" s="41"/>
      <c r="AB73" s="41"/>
      <c r="AD73" s="32"/>
      <c r="AE73" s="41"/>
    </row>
    <row r="74" spans="1:31" s="30" customFormat="1" x14ac:dyDescent="0.25">
      <c r="A74" s="36"/>
      <c r="B74" s="31"/>
      <c r="C74" s="31"/>
      <c r="D74" s="32"/>
      <c r="H74" s="32"/>
      <c r="J74" s="32"/>
      <c r="K74" s="41"/>
      <c r="L74" s="32"/>
      <c r="N74" s="32"/>
      <c r="O74" s="41"/>
      <c r="P74" s="32"/>
      <c r="R74" s="32"/>
      <c r="S74" s="41"/>
      <c r="T74" s="32"/>
      <c r="V74" s="32"/>
      <c r="W74" s="41"/>
      <c r="X74" s="32"/>
      <c r="Z74" s="32"/>
      <c r="AA74" s="41"/>
      <c r="AB74" s="41"/>
      <c r="AD74" s="32"/>
      <c r="AE74" s="41"/>
    </row>
    <row r="75" spans="1:31" s="30" customFormat="1" x14ac:dyDescent="0.25">
      <c r="A75" s="36"/>
      <c r="B75" s="31"/>
      <c r="C75" s="31"/>
      <c r="D75" s="32"/>
      <c r="H75" s="32"/>
      <c r="J75" s="32"/>
      <c r="K75" s="41"/>
      <c r="L75" s="32"/>
      <c r="N75" s="32"/>
      <c r="O75" s="41"/>
      <c r="P75" s="32"/>
      <c r="R75" s="32"/>
      <c r="S75" s="41"/>
      <c r="T75" s="32"/>
      <c r="V75" s="32"/>
      <c r="W75" s="41"/>
      <c r="X75" s="32"/>
      <c r="Z75" s="32"/>
      <c r="AA75" s="41"/>
      <c r="AB75" s="41"/>
      <c r="AD75" s="32"/>
      <c r="AE75" s="41"/>
    </row>
    <row r="76" spans="1:31" s="30" customFormat="1" x14ac:dyDescent="0.25">
      <c r="A76" s="36"/>
      <c r="B76" s="31"/>
      <c r="C76" s="31"/>
      <c r="D76" s="32"/>
      <c r="H76" s="32"/>
      <c r="J76" s="32"/>
      <c r="K76" s="41"/>
      <c r="L76" s="32"/>
      <c r="N76" s="32"/>
      <c r="O76" s="41"/>
      <c r="P76" s="32"/>
      <c r="R76" s="32"/>
      <c r="S76" s="41"/>
      <c r="T76" s="32"/>
      <c r="V76" s="32"/>
      <c r="W76" s="41"/>
      <c r="X76" s="32"/>
      <c r="Z76" s="32"/>
      <c r="AA76" s="41"/>
      <c r="AB76" s="41"/>
      <c r="AD76" s="32"/>
      <c r="AE76" s="41"/>
    </row>
    <row r="77" spans="1:31" s="30" customFormat="1" x14ac:dyDescent="0.25">
      <c r="A77" s="36"/>
      <c r="B77" s="31"/>
      <c r="C77" s="31"/>
      <c r="D77" s="32"/>
      <c r="H77" s="32"/>
      <c r="J77" s="32"/>
      <c r="K77" s="41"/>
      <c r="L77" s="32"/>
      <c r="N77" s="32"/>
      <c r="O77" s="41"/>
      <c r="P77" s="32"/>
      <c r="R77" s="32"/>
      <c r="S77" s="41"/>
      <c r="T77" s="32"/>
      <c r="V77" s="32"/>
      <c r="W77" s="41"/>
      <c r="X77" s="32"/>
      <c r="Z77" s="32"/>
      <c r="AA77" s="41"/>
      <c r="AB77" s="41"/>
      <c r="AD77" s="32"/>
      <c r="AE77" s="41"/>
    </row>
    <row r="78" spans="1:31" s="30" customFormat="1" x14ac:dyDescent="0.25">
      <c r="A78" s="36"/>
      <c r="B78" s="31"/>
      <c r="C78" s="31"/>
      <c r="D78" s="32"/>
      <c r="H78" s="32"/>
      <c r="J78" s="32"/>
      <c r="K78" s="41"/>
      <c r="L78" s="32"/>
      <c r="N78" s="32"/>
      <c r="O78" s="41"/>
      <c r="P78" s="32"/>
      <c r="R78" s="32"/>
      <c r="S78" s="41"/>
      <c r="T78" s="32"/>
      <c r="V78" s="32"/>
      <c r="W78" s="41"/>
      <c r="X78" s="32"/>
      <c r="Z78" s="32"/>
      <c r="AA78" s="41"/>
      <c r="AB78" s="41"/>
      <c r="AD78" s="32"/>
      <c r="AE78" s="41"/>
    </row>
    <row r="79" spans="1:31" s="30" customFormat="1" x14ac:dyDescent="0.25">
      <c r="A79" s="36"/>
      <c r="B79" s="31"/>
      <c r="C79" s="31"/>
      <c r="D79" s="32"/>
      <c r="H79" s="32"/>
      <c r="J79" s="32"/>
      <c r="K79" s="41"/>
      <c r="L79" s="32"/>
      <c r="N79" s="32"/>
      <c r="O79" s="41"/>
      <c r="P79" s="32"/>
      <c r="R79" s="32"/>
      <c r="S79" s="41"/>
      <c r="T79" s="32"/>
      <c r="V79" s="32"/>
      <c r="W79" s="41"/>
      <c r="X79" s="32"/>
      <c r="Z79" s="32"/>
      <c r="AA79" s="41"/>
      <c r="AB79" s="41"/>
      <c r="AD79" s="32"/>
      <c r="AE79" s="41"/>
    </row>
    <row r="80" spans="1:31" s="30" customFormat="1" x14ac:dyDescent="0.25">
      <c r="A80" s="36"/>
      <c r="B80" s="31"/>
      <c r="C80" s="31"/>
      <c r="D80" s="32"/>
      <c r="H80" s="32"/>
      <c r="J80" s="32"/>
      <c r="K80" s="41"/>
      <c r="L80" s="32"/>
      <c r="N80" s="32"/>
      <c r="O80" s="41"/>
      <c r="P80" s="32"/>
      <c r="R80" s="32"/>
      <c r="S80" s="41"/>
      <c r="T80" s="32"/>
      <c r="V80" s="32"/>
      <c r="W80" s="41"/>
      <c r="X80" s="32"/>
      <c r="Z80" s="32"/>
      <c r="AA80" s="41"/>
      <c r="AB80" s="41"/>
      <c r="AD80" s="32"/>
      <c r="AE80" s="41"/>
    </row>
    <row r="81" spans="1:31" s="30" customFormat="1" x14ac:dyDescent="0.25">
      <c r="A81" s="36"/>
      <c r="B81" s="31"/>
      <c r="C81" s="31"/>
      <c r="D81" s="32"/>
      <c r="H81" s="32"/>
      <c r="J81" s="32"/>
      <c r="K81" s="41"/>
      <c r="L81" s="32"/>
      <c r="N81" s="32"/>
      <c r="O81" s="41"/>
      <c r="P81" s="32"/>
      <c r="R81" s="32"/>
      <c r="S81" s="41"/>
      <c r="T81" s="32"/>
      <c r="V81" s="32"/>
      <c r="W81" s="41"/>
      <c r="X81" s="32"/>
      <c r="Z81" s="32"/>
      <c r="AA81" s="41"/>
      <c r="AB81" s="41"/>
      <c r="AD81" s="32"/>
      <c r="AE81" s="41"/>
    </row>
    <row r="82" spans="1:31" s="30" customFormat="1" x14ac:dyDescent="0.25">
      <c r="A82" s="36"/>
      <c r="B82" s="31"/>
      <c r="C82" s="31"/>
      <c r="D82" s="32"/>
      <c r="H82" s="32"/>
      <c r="J82" s="32"/>
      <c r="K82" s="41"/>
      <c r="L82" s="32"/>
      <c r="N82" s="32"/>
      <c r="O82" s="41"/>
      <c r="P82" s="32"/>
      <c r="R82" s="32"/>
      <c r="S82" s="41"/>
      <c r="T82" s="32"/>
      <c r="V82" s="32"/>
      <c r="W82" s="41"/>
      <c r="X82" s="32"/>
      <c r="Z82" s="32"/>
      <c r="AA82" s="41"/>
      <c r="AB82" s="41"/>
      <c r="AD82" s="32"/>
      <c r="AE82" s="41"/>
    </row>
    <row r="83" spans="1:31" s="30" customFormat="1" x14ac:dyDescent="0.25">
      <c r="A83" s="36"/>
      <c r="B83" s="31"/>
      <c r="C83" s="31"/>
      <c r="D83" s="32"/>
      <c r="H83" s="32"/>
      <c r="J83" s="32"/>
      <c r="K83" s="41"/>
      <c r="L83" s="32"/>
      <c r="N83" s="32"/>
      <c r="O83" s="41"/>
      <c r="P83" s="32"/>
      <c r="R83" s="32"/>
      <c r="S83" s="41"/>
      <c r="T83" s="32"/>
      <c r="V83" s="32"/>
      <c r="W83" s="41"/>
      <c r="X83" s="32"/>
      <c r="Z83" s="32"/>
      <c r="AA83" s="41"/>
      <c r="AB83" s="41"/>
      <c r="AD83" s="32"/>
      <c r="AE83" s="41"/>
    </row>
    <row r="84" spans="1:31" s="30" customFormat="1" x14ac:dyDescent="0.25">
      <c r="A84" s="36"/>
      <c r="B84" s="31"/>
      <c r="C84" s="31"/>
      <c r="D84" s="32"/>
      <c r="H84" s="32"/>
      <c r="J84" s="32"/>
      <c r="K84" s="41"/>
      <c r="L84" s="32"/>
      <c r="N84" s="32"/>
      <c r="O84" s="41"/>
      <c r="P84" s="32"/>
      <c r="R84" s="32"/>
      <c r="S84" s="41"/>
      <c r="T84" s="32"/>
      <c r="V84" s="32"/>
      <c r="W84" s="41"/>
      <c r="X84" s="32"/>
      <c r="Z84" s="32"/>
      <c r="AA84" s="41"/>
      <c r="AB84" s="41"/>
      <c r="AD84" s="32"/>
      <c r="AE84" s="41"/>
    </row>
    <row r="85" spans="1:31" s="30" customFormat="1" x14ac:dyDescent="0.25">
      <c r="A85" s="36"/>
      <c r="B85" s="31"/>
      <c r="C85" s="31"/>
      <c r="D85" s="32"/>
      <c r="H85" s="32"/>
      <c r="J85" s="32"/>
      <c r="K85" s="41"/>
      <c r="L85" s="32"/>
      <c r="N85" s="32"/>
      <c r="O85" s="41"/>
      <c r="P85" s="32"/>
      <c r="R85" s="32"/>
      <c r="S85" s="41"/>
      <c r="T85" s="32"/>
      <c r="V85" s="32"/>
      <c r="W85" s="41"/>
      <c r="X85" s="32"/>
      <c r="Z85" s="32"/>
      <c r="AA85" s="41"/>
      <c r="AB85" s="41"/>
      <c r="AD85" s="32"/>
      <c r="AE85" s="41"/>
    </row>
    <row r="86" spans="1:31" s="30" customFormat="1" x14ac:dyDescent="0.25">
      <c r="A86" s="36"/>
      <c r="B86" s="31"/>
      <c r="C86" s="31"/>
      <c r="D86" s="32"/>
      <c r="H86" s="32"/>
      <c r="J86" s="32"/>
      <c r="K86" s="41"/>
      <c r="L86" s="32"/>
      <c r="N86" s="32"/>
      <c r="O86" s="41"/>
      <c r="P86" s="32"/>
      <c r="R86" s="32"/>
      <c r="S86" s="41"/>
      <c r="T86" s="32"/>
      <c r="V86" s="32"/>
      <c r="W86" s="41"/>
      <c r="X86" s="32"/>
      <c r="Z86" s="32"/>
      <c r="AA86" s="41"/>
      <c r="AB86" s="41"/>
      <c r="AD86" s="32"/>
      <c r="AE86" s="41"/>
    </row>
    <row r="87" spans="1:31" s="30" customFormat="1" x14ac:dyDescent="0.25">
      <c r="A87" s="36"/>
      <c r="B87" s="31"/>
      <c r="C87" s="31"/>
      <c r="D87" s="32"/>
      <c r="H87" s="32"/>
      <c r="J87" s="32"/>
      <c r="K87" s="41"/>
      <c r="L87" s="32"/>
      <c r="N87" s="32"/>
      <c r="O87" s="41"/>
      <c r="P87" s="32"/>
      <c r="R87" s="32"/>
      <c r="S87" s="41"/>
      <c r="T87" s="32"/>
      <c r="V87" s="32"/>
      <c r="W87" s="41"/>
      <c r="X87" s="32"/>
      <c r="Z87" s="32"/>
      <c r="AA87" s="41"/>
      <c r="AB87" s="41"/>
      <c r="AD87" s="32"/>
      <c r="AE87" s="41"/>
    </row>
    <row r="88" spans="1:31" s="30" customFormat="1" x14ac:dyDescent="0.25">
      <c r="A88" s="36"/>
      <c r="B88" s="31"/>
      <c r="C88" s="31"/>
      <c r="D88" s="32"/>
      <c r="H88" s="32"/>
      <c r="J88" s="32"/>
      <c r="K88" s="41"/>
      <c r="L88" s="32"/>
      <c r="N88" s="32"/>
      <c r="O88" s="41"/>
      <c r="P88" s="32"/>
      <c r="R88" s="32"/>
      <c r="S88" s="41"/>
      <c r="T88" s="32"/>
      <c r="V88" s="32"/>
      <c r="W88" s="41"/>
      <c r="X88" s="32"/>
      <c r="Z88" s="32"/>
      <c r="AA88" s="41"/>
      <c r="AB88" s="41"/>
      <c r="AD88" s="32"/>
      <c r="AE88" s="41"/>
    </row>
    <row r="89" spans="1:31" s="30" customFormat="1" x14ac:dyDescent="0.25">
      <c r="A89" s="36"/>
      <c r="B89" s="31"/>
      <c r="C89" s="31"/>
      <c r="D89" s="32"/>
      <c r="H89" s="32"/>
      <c r="J89" s="32"/>
      <c r="K89" s="41"/>
      <c r="L89" s="32"/>
      <c r="N89" s="32"/>
      <c r="O89" s="41"/>
      <c r="P89" s="32"/>
      <c r="R89" s="32"/>
      <c r="S89" s="41"/>
      <c r="T89" s="32"/>
      <c r="V89" s="32"/>
      <c r="W89" s="41"/>
      <c r="X89" s="32"/>
      <c r="Z89" s="32"/>
      <c r="AA89" s="41"/>
      <c r="AB89" s="41"/>
      <c r="AD89" s="32"/>
      <c r="AE89" s="41"/>
    </row>
    <row r="90" spans="1:31" s="30" customFormat="1" x14ac:dyDescent="0.25">
      <c r="A90" s="36"/>
      <c r="B90" s="31"/>
      <c r="C90" s="31"/>
      <c r="D90" s="32"/>
      <c r="H90" s="32"/>
      <c r="J90" s="32"/>
      <c r="K90" s="41"/>
      <c r="L90" s="32"/>
      <c r="N90" s="32"/>
      <c r="O90" s="41"/>
      <c r="P90" s="32"/>
      <c r="R90" s="32"/>
      <c r="S90" s="41"/>
      <c r="T90" s="32"/>
      <c r="V90" s="32"/>
      <c r="W90" s="41"/>
      <c r="X90" s="32"/>
      <c r="Z90" s="32"/>
      <c r="AA90" s="41"/>
      <c r="AB90" s="41"/>
      <c r="AD90" s="32"/>
      <c r="AE90" s="41"/>
    </row>
    <row r="91" spans="1:31" s="30" customFormat="1" x14ac:dyDescent="0.25">
      <c r="A91" s="36"/>
      <c r="B91" s="31"/>
      <c r="C91" s="31"/>
      <c r="D91" s="32"/>
      <c r="H91" s="32"/>
      <c r="J91" s="32"/>
      <c r="K91" s="41"/>
      <c r="L91" s="32"/>
      <c r="N91" s="32"/>
      <c r="O91" s="41"/>
      <c r="P91" s="32"/>
      <c r="R91" s="32"/>
      <c r="S91" s="41"/>
      <c r="T91" s="32"/>
      <c r="V91" s="32"/>
      <c r="W91" s="41"/>
      <c r="X91" s="32"/>
      <c r="Z91" s="32"/>
      <c r="AA91" s="41"/>
      <c r="AB91" s="41"/>
      <c r="AD91" s="32"/>
      <c r="AE91" s="41"/>
    </row>
    <row r="92" spans="1:31" s="30" customFormat="1" x14ac:dyDescent="0.25">
      <c r="A92" s="36"/>
      <c r="B92" s="31"/>
      <c r="C92" s="31"/>
      <c r="D92" s="32"/>
      <c r="H92" s="32"/>
      <c r="J92" s="32"/>
      <c r="K92" s="41"/>
      <c r="L92" s="32"/>
      <c r="N92" s="32"/>
      <c r="O92" s="41"/>
      <c r="P92" s="32"/>
      <c r="R92" s="32"/>
      <c r="S92" s="41"/>
      <c r="T92" s="32"/>
      <c r="V92" s="32"/>
      <c r="W92" s="41"/>
      <c r="X92" s="32"/>
      <c r="Z92" s="32"/>
      <c r="AA92" s="41"/>
      <c r="AB92" s="41"/>
      <c r="AD92" s="32"/>
      <c r="AE92" s="41"/>
    </row>
    <row r="93" spans="1:31" s="30" customFormat="1" x14ac:dyDescent="0.25">
      <c r="A93" s="36"/>
      <c r="B93" s="31"/>
      <c r="C93" s="31"/>
      <c r="D93" s="32"/>
      <c r="H93" s="32"/>
      <c r="J93" s="32"/>
      <c r="K93" s="41"/>
      <c r="L93" s="32"/>
      <c r="N93" s="32"/>
      <c r="O93" s="41"/>
      <c r="P93" s="32"/>
      <c r="R93" s="32"/>
      <c r="S93" s="41"/>
      <c r="T93" s="32"/>
      <c r="V93" s="32"/>
      <c r="W93" s="41"/>
      <c r="X93" s="32"/>
      <c r="Z93" s="32"/>
      <c r="AA93" s="41"/>
      <c r="AB93" s="41"/>
      <c r="AD93" s="32"/>
      <c r="AE93" s="41"/>
    </row>
    <row r="94" spans="1:31" s="30" customFormat="1" x14ac:dyDescent="0.25">
      <c r="A94" s="36"/>
      <c r="B94" s="31"/>
      <c r="C94" s="31"/>
      <c r="D94" s="32"/>
      <c r="H94" s="32"/>
      <c r="J94" s="32"/>
      <c r="K94" s="41"/>
      <c r="L94" s="32"/>
      <c r="N94" s="32"/>
      <c r="O94" s="41"/>
      <c r="P94" s="32"/>
      <c r="R94" s="32"/>
      <c r="S94" s="41"/>
      <c r="T94" s="32"/>
      <c r="V94" s="32"/>
      <c r="W94" s="41"/>
      <c r="X94" s="32"/>
      <c r="Z94" s="32"/>
      <c r="AA94" s="41"/>
      <c r="AB94" s="41"/>
      <c r="AD94" s="32"/>
      <c r="AE94" s="41"/>
    </row>
    <row r="95" spans="1:31" s="30" customFormat="1" x14ac:dyDescent="0.25">
      <c r="A95" s="36"/>
      <c r="B95" s="31"/>
      <c r="C95" s="31"/>
      <c r="D95" s="32"/>
      <c r="H95" s="32"/>
      <c r="J95" s="32"/>
      <c r="K95" s="41"/>
      <c r="L95" s="32"/>
      <c r="N95" s="32"/>
      <c r="O95" s="41"/>
      <c r="P95" s="32"/>
      <c r="R95" s="32"/>
      <c r="S95" s="41"/>
      <c r="T95" s="32"/>
      <c r="V95" s="32"/>
      <c r="W95" s="41"/>
      <c r="X95" s="32"/>
      <c r="Z95" s="32"/>
      <c r="AA95" s="41"/>
      <c r="AB95" s="41"/>
      <c r="AD95" s="32"/>
      <c r="AE95" s="41"/>
    </row>
    <row r="96" spans="1:31" s="30" customFormat="1" x14ac:dyDescent="0.25">
      <c r="A96" s="36"/>
      <c r="B96" s="31"/>
      <c r="C96" s="31"/>
      <c r="D96" s="32"/>
      <c r="H96" s="32"/>
      <c r="J96" s="32"/>
      <c r="K96" s="41"/>
      <c r="L96" s="32"/>
      <c r="N96" s="32"/>
      <c r="O96" s="41"/>
      <c r="P96" s="32"/>
      <c r="R96" s="32"/>
      <c r="S96" s="41"/>
      <c r="T96" s="32"/>
      <c r="V96" s="32"/>
      <c r="W96" s="41"/>
      <c r="X96" s="32"/>
      <c r="Z96" s="32"/>
      <c r="AA96" s="41"/>
      <c r="AB96" s="41"/>
      <c r="AD96" s="32"/>
      <c r="AE96" s="41"/>
    </row>
    <row r="97" spans="1:31" s="30" customFormat="1" x14ac:dyDescent="0.25">
      <c r="A97" s="36"/>
      <c r="B97" s="31"/>
      <c r="C97" s="31"/>
      <c r="D97" s="32"/>
      <c r="H97" s="32"/>
      <c r="J97" s="32"/>
      <c r="K97" s="41"/>
      <c r="L97" s="32"/>
      <c r="N97" s="32"/>
      <c r="O97" s="41"/>
      <c r="P97" s="32"/>
      <c r="R97" s="32"/>
      <c r="S97" s="41"/>
      <c r="T97" s="32"/>
      <c r="V97" s="32"/>
      <c r="W97" s="41"/>
      <c r="X97" s="32"/>
      <c r="Z97" s="32"/>
      <c r="AA97" s="41"/>
      <c r="AB97" s="41"/>
      <c r="AD97" s="32"/>
      <c r="AE97" s="41"/>
    </row>
    <row r="98" spans="1:31" s="30" customFormat="1" x14ac:dyDescent="0.25">
      <c r="A98" s="36"/>
      <c r="B98" s="31"/>
      <c r="C98" s="31"/>
      <c r="D98" s="32"/>
      <c r="H98" s="32"/>
      <c r="J98" s="32"/>
      <c r="K98" s="41"/>
      <c r="L98" s="32"/>
      <c r="N98" s="32"/>
      <c r="O98" s="41"/>
      <c r="P98" s="32"/>
      <c r="R98" s="32"/>
      <c r="S98" s="41"/>
      <c r="T98" s="32"/>
      <c r="V98" s="32"/>
      <c r="W98" s="41"/>
      <c r="X98" s="32"/>
      <c r="Z98" s="32"/>
      <c r="AA98" s="41"/>
      <c r="AB98" s="41"/>
      <c r="AD98" s="32"/>
      <c r="AE98" s="41"/>
    </row>
    <row r="99" spans="1:31" s="30" customFormat="1" x14ac:dyDescent="0.25">
      <c r="A99" s="36"/>
      <c r="B99" s="31"/>
      <c r="C99" s="31"/>
      <c r="D99" s="32"/>
      <c r="H99" s="32"/>
      <c r="J99" s="32"/>
      <c r="K99" s="41"/>
      <c r="L99" s="32"/>
      <c r="N99" s="32"/>
      <c r="O99" s="41"/>
      <c r="P99" s="32"/>
      <c r="R99" s="32"/>
      <c r="S99" s="41"/>
      <c r="T99" s="32"/>
      <c r="V99" s="32"/>
      <c r="W99" s="41"/>
      <c r="X99" s="32"/>
      <c r="Z99" s="32"/>
      <c r="AA99" s="41"/>
      <c r="AB99" s="41"/>
      <c r="AD99" s="32"/>
      <c r="AE99" s="41"/>
    </row>
    <row r="100" spans="1:31" s="30" customFormat="1" x14ac:dyDescent="0.25">
      <c r="A100" s="36"/>
      <c r="B100" s="31"/>
      <c r="C100" s="31"/>
      <c r="D100" s="32"/>
      <c r="H100" s="32"/>
      <c r="J100" s="32"/>
      <c r="K100" s="41"/>
      <c r="L100" s="32"/>
      <c r="N100" s="32"/>
      <c r="O100" s="41"/>
      <c r="P100" s="32"/>
      <c r="R100" s="32"/>
      <c r="S100" s="41"/>
      <c r="T100" s="32"/>
      <c r="V100" s="32"/>
      <c r="W100" s="41"/>
      <c r="X100" s="32"/>
      <c r="Z100" s="32"/>
      <c r="AA100" s="41"/>
      <c r="AB100" s="41"/>
      <c r="AD100" s="32"/>
      <c r="AE100" s="41"/>
    </row>
    <row r="101" spans="1:31" s="30" customFormat="1" x14ac:dyDescent="0.25">
      <c r="A101" s="36"/>
      <c r="B101" s="31"/>
      <c r="C101" s="31"/>
      <c r="D101" s="32"/>
      <c r="H101" s="32"/>
      <c r="J101" s="32"/>
      <c r="K101" s="41"/>
      <c r="L101" s="32"/>
      <c r="N101" s="32"/>
      <c r="O101" s="41"/>
      <c r="P101" s="32"/>
      <c r="R101" s="32"/>
      <c r="S101" s="41"/>
      <c r="T101" s="32"/>
      <c r="V101" s="32"/>
      <c r="W101" s="41"/>
      <c r="X101" s="32"/>
      <c r="Z101" s="32"/>
      <c r="AA101" s="41"/>
      <c r="AB101" s="41"/>
      <c r="AD101" s="32"/>
      <c r="AE101" s="41"/>
    </row>
    <row r="102" spans="1:31" s="30" customFormat="1" x14ac:dyDescent="0.25">
      <c r="A102" s="36"/>
      <c r="B102" s="31"/>
      <c r="C102" s="31"/>
      <c r="D102" s="32"/>
      <c r="H102" s="32"/>
      <c r="J102" s="32"/>
      <c r="K102" s="41"/>
      <c r="L102" s="32"/>
      <c r="N102" s="32"/>
      <c r="O102" s="41"/>
      <c r="P102" s="32"/>
      <c r="R102" s="32"/>
      <c r="S102" s="41"/>
      <c r="T102" s="32"/>
      <c r="V102" s="32"/>
      <c r="W102" s="41"/>
      <c r="X102" s="32"/>
      <c r="Z102" s="32"/>
      <c r="AA102" s="41"/>
      <c r="AB102" s="41"/>
      <c r="AD102" s="32"/>
      <c r="AE102" s="41"/>
    </row>
    <row r="103" spans="1:31" s="30" customFormat="1" x14ac:dyDescent="0.25">
      <c r="A103" s="36"/>
      <c r="B103" s="31"/>
      <c r="C103" s="31"/>
      <c r="D103" s="32"/>
      <c r="H103" s="32"/>
      <c r="J103" s="32"/>
      <c r="K103" s="41"/>
      <c r="L103" s="32"/>
      <c r="N103" s="32"/>
      <c r="O103" s="41"/>
      <c r="P103" s="32"/>
      <c r="R103" s="32"/>
      <c r="S103" s="41"/>
      <c r="T103" s="32"/>
      <c r="V103" s="32"/>
      <c r="W103" s="41"/>
      <c r="X103" s="32"/>
      <c r="Z103" s="32"/>
      <c r="AA103" s="41"/>
      <c r="AB103" s="41"/>
      <c r="AD103" s="32"/>
      <c r="AE103" s="41"/>
    </row>
    <row r="104" spans="1:31" s="30" customFormat="1" x14ac:dyDescent="0.25">
      <c r="A104" s="36"/>
      <c r="B104" s="31"/>
      <c r="C104" s="31"/>
      <c r="D104" s="32"/>
      <c r="H104" s="32"/>
      <c r="J104" s="32"/>
      <c r="K104" s="41"/>
      <c r="L104" s="32"/>
      <c r="N104" s="32"/>
      <c r="O104" s="41"/>
      <c r="P104" s="32"/>
      <c r="R104" s="32"/>
      <c r="S104" s="41"/>
      <c r="T104" s="32"/>
      <c r="V104" s="32"/>
      <c r="W104" s="41"/>
      <c r="X104" s="32"/>
      <c r="Z104" s="32"/>
      <c r="AA104" s="41"/>
      <c r="AB104" s="41"/>
      <c r="AD104" s="32"/>
      <c r="AE104" s="41"/>
    </row>
    <row r="105" spans="1:31" s="30" customFormat="1" x14ac:dyDescent="0.25">
      <c r="A105" s="36"/>
      <c r="B105" s="31"/>
      <c r="C105" s="31"/>
      <c r="D105" s="32"/>
      <c r="H105" s="32"/>
      <c r="J105" s="32"/>
      <c r="K105" s="41"/>
      <c r="L105" s="32"/>
      <c r="N105" s="32"/>
      <c r="O105" s="41"/>
      <c r="P105" s="32"/>
      <c r="R105" s="32"/>
      <c r="S105" s="41"/>
      <c r="T105" s="32"/>
      <c r="V105" s="32"/>
      <c r="W105" s="41"/>
      <c r="X105" s="32"/>
      <c r="Z105" s="32"/>
      <c r="AA105" s="41"/>
      <c r="AB105" s="41"/>
      <c r="AD105" s="32"/>
      <c r="AE105" s="41"/>
    </row>
    <row r="106" spans="1:31" s="30" customFormat="1" x14ac:dyDescent="0.25">
      <c r="A106" s="36"/>
      <c r="B106" s="31"/>
      <c r="C106" s="31"/>
      <c r="D106" s="32"/>
      <c r="H106" s="32"/>
      <c r="J106" s="32"/>
      <c r="K106" s="41"/>
      <c r="L106" s="32"/>
      <c r="N106" s="32"/>
      <c r="O106" s="41"/>
      <c r="P106" s="32"/>
      <c r="R106" s="32"/>
      <c r="S106" s="41"/>
      <c r="T106" s="32"/>
      <c r="V106" s="32"/>
      <c r="W106" s="41"/>
      <c r="X106" s="32"/>
      <c r="Z106" s="32"/>
      <c r="AA106" s="41"/>
      <c r="AB106" s="41"/>
      <c r="AD106" s="32"/>
      <c r="AE106" s="41"/>
    </row>
    <row r="107" spans="1:31" s="30" customFormat="1" x14ac:dyDescent="0.25">
      <c r="A107" s="36"/>
      <c r="B107" s="31"/>
      <c r="C107" s="31"/>
      <c r="D107" s="32"/>
      <c r="H107" s="32"/>
      <c r="J107" s="32"/>
      <c r="K107" s="41"/>
      <c r="L107" s="32"/>
      <c r="N107" s="32"/>
      <c r="O107" s="41"/>
      <c r="P107" s="32"/>
      <c r="R107" s="32"/>
      <c r="S107" s="41"/>
      <c r="T107" s="32"/>
      <c r="V107" s="32"/>
      <c r="W107" s="41"/>
      <c r="X107" s="32"/>
      <c r="Z107" s="32"/>
      <c r="AA107" s="41"/>
      <c r="AB107" s="41"/>
      <c r="AD107" s="32"/>
      <c r="AE107" s="41"/>
    </row>
    <row r="108" spans="1:31" s="30" customFormat="1" x14ac:dyDescent="0.25">
      <c r="A108" s="36"/>
      <c r="B108" s="31"/>
      <c r="C108" s="31"/>
      <c r="D108" s="32"/>
      <c r="H108" s="32"/>
      <c r="J108" s="32"/>
      <c r="K108" s="41"/>
      <c r="L108" s="32"/>
      <c r="N108" s="32"/>
      <c r="O108" s="41"/>
      <c r="P108" s="32"/>
      <c r="R108" s="32"/>
      <c r="S108" s="41"/>
      <c r="T108" s="32"/>
      <c r="V108" s="32"/>
      <c r="W108" s="41"/>
      <c r="X108" s="32"/>
      <c r="Z108" s="32"/>
      <c r="AA108" s="41"/>
      <c r="AB108" s="41"/>
      <c r="AD108" s="32"/>
      <c r="AE108" s="41"/>
    </row>
    <row r="109" spans="1:31" s="30" customFormat="1" x14ac:dyDescent="0.25">
      <c r="A109" s="36"/>
      <c r="B109" s="31"/>
      <c r="C109" s="31"/>
      <c r="D109" s="32"/>
      <c r="H109" s="32"/>
      <c r="J109" s="32"/>
      <c r="K109" s="41"/>
      <c r="L109" s="32"/>
      <c r="N109" s="32"/>
      <c r="O109" s="41"/>
      <c r="P109" s="32"/>
      <c r="R109" s="32"/>
      <c r="S109" s="41"/>
      <c r="T109" s="32"/>
      <c r="V109" s="32"/>
      <c r="W109" s="41"/>
      <c r="X109" s="32"/>
      <c r="Z109" s="32"/>
      <c r="AA109" s="41"/>
      <c r="AB109" s="41"/>
      <c r="AD109" s="32"/>
      <c r="AE109" s="41"/>
    </row>
    <row r="110" spans="1:31" s="30" customFormat="1" x14ac:dyDescent="0.25">
      <c r="A110" s="36"/>
      <c r="B110" s="31"/>
      <c r="C110" s="31"/>
      <c r="D110" s="32"/>
      <c r="H110" s="32"/>
      <c r="J110" s="32"/>
      <c r="K110" s="41"/>
      <c r="L110" s="32"/>
      <c r="N110" s="32"/>
      <c r="O110" s="41"/>
      <c r="P110" s="32"/>
      <c r="R110" s="32"/>
      <c r="S110" s="41"/>
      <c r="T110" s="32"/>
      <c r="V110" s="32"/>
      <c r="W110" s="41"/>
      <c r="X110" s="32"/>
      <c r="Z110" s="32"/>
      <c r="AA110" s="41"/>
      <c r="AB110" s="41"/>
      <c r="AD110" s="32"/>
      <c r="AE110" s="41"/>
    </row>
    <row r="111" spans="1:31" s="30" customFormat="1" x14ac:dyDescent="0.25">
      <c r="A111" s="36"/>
      <c r="B111" s="31"/>
      <c r="C111" s="31"/>
      <c r="D111" s="32"/>
      <c r="H111" s="32"/>
      <c r="J111" s="32"/>
      <c r="K111" s="41"/>
      <c r="L111" s="32"/>
      <c r="N111" s="32"/>
      <c r="O111" s="41"/>
      <c r="P111" s="32"/>
      <c r="R111" s="32"/>
      <c r="S111" s="41"/>
      <c r="T111" s="32"/>
      <c r="V111" s="32"/>
      <c r="W111" s="41"/>
      <c r="X111" s="32"/>
      <c r="Z111" s="32"/>
      <c r="AA111" s="41"/>
      <c r="AB111" s="41"/>
      <c r="AD111" s="32"/>
      <c r="AE111" s="41"/>
    </row>
    <row r="112" spans="1:31" s="30" customFormat="1" x14ac:dyDescent="0.25">
      <c r="A112" s="36"/>
      <c r="B112" s="31"/>
      <c r="C112" s="31"/>
      <c r="D112" s="32"/>
      <c r="H112" s="32"/>
      <c r="J112" s="32"/>
      <c r="K112" s="41"/>
      <c r="L112" s="32"/>
      <c r="N112" s="32"/>
      <c r="O112" s="41"/>
      <c r="P112" s="32"/>
      <c r="R112" s="32"/>
      <c r="S112" s="41"/>
      <c r="T112" s="32"/>
      <c r="V112" s="32"/>
      <c r="W112" s="41"/>
      <c r="X112" s="32"/>
      <c r="Z112" s="32"/>
      <c r="AA112" s="41"/>
      <c r="AB112" s="41"/>
      <c r="AD112" s="32"/>
      <c r="AE112" s="41"/>
    </row>
    <row r="113" spans="1:31" s="30" customFormat="1" x14ac:dyDescent="0.25">
      <c r="A113" s="36"/>
      <c r="B113" s="31"/>
      <c r="C113" s="31"/>
      <c r="D113" s="32"/>
      <c r="H113" s="32"/>
      <c r="J113" s="32"/>
      <c r="K113" s="41"/>
      <c r="L113" s="32"/>
      <c r="N113" s="32"/>
      <c r="O113" s="41"/>
      <c r="P113" s="32"/>
      <c r="R113" s="32"/>
      <c r="S113" s="41"/>
      <c r="T113" s="32"/>
      <c r="V113" s="32"/>
      <c r="W113" s="41"/>
      <c r="X113" s="32"/>
      <c r="Z113" s="32"/>
      <c r="AA113" s="41"/>
      <c r="AB113" s="41"/>
      <c r="AD113" s="32"/>
      <c r="AE113" s="41"/>
    </row>
    <row r="114" spans="1:31" s="30" customFormat="1" x14ac:dyDescent="0.25">
      <c r="A114" s="36"/>
      <c r="B114" s="31"/>
      <c r="C114" s="31"/>
      <c r="D114" s="32"/>
      <c r="H114" s="32"/>
      <c r="J114" s="32"/>
      <c r="K114" s="41"/>
      <c r="L114" s="32"/>
      <c r="N114" s="32"/>
      <c r="O114" s="41"/>
      <c r="P114" s="32"/>
      <c r="R114" s="32"/>
      <c r="S114" s="41"/>
      <c r="T114" s="32"/>
      <c r="V114" s="32"/>
      <c r="W114" s="41"/>
      <c r="X114" s="32"/>
      <c r="Z114" s="32"/>
      <c r="AA114" s="41"/>
      <c r="AB114" s="41"/>
      <c r="AD114" s="32"/>
      <c r="AE114" s="41"/>
    </row>
    <row r="115" spans="1:31" s="30" customFormat="1" x14ac:dyDescent="0.25">
      <c r="A115" s="36"/>
      <c r="B115" s="31"/>
      <c r="C115" s="31"/>
      <c r="D115" s="32"/>
      <c r="H115" s="32"/>
      <c r="J115" s="32"/>
      <c r="K115" s="41"/>
      <c r="L115" s="32"/>
      <c r="N115" s="32"/>
      <c r="O115" s="41"/>
      <c r="P115" s="32"/>
      <c r="R115" s="32"/>
      <c r="S115" s="41"/>
      <c r="T115" s="32"/>
      <c r="V115" s="32"/>
      <c r="W115" s="41"/>
      <c r="X115" s="32"/>
      <c r="Z115" s="32"/>
      <c r="AA115" s="41"/>
      <c r="AB115" s="41"/>
      <c r="AD115" s="32"/>
      <c r="AE115" s="41"/>
    </row>
    <row r="116" spans="1:31" s="30" customFormat="1" x14ac:dyDescent="0.25">
      <c r="A116" s="36"/>
      <c r="B116" s="31"/>
      <c r="C116" s="31"/>
      <c r="D116" s="32"/>
      <c r="H116" s="32"/>
      <c r="J116" s="32"/>
      <c r="K116" s="41"/>
      <c r="L116" s="32"/>
      <c r="N116" s="32"/>
      <c r="O116" s="41"/>
      <c r="P116" s="32"/>
      <c r="R116" s="32"/>
      <c r="S116" s="41"/>
      <c r="T116" s="32"/>
      <c r="V116" s="32"/>
      <c r="W116" s="41"/>
      <c r="X116" s="32"/>
      <c r="Z116" s="32"/>
      <c r="AA116" s="41"/>
      <c r="AB116" s="41"/>
      <c r="AD116" s="32"/>
      <c r="AE116" s="41"/>
    </row>
    <row r="117" spans="1:31" s="30" customFormat="1" x14ac:dyDescent="0.25">
      <c r="A117" s="36"/>
      <c r="B117" s="31"/>
      <c r="C117" s="31"/>
      <c r="D117" s="32"/>
      <c r="H117" s="32"/>
      <c r="J117" s="32"/>
      <c r="K117" s="41"/>
      <c r="L117" s="32"/>
      <c r="N117" s="32"/>
      <c r="O117" s="41"/>
      <c r="P117" s="32"/>
      <c r="R117" s="32"/>
      <c r="S117" s="41"/>
      <c r="T117" s="32"/>
      <c r="V117" s="32"/>
      <c r="W117" s="41"/>
      <c r="X117" s="32"/>
      <c r="Z117" s="32"/>
      <c r="AA117" s="41"/>
      <c r="AB117" s="41"/>
      <c r="AD117" s="32"/>
      <c r="AE117" s="41"/>
    </row>
    <row r="118" spans="1:31" s="30" customFormat="1" x14ac:dyDescent="0.25">
      <c r="A118" s="36"/>
      <c r="B118" s="31"/>
      <c r="C118" s="31"/>
      <c r="D118" s="32"/>
      <c r="H118" s="32"/>
      <c r="J118" s="32"/>
      <c r="K118" s="41"/>
      <c r="L118" s="32"/>
      <c r="N118" s="32"/>
      <c r="O118" s="41"/>
      <c r="P118" s="32"/>
      <c r="R118" s="32"/>
      <c r="S118" s="41"/>
      <c r="T118" s="32"/>
      <c r="V118" s="32"/>
      <c r="W118" s="41"/>
      <c r="X118" s="32"/>
      <c r="Z118" s="32"/>
      <c r="AA118" s="41"/>
      <c r="AB118" s="41"/>
      <c r="AD118" s="32"/>
      <c r="AE118" s="41"/>
    </row>
    <row r="119" spans="1:31" s="30" customFormat="1" x14ac:dyDescent="0.25">
      <c r="A119" s="36"/>
      <c r="B119" s="31"/>
      <c r="C119" s="31"/>
      <c r="D119" s="32"/>
      <c r="H119" s="32"/>
      <c r="J119" s="32"/>
      <c r="K119" s="41"/>
      <c r="L119" s="32"/>
      <c r="N119" s="32"/>
      <c r="O119" s="41"/>
      <c r="P119" s="32"/>
      <c r="R119" s="32"/>
      <c r="S119" s="41"/>
      <c r="T119" s="32"/>
      <c r="V119" s="32"/>
      <c r="W119" s="41"/>
      <c r="X119" s="32"/>
      <c r="Z119" s="32"/>
      <c r="AA119" s="41"/>
      <c r="AB119" s="41"/>
      <c r="AD119" s="32"/>
      <c r="AE119" s="41"/>
    </row>
    <row r="120" spans="1:31" s="30" customFormat="1" x14ac:dyDescent="0.25">
      <c r="A120" s="36"/>
      <c r="B120" s="31"/>
      <c r="C120" s="31"/>
      <c r="D120" s="32"/>
      <c r="H120" s="32"/>
      <c r="J120" s="32"/>
      <c r="K120" s="41"/>
      <c r="L120" s="32"/>
      <c r="N120" s="32"/>
      <c r="O120" s="41"/>
      <c r="P120" s="32"/>
      <c r="R120" s="32"/>
      <c r="S120" s="41"/>
      <c r="T120" s="32"/>
      <c r="V120" s="32"/>
      <c r="W120" s="41"/>
      <c r="X120" s="32"/>
      <c r="Z120" s="32"/>
      <c r="AA120" s="41"/>
      <c r="AB120" s="41"/>
      <c r="AD120" s="32"/>
      <c r="AE120" s="41"/>
    </row>
    <row r="121" spans="1:31" s="30" customFormat="1" x14ac:dyDescent="0.25">
      <c r="A121" s="36"/>
      <c r="B121" s="31"/>
      <c r="C121" s="31"/>
      <c r="D121" s="32"/>
      <c r="H121" s="32"/>
      <c r="J121" s="32"/>
      <c r="K121" s="41"/>
      <c r="L121" s="32"/>
      <c r="N121" s="32"/>
      <c r="O121" s="41"/>
      <c r="P121" s="32"/>
      <c r="R121" s="32"/>
      <c r="S121" s="41"/>
      <c r="T121" s="32"/>
      <c r="V121" s="32"/>
      <c r="W121" s="41"/>
      <c r="X121" s="32"/>
      <c r="Z121" s="32"/>
      <c r="AA121" s="41"/>
      <c r="AB121" s="41"/>
      <c r="AD121" s="32"/>
      <c r="AE121" s="41"/>
    </row>
    <row r="122" spans="1:31" s="30" customFormat="1" x14ac:dyDescent="0.25">
      <c r="A122" s="36"/>
      <c r="B122" s="31"/>
      <c r="C122" s="31"/>
      <c r="D122" s="32"/>
      <c r="H122" s="32"/>
      <c r="J122" s="32"/>
      <c r="K122" s="41"/>
      <c r="L122" s="32"/>
      <c r="N122" s="32"/>
      <c r="O122" s="41"/>
      <c r="P122" s="32"/>
      <c r="R122" s="32"/>
      <c r="S122" s="41"/>
      <c r="T122" s="32"/>
      <c r="V122" s="32"/>
      <c r="W122" s="41"/>
      <c r="X122" s="32"/>
      <c r="Z122" s="32"/>
      <c r="AA122" s="41"/>
      <c r="AB122" s="41"/>
      <c r="AD122" s="32"/>
      <c r="AE122" s="41"/>
    </row>
    <row r="123" spans="1:31" s="30" customFormat="1" x14ac:dyDescent="0.25">
      <c r="A123" s="36"/>
      <c r="B123" s="31"/>
      <c r="C123" s="31"/>
      <c r="D123" s="32"/>
      <c r="H123" s="32"/>
      <c r="J123" s="32"/>
      <c r="K123" s="41"/>
      <c r="L123" s="32"/>
      <c r="N123" s="32"/>
      <c r="O123" s="41"/>
      <c r="P123" s="32"/>
      <c r="R123" s="32"/>
      <c r="S123" s="41"/>
      <c r="T123" s="32"/>
      <c r="V123" s="32"/>
      <c r="W123" s="41"/>
      <c r="X123" s="32"/>
      <c r="Z123" s="32"/>
      <c r="AA123" s="41"/>
      <c r="AB123" s="41"/>
      <c r="AD123" s="32"/>
      <c r="AE123" s="41"/>
    </row>
    <row r="124" spans="1:31" s="30" customFormat="1" x14ac:dyDescent="0.25">
      <c r="A124" s="36"/>
      <c r="B124" s="31"/>
      <c r="C124" s="31"/>
      <c r="D124" s="32"/>
      <c r="H124" s="32"/>
      <c r="J124" s="32"/>
      <c r="K124" s="41"/>
      <c r="L124" s="32"/>
      <c r="N124" s="32"/>
      <c r="O124" s="41"/>
      <c r="P124" s="32"/>
      <c r="R124" s="32"/>
      <c r="S124" s="41"/>
      <c r="T124" s="32"/>
      <c r="V124" s="32"/>
      <c r="W124" s="41"/>
      <c r="X124" s="32"/>
      <c r="Z124" s="32"/>
      <c r="AA124" s="41"/>
      <c r="AB124" s="41"/>
      <c r="AD124" s="32"/>
      <c r="AE124" s="41"/>
    </row>
    <row r="125" spans="1:31" s="30" customFormat="1" x14ac:dyDescent="0.25">
      <c r="A125" s="36"/>
      <c r="B125" s="31"/>
      <c r="C125" s="31"/>
      <c r="D125" s="32"/>
      <c r="H125" s="32"/>
      <c r="J125" s="32"/>
      <c r="K125" s="41"/>
      <c r="L125" s="32"/>
      <c r="N125" s="32"/>
      <c r="O125" s="41"/>
      <c r="P125" s="32"/>
      <c r="R125" s="32"/>
      <c r="S125" s="41"/>
      <c r="T125" s="32"/>
      <c r="V125" s="32"/>
      <c r="W125" s="41"/>
      <c r="X125" s="32"/>
      <c r="Z125" s="32"/>
      <c r="AA125" s="41"/>
      <c r="AB125" s="41"/>
      <c r="AD125" s="32"/>
      <c r="AE125" s="41"/>
    </row>
    <row r="126" spans="1:31" s="30" customFormat="1" x14ac:dyDescent="0.25">
      <c r="A126" s="36"/>
      <c r="B126" s="31"/>
      <c r="C126" s="31"/>
      <c r="D126" s="32"/>
      <c r="H126" s="32"/>
      <c r="J126" s="32"/>
      <c r="K126" s="41"/>
      <c r="L126" s="32"/>
      <c r="N126" s="32"/>
      <c r="O126" s="41"/>
      <c r="P126" s="32"/>
      <c r="R126" s="32"/>
      <c r="S126" s="41"/>
      <c r="T126" s="32"/>
      <c r="V126" s="32"/>
      <c r="W126" s="41"/>
      <c r="X126" s="32"/>
      <c r="Z126" s="32"/>
      <c r="AA126" s="41"/>
      <c r="AB126" s="41"/>
      <c r="AD126" s="32"/>
      <c r="AE126" s="41"/>
    </row>
    <row r="127" spans="1:31" s="30" customFormat="1" x14ac:dyDescent="0.25">
      <c r="A127" s="36"/>
      <c r="B127" s="31"/>
      <c r="C127" s="31"/>
      <c r="D127" s="32"/>
      <c r="H127" s="32"/>
      <c r="J127" s="32"/>
      <c r="K127" s="41"/>
      <c r="L127" s="32"/>
      <c r="N127" s="32"/>
      <c r="O127" s="41"/>
      <c r="P127" s="32"/>
      <c r="R127" s="32"/>
      <c r="S127" s="41"/>
      <c r="T127" s="32"/>
      <c r="V127" s="32"/>
      <c r="W127" s="41"/>
      <c r="X127" s="32"/>
      <c r="Z127" s="32"/>
      <c r="AA127" s="41"/>
      <c r="AB127" s="41"/>
      <c r="AD127" s="32"/>
      <c r="AE127" s="41"/>
    </row>
    <row r="128" spans="1:31" s="30" customFormat="1" x14ac:dyDescent="0.25">
      <c r="A128" s="36"/>
      <c r="B128" s="31"/>
      <c r="C128" s="31"/>
      <c r="D128" s="32"/>
      <c r="H128" s="32"/>
      <c r="J128" s="32"/>
      <c r="K128" s="41"/>
      <c r="L128" s="32"/>
      <c r="N128" s="32"/>
      <c r="O128" s="41"/>
      <c r="P128" s="32"/>
      <c r="R128" s="32"/>
      <c r="S128" s="41"/>
      <c r="T128" s="32"/>
      <c r="V128" s="32"/>
      <c r="W128" s="41"/>
      <c r="X128" s="32"/>
      <c r="Z128" s="32"/>
      <c r="AA128" s="41"/>
      <c r="AB128" s="41"/>
      <c r="AD128" s="32"/>
      <c r="AE128" s="41"/>
    </row>
    <row r="129" spans="1:31" s="30" customFormat="1" x14ac:dyDescent="0.25">
      <c r="A129" s="36"/>
      <c r="B129" s="31"/>
      <c r="C129" s="31"/>
      <c r="D129" s="32"/>
      <c r="H129" s="32"/>
      <c r="J129" s="32"/>
      <c r="K129" s="41"/>
      <c r="L129" s="32"/>
      <c r="N129" s="32"/>
      <c r="O129" s="41"/>
      <c r="P129" s="32"/>
      <c r="R129" s="32"/>
      <c r="S129" s="41"/>
      <c r="T129" s="32"/>
      <c r="V129" s="32"/>
      <c r="W129" s="41"/>
      <c r="X129" s="32"/>
      <c r="Z129" s="32"/>
      <c r="AA129" s="41"/>
      <c r="AB129" s="41"/>
      <c r="AD129" s="32"/>
      <c r="AE129" s="41"/>
    </row>
    <row r="130" spans="1:31" s="30" customFormat="1" x14ac:dyDescent="0.25">
      <c r="A130" s="36"/>
      <c r="B130" s="31"/>
      <c r="C130" s="31"/>
      <c r="D130" s="32"/>
      <c r="H130" s="32"/>
      <c r="J130" s="32"/>
      <c r="K130" s="41"/>
      <c r="L130" s="32"/>
      <c r="N130" s="32"/>
      <c r="O130" s="41"/>
      <c r="P130" s="32"/>
      <c r="R130" s="32"/>
      <c r="S130" s="41"/>
      <c r="T130" s="32"/>
      <c r="V130" s="32"/>
      <c r="W130" s="41"/>
      <c r="X130" s="32"/>
      <c r="Z130" s="32"/>
      <c r="AA130" s="41"/>
      <c r="AB130" s="41"/>
      <c r="AD130" s="32"/>
      <c r="AE130" s="41"/>
    </row>
    <row r="131" spans="1:31" s="30" customFormat="1" x14ac:dyDescent="0.25">
      <c r="A131" s="36"/>
      <c r="B131" s="31"/>
      <c r="C131" s="31"/>
      <c r="D131" s="32"/>
      <c r="H131" s="32"/>
      <c r="J131" s="32"/>
      <c r="K131" s="41"/>
      <c r="L131" s="32"/>
      <c r="N131" s="32"/>
      <c r="O131" s="41"/>
      <c r="P131" s="32"/>
      <c r="R131" s="32"/>
      <c r="S131" s="41"/>
      <c r="T131" s="32"/>
      <c r="V131" s="32"/>
      <c r="W131" s="41"/>
      <c r="X131" s="32"/>
      <c r="Z131" s="32"/>
      <c r="AA131" s="41"/>
      <c r="AB131" s="41"/>
      <c r="AD131" s="32"/>
      <c r="AE131" s="41"/>
    </row>
    <row r="132" spans="1:31" s="30" customFormat="1" x14ac:dyDescent="0.25">
      <c r="A132" s="36"/>
      <c r="B132" s="31"/>
      <c r="C132" s="31"/>
      <c r="D132" s="32"/>
      <c r="H132" s="32"/>
      <c r="J132" s="32"/>
      <c r="K132" s="41"/>
      <c r="L132" s="32"/>
      <c r="N132" s="32"/>
      <c r="O132" s="41"/>
      <c r="P132" s="32"/>
      <c r="R132" s="32"/>
      <c r="S132" s="41"/>
      <c r="T132" s="32"/>
      <c r="V132" s="32"/>
      <c r="W132" s="41"/>
      <c r="X132" s="32"/>
      <c r="Z132" s="32"/>
      <c r="AA132" s="41"/>
      <c r="AB132" s="41"/>
      <c r="AD132" s="32"/>
      <c r="AE132" s="41"/>
    </row>
    <row r="133" spans="1:31" s="30" customFormat="1" x14ac:dyDescent="0.25">
      <c r="A133" s="36"/>
      <c r="B133" s="31"/>
      <c r="C133" s="31"/>
      <c r="D133" s="32"/>
      <c r="H133" s="32"/>
      <c r="J133" s="32"/>
      <c r="K133" s="41"/>
      <c r="L133" s="32"/>
      <c r="N133" s="32"/>
      <c r="O133" s="41"/>
      <c r="P133" s="32"/>
      <c r="R133" s="32"/>
      <c r="S133" s="41"/>
      <c r="T133" s="32"/>
      <c r="V133" s="32"/>
      <c r="W133" s="41"/>
      <c r="X133" s="32"/>
      <c r="Z133" s="32"/>
      <c r="AA133" s="41"/>
      <c r="AB133" s="41"/>
      <c r="AD133" s="32"/>
      <c r="AE133" s="41"/>
    </row>
    <row r="134" spans="1:31" s="30" customFormat="1" x14ac:dyDescent="0.25">
      <c r="A134" s="36"/>
      <c r="B134" s="31"/>
      <c r="C134" s="31"/>
      <c r="D134" s="32"/>
      <c r="H134" s="32"/>
      <c r="J134" s="32"/>
      <c r="K134" s="41"/>
      <c r="L134" s="32"/>
      <c r="N134" s="32"/>
      <c r="O134" s="41"/>
      <c r="P134" s="32"/>
      <c r="R134" s="32"/>
      <c r="S134" s="41"/>
      <c r="T134" s="32"/>
      <c r="V134" s="32"/>
      <c r="W134" s="41"/>
      <c r="X134" s="32"/>
      <c r="Z134" s="32"/>
      <c r="AA134" s="41"/>
      <c r="AB134" s="41"/>
      <c r="AD134" s="32"/>
      <c r="AE134" s="41"/>
    </row>
    <row r="135" spans="1:31" s="30" customFormat="1" x14ac:dyDescent="0.25">
      <c r="A135" s="36"/>
      <c r="B135" s="31"/>
      <c r="C135" s="31"/>
      <c r="D135" s="32"/>
      <c r="H135" s="32"/>
      <c r="J135" s="32"/>
      <c r="K135" s="41"/>
      <c r="L135" s="32"/>
      <c r="N135" s="32"/>
      <c r="O135" s="41"/>
      <c r="P135" s="32"/>
      <c r="R135" s="32"/>
      <c r="S135" s="41"/>
      <c r="T135" s="32"/>
      <c r="V135" s="32"/>
      <c r="W135" s="41"/>
      <c r="X135" s="32"/>
      <c r="Z135" s="32"/>
      <c r="AA135" s="41"/>
      <c r="AB135" s="41"/>
      <c r="AD135" s="32"/>
      <c r="AE135" s="41"/>
    </row>
    <row r="136" spans="1:31" s="30" customFormat="1" x14ac:dyDescent="0.25">
      <c r="A136" s="36"/>
      <c r="B136" s="31"/>
      <c r="C136" s="31"/>
      <c r="D136" s="32"/>
      <c r="H136" s="32"/>
      <c r="J136" s="32"/>
      <c r="K136" s="41"/>
      <c r="L136" s="32"/>
      <c r="N136" s="32"/>
      <c r="O136" s="41"/>
      <c r="P136" s="32"/>
      <c r="R136" s="32"/>
      <c r="S136" s="41"/>
      <c r="T136" s="32"/>
      <c r="V136" s="32"/>
      <c r="W136" s="41"/>
      <c r="X136" s="32"/>
      <c r="Z136" s="32"/>
      <c r="AA136" s="41"/>
      <c r="AB136" s="41"/>
      <c r="AD136" s="32"/>
      <c r="AE136" s="41"/>
    </row>
    <row r="137" spans="1:31" s="30" customFormat="1" x14ac:dyDescent="0.25">
      <c r="A137" s="36"/>
      <c r="B137" s="31"/>
      <c r="C137" s="31"/>
      <c r="D137" s="32"/>
      <c r="H137" s="32"/>
      <c r="J137" s="32"/>
      <c r="K137" s="41"/>
      <c r="L137" s="32"/>
      <c r="N137" s="32"/>
      <c r="O137" s="41"/>
      <c r="P137" s="32"/>
      <c r="R137" s="32"/>
      <c r="S137" s="41"/>
      <c r="T137" s="32"/>
      <c r="V137" s="32"/>
      <c r="W137" s="41"/>
      <c r="X137" s="32"/>
      <c r="Z137" s="32"/>
      <c r="AA137" s="41"/>
      <c r="AB137" s="41"/>
      <c r="AD137" s="32"/>
      <c r="AE137" s="41"/>
    </row>
    <row r="138" spans="1:31" s="30" customFormat="1" x14ac:dyDescent="0.25">
      <c r="A138" s="36"/>
      <c r="B138" s="31"/>
      <c r="C138" s="31"/>
      <c r="D138" s="32"/>
      <c r="H138" s="32"/>
      <c r="J138" s="32"/>
      <c r="K138" s="41"/>
      <c r="L138" s="32"/>
      <c r="N138" s="32"/>
      <c r="O138" s="41"/>
      <c r="P138" s="32"/>
      <c r="R138" s="32"/>
      <c r="S138" s="41"/>
      <c r="T138" s="32"/>
      <c r="V138" s="32"/>
      <c r="W138" s="41"/>
      <c r="X138" s="32"/>
      <c r="Z138" s="32"/>
      <c r="AA138" s="41"/>
      <c r="AB138" s="41"/>
      <c r="AD138" s="32"/>
      <c r="AE138" s="41"/>
    </row>
    <row r="139" spans="1:31" s="30" customFormat="1" x14ac:dyDescent="0.25">
      <c r="A139" s="36"/>
      <c r="B139" s="31"/>
      <c r="C139" s="31"/>
      <c r="D139" s="32"/>
      <c r="H139" s="32"/>
      <c r="J139" s="32"/>
      <c r="K139" s="41"/>
      <c r="L139" s="32"/>
      <c r="N139" s="32"/>
      <c r="O139" s="41"/>
      <c r="P139" s="32"/>
      <c r="R139" s="32"/>
      <c r="S139" s="41"/>
      <c r="T139" s="32"/>
      <c r="V139" s="32"/>
      <c r="W139" s="41"/>
      <c r="X139" s="32"/>
      <c r="Z139" s="32"/>
      <c r="AA139" s="41"/>
      <c r="AB139" s="41"/>
      <c r="AD139" s="32"/>
      <c r="AE139" s="41"/>
    </row>
    <row r="140" spans="1:31" s="30" customFormat="1" x14ac:dyDescent="0.25">
      <c r="A140" s="36"/>
      <c r="B140" s="31"/>
      <c r="C140" s="31"/>
      <c r="D140" s="32"/>
      <c r="H140" s="32"/>
      <c r="J140" s="32"/>
      <c r="K140" s="41"/>
      <c r="L140" s="32"/>
      <c r="N140" s="32"/>
      <c r="O140" s="41"/>
      <c r="P140" s="32"/>
      <c r="R140" s="32"/>
      <c r="S140" s="41"/>
      <c r="T140" s="32"/>
      <c r="V140" s="32"/>
      <c r="W140" s="41"/>
      <c r="X140" s="32"/>
      <c r="Z140" s="32"/>
      <c r="AA140" s="41"/>
      <c r="AB140" s="41"/>
      <c r="AD140" s="32"/>
      <c r="AE140" s="41"/>
    </row>
    <row r="141" spans="1:31" s="30" customFormat="1" x14ac:dyDescent="0.25">
      <c r="A141" s="36"/>
      <c r="B141" s="31"/>
      <c r="C141" s="31"/>
      <c r="D141" s="32"/>
      <c r="H141" s="32"/>
      <c r="J141" s="32"/>
      <c r="K141" s="41"/>
      <c r="L141" s="32"/>
      <c r="N141" s="32"/>
      <c r="O141" s="41"/>
      <c r="P141" s="32"/>
      <c r="R141" s="32"/>
      <c r="S141" s="41"/>
      <c r="T141" s="32"/>
      <c r="V141" s="32"/>
      <c r="W141" s="41"/>
      <c r="X141" s="32"/>
      <c r="Z141" s="32"/>
      <c r="AA141" s="41"/>
      <c r="AB141" s="41"/>
      <c r="AD141" s="32"/>
      <c r="AE141" s="41"/>
    </row>
    <row r="142" spans="1:31" s="30" customFormat="1" x14ac:dyDescent="0.25">
      <c r="A142" s="36"/>
      <c r="B142" s="31"/>
      <c r="C142" s="31"/>
      <c r="D142" s="32"/>
      <c r="H142" s="32"/>
      <c r="J142" s="32"/>
      <c r="K142" s="41"/>
      <c r="L142" s="32"/>
      <c r="N142" s="32"/>
      <c r="O142" s="41"/>
      <c r="P142" s="32"/>
      <c r="R142" s="32"/>
      <c r="S142" s="41"/>
      <c r="T142" s="32"/>
      <c r="V142" s="32"/>
      <c r="W142" s="41"/>
      <c r="X142" s="32"/>
      <c r="Z142" s="32"/>
      <c r="AA142" s="41"/>
      <c r="AB142" s="41"/>
      <c r="AD142" s="32"/>
      <c r="AE142" s="41"/>
    </row>
    <row r="143" spans="1:31" s="30" customFormat="1" x14ac:dyDescent="0.25">
      <c r="A143" s="36"/>
      <c r="B143" s="31"/>
      <c r="C143" s="31"/>
      <c r="D143" s="32"/>
      <c r="H143" s="32"/>
      <c r="J143" s="32"/>
      <c r="K143" s="41"/>
      <c r="L143" s="32"/>
      <c r="N143" s="32"/>
      <c r="O143" s="41"/>
      <c r="P143" s="32"/>
      <c r="R143" s="32"/>
      <c r="S143" s="41"/>
      <c r="T143" s="32"/>
      <c r="V143" s="32"/>
      <c r="W143" s="41"/>
      <c r="X143" s="32"/>
      <c r="Z143" s="32"/>
      <c r="AA143" s="41"/>
      <c r="AB143" s="41"/>
      <c r="AD143" s="32"/>
      <c r="AE143" s="41"/>
    </row>
    <row r="144" spans="1:31" s="30" customFormat="1" x14ac:dyDescent="0.25">
      <c r="A144" s="36"/>
      <c r="B144" s="31"/>
      <c r="C144" s="31"/>
      <c r="D144" s="32"/>
      <c r="H144" s="32"/>
      <c r="J144" s="32"/>
      <c r="K144" s="41"/>
      <c r="L144" s="32"/>
      <c r="N144" s="32"/>
      <c r="O144" s="41"/>
      <c r="P144" s="32"/>
      <c r="R144" s="32"/>
      <c r="S144" s="41"/>
      <c r="T144" s="32"/>
      <c r="V144" s="32"/>
      <c r="W144" s="41"/>
      <c r="X144" s="32"/>
      <c r="Z144" s="32"/>
      <c r="AA144" s="41"/>
      <c r="AB144" s="41"/>
      <c r="AD144" s="32"/>
      <c r="AE144" s="41"/>
    </row>
    <row r="145" spans="1:31" s="30" customFormat="1" x14ac:dyDescent="0.25">
      <c r="A145" s="36"/>
      <c r="B145" s="31"/>
      <c r="C145" s="31"/>
      <c r="D145" s="32"/>
      <c r="H145" s="32"/>
      <c r="J145" s="32"/>
      <c r="K145" s="41"/>
      <c r="L145" s="32"/>
      <c r="N145" s="32"/>
      <c r="O145" s="41"/>
      <c r="P145" s="32"/>
      <c r="R145" s="32"/>
      <c r="S145" s="41"/>
      <c r="T145" s="32"/>
      <c r="V145" s="32"/>
      <c r="W145" s="41"/>
      <c r="X145" s="32"/>
      <c r="Z145" s="32"/>
      <c r="AA145" s="41"/>
      <c r="AB145" s="41"/>
      <c r="AD145" s="32"/>
      <c r="AE145" s="41"/>
    </row>
    <row r="146" spans="1:31" s="30" customFormat="1" x14ac:dyDescent="0.25">
      <c r="A146" s="36"/>
      <c r="B146" s="31"/>
      <c r="C146" s="31"/>
      <c r="D146" s="32"/>
      <c r="H146" s="32"/>
      <c r="J146" s="32"/>
      <c r="K146" s="41"/>
      <c r="L146" s="32"/>
      <c r="N146" s="32"/>
      <c r="O146" s="41"/>
      <c r="P146" s="32"/>
      <c r="R146" s="32"/>
      <c r="S146" s="41"/>
      <c r="T146" s="32"/>
      <c r="V146" s="32"/>
      <c r="W146" s="41"/>
      <c r="X146" s="32"/>
      <c r="Z146" s="32"/>
      <c r="AA146" s="41"/>
      <c r="AB146" s="41"/>
      <c r="AD146" s="32"/>
      <c r="AE146" s="41"/>
    </row>
    <row r="147" spans="1:31" s="30" customFormat="1" x14ac:dyDescent="0.25">
      <c r="A147" s="36"/>
      <c r="B147" s="31"/>
      <c r="C147" s="31"/>
      <c r="D147" s="32"/>
      <c r="H147" s="32"/>
      <c r="J147" s="32"/>
      <c r="K147" s="41"/>
      <c r="L147" s="32"/>
      <c r="N147" s="32"/>
      <c r="O147" s="41"/>
      <c r="P147" s="32"/>
      <c r="R147" s="32"/>
      <c r="S147" s="41"/>
      <c r="T147" s="32"/>
      <c r="V147" s="32"/>
      <c r="W147" s="41"/>
      <c r="X147" s="32"/>
      <c r="Z147" s="32"/>
      <c r="AA147" s="41"/>
      <c r="AB147" s="41"/>
      <c r="AD147" s="32"/>
      <c r="AE147" s="41"/>
    </row>
    <row r="148" spans="1:31" s="30" customFormat="1" x14ac:dyDescent="0.25">
      <c r="A148" s="36"/>
      <c r="B148" s="31"/>
      <c r="C148" s="31"/>
      <c r="D148" s="32"/>
      <c r="H148" s="32"/>
      <c r="J148" s="32"/>
      <c r="K148" s="41"/>
      <c r="L148" s="32"/>
      <c r="N148" s="32"/>
      <c r="O148" s="41"/>
      <c r="P148" s="32"/>
      <c r="R148" s="32"/>
      <c r="S148" s="41"/>
      <c r="T148" s="32"/>
      <c r="V148" s="32"/>
      <c r="W148" s="41"/>
      <c r="X148" s="32"/>
      <c r="Z148" s="32"/>
      <c r="AA148" s="41"/>
      <c r="AB148" s="41"/>
      <c r="AD148" s="32"/>
      <c r="AE148" s="41"/>
    </row>
    <row r="149" spans="1:31" s="30" customFormat="1" x14ac:dyDescent="0.25">
      <c r="A149" s="36"/>
      <c r="B149" s="31"/>
      <c r="C149" s="31"/>
      <c r="D149" s="32"/>
      <c r="H149" s="32"/>
      <c r="J149" s="32"/>
      <c r="K149" s="41"/>
      <c r="L149" s="32"/>
      <c r="N149" s="32"/>
      <c r="O149" s="41"/>
      <c r="P149" s="32"/>
      <c r="R149" s="32"/>
      <c r="S149" s="41"/>
      <c r="T149" s="32"/>
      <c r="V149" s="32"/>
      <c r="W149" s="41"/>
      <c r="X149" s="32"/>
      <c r="Z149" s="32"/>
      <c r="AA149" s="41"/>
      <c r="AB149" s="41"/>
      <c r="AD149" s="32"/>
      <c r="AE149" s="41"/>
    </row>
    <row r="150" spans="1:31" s="30" customFormat="1" x14ac:dyDescent="0.25">
      <c r="A150" s="36"/>
      <c r="B150" s="31"/>
      <c r="C150" s="31"/>
      <c r="D150" s="32"/>
      <c r="H150" s="32"/>
      <c r="J150" s="32"/>
      <c r="K150" s="41"/>
      <c r="L150" s="32"/>
      <c r="N150" s="32"/>
      <c r="O150" s="41"/>
      <c r="P150" s="32"/>
      <c r="R150" s="32"/>
      <c r="S150" s="41"/>
      <c r="T150" s="32"/>
      <c r="V150" s="32"/>
      <c r="W150" s="41"/>
      <c r="X150" s="32"/>
      <c r="Z150" s="32"/>
      <c r="AA150" s="41"/>
      <c r="AB150" s="41"/>
      <c r="AD150" s="32"/>
      <c r="AE150" s="41"/>
    </row>
    <row r="151" spans="1:31" s="30" customFormat="1" x14ac:dyDescent="0.25">
      <c r="A151" s="36"/>
      <c r="B151" s="31"/>
      <c r="C151" s="31"/>
      <c r="D151" s="32"/>
      <c r="H151" s="32"/>
      <c r="J151" s="32"/>
      <c r="K151" s="41"/>
      <c r="L151" s="32"/>
      <c r="N151" s="32"/>
      <c r="O151" s="41"/>
      <c r="P151" s="32"/>
      <c r="R151" s="32"/>
      <c r="S151" s="41"/>
      <c r="T151" s="32"/>
      <c r="V151" s="32"/>
      <c r="W151" s="41"/>
      <c r="X151" s="32"/>
      <c r="Z151" s="32"/>
      <c r="AA151" s="41"/>
      <c r="AB151" s="41"/>
      <c r="AD151" s="32"/>
      <c r="AE151" s="41"/>
    </row>
    <row r="152" spans="1:31" s="30" customFormat="1" x14ac:dyDescent="0.25">
      <c r="A152" s="36"/>
      <c r="B152" s="31"/>
      <c r="C152" s="31"/>
      <c r="D152" s="32"/>
      <c r="H152" s="32"/>
      <c r="J152" s="32"/>
      <c r="K152" s="41"/>
      <c r="L152" s="32"/>
      <c r="N152" s="32"/>
      <c r="O152" s="41"/>
      <c r="P152" s="32"/>
      <c r="R152" s="32"/>
      <c r="S152" s="41"/>
      <c r="T152" s="32"/>
      <c r="V152" s="32"/>
      <c r="W152" s="41"/>
      <c r="X152" s="32"/>
      <c r="Z152" s="32"/>
      <c r="AA152" s="41"/>
      <c r="AB152" s="41"/>
      <c r="AD152" s="32"/>
      <c r="AE152" s="41"/>
    </row>
    <row r="153" spans="1:31" s="30" customFormat="1" x14ac:dyDescent="0.25">
      <c r="A153" s="36"/>
      <c r="B153" s="31"/>
      <c r="C153" s="31"/>
      <c r="D153" s="32"/>
      <c r="H153" s="32"/>
      <c r="J153" s="32"/>
      <c r="K153" s="41"/>
      <c r="L153" s="32"/>
      <c r="N153" s="32"/>
      <c r="O153" s="41"/>
      <c r="P153" s="32"/>
      <c r="R153" s="32"/>
      <c r="S153" s="41"/>
      <c r="T153" s="32"/>
      <c r="V153" s="32"/>
      <c r="W153" s="41"/>
      <c r="X153" s="32"/>
      <c r="Z153" s="32"/>
      <c r="AA153" s="41"/>
      <c r="AB153" s="41"/>
      <c r="AD153" s="32"/>
      <c r="AE153" s="41"/>
    </row>
    <row r="154" spans="1:31" s="30" customFormat="1" x14ac:dyDescent="0.25">
      <c r="A154" s="36"/>
      <c r="B154" s="31"/>
      <c r="C154" s="31"/>
      <c r="D154" s="32"/>
      <c r="H154" s="32"/>
      <c r="J154" s="32"/>
      <c r="K154" s="41"/>
      <c r="L154" s="32"/>
      <c r="N154" s="32"/>
      <c r="O154" s="41"/>
      <c r="P154" s="32"/>
      <c r="R154" s="32"/>
      <c r="S154" s="41"/>
      <c r="T154" s="32"/>
      <c r="V154" s="32"/>
      <c r="W154" s="41"/>
      <c r="X154" s="32"/>
      <c r="Z154" s="32"/>
      <c r="AA154" s="41"/>
      <c r="AB154" s="41"/>
      <c r="AD154" s="32"/>
      <c r="AE154" s="41"/>
    </row>
    <row r="155" spans="1:31" s="30" customFormat="1" x14ac:dyDescent="0.25">
      <c r="A155" s="36"/>
      <c r="B155" s="31"/>
      <c r="C155" s="31"/>
      <c r="D155" s="32"/>
      <c r="H155" s="32"/>
      <c r="J155" s="32"/>
      <c r="K155" s="41"/>
      <c r="L155" s="32"/>
      <c r="N155" s="32"/>
      <c r="O155" s="41"/>
      <c r="P155" s="32"/>
      <c r="R155" s="32"/>
      <c r="S155" s="41"/>
      <c r="T155" s="32"/>
      <c r="V155" s="32"/>
      <c r="W155" s="41"/>
      <c r="X155" s="32"/>
      <c r="Z155" s="32"/>
      <c r="AA155" s="41"/>
      <c r="AB155" s="41"/>
      <c r="AD155" s="32"/>
      <c r="AE155" s="41"/>
    </row>
    <row r="156" spans="1:31" s="30" customFormat="1" x14ac:dyDescent="0.25">
      <c r="A156" s="36"/>
      <c r="B156" s="31"/>
      <c r="C156" s="31"/>
      <c r="D156" s="32"/>
      <c r="H156" s="32"/>
      <c r="J156" s="32"/>
      <c r="K156" s="41"/>
      <c r="L156" s="32"/>
      <c r="N156" s="32"/>
      <c r="O156" s="41"/>
      <c r="P156" s="32"/>
      <c r="R156" s="32"/>
      <c r="S156" s="41"/>
      <c r="T156" s="32"/>
      <c r="V156" s="32"/>
      <c r="W156" s="41"/>
      <c r="X156" s="32"/>
      <c r="Z156" s="32"/>
      <c r="AA156" s="41"/>
      <c r="AB156" s="41"/>
      <c r="AD156" s="32"/>
      <c r="AE156" s="41"/>
    </row>
    <row r="157" spans="1:31" s="30" customFormat="1" x14ac:dyDescent="0.25">
      <c r="A157" s="36"/>
      <c r="B157" s="31"/>
      <c r="C157" s="31"/>
      <c r="D157" s="32"/>
      <c r="H157" s="32"/>
      <c r="J157" s="32"/>
      <c r="K157" s="41"/>
      <c r="L157" s="32"/>
      <c r="N157" s="32"/>
      <c r="O157" s="41"/>
      <c r="P157" s="32"/>
      <c r="R157" s="32"/>
      <c r="S157" s="41"/>
      <c r="T157" s="32"/>
      <c r="V157" s="32"/>
      <c r="W157" s="41"/>
      <c r="X157" s="32"/>
      <c r="Z157" s="32"/>
      <c r="AA157" s="41"/>
      <c r="AB157" s="41"/>
      <c r="AD157" s="32"/>
      <c r="AE157" s="41"/>
    </row>
    <row r="158" spans="1:31" s="30" customFormat="1" x14ac:dyDescent="0.25">
      <c r="A158" s="36"/>
      <c r="B158" s="31"/>
      <c r="C158" s="31"/>
      <c r="D158" s="32"/>
      <c r="H158" s="32"/>
      <c r="J158" s="32"/>
      <c r="K158" s="41"/>
      <c r="L158" s="32"/>
      <c r="N158" s="32"/>
      <c r="O158" s="41"/>
      <c r="P158" s="32"/>
      <c r="R158" s="32"/>
      <c r="S158" s="41"/>
      <c r="T158" s="32"/>
      <c r="V158" s="32"/>
      <c r="W158" s="41"/>
      <c r="X158" s="32"/>
      <c r="Z158" s="32"/>
      <c r="AA158" s="41"/>
      <c r="AB158" s="41"/>
      <c r="AD158" s="32"/>
      <c r="AE158" s="41"/>
    </row>
    <row r="159" spans="1:31" s="30" customFormat="1" x14ac:dyDescent="0.25">
      <c r="A159" s="36"/>
      <c r="B159" s="31"/>
      <c r="C159" s="31"/>
      <c r="D159" s="32"/>
      <c r="H159" s="32"/>
      <c r="J159" s="32"/>
      <c r="K159" s="41"/>
      <c r="L159" s="32"/>
      <c r="N159" s="32"/>
      <c r="O159" s="41"/>
      <c r="P159" s="32"/>
      <c r="R159" s="32"/>
      <c r="S159" s="41"/>
      <c r="T159" s="32"/>
      <c r="V159" s="32"/>
      <c r="W159" s="41"/>
      <c r="X159" s="32"/>
      <c r="Z159" s="32"/>
      <c r="AA159" s="41"/>
      <c r="AB159" s="41"/>
      <c r="AD159" s="32"/>
      <c r="AE159" s="41"/>
    </row>
    <row r="160" spans="1:31" s="30" customFormat="1" x14ac:dyDescent="0.25">
      <c r="A160" s="36"/>
      <c r="B160" s="31"/>
      <c r="C160" s="31"/>
      <c r="D160" s="32"/>
      <c r="H160" s="32"/>
      <c r="J160" s="32"/>
      <c r="K160" s="41"/>
      <c r="L160" s="32"/>
      <c r="N160" s="32"/>
      <c r="O160" s="41"/>
      <c r="P160" s="32"/>
      <c r="R160" s="32"/>
      <c r="S160" s="41"/>
      <c r="T160" s="32"/>
      <c r="V160" s="32"/>
      <c r="W160" s="41"/>
      <c r="X160" s="32"/>
      <c r="Z160" s="32"/>
      <c r="AA160" s="41"/>
      <c r="AB160" s="41"/>
      <c r="AD160" s="32"/>
      <c r="AE160" s="41"/>
    </row>
    <row r="161" spans="1:31" s="30" customFormat="1" x14ac:dyDescent="0.25">
      <c r="A161" s="36"/>
      <c r="B161" s="31"/>
      <c r="C161" s="31"/>
      <c r="D161" s="32"/>
      <c r="H161" s="32"/>
      <c r="J161" s="32"/>
      <c r="K161" s="41"/>
      <c r="L161" s="32"/>
      <c r="N161" s="32"/>
      <c r="O161" s="41"/>
      <c r="P161" s="32"/>
      <c r="R161" s="32"/>
      <c r="S161" s="41"/>
      <c r="T161" s="32"/>
      <c r="V161" s="32"/>
      <c r="W161" s="41"/>
      <c r="X161" s="32"/>
      <c r="Z161" s="32"/>
      <c r="AA161" s="41"/>
      <c r="AB161" s="41"/>
      <c r="AD161" s="32"/>
      <c r="AE161" s="41"/>
    </row>
    <row r="162" spans="1:31" s="30" customFormat="1" x14ac:dyDescent="0.25">
      <c r="A162" s="36"/>
      <c r="B162" s="31"/>
      <c r="C162" s="31"/>
      <c r="D162" s="32"/>
      <c r="H162" s="32"/>
      <c r="J162" s="32"/>
      <c r="K162" s="41"/>
      <c r="L162" s="32"/>
      <c r="N162" s="32"/>
      <c r="O162" s="41"/>
      <c r="P162" s="32"/>
      <c r="R162" s="32"/>
      <c r="S162" s="41"/>
      <c r="T162" s="32"/>
      <c r="V162" s="32"/>
      <c r="W162" s="41"/>
      <c r="X162" s="32"/>
      <c r="Z162" s="32"/>
      <c r="AA162" s="41"/>
      <c r="AB162" s="41"/>
      <c r="AD162" s="32"/>
      <c r="AE162" s="41"/>
    </row>
    <row r="163" spans="1:31" s="30" customFormat="1" x14ac:dyDescent="0.25">
      <c r="A163" s="36"/>
      <c r="B163" s="31"/>
      <c r="C163" s="31"/>
      <c r="D163" s="32"/>
      <c r="H163" s="32"/>
      <c r="J163" s="32"/>
      <c r="K163" s="41"/>
      <c r="L163" s="32"/>
      <c r="N163" s="32"/>
      <c r="O163" s="41"/>
      <c r="P163" s="32"/>
      <c r="R163" s="32"/>
      <c r="S163" s="41"/>
      <c r="T163" s="32"/>
      <c r="V163" s="32"/>
      <c r="W163" s="41"/>
      <c r="X163" s="32"/>
      <c r="Z163" s="32"/>
      <c r="AA163" s="41"/>
      <c r="AB163" s="41"/>
      <c r="AD163" s="32"/>
      <c r="AE163" s="41"/>
    </row>
    <row r="164" spans="1:31" s="30" customFormat="1" x14ac:dyDescent="0.25">
      <c r="A164" s="36"/>
      <c r="B164" s="31"/>
      <c r="C164" s="31"/>
      <c r="D164" s="32"/>
      <c r="H164" s="32"/>
      <c r="J164" s="32"/>
      <c r="K164" s="41"/>
      <c r="L164" s="32"/>
      <c r="N164" s="32"/>
      <c r="O164" s="41"/>
      <c r="P164" s="32"/>
      <c r="R164" s="32"/>
      <c r="S164" s="41"/>
      <c r="T164" s="32"/>
      <c r="V164" s="32"/>
      <c r="W164" s="41"/>
      <c r="X164" s="32"/>
      <c r="Z164" s="32"/>
      <c r="AA164" s="41"/>
      <c r="AB164" s="41"/>
      <c r="AD164" s="32"/>
      <c r="AE164" s="41"/>
    </row>
    <row r="165" spans="1:31" s="30" customFormat="1" x14ac:dyDescent="0.25">
      <c r="A165" s="36"/>
      <c r="B165" s="31"/>
      <c r="C165" s="31"/>
      <c r="D165" s="32"/>
      <c r="H165" s="32"/>
      <c r="J165" s="32"/>
      <c r="K165" s="41"/>
      <c r="L165" s="32"/>
      <c r="N165" s="32"/>
      <c r="O165" s="41"/>
      <c r="P165" s="32"/>
      <c r="R165" s="32"/>
      <c r="S165" s="41"/>
      <c r="T165" s="32"/>
      <c r="V165" s="32"/>
      <c r="W165" s="41"/>
      <c r="X165" s="32"/>
      <c r="Z165" s="32"/>
      <c r="AA165" s="41"/>
      <c r="AB165" s="41"/>
      <c r="AD165" s="32"/>
      <c r="AE165" s="41"/>
    </row>
    <row r="166" spans="1:31" s="30" customFormat="1" x14ac:dyDescent="0.25">
      <c r="A166" s="36"/>
      <c r="B166" s="31"/>
      <c r="C166" s="31"/>
      <c r="D166" s="32"/>
      <c r="H166" s="32"/>
      <c r="J166" s="32"/>
      <c r="K166" s="41"/>
      <c r="L166" s="32"/>
      <c r="N166" s="32"/>
      <c r="O166" s="41"/>
      <c r="P166" s="32"/>
      <c r="R166" s="32"/>
      <c r="S166" s="41"/>
      <c r="T166" s="32"/>
      <c r="V166" s="32"/>
      <c r="W166" s="41"/>
      <c r="X166" s="32"/>
      <c r="Z166" s="32"/>
      <c r="AA166" s="41"/>
      <c r="AB166" s="41"/>
      <c r="AD166" s="32"/>
      <c r="AE166" s="41"/>
    </row>
    <row r="167" spans="1:31" s="30" customFormat="1" x14ac:dyDescent="0.25">
      <c r="A167" s="36"/>
      <c r="B167" s="31"/>
      <c r="C167" s="31"/>
      <c r="D167" s="32"/>
      <c r="H167" s="32"/>
      <c r="J167" s="32"/>
      <c r="K167" s="41"/>
      <c r="L167" s="32"/>
      <c r="N167" s="32"/>
      <c r="O167" s="41"/>
      <c r="P167" s="32"/>
      <c r="R167" s="32"/>
      <c r="S167" s="41"/>
      <c r="T167" s="32"/>
      <c r="V167" s="32"/>
      <c r="W167" s="41"/>
      <c r="X167" s="32"/>
      <c r="Z167" s="32"/>
      <c r="AA167" s="41"/>
      <c r="AB167" s="41"/>
      <c r="AD167" s="32"/>
      <c r="AE167" s="41"/>
    </row>
    <row r="168" spans="1:31" s="30" customFormat="1" x14ac:dyDescent="0.25">
      <c r="A168" s="36"/>
      <c r="B168" s="31"/>
      <c r="C168" s="31"/>
      <c r="D168" s="32"/>
      <c r="H168" s="32"/>
      <c r="J168" s="32"/>
      <c r="K168" s="41"/>
      <c r="L168" s="32"/>
      <c r="N168" s="32"/>
      <c r="O168" s="41"/>
      <c r="P168" s="32"/>
      <c r="R168" s="32"/>
      <c r="S168" s="41"/>
      <c r="T168" s="32"/>
      <c r="V168" s="32"/>
      <c r="W168" s="41"/>
      <c r="X168" s="32"/>
      <c r="Z168" s="32"/>
      <c r="AA168" s="41"/>
      <c r="AB168" s="41"/>
      <c r="AD168" s="32"/>
      <c r="AE168" s="41"/>
    </row>
    <row r="169" spans="1:31" s="30" customFormat="1" x14ac:dyDescent="0.25">
      <c r="A169" s="36"/>
      <c r="B169" s="31"/>
      <c r="C169" s="31"/>
      <c r="D169" s="32"/>
      <c r="H169" s="32"/>
      <c r="J169" s="32"/>
      <c r="K169" s="41"/>
      <c r="L169" s="32"/>
      <c r="N169" s="32"/>
      <c r="O169" s="41"/>
      <c r="P169" s="32"/>
      <c r="R169" s="32"/>
      <c r="S169" s="41"/>
      <c r="T169" s="32"/>
      <c r="V169" s="32"/>
      <c r="W169" s="41"/>
      <c r="X169" s="32"/>
      <c r="Z169" s="32"/>
      <c r="AA169" s="41"/>
      <c r="AB169" s="41"/>
      <c r="AD169" s="32"/>
      <c r="AE169" s="41"/>
    </row>
    <row r="170" spans="1:31" s="30" customFormat="1" x14ac:dyDescent="0.25">
      <c r="A170" s="36"/>
      <c r="B170" s="31"/>
      <c r="C170" s="31"/>
      <c r="D170" s="32"/>
      <c r="H170" s="32"/>
      <c r="J170" s="32"/>
      <c r="K170" s="41"/>
      <c r="L170" s="32"/>
      <c r="N170" s="32"/>
      <c r="O170" s="41"/>
      <c r="P170" s="32"/>
      <c r="R170" s="32"/>
      <c r="S170" s="41"/>
      <c r="T170" s="32"/>
      <c r="V170" s="32"/>
      <c r="W170" s="41"/>
      <c r="X170" s="32"/>
      <c r="Z170" s="32"/>
      <c r="AA170" s="41"/>
      <c r="AB170" s="41"/>
      <c r="AD170" s="32"/>
      <c r="AE170" s="41"/>
    </row>
    <row r="171" spans="1:31" s="30" customFormat="1" x14ac:dyDescent="0.25">
      <c r="A171" s="36"/>
      <c r="B171" s="31"/>
      <c r="C171" s="31"/>
      <c r="D171" s="32"/>
      <c r="H171" s="32"/>
      <c r="J171" s="32"/>
      <c r="K171" s="41"/>
      <c r="L171" s="32"/>
      <c r="N171" s="32"/>
      <c r="O171" s="41"/>
      <c r="P171" s="32"/>
      <c r="R171" s="32"/>
      <c r="S171" s="41"/>
      <c r="T171" s="32"/>
      <c r="V171" s="32"/>
      <c r="W171" s="41"/>
      <c r="X171" s="32"/>
      <c r="Z171" s="32"/>
      <c r="AA171" s="41"/>
      <c r="AB171" s="41"/>
      <c r="AD171" s="32"/>
      <c r="AE171" s="41"/>
    </row>
    <row r="172" spans="1:31" s="30" customFormat="1" x14ac:dyDescent="0.25">
      <c r="A172" s="36"/>
      <c r="B172" s="31"/>
      <c r="C172" s="31"/>
      <c r="D172" s="32"/>
      <c r="H172" s="32"/>
      <c r="J172" s="32"/>
      <c r="K172" s="41"/>
      <c r="L172" s="32"/>
      <c r="N172" s="32"/>
      <c r="O172" s="41"/>
      <c r="P172" s="32"/>
      <c r="R172" s="32"/>
      <c r="S172" s="41"/>
      <c r="T172" s="32"/>
      <c r="V172" s="32"/>
      <c r="W172" s="41"/>
      <c r="X172" s="32"/>
      <c r="Z172" s="32"/>
      <c r="AA172" s="41"/>
      <c r="AB172" s="41"/>
      <c r="AD172" s="32"/>
      <c r="AE172" s="41"/>
    </row>
    <row r="173" spans="1:31" s="30" customFormat="1" x14ac:dyDescent="0.25">
      <c r="A173" s="36"/>
      <c r="B173" s="31"/>
      <c r="C173" s="31"/>
      <c r="D173" s="32"/>
      <c r="H173" s="32"/>
      <c r="J173" s="32"/>
      <c r="K173" s="41"/>
      <c r="L173" s="32"/>
      <c r="N173" s="32"/>
      <c r="O173" s="41"/>
      <c r="P173" s="32"/>
      <c r="R173" s="32"/>
      <c r="S173" s="41"/>
      <c r="T173" s="32"/>
      <c r="V173" s="32"/>
      <c r="W173" s="41"/>
      <c r="X173" s="32"/>
      <c r="Z173" s="32"/>
      <c r="AA173" s="41"/>
      <c r="AB173" s="41"/>
      <c r="AD173" s="32"/>
      <c r="AE173" s="41"/>
    </row>
    <row r="174" spans="1:31" s="30" customFormat="1" x14ac:dyDescent="0.25">
      <c r="A174" s="36"/>
      <c r="B174" s="31"/>
      <c r="C174" s="31"/>
      <c r="D174" s="32"/>
      <c r="H174" s="32"/>
      <c r="J174" s="32"/>
      <c r="K174" s="41"/>
      <c r="L174" s="32"/>
      <c r="N174" s="32"/>
      <c r="O174" s="41"/>
      <c r="P174" s="32"/>
      <c r="R174" s="32"/>
      <c r="S174" s="41"/>
      <c r="T174" s="32"/>
      <c r="V174" s="32"/>
      <c r="W174" s="41"/>
      <c r="X174" s="32"/>
      <c r="Z174" s="32"/>
      <c r="AA174" s="41"/>
      <c r="AB174" s="41"/>
      <c r="AD174" s="32"/>
      <c r="AE174" s="41"/>
    </row>
    <row r="175" spans="1:31" s="30" customFormat="1" x14ac:dyDescent="0.25">
      <c r="A175" s="36"/>
      <c r="B175" s="31"/>
      <c r="C175" s="31"/>
      <c r="D175" s="32"/>
      <c r="H175" s="32"/>
      <c r="J175" s="32"/>
      <c r="K175" s="41"/>
      <c r="L175" s="32"/>
      <c r="N175" s="32"/>
      <c r="O175" s="41"/>
      <c r="P175" s="32"/>
      <c r="R175" s="32"/>
      <c r="S175" s="41"/>
      <c r="T175" s="32"/>
      <c r="V175" s="32"/>
      <c r="W175" s="41"/>
      <c r="X175" s="32"/>
      <c r="Z175" s="32"/>
      <c r="AA175" s="41"/>
      <c r="AB175" s="41"/>
      <c r="AD175" s="32"/>
      <c r="AE175" s="41"/>
    </row>
    <row r="176" spans="1:31" s="30" customFormat="1" x14ac:dyDescent="0.25">
      <c r="A176" s="36"/>
      <c r="B176" s="31"/>
      <c r="C176" s="31"/>
      <c r="D176" s="32"/>
      <c r="H176" s="32"/>
      <c r="J176" s="32"/>
      <c r="K176" s="41"/>
      <c r="L176" s="32"/>
      <c r="N176" s="32"/>
      <c r="O176" s="41"/>
      <c r="P176" s="32"/>
      <c r="R176" s="32"/>
      <c r="S176" s="41"/>
      <c r="T176" s="32"/>
      <c r="V176" s="32"/>
      <c r="W176" s="41"/>
      <c r="X176" s="32"/>
      <c r="Z176" s="32"/>
      <c r="AA176" s="41"/>
      <c r="AB176" s="41"/>
      <c r="AD176" s="32"/>
      <c r="AE176" s="41"/>
    </row>
    <row r="177" spans="1:31" s="30" customFormat="1" x14ac:dyDescent="0.25">
      <c r="A177" s="36"/>
      <c r="B177" s="31"/>
      <c r="C177" s="31"/>
      <c r="D177" s="32"/>
      <c r="H177" s="32"/>
      <c r="J177" s="32"/>
      <c r="K177" s="41"/>
      <c r="L177" s="32"/>
      <c r="N177" s="32"/>
      <c r="O177" s="41"/>
      <c r="P177" s="32"/>
      <c r="R177" s="32"/>
      <c r="S177" s="41"/>
      <c r="T177" s="32"/>
      <c r="V177" s="32"/>
      <c r="W177" s="41"/>
      <c r="X177" s="32"/>
      <c r="Z177" s="32"/>
      <c r="AA177" s="41"/>
      <c r="AB177" s="41"/>
      <c r="AD177" s="32"/>
      <c r="AE177" s="41"/>
    </row>
    <row r="178" spans="1:31" s="30" customFormat="1" x14ac:dyDescent="0.25">
      <c r="A178" s="36"/>
      <c r="B178" s="31"/>
      <c r="C178" s="31"/>
      <c r="D178" s="32"/>
      <c r="H178" s="32"/>
      <c r="J178" s="32"/>
      <c r="K178" s="41"/>
      <c r="L178" s="32"/>
      <c r="N178" s="32"/>
      <c r="O178" s="41"/>
      <c r="P178" s="32"/>
      <c r="R178" s="32"/>
      <c r="S178" s="41"/>
      <c r="T178" s="32"/>
      <c r="V178" s="32"/>
      <c r="W178" s="41"/>
      <c r="X178" s="32"/>
      <c r="Z178" s="32"/>
      <c r="AA178" s="41"/>
      <c r="AB178" s="41"/>
      <c r="AD178" s="32"/>
      <c r="AE178" s="41"/>
    </row>
    <row r="179" spans="1:31" s="30" customFormat="1" x14ac:dyDescent="0.25">
      <c r="A179" s="36"/>
      <c r="B179" s="31"/>
      <c r="C179" s="31"/>
      <c r="D179" s="32"/>
      <c r="H179" s="32"/>
      <c r="J179" s="32"/>
      <c r="K179" s="41"/>
      <c r="L179" s="32"/>
      <c r="N179" s="32"/>
      <c r="O179" s="41"/>
      <c r="P179" s="32"/>
      <c r="R179" s="32"/>
      <c r="S179" s="41"/>
      <c r="T179" s="32"/>
      <c r="V179" s="32"/>
      <c r="W179" s="41"/>
      <c r="X179" s="32"/>
      <c r="Z179" s="32"/>
      <c r="AA179" s="41"/>
      <c r="AB179" s="41"/>
      <c r="AD179" s="32"/>
      <c r="AE179" s="41"/>
    </row>
    <row r="180" spans="1:31" s="30" customFormat="1" x14ac:dyDescent="0.25">
      <c r="A180" s="36"/>
      <c r="B180" s="31"/>
      <c r="C180" s="31"/>
      <c r="D180" s="32"/>
      <c r="H180" s="32"/>
      <c r="J180" s="32"/>
      <c r="K180" s="41"/>
      <c r="L180" s="32"/>
      <c r="N180" s="32"/>
      <c r="O180" s="41"/>
      <c r="P180" s="32"/>
      <c r="R180" s="32"/>
      <c r="S180" s="41"/>
      <c r="T180" s="32"/>
      <c r="V180" s="32"/>
      <c r="W180" s="41"/>
      <c r="X180" s="32"/>
      <c r="Z180" s="32"/>
      <c r="AA180" s="41"/>
      <c r="AB180" s="41"/>
      <c r="AD180" s="32"/>
      <c r="AE180" s="41"/>
    </row>
    <row r="181" spans="1:31" s="30" customFormat="1" x14ac:dyDescent="0.25">
      <c r="A181" s="36"/>
      <c r="B181" s="31"/>
      <c r="C181" s="31"/>
      <c r="D181" s="32"/>
      <c r="H181" s="32"/>
      <c r="J181" s="32"/>
      <c r="K181" s="41"/>
      <c r="L181" s="32"/>
      <c r="N181" s="32"/>
      <c r="O181" s="41"/>
      <c r="P181" s="32"/>
      <c r="R181" s="32"/>
      <c r="S181" s="41"/>
      <c r="T181" s="32"/>
      <c r="V181" s="32"/>
      <c r="W181" s="41"/>
      <c r="X181" s="32"/>
      <c r="Z181" s="32"/>
      <c r="AA181" s="41"/>
      <c r="AB181" s="41"/>
      <c r="AD181" s="32"/>
      <c r="AE181" s="41"/>
    </row>
    <row r="182" spans="1:31" s="30" customFormat="1" x14ac:dyDescent="0.25">
      <c r="A182" s="36"/>
      <c r="B182" s="31"/>
      <c r="C182" s="31"/>
      <c r="D182" s="32"/>
      <c r="H182" s="32"/>
      <c r="J182" s="32"/>
      <c r="K182" s="41"/>
      <c r="L182" s="32"/>
      <c r="N182" s="32"/>
      <c r="O182" s="41"/>
      <c r="P182" s="32"/>
      <c r="R182" s="32"/>
      <c r="S182" s="41"/>
      <c r="T182" s="32"/>
      <c r="V182" s="32"/>
      <c r="W182" s="41"/>
      <c r="X182" s="32"/>
      <c r="Z182" s="32"/>
      <c r="AA182" s="41"/>
      <c r="AB182" s="41"/>
      <c r="AD182" s="32"/>
      <c r="AE182" s="41"/>
    </row>
    <row r="183" spans="1:31" s="30" customFormat="1" x14ac:dyDescent="0.25">
      <c r="A183" s="36"/>
      <c r="B183" s="31"/>
      <c r="C183" s="31"/>
      <c r="D183" s="32"/>
      <c r="H183" s="32"/>
      <c r="J183" s="32"/>
      <c r="K183" s="41"/>
      <c r="L183" s="32"/>
      <c r="N183" s="32"/>
      <c r="O183" s="41"/>
      <c r="P183" s="32"/>
      <c r="R183" s="32"/>
      <c r="S183" s="41"/>
      <c r="T183" s="32"/>
      <c r="V183" s="32"/>
      <c r="W183" s="41"/>
      <c r="X183" s="32"/>
      <c r="Z183" s="32"/>
      <c r="AA183" s="41"/>
      <c r="AB183" s="41"/>
      <c r="AD183" s="32"/>
      <c r="AE183" s="41"/>
    </row>
    <row r="184" spans="1:31" s="30" customFormat="1" x14ac:dyDescent="0.25">
      <c r="A184" s="36"/>
      <c r="B184" s="31"/>
      <c r="C184" s="31"/>
      <c r="D184" s="32"/>
      <c r="H184" s="32"/>
      <c r="J184" s="32"/>
      <c r="K184" s="41"/>
      <c r="L184" s="32"/>
      <c r="N184" s="32"/>
      <c r="O184" s="41"/>
      <c r="P184" s="32"/>
      <c r="R184" s="32"/>
      <c r="S184" s="41"/>
      <c r="T184" s="32"/>
      <c r="V184" s="32"/>
      <c r="W184" s="41"/>
      <c r="X184" s="32"/>
      <c r="Z184" s="32"/>
      <c r="AA184" s="41"/>
      <c r="AB184" s="41"/>
      <c r="AD184" s="32"/>
      <c r="AE184" s="41"/>
    </row>
    <row r="185" spans="1:31" s="30" customFormat="1" x14ac:dyDescent="0.25">
      <c r="A185" s="36"/>
      <c r="B185" s="31"/>
      <c r="C185" s="31"/>
      <c r="D185" s="32"/>
      <c r="H185" s="32"/>
      <c r="J185" s="32"/>
      <c r="K185" s="41"/>
      <c r="L185" s="32"/>
      <c r="N185" s="32"/>
      <c r="O185" s="41"/>
      <c r="P185" s="32"/>
      <c r="R185" s="32"/>
      <c r="S185" s="41"/>
      <c r="T185" s="32"/>
      <c r="V185" s="32"/>
      <c r="W185" s="41"/>
      <c r="X185" s="32"/>
      <c r="Z185" s="32"/>
      <c r="AA185" s="41"/>
      <c r="AB185" s="41"/>
      <c r="AD185" s="32"/>
      <c r="AE185" s="41"/>
    </row>
    <row r="186" spans="1:31" s="30" customFormat="1" x14ac:dyDescent="0.25">
      <c r="A186" s="36"/>
      <c r="B186" s="31"/>
      <c r="C186" s="31"/>
      <c r="D186" s="32"/>
      <c r="H186" s="32"/>
      <c r="J186" s="32"/>
      <c r="K186" s="41"/>
      <c r="L186" s="32"/>
      <c r="N186" s="32"/>
      <c r="O186" s="41"/>
      <c r="P186" s="32"/>
      <c r="R186" s="32"/>
      <c r="S186" s="41"/>
      <c r="T186" s="32"/>
      <c r="V186" s="32"/>
      <c r="W186" s="41"/>
      <c r="X186" s="32"/>
      <c r="Z186" s="32"/>
      <c r="AA186" s="41"/>
      <c r="AB186" s="41"/>
      <c r="AD186" s="32"/>
      <c r="AE186" s="41"/>
    </row>
    <row r="187" spans="1:31" s="30" customFormat="1" x14ac:dyDescent="0.25">
      <c r="A187" s="36"/>
      <c r="B187" s="31"/>
      <c r="C187" s="31"/>
      <c r="D187" s="32"/>
      <c r="H187" s="32"/>
      <c r="J187" s="32"/>
      <c r="K187" s="41"/>
      <c r="L187" s="32"/>
      <c r="N187" s="32"/>
      <c r="O187" s="41"/>
      <c r="P187" s="32"/>
      <c r="R187" s="32"/>
      <c r="S187" s="41"/>
      <c r="T187" s="32"/>
      <c r="V187" s="32"/>
      <c r="W187" s="41"/>
      <c r="X187" s="32"/>
      <c r="Z187" s="32"/>
      <c r="AA187" s="41"/>
      <c r="AB187" s="41"/>
      <c r="AD187" s="32"/>
      <c r="AE187" s="41"/>
    </row>
    <row r="188" spans="1:31" s="30" customFormat="1" x14ac:dyDescent="0.25">
      <c r="A188" s="36"/>
      <c r="B188" s="31"/>
      <c r="C188" s="31"/>
      <c r="D188" s="32"/>
      <c r="H188" s="32"/>
      <c r="J188" s="32"/>
      <c r="K188" s="41"/>
      <c r="L188" s="32"/>
      <c r="N188" s="32"/>
      <c r="O188" s="41"/>
      <c r="P188" s="32"/>
      <c r="R188" s="32"/>
      <c r="S188" s="41"/>
      <c r="T188" s="32"/>
      <c r="V188" s="32"/>
      <c r="W188" s="41"/>
      <c r="X188" s="32"/>
      <c r="Z188" s="32"/>
      <c r="AA188" s="41"/>
      <c r="AB188" s="41"/>
      <c r="AD188" s="32"/>
      <c r="AE188" s="41"/>
    </row>
    <row r="189" spans="1:31" s="30" customFormat="1" x14ac:dyDescent="0.25">
      <c r="A189" s="36"/>
      <c r="B189" s="31"/>
      <c r="C189" s="31"/>
      <c r="D189" s="32"/>
      <c r="H189" s="32"/>
      <c r="J189" s="32"/>
      <c r="K189" s="41"/>
      <c r="L189" s="32"/>
      <c r="N189" s="32"/>
      <c r="O189" s="41"/>
      <c r="P189" s="32"/>
      <c r="R189" s="32"/>
      <c r="S189" s="41"/>
      <c r="T189" s="32"/>
      <c r="V189" s="32"/>
      <c r="W189" s="41"/>
      <c r="X189" s="32"/>
      <c r="Z189" s="32"/>
      <c r="AA189" s="41"/>
      <c r="AB189" s="41"/>
      <c r="AD189" s="32"/>
      <c r="AE189" s="41"/>
    </row>
    <row r="190" spans="1:31" s="30" customFormat="1" x14ac:dyDescent="0.25">
      <c r="A190" s="36"/>
      <c r="B190" s="31"/>
      <c r="C190" s="31"/>
      <c r="D190" s="32"/>
      <c r="H190" s="32"/>
      <c r="J190" s="32"/>
      <c r="K190" s="41"/>
      <c r="L190" s="32"/>
      <c r="N190" s="32"/>
      <c r="O190" s="41"/>
      <c r="P190" s="32"/>
      <c r="R190" s="32"/>
      <c r="S190" s="41"/>
      <c r="T190" s="32"/>
      <c r="V190" s="32"/>
      <c r="W190" s="41"/>
      <c r="X190" s="32"/>
      <c r="Z190" s="32"/>
      <c r="AA190" s="41"/>
      <c r="AB190" s="41"/>
      <c r="AD190" s="32"/>
      <c r="AE190" s="41"/>
    </row>
    <row r="191" spans="1:31" s="30" customFormat="1" x14ac:dyDescent="0.25">
      <c r="A191" s="36"/>
      <c r="B191" s="31"/>
      <c r="C191" s="31"/>
      <c r="D191" s="32"/>
      <c r="H191" s="32"/>
      <c r="J191" s="32"/>
      <c r="K191" s="41"/>
      <c r="L191" s="32"/>
      <c r="N191" s="32"/>
      <c r="O191" s="41"/>
      <c r="P191" s="32"/>
      <c r="R191" s="32"/>
      <c r="S191" s="41"/>
      <c r="T191" s="32"/>
      <c r="V191" s="32"/>
      <c r="W191" s="41"/>
      <c r="X191" s="32"/>
      <c r="Z191" s="32"/>
      <c r="AA191" s="41"/>
      <c r="AB191" s="41"/>
      <c r="AD191" s="32"/>
      <c r="AE191" s="41"/>
    </row>
    <row r="192" spans="1:31" s="30" customFormat="1" x14ac:dyDescent="0.25">
      <c r="A192" s="36"/>
      <c r="B192" s="31"/>
      <c r="C192" s="31"/>
      <c r="D192" s="32"/>
      <c r="H192" s="32"/>
      <c r="J192" s="32"/>
      <c r="K192" s="41"/>
      <c r="L192" s="32"/>
      <c r="N192" s="32"/>
      <c r="O192" s="41"/>
      <c r="P192" s="32"/>
      <c r="R192" s="32"/>
      <c r="S192" s="41"/>
      <c r="T192" s="32"/>
      <c r="V192" s="32"/>
      <c r="W192" s="41"/>
      <c r="X192" s="32"/>
      <c r="Z192" s="32"/>
      <c r="AA192" s="41"/>
      <c r="AB192" s="41"/>
      <c r="AD192" s="32"/>
      <c r="AE192" s="41"/>
    </row>
    <row r="193" spans="1:31" s="30" customFormat="1" x14ac:dyDescent="0.25">
      <c r="A193" s="36"/>
      <c r="B193" s="31"/>
      <c r="C193" s="31"/>
      <c r="D193" s="32"/>
      <c r="H193" s="32"/>
      <c r="J193" s="32"/>
      <c r="K193" s="41"/>
      <c r="L193" s="32"/>
      <c r="N193" s="32"/>
      <c r="O193" s="41"/>
      <c r="P193" s="32"/>
      <c r="R193" s="32"/>
      <c r="S193" s="41"/>
      <c r="T193" s="32"/>
      <c r="V193" s="32"/>
      <c r="W193" s="41"/>
      <c r="X193" s="32"/>
      <c r="Z193" s="32"/>
      <c r="AA193" s="41"/>
      <c r="AB193" s="41"/>
      <c r="AD193" s="32"/>
      <c r="AE193" s="41"/>
    </row>
    <row r="194" spans="1:31" s="30" customFormat="1" x14ac:dyDescent="0.25">
      <c r="A194" s="36"/>
      <c r="B194" s="31"/>
      <c r="C194" s="31"/>
      <c r="D194" s="32"/>
      <c r="H194" s="32"/>
      <c r="J194" s="32"/>
      <c r="K194" s="41"/>
      <c r="L194" s="32"/>
      <c r="N194" s="32"/>
      <c r="O194" s="41"/>
      <c r="P194" s="32"/>
      <c r="R194" s="32"/>
      <c r="S194" s="41"/>
      <c r="T194" s="32"/>
      <c r="V194" s="32"/>
      <c r="W194" s="41"/>
      <c r="X194" s="32"/>
      <c r="Z194" s="32"/>
      <c r="AA194" s="41"/>
      <c r="AB194" s="41"/>
      <c r="AD194" s="32"/>
      <c r="AE194" s="41"/>
    </row>
    <row r="195" spans="1:31" s="30" customFormat="1" x14ac:dyDescent="0.25">
      <c r="A195" s="36"/>
      <c r="B195" s="31"/>
      <c r="C195" s="31"/>
      <c r="D195" s="32"/>
      <c r="H195" s="32"/>
      <c r="J195" s="32"/>
      <c r="K195" s="41"/>
      <c r="L195" s="32"/>
      <c r="N195" s="32"/>
      <c r="O195" s="41"/>
      <c r="P195" s="32"/>
      <c r="R195" s="32"/>
      <c r="S195" s="41"/>
      <c r="T195" s="32"/>
      <c r="V195" s="32"/>
      <c r="W195" s="41"/>
      <c r="X195" s="32"/>
      <c r="Z195" s="32"/>
      <c r="AA195" s="41"/>
      <c r="AB195" s="41"/>
      <c r="AD195" s="32"/>
      <c r="AE195" s="41"/>
    </row>
    <row r="196" spans="1:31" s="30" customFormat="1" x14ac:dyDescent="0.25">
      <c r="A196" s="36"/>
      <c r="B196" s="31"/>
      <c r="C196" s="31"/>
      <c r="D196" s="32"/>
      <c r="H196" s="32"/>
      <c r="J196" s="32"/>
      <c r="K196" s="41"/>
      <c r="L196" s="32"/>
      <c r="N196" s="32"/>
      <c r="O196" s="41"/>
      <c r="P196" s="32"/>
      <c r="R196" s="32"/>
      <c r="S196" s="41"/>
      <c r="T196" s="32"/>
      <c r="V196" s="32"/>
      <c r="W196" s="41"/>
      <c r="X196" s="32"/>
      <c r="Z196" s="32"/>
      <c r="AA196" s="41"/>
      <c r="AB196" s="41"/>
      <c r="AD196" s="32"/>
      <c r="AE196" s="41"/>
    </row>
    <row r="197" spans="1:31" s="30" customFormat="1" x14ac:dyDescent="0.25">
      <c r="A197" s="36"/>
      <c r="B197" s="31"/>
      <c r="C197" s="31"/>
      <c r="D197" s="32"/>
      <c r="H197" s="32"/>
      <c r="J197" s="32"/>
      <c r="K197" s="41"/>
      <c r="L197" s="32"/>
      <c r="N197" s="32"/>
      <c r="O197" s="41"/>
      <c r="P197" s="32"/>
      <c r="R197" s="32"/>
      <c r="S197" s="41"/>
      <c r="T197" s="32"/>
      <c r="V197" s="32"/>
      <c r="W197" s="41"/>
      <c r="X197" s="32"/>
      <c r="Z197" s="32"/>
      <c r="AA197" s="41"/>
      <c r="AB197" s="41"/>
      <c r="AD197" s="32"/>
      <c r="AE197" s="41"/>
    </row>
    <row r="198" spans="1:31" s="30" customFormat="1" x14ac:dyDescent="0.25">
      <c r="A198" s="36"/>
      <c r="B198" s="31"/>
      <c r="C198" s="31"/>
      <c r="D198" s="32"/>
      <c r="H198" s="32"/>
      <c r="J198" s="32"/>
      <c r="K198" s="41"/>
      <c r="L198" s="32"/>
      <c r="N198" s="32"/>
      <c r="O198" s="41"/>
      <c r="P198" s="32"/>
      <c r="R198" s="32"/>
      <c r="S198" s="41"/>
      <c r="T198" s="32"/>
      <c r="V198" s="32"/>
      <c r="W198" s="41"/>
      <c r="X198" s="32"/>
      <c r="Z198" s="32"/>
      <c r="AA198" s="41"/>
      <c r="AB198" s="41"/>
      <c r="AD198" s="32"/>
      <c r="AE198" s="41"/>
    </row>
    <row r="199" spans="1:31" s="30" customFormat="1" x14ac:dyDescent="0.25">
      <c r="A199" s="36"/>
      <c r="B199" s="31"/>
      <c r="C199" s="31"/>
      <c r="D199" s="32"/>
      <c r="H199" s="32"/>
      <c r="J199" s="32"/>
      <c r="K199" s="41"/>
      <c r="L199" s="32"/>
      <c r="N199" s="32"/>
      <c r="O199" s="41"/>
      <c r="P199" s="32"/>
      <c r="R199" s="32"/>
      <c r="S199" s="41"/>
      <c r="T199" s="32"/>
      <c r="V199" s="32"/>
      <c r="W199" s="41"/>
      <c r="X199" s="32"/>
      <c r="Z199" s="32"/>
      <c r="AA199" s="41"/>
      <c r="AB199" s="41"/>
      <c r="AD199" s="32"/>
      <c r="AE199" s="41"/>
    </row>
    <row r="200" spans="1:31" s="30" customFormat="1" x14ac:dyDescent="0.25">
      <c r="A200" s="36"/>
      <c r="B200" s="31"/>
      <c r="C200" s="31"/>
      <c r="D200" s="32"/>
      <c r="H200" s="32"/>
      <c r="J200" s="32"/>
      <c r="K200" s="41"/>
      <c r="L200" s="32"/>
      <c r="N200" s="32"/>
      <c r="O200" s="41"/>
      <c r="P200" s="32"/>
      <c r="R200" s="32"/>
      <c r="S200" s="41"/>
      <c r="T200" s="32"/>
      <c r="V200" s="32"/>
      <c r="W200" s="41"/>
      <c r="X200" s="32"/>
      <c r="Z200" s="32"/>
      <c r="AA200" s="41"/>
      <c r="AB200" s="41"/>
      <c r="AD200" s="32"/>
      <c r="AE200" s="41"/>
    </row>
    <row r="201" spans="1:31" s="30" customFormat="1" x14ac:dyDescent="0.25">
      <c r="A201" s="36"/>
      <c r="B201" s="31"/>
      <c r="C201" s="31"/>
      <c r="D201" s="32"/>
      <c r="H201" s="32"/>
      <c r="J201" s="32"/>
      <c r="K201" s="41"/>
      <c r="L201" s="32"/>
      <c r="N201" s="32"/>
      <c r="O201" s="41"/>
      <c r="P201" s="32"/>
      <c r="R201" s="32"/>
      <c r="S201" s="41"/>
      <c r="T201" s="32"/>
      <c r="V201" s="32"/>
      <c r="W201" s="41"/>
      <c r="X201" s="32"/>
      <c r="Z201" s="32"/>
      <c r="AA201" s="41"/>
      <c r="AB201" s="41"/>
      <c r="AD201" s="32"/>
      <c r="AE201" s="41"/>
    </row>
    <row r="202" spans="1:31" s="30" customFormat="1" x14ac:dyDescent="0.25">
      <c r="A202" s="36"/>
      <c r="B202" s="31"/>
      <c r="C202" s="31"/>
      <c r="D202" s="32"/>
      <c r="H202" s="32"/>
      <c r="J202" s="32"/>
      <c r="K202" s="41"/>
      <c r="L202" s="32"/>
      <c r="N202" s="32"/>
      <c r="O202" s="41"/>
      <c r="P202" s="32"/>
      <c r="R202" s="32"/>
      <c r="S202" s="41"/>
      <c r="T202" s="32"/>
      <c r="V202" s="32"/>
      <c r="W202" s="41"/>
      <c r="X202" s="32"/>
      <c r="Z202" s="32"/>
      <c r="AA202" s="41"/>
      <c r="AB202" s="41"/>
      <c r="AD202" s="32"/>
      <c r="AE202" s="41"/>
    </row>
    <row r="203" spans="1:31" s="30" customFormat="1" x14ac:dyDescent="0.25">
      <c r="A203" s="36"/>
      <c r="B203" s="31"/>
      <c r="C203" s="31"/>
      <c r="D203" s="32"/>
      <c r="H203" s="32"/>
      <c r="J203" s="32"/>
      <c r="K203" s="41"/>
      <c r="L203" s="32"/>
      <c r="N203" s="32"/>
      <c r="O203" s="41"/>
      <c r="P203" s="32"/>
      <c r="R203" s="32"/>
      <c r="S203" s="41"/>
      <c r="T203" s="32"/>
      <c r="V203" s="32"/>
      <c r="W203" s="41"/>
      <c r="X203" s="32"/>
      <c r="Z203" s="32"/>
      <c r="AA203" s="41"/>
      <c r="AB203" s="41"/>
      <c r="AD203" s="32"/>
      <c r="AE203" s="41"/>
    </row>
    <row r="204" spans="1:31" s="30" customFormat="1" x14ac:dyDescent="0.25">
      <c r="A204" s="36"/>
      <c r="B204" s="31"/>
      <c r="C204" s="31"/>
      <c r="D204" s="32"/>
      <c r="H204" s="32"/>
      <c r="J204" s="32"/>
      <c r="K204" s="41"/>
      <c r="L204" s="32"/>
      <c r="N204" s="32"/>
      <c r="O204" s="41"/>
      <c r="P204" s="32"/>
      <c r="R204" s="32"/>
      <c r="S204" s="41"/>
      <c r="T204" s="32"/>
      <c r="V204" s="32"/>
      <c r="W204" s="41"/>
      <c r="X204" s="32"/>
      <c r="Z204" s="32"/>
      <c r="AA204" s="41"/>
      <c r="AB204" s="41"/>
      <c r="AD204" s="32"/>
      <c r="AE204" s="41"/>
    </row>
    <row r="205" spans="1:31" s="30" customFormat="1" x14ac:dyDescent="0.25">
      <c r="A205" s="36"/>
      <c r="B205" s="31"/>
      <c r="C205" s="31"/>
      <c r="D205" s="32"/>
      <c r="H205" s="32"/>
      <c r="J205" s="32"/>
      <c r="K205" s="41"/>
      <c r="L205" s="32"/>
      <c r="N205" s="32"/>
      <c r="O205" s="41"/>
      <c r="P205" s="32"/>
      <c r="R205" s="32"/>
      <c r="S205" s="41"/>
      <c r="T205" s="32"/>
      <c r="V205" s="32"/>
      <c r="W205" s="41"/>
      <c r="X205" s="32"/>
      <c r="Z205" s="32"/>
      <c r="AA205" s="41"/>
      <c r="AB205" s="41"/>
      <c r="AD205" s="32"/>
      <c r="AE205" s="41"/>
    </row>
    <row r="206" spans="1:31" s="30" customFormat="1" x14ac:dyDescent="0.25">
      <c r="A206" s="36"/>
      <c r="B206" s="31"/>
      <c r="C206" s="31"/>
      <c r="D206" s="32"/>
      <c r="H206" s="32"/>
      <c r="J206" s="32"/>
      <c r="K206" s="41"/>
      <c r="L206" s="32"/>
      <c r="N206" s="32"/>
      <c r="O206" s="41"/>
      <c r="P206" s="32"/>
      <c r="R206" s="32"/>
      <c r="S206" s="41"/>
      <c r="T206" s="32"/>
      <c r="V206" s="32"/>
      <c r="W206" s="41"/>
      <c r="X206" s="32"/>
      <c r="Z206" s="32"/>
      <c r="AA206" s="41"/>
      <c r="AB206" s="41"/>
      <c r="AD206" s="32"/>
      <c r="AE206" s="41"/>
    </row>
    <row r="207" spans="1:31" s="30" customFormat="1" x14ac:dyDescent="0.25">
      <c r="A207" s="36"/>
      <c r="B207" s="31"/>
      <c r="C207" s="31"/>
      <c r="D207" s="32"/>
      <c r="H207" s="32"/>
      <c r="J207" s="32"/>
      <c r="K207" s="41"/>
      <c r="L207" s="32"/>
      <c r="N207" s="32"/>
      <c r="O207" s="41"/>
      <c r="P207" s="32"/>
      <c r="R207" s="32"/>
      <c r="S207" s="41"/>
      <c r="T207" s="32"/>
      <c r="V207" s="32"/>
      <c r="W207" s="41"/>
      <c r="X207" s="32"/>
      <c r="Z207" s="32"/>
      <c r="AA207" s="41"/>
      <c r="AB207" s="41"/>
      <c r="AD207" s="32"/>
      <c r="AE207" s="41"/>
    </row>
    <row r="208" spans="1:31" s="30" customFormat="1" x14ac:dyDescent="0.25">
      <c r="A208" s="36"/>
      <c r="B208" s="31"/>
      <c r="C208" s="31"/>
      <c r="D208" s="32"/>
      <c r="H208" s="32"/>
      <c r="J208" s="32"/>
      <c r="K208" s="41"/>
      <c r="L208" s="32"/>
      <c r="N208" s="32"/>
      <c r="O208" s="41"/>
      <c r="P208" s="32"/>
      <c r="R208" s="32"/>
      <c r="S208" s="41"/>
      <c r="T208" s="32"/>
      <c r="V208" s="32"/>
      <c r="W208" s="41"/>
      <c r="X208" s="32"/>
      <c r="Z208" s="32"/>
      <c r="AA208" s="41"/>
      <c r="AB208" s="41"/>
      <c r="AD208" s="32"/>
      <c r="AE208" s="41"/>
    </row>
    <row r="209" spans="1:31" s="30" customFormat="1" x14ac:dyDescent="0.25">
      <c r="A209" s="36"/>
      <c r="B209" s="31"/>
      <c r="C209" s="31"/>
      <c r="D209" s="32"/>
      <c r="H209" s="32"/>
      <c r="J209" s="32"/>
      <c r="K209" s="41"/>
      <c r="L209" s="32"/>
      <c r="N209" s="32"/>
      <c r="O209" s="41"/>
      <c r="P209" s="32"/>
      <c r="R209" s="32"/>
      <c r="S209" s="41"/>
      <c r="T209" s="32"/>
      <c r="V209" s="32"/>
      <c r="W209" s="41"/>
      <c r="X209" s="32"/>
      <c r="Z209" s="32"/>
      <c r="AA209" s="41"/>
      <c r="AB209" s="41"/>
      <c r="AD209" s="32"/>
      <c r="AE209" s="41"/>
    </row>
    <row r="210" spans="1:31" s="30" customFormat="1" x14ac:dyDescent="0.25">
      <c r="A210" s="36"/>
      <c r="B210" s="31"/>
      <c r="C210" s="31"/>
      <c r="D210" s="32"/>
      <c r="H210" s="32"/>
      <c r="J210" s="32"/>
      <c r="K210" s="41"/>
      <c r="L210" s="32"/>
      <c r="N210" s="32"/>
      <c r="O210" s="41"/>
      <c r="P210" s="32"/>
      <c r="R210" s="32"/>
      <c r="S210" s="41"/>
      <c r="T210" s="32"/>
      <c r="V210" s="32"/>
      <c r="W210" s="41"/>
      <c r="X210" s="32"/>
      <c r="Z210" s="32"/>
      <c r="AA210" s="41"/>
      <c r="AB210" s="41"/>
      <c r="AD210" s="32"/>
      <c r="AE210" s="41"/>
    </row>
    <row r="211" spans="1:31" s="30" customFormat="1" x14ac:dyDescent="0.25">
      <c r="A211" s="36"/>
      <c r="B211" s="31"/>
      <c r="C211" s="31"/>
      <c r="D211" s="32"/>
      <c r="H211" s="32"/>
      <c r="J211" s="32"/>
      <c r="K211" s="41"/>
      <c r="L211" s="32"/>
      <c r="N211" s="32"/>
      <c r="O211" s="41"/>
      <c r="P211" s="32"/>
      <c r="R211" s="32"/>
      <c r="S211" s="41"/>
      <c r="T211" s="32"/>
      <c r="V211" s="32"/>
      <c r="W211" s="41"/>
      <c r="X211" s="32"/>
      <c r="Z211" s="32"/>
      <c r="AA211" s="41"/>
      <c r="AB211" s="41"/>
      <c r="AD211" s="32"/>
      <c r="AE211" s="41"/>
    </row>
    <row r="212" spans="1:31" s="30" customFormat="1" x14ac:dyDescent="0.25">
      <c r="A212" s="36"/>
      <c r="B212" s="31"/>
      <c r="C212" s="31"/>
      <c r="D212" s="32"/>
      <c r="H212" s="32"/>
      <c r="J212" s="32"/>
      <c r="K212" s="41"/>
      <c r="L212" s="32"/>
      <c r="N212" s="32"/>
      <c r="O212" s="41"/>
      <c r="P212" s="32"/>
      <c r="R212" s="32"/>
      <c r="S212" s="41"/>
      <c r="T212" s="32"/>
      <c r="V212" s="32"/>
      <c r="W212" s="41"/>
      <c r="X212" s="32"/>
      <c r="Z212" s="32"/>
      <c r="AA212" s="41"/>
      <c r="AB212" s="41"/>
      <c r="AD212" s="32"/>
      <c r="AE212" s="41"/>
    </row>
    <row r="213" spans="1:31" s="30" customFormat="1" x14ac:dyDescent="0.25">
      <c r="A213" s="36"/>
      <c r="B213" s="31"/>
      <c r="C213" s="31"/>
      <c r="D213" s="32"/>
      <c r="H213" s="32"/>
      <c r="J213" s="32"/>
      <c r="K213" s="41"/>
      <c r="L213" s="32"/>
      <c r="N213" s="32"/>
      <c r="O213" s="41"/>
      <c r="P213" s="32"/>
      <c r="R213" s="32"/>
      <c r="S213" s="41"/>
      <c r="T213" s="32"/>
      <c r="V213" s="32"/>
      <c r="W213" s="41"/>
      <c r="X213" s="32"/>
      <c r="Z213" s="32"/>
      <c r="AA213" s="41"/>
      <c r="AB213" s="41"/>
      <c r="AD213" s="32"/>
      <c r="AE213" s="41"/>
    </row>
    <row r="214" spans="1:31" s="30" customFormat="1" x14ac:dyDescent="0.25">
      <c r="A214" s="36"/>
      <c r="B214" s="31"/>
      <c r="C214" s="31"/>
      <c r="D214" s="32"/>
      <c r="H214" s="32"/>
      <c r="J214" s="32"/>
      <c r="K214" s="41"/>
      <c r="L214" s="32"/>
      <c r="N214" s="32"/>
      <c r="O214" s="41"/>
      <c r="P214" s="32"/>
      <c r="R214" s="32"/>
      <c r="S214" s="41"/>
      <c r="T214" s="32"/>
      <c r="V214" s="32"/>
      <c r="W214" s="41"/>
      <c r="X214" s="32"/>
      <c r="Z214" s="32"/>
      <c r="AA214" s="41"/>
      <c r="AB214" s="41"/>
      <c r="AD214" s="32"/>
      <c r="AE214" s="41"/>
    </row>
    <row r="215" spans="1:31" s="30" customFormat="1" x14ac:dyDescent="0.25">
      <c r="A215" s="36"/>
      <c r="B215" s="31"/>
      <c r="C215" s="31"/>
      <c r="D215" s="32"/>
      <c r="H215" s="32"/>
      <c r="J215" s="32"/>
      <c r="K215" s="41"/>
      <c r="L215" s="32"/>
      <c r="N215" s="32"/>
      <c r="O215" s="41"/>
      <c r="P215" s="32"/>
      <c r="R215" s="32"/>
      <c r="S215" s="41"/>
      <c r="T215" s="32"/>
      <c r="V215" s="32"/>
      <c r="W215" s="41"/>
      <c r="X215" s="32"/>
      <c r="Z215" s="32"/>
      <c r="AA215" s="41"/>
      <c r="AB215" s="41"/>
      <c r="AD215" s="32"/>
      <c r="AE215" s="41"/>
    </row>
    <row r="216" spans="1:31" s="30" customFormat="1" x14ac:dyDescent="0.25">
      <c r="A216" s="36"/>
      <c r="B216" s="31"/>
      <c r="C216" s="31"/>
      <c r="D216" s="32"/>
      <c r="H216" s="32"/>
      <c r="J216" s="32"/>
      <c r="K216" s="41"/>
      <c r="L216" s="32"/>
      <c r="N216" s="32"/>
      <c r="O216" s="41"/>
      <c r="P216" s="32"/>
      <c r="R216" s="32"/>
      <c r="S216" s="41"/>
      <c r="T216" s="32"/>
      <c r="V216" s="32"/>
      <c r="W216" s="41"/>
      <c r="X216" s="32"/>
      <c r="Z216" s="32"/>
      <c r="AA216" s="41"/>
      <c r="AB216" s="41"/>
      <c r="AD216" s="32"/>
      <c r="AE216" s="41"/>
    </row>
    <row r="217" spans="1:31" s="30" customFormat="1" x14ac:dyDescent="0.25">
      <c r="A217" s="36"/>
      <c r="B217" s="31"/>
      <c r="C217" s="31"/>
      <c r="D217" s="32"/>
      <c r="H217" s="32"/>
      <c r="J217" s="32"/>
      <c r="K217" s="41"/>
      <c r="L217" s="32"/>
      <c r="N217" s="32"/>
      <c r="O217" s="41"/>
      <c r="P217" s="32"/>
      <c r="R217" s="32"/>
      <c r="S217" s="41"/>
      <c r="T217" s="32"/>
      <c r="V217" s="32"/>
      <c r="W217" s="41"/>
      <c r="X217" s="32"/>
      <c r="Z217" s="32"/>
      <c r="AA217" s="41"/>
      <c r="AB217" s="41"/>
      <c r="AD217" s="32"/>
      <c r="AE217" s="41"/>
    </row>
    <row r="218" spans="1:31" s="30" customFormat="1" x14ac:dyDescent="0.25">
      <c r="A218" s="36"/>
      <c r="B218" s="31"/>
      <c r="C218" s="31"/>
      <c r="D218" s="32"/>
      <c r="H218" s="32"/>
      <c r="J218" s="32"/>
      <c r="K218" s="41"/>
      <c r="L218" s="32"/>
      <c r="N218" s="32"/>
      <c r="O218" s="41"/>
      <c r="P218" s="32"/>
      <c r="R218" s="32"/>
      <c r="S218" s="41"/>
      <c r="T218" s="32"/>
      <c r="V218" s="32"/>
      <c r="W218" s="41"/>
      <c r="X218" s="32"/>
      <c r="Z218" s="32"/>
      <c r="AA218" s="41"/>
      <c r="AB218" s="41"/>
      <c r="AD218" s="32"/>
      <c r="AE218" s="41"/>
    </row>
    <row r="219" spans="1:31" s="30" customFormat="1" x14ac:dyDescent="0.25">
      <c r="A219" s="36"/>
      <c r="B219" s="31"/>
      <c r="C219" s="31"/>
      <c r="D219" s="32"/>
      <c r="H219" s="32"/>
      <c r="J219" s="32"/>
      <c r="K219" s="41"/>
      <c r="L219" s="32"/>
      <c r="N219" s="32"/>
      <c r="O219" s="41"/>
      <c r="P219" s="32"/>
      <c r="R219" s="32"/>
      <c r="S219" s="41"/>
      <c r="T219" s="32"/>
      <c r="V219" s="32"/>
      <c r="W219" s="41"/>
      <c r="X219" s="32"/>
      <c r="Z219" s="32"/>
      <c r="AA219" s="41"/>
      <c r="AB219" s="41"/>
      <c r="AD219" s="32"/>
      <c r="AE219" s="41"/>
    </row>
    <row r="220" spans="1:31" s="30" customFormat="1" x14ac:dyDescent="0.25">
      <c r="A220" s="36"/>
      <c r="B220" s="31"/>
      <c r="C220" s="31"/>
      <c r="D220" s="32"/>
      <c r="H220" s="32"/>
      <c r="J220" s="32"/>
      <c r="K220" s="41"/>
      <c r="L220" s="32"/>
      <c r="N220" s="32"/>
      <c r="O220" s="41"/>
      <c r="P220" s="32"/>
      <c r="R220" s="32"/>
      <c r="S220" s="41"/>
      <c r="T220" s="32"/>
      <c r="V220" s="32"/>
      <c r="W220" s="41"/>
      <c r="X220" s="32"/>
      <c r="Z220" s="32"/>
      <c r="AA220" s="41"/>
      <c r="AB220" s="41"/>
      <c r="AD220" s="32"/>
      <c r="AE220" s="41"/>
    </row>
    <row r="221" spans="1:31" s="30" customFormat="1" x14ac:dyDescent="0.25">
      <c r="A221" s="36"/>
      <c r="B221" s="31"/>
      <c r="C221" s="31"/>
      <c r="D221" s="32"/>
      <c r="H221" s="32"/>
      <c r="J221" s="32"/>
      <c r="K221" s="41"/>
      <c r="L221" s="32"/>
      <c r="N221" s="32"/>
      <c r="O221" s="41"/>
      <c r="P221" s="32"/>
      <c r="R221" s="32"/>
      <c r="S221" s="41"/>
      <c r="T221" s="32"/>
      <c r="V221" s="32"/>
      <c r="W221" s="41"/>
      <c r="X221" s="32"/>
      <c r="Z221" s="32"/>
      <c r="AA221" s="41"/>
      <c r="AB221" s="41"/>
      <c r="AD221" s="32"/>
      <c r="AE221" s="41"/>
    </row>
    <row r="222" spans="1:31" s="30" customFormat="1" x14ac:dyDescent="0.25">
      <c r="A222" s="36"/>
      <c r="B222" s="31"/>
      <c r="C222" s="31"/>
      <c r="D222" s="32"/>
      <c r="H222" s="32"/>
      <c r="J222" s="32"/>
      <c r="K222" s="41"/>
      <c r="L222" s="32"/>
      <c r="N222" s="32"/>
      <c r="O222" s="41"/>
      <c r="P222" s="32"/>
      <c r="R222" s="32"/>
      <c r="S222" s="41"/>
      <c r="T222" s="32"/>
      <c r="V222" s="32"/>
      <c r="W222" s="41"/>
      <c r="X222" s="32"/>
      <c r="Z222" s="32"/>
      <c r="AA222" s="41"/>
      <c r="AB222" s="41"/>
      <c r="AD222" s="32"/>
      <c r="AE222" s="41"/>
    </row>
    <row r="223" spans="1:31" s="30" customFormat="1" x14ac:dyDescent="0.25">
      <c r="A223" s="36"/>
      <c r="B223" s="31"/>
      <c r="C223" s="31"/>
      <c r="D223" s="32"/>
      <c r="H223" s="32"/>
      <c r="J223" s="32"/>
      <c r="K223" s="41"/>
      <c r="L223" s="32"/>
      <c r="N223" s="32"/>
      <c r="O223" s="41"/>
      <c r="P223" s="32"/>
      <c r="R223" s="32"/>
      <c r="S223" s="41"/>
      <c r="T223" s="32"/>
      <c r="V223" s="32"/>
      <c r="W223" s="41"/>
      <c r="X223" s="32"/>
      <c r="Z223" s="32"/>
      <c r="AA223" s="41"/>
      <c r="AB223" s="41"/>
      <c r="AD223" s="32"/>
      <c r="AE223" s="41"/>
    </row>
    <row r="224" spans="1:31" s="30" customFormat="1" x14ac:dyDescent="0.25">
      <c r="A224" s="36"/>
      <c r="B224" s="31"/>
      <c r="C224" s="31"/>
      <c r="D224" s="32"/>
      <c r="H224" s="32"/>
      <c r="J224" s="32"/>
      <c r="K224" s="41"/>
      <c r="L224" s="32"/>
      <c r="N224" s="32"/>
      <c r="O224" s="41"/>
      <c r="P224" s="32"/>
      <c r="R224" s="32"/>
      <c r="S224" s="41"/>
      <c r="T224" s="32"/>
      <c r="V224" s="32"/>
      <c r="W224" s="41"/>
      <c r="X224" s="32"/>
      <c r="Z224" s="32"/>
      <c r="AA224" s="41"/>
      <c r="AB224" s="41"/>
      <c r="AD224" s="32"/>
      <c r="AE224" s="41"/>
    </row>
    <row r="225" spans="1:31" s="30" customFormat="1" x14ac:dyDescent="0.25">
      <c r="A225" s="36"/>
      <c r="B225" s="31"/>
      <c r="C225" s="31"/>
      <c r="D225" s="32"/>
      <c r="H225" s="32"/>
      <c r="J225" s="32"/>
      <c r="K225" s="41"/>
      <c r="L225" s="32"/>
      <c r="N225" s="32"/>
      <c r="O225" s="41"/>
      <c r="P225" s="32"/>
      <c r="R225" s="32"/>
      <c r="S225" s="41"/>
      <c r="T225" s="32"/>
      <c r="V225" s="32"/>
      <c r="W225" s="41"/>
      <c r="X225" s="32"/>
      <c r="Z225" s="32"/>
      <c r="AA225" s="41"/>
      <c r="AB225" s="41"/>
      <c r="AD225" s="32"/>
      <c r="AE225" s="41"/>
    </row>
    <row r="226" spans="1:31" s="30" customFormat="1" x14ac:dyDescent="0.25">
      <c r="A226" s="36"/>
      <c r="B226" s="31"/>
      <c r="C226" s="31"/>
      <c r="D226" s="32"/>
      <c r="H226" s="32"/>
      <c r="J226" s="32"/>
      <c r="K226" s="41"/>
      <c r="L226" s="32"/>
      <c r="N226" s="32"/>
      <c r="O226" s="41"/>
      <c r="P226" s="32"/>
      <c r="R226" s="32"/>
      <c r="S226" s="41"/>
      <c r="T226" s="32"/>
      <c r="V226" s="32"/>
      <c r="W226" s="41"/>
      <c r="X226" s="32"/>
      <c r="Z226" s="32"/>
      <c r="AA226" s="41"/>
      <c r="AB226" s="41"/>
      <c r="AD226" s="32"/>
      <c r="AE226" s="41"/>
    </row>
    <row r="227" spans="1:31" s="30" customFormat="1" x14ac:dyDescent="0.25">
      <c r="A227" s="36"/>
      <c r="B227" s="31"/>
      <c r="C227" s="31"/>
      <c r="D227" s="32"/>
      <c r="H227" s="32"/>
      <c r="J227" s="32"/>
      <c r="K227" s="41"/>
      <c r="L227" s="32"/>
      <c r="N227" s="32"/>
      <c r="O227" s="41"/>
      <c r="P227" s="32"/>
      <c r="R227" s="32"/>
      <c r="S227" s="41"/>
      <c r="T227" s="32"/>
      <c r="V227" s="32"/>
      <c r="W227" s="41"/>
      <c r="X227" s="32"/>
      <c r="Z227" s="32"/>
      <c r="AA227" s="41"/>
      <c r="AB227" s="41"/>
      <c r="AD227" s="32"/>
      <c r="AE227" s="41"/>
    </row>
    <row r="228" spans="1:31" s="30" customFormat="1" x14ac:dyDescent="0.25">
      <c r="A228" s="36"/>
      <c r="B228" s="31"/>
      <c r="C228" s="31"/>
      <c r="D228" s="32"/>
      <c r="H228" s="32"/>
      <c r="J228" s="32"/>
      <c r="K228" s="41"/>
      <c r="L228" s="32"/>
      <c r="N228" s="32"/>
      <c r="O228" s="41"/>
      <c r="P228" s="32"/>
      <c r="R228" s="32"/>
      <c r="S228" s="41"/>
      <c r="T228" s="32"/>
      <c r="V228" s="32"/>
      <c r="W228" s="41"/>
      <c r="X228" s="32"/>
      <c r="Z228" s="32"/>
      <c r="AA228" s="41"/>
      <c r="AB228" s="41"/>
      <c r="AD228" s="32"/>
      <c r="AE228" s="41"/>
    </row>
    <row r="229" spans="1:31" s="30" customFormat="1" x14ac:dyDescent="0.25">
      <c r="A229" s="36"/>
      <c r="B229" s="31"/>
      <c r="C229" s="31"/>
      <c r="D229" s="32"/>
      <c r="H229" s="32"/>
      <c r="J229" s="32"/>
      <c r="K229" s="41"/>
      <c r="L229" s="32"/>
      <c r="N229" s="32"/>
      <c r="O229" s="41"/>
      <c r="P229" s="32"/>
      <c r="R229" s="32"/>
      <c r="S229" s="41"/>
      <c r="T229" s="32"/>
      <c r="V229" s="32"/>
      <c r="W229" s="41"/>
      <c r="X229" s="32"/>
      <c r="Z229" s="32"/>
      <c r="AA229" s="41"/>
      <c r="AB229" s="41"/>
      <c r="AD229" s="32"/>
      <c r="AE229" s="41"/>
    </row>
    <row r="230" spans="1:31" s="30" customFormat="1" x14ac:dyDescent="0.25">
      <c r="A230" s="36"/>
      <c r="B230" s="31"/>
      <c r="C230" s="31"/>
      <c r="D230" s="32"/>
      <c r="H230" s="32"/>
      <c r="J230" s="32"/>
      <c r="K230" s="41"/>
      <c r="L230" s="32"/>
      <c r="N230" s="32"/>
      <c r="O230" s="41"/>
      <c r="P230" s="32"/>
      <c r="R230" s="32"/>
      <c r="S230" s="41"/>
      <c r="T230" s="32"/>
      <c r="V230" s="32"/>
      <c r="W230" s="41"/>
      <c r="X230" s="32"/>
      <c r="Z230" s="32"/>
      <c r="AA230" s="41"/>
      <c r="AB230" s="41"/>
      <c r="AD230" s="32"/>
      <c r="AE230" s="41"/>
    </row>
    <row r="231" spans="1:31" s="30" customFormat="1" x14ac:dyDescent="0.25">
      <c r="A231" s="36"/>
      <c r="B231" s="31"/>
      <c r="C231" s="31"/>
      <c r="D231" s="32"/>
      <c r="H231" s="32"/>
      <c r="J231" s="32"/>
      <c r="K231" s="41"/>
      <c r="L231" s="32"/>
      <c r="N231" s="32"/>
      <c r="O231" s="41"/>
      <c r="P231" s="32"/>
      <c r="R231" s="32"/>
      <c r="S231" s="41"/>
      <c r="T231" s="32"/>
      <c r="V231" s="32"/>
      <c r="W231" s="41"/>
      <c r="X231" s="32"/>
      <c r="Z231" s="32"/>
      <c r="AA231" s="41"/>
      <c r="AB231" s="41"/>
      <c r="AD231" s="32"/>
      <c r="AE231" s="41"/>
    </row>
    <row r="232" spans="1:31" s="30" customFormat="1" x14ac:dyDescent="0.25">
      <c r="A232" s="36"/>
      <c r="B232" s="31"/>
      <c r="C232" s="31"/>
      <c r="D232" s="32"/>
      <c r="H232" s="32"/>
      <c r="J232" s="32"/>
      <c r="K232" s="41"/>
      <c r="L232" s="32"/>
      <c r="N232" s="32"/>
      <c r="O232" s="41"/>
      <c r="P232" s="32"/>
      <c r="R232" s="32"/>
      <c r="S232" s="41"/>
      <c r="T232" s="32"/>
      <c r="V232" s="32"/>
      <c r="W232" s="41"/>
      <c r="X232" s="32"/>
      <c r="Z232" s="32"/>
      <c r="AA232" s="41"/>
      <c r="AB232" s="41"/>
      <c r="AD232" s="32"/>
      <c r="AE232" s="41"/>
    </row>
    <row r="233" spans="1:31" s="30" customFormat="1" x14ac:dyDescent="0.25">
      <c r="A233" s="36"/>
      <c r="B233" s="31"/>
      <c r="C233" s="31"/>
      <c r="D233" s="32"/>
      <c r="H233" s="32"/>
      <c r="J233" s="32"/>
      <c r="K233" s="41"/>
      <c r="L233" s="32"/>
      <c r="N233" s="32"/>
      <c r="O233" s="41"/>
      <c r="P233" s="32"/>
      <c r="R233" s="32"/>
      <c r="S233" s="41"/>
      <c r="T233" s="32"/>
      <c r="V233" s="32"/>
      <c r="W233" s="41"/>
      <c r="X233" s="32"/>
      <c r="Z233" s="32"/>
      <c r="AA233" s="41"/>
      <c r="AB233" s="41"/>
      <c r="AD233" s="32"/>
      <c r="AE233" s="41"/>
    </row>
    <row r="234" spans="1:31" s="30" customFormat="1" x14ac:dyDescent="0.25">
      <c r="A234" s="36"/>
      <c r="B234" s="31"/>
      <c r="C234" s="31"/>
      <c r="D234" s="32"/>
      <c r="H234" s="32"/>
      <c r="J234" s="32"/>
      <c r="K234" s="41"/>
      <c r="L234" s="32"/>
      <c r="N234" s="32"/>
      <c r="O234" s="41"/>
      <c r="P234" s="32"/>
      <c r="R234" s="32"/>
      <c r="S234" s="41"/>
      <c r="T234" s="32"/>
      <c r="V234" s="32"/>
      <c r="W234" s="41"/>
      <c r="X234" s="32"/>
      <c r="Z234" s="32"/>
      <c r="AA234" s="41"/>
      <c r="AB234" s="41"/>
      <c r="AD234" s="32"/>
      <c r="AE234" s="41"/>
    </row>
    <row r="235" spans="1:31" s="30" customFormat="1" x14ac:dyDescent="0.25">
      <c r="A235" s="36"/>
      <c r="B235" s="31"/>
      <c r="C235" s="31"/>
      <c r="D235" s="32"/>
      <c r="H235" s="32"/>
      <c r="J235" s="32"/>
      <c r="K235" s="41"/>
      <c r="L235" s="32"/>
      <c r="N235" s="32"/>
      <c r="O235" s="41"/>
      <c r="P235" s="32"/>
      <c r="R235" s="32"/>
      <c r="S235" s="41"/>
      <c r="T235" s="32"/>
      <c r="V235" s="32"/>
      <c r="W235" s="41"/>
      <c r="X235" s="32"/>
      <c r="Z235" s="32"/>
      <c r="AA235" s="41"/>
      <c r="AB235" s="41"/>
      <c r="AD235" s="32"/>
      <c r="AE235" s="41"/>
    </row>
    <row r="236" spans="1:31" s="30" customFormat="1" x14ac:dyDescent="0.25">
      <c r="A236" s="36"/>
      <c r="B236" s="31"/>
      <c r="C236" s="31"/>
      <c r="D236" s="32"/>
      <c r="H236" s="32"/>
      <c r="J236" s="32"/>
      <c r="K236" s="41"/>
      <c r="L236" s="32"/>
      <c r="N236" s="32"/>
      <c r="O236" s="41"/>
      <c r="P236" s="32"/>
      <c r="R236" s="32"/>
      <c r="S236" s="41"/>
      <c r="T236" s="32"/>
      <c r="V236" s="32"/>
      <c r="W236" s="41"/>
      <c r="X236" s="32"/>
      <c r="Z236" s="32"/>
      <c r="AA236" s="41"/>
      <c r="AB236" s="41"/>
      <c r="AD236" s="32"/>
      <c r="AE236" s="41"/>
    </row>
    <row r="237" spans="1:31" s="30" customFormat="1" x14ac:dyDescent="0.25">
      <c r="A237" s="36"/>
      <c r="B237" s="31"/>
      <c r="C237" s="31"/>
      <c r="D237" s="32"/>
      <c r="H237" s="32"/>
      <c r="J237" s="32"/>
      <c r="K237" s="41"/>
      <c r="L237" s="32"/>
      <c r="N237" s="32"/>
      <c r="O237" s="41"/>
      <c r="P237" s="32"/>
      <c r="R237" s="32"/>
      <c r="S237" s="41"/>
      <c r="T237" s="32"/>
      <c r="V237" s="32"/>
      <c r="W237" s="41"/>
      <c r="X237" s="32"/>
      <c r="Z237" s="32"/>
      <c r="AA237" s="41"/>
      <c r="AB237" s="41"/>
      <c r="AD237" s="32"/>
      <c r="AE237" s="41"/>
    </row>
    <row r="238" spans="1:31" s="30" customFormat="1" x14ac:dyDescent="0.25">
      <c r="A238" s="36"/>
      <c r="B238" s="31"/>
      <c r="C238" s="31"/>
      <c r="D238" s="32"/>
      <c r="H238" s="32"/>
      <c r="J238" s="32"/>
      <c r="K238" s="41"/>
      <c r="L238" s="32"/>
      <c r="N238" s="32"/>
      <c r="O238" s="41"/>
      <c r="P238" s="32"/>
      <c r="R238" s="32"/>
      <c r="S238" s="41"/>
      <c r="T238" s="32"/>
      <c r="V238" s="32"/>
      <c r="W238" s="41"/>
      <c r="X238" s="32"/>
      <c r="Z238" s="32"/>
      <c r="AA238" s="41"/>
      <c r="AB238" s="41"/>
      <c r="AD238" s="32"/>
      <c r="AE238" s="41"/>
    </row>
    <row r="239" spans="1:31" s="30" customFormat="1" x14ac:dyDescent="0.25">
      <c r="A239" s="36"/>
      <c r="B239" s="31"/>
      <c r="C239" s="31"/>
      <c r="D239" s="32"/>
      <c r="H239" s="32"/>
      <c r="J239" s="32"/>
      <c r="K239" s="41"/>
      <c r="L239" s="32"/>
      <c r="N239" s="32"/>
      <c r="O239" s="41"/>
      <c r="P239" s="32"/>
      <c r="R239" s="32"/>
      <c r="S239" s="41"/>
      <c r="T239" s="32"/>
      <c r="V239" s="32"/>
      <c r="W239" s="41"/>
      <c r="X239" s="32"/>
      <c r="Z239" s="32"/>
      <c r="AA239" s="41"/>
      <c r="AB239" s="41"/>
      <c r="AD239" s="32"/>
      <c r="AE239" s="41"/>
    </row>
    <row r="240" spans="1:31" s="30" customFormat="1" x14ac:dyDescent="0.25">
      <c r="A240" s="36"/>
      <c r="B240" s="31"/>
      <c r="C240" s="31"/>
      <c r="D240" s="32"/>
      <c r="H240" s="32"/>
      <c r="J240" s="32"/>
      <c r="K240" s="41"/>
      <c r="L240" s="32"/>
      <c r="N240" s="32"/>
      <c r="O240" s="41"/>
      <c r="P240" s="32"/>
      <c r="R240" s="32"/>
      <c r="S240" s="41"/>
      <c r="T240" s="32"/>
      <c r="V240" s="32"/>
      <c r="W240" s="41"/>
      <c r="X240" s="32"/>
      <c r="Z240" s="32"/>
      <c r="AA240" s="41"/>
      <c r="AB240" s="41"/>
      <c r="AD240" s="32"/>
      <c r="AE240" s="41"/>
    </row>
    <row r="241" spans="1:31" s="30" customFormat="1" x14ac:dyDescent="0.25">
      <c r="A241" s="36"/>
      <c r="B241" s="31"/>
      <c r="C241" s="31"/>
      <c r="D241" s="32"/>
      <c r="H241" s="32"/>
      <c r="J241" s="32"/>
      <c r="K241" s="41"/>
      <c r="L241" s="32"/>
      <c r="N241" s="32"/>
      <c r="O241" s="41"/>
      <c r="P241" s="32"/>
      <c r="R241" s="32"/>
      <c r="S241" s="41"/>
      <c r="T241" s="32"/>
      <c r="V241" s="32"/>
      <c r="W241" s="41"/>
      <c r="X241" s="32"/>
      <c r="Z241" s="32"/>
      <c r="AA241" s="41"/>
      <c r="AB241" s="41"/>
      <c r="AD241" s="32"/>
      <c r="AE241" s="41"/>
    </row>
    <row r="242" spans="1:31" s="30" customFormat="1" x14ac:dyDescent="0.25">
      <c r="A242" s="36"/>
      <c r="B242" s="31"/>
      <c r="C242" s="31"/>
      <c r="D242" s="32"/>
      <c r="H242" s="32"/>
      <c r="J242" s="32"/>
      <c r="K242" s="41"/>
      <c r="L242" s="32"/>
      <c r="N242" s="32"/>
      <c r="O242" s="41"/>
      <c r="P242" s="32"/>
      <c r="R242" s="32"/>
      <c r="S242" s="41"/>
      <c r="T242" s="32"/>
      <c r="V242" s="32"/>
      <c r="W242" s="41"/>
      <c r="X242" s="32"/>
      <c r="Z242" s="32"/>
      <c r="AA242" s="41"/>
      <c r="AB242" s="41"/>
      <c r="AD242" s="32"/>
      <c r="AE242" s="41"/>
    </row>
    <row r="243" spans="1:31" s="30" customFormat="1" x14ac:dyDescent="0.25">
      <c r="A243" s="36"/>
      <c r="B243" s="31"/>
      <c r="C243" s="31"/>
      <c r="D243" s="32"/>
      <c r="H243" s="32"/>
      <c r="J243" s="32"/>
      <c r="K243" s="41"/>
      <c r="L243" s="32"/>
      <c r="N243" s="32"/>
      <c r="O243" s="41"/>
      <c r="P243" s="32"/>
      <c r="R243" s="32"/>
      <c r="S243" s="41"/>
      <c r="T243" s="32"/>
      <c r="V243" s="32"/>
      <c r="W243" s="41"/>
      <c r="X243" s="32"/>
      <c r="Z243" s="32"/>
      <c r="AA243" s="41"/>
      <c r="AB243" s="41"/>
      <c r="AD243" s="32"/>
      <c r="AE243" s="41"/>
    </row>
    <row r="244" spans="1:31" s="30" customFormat="1" x14ac:dyDescent="0.25">
      <c r="A244" s="36"/>
      <c r="B244" s="31"/>
      <c r="C244" s="31"/>
      <c r="D244" s="32"/>
      <c r="H244" s="32"/>
      <c r="J244" s="32"/>
      <c r="K244" s="41"/>
      <c r="L244" s="32"/>
      <c r="N244" s="32"/>
      <c r="O244" s="41"/>
      <c r="P244" s="32"/>
      <c r="R244" s="32"/>
      <c r="S244" s="41"/>
      <c r="T244" s="32"/>
      <c r="V244" s="32"/>
      <c r="W244" s="41"/>
      <c r="X244" s="32"/>
      <c r="Z244" s="32"/>
      <c r="AA244" s="41"/>
      <c r="AB244" s="41"/>
      <c r="AD244" s="32"/>
      <c r="AE244" s="41"/>
    </row>
    <row r="245" spans="1:31" s="30" customFormat="1" x14ac:dyDescent="0.25">
      <c r="A245" s="36"/>
      <c r="B245" s="31"/>
      <c r="C245" s="31"/>
      <c r="D245" s="32"/>
      <c r="H245" s="32"/>
      <c r="J245" s="32"/>
      <c r="K245" s="41"/>
      <c r="L245" s="32"/>
      <c r="N245" s="32"/>
      <c r="O245" s="41"/>
      <c r="P245" s="32"/>
      <c r="R245" s="32"/>
      <c r="S245" s="41"/>
      <c r="T245" s="32"/>
      <c r="V245" s="32"/>
      <c r="W245" s="41"/>
      <c r="X245" s="32"/>
      <c r="Z245" s="32"/>
      <c r="AA245" s="41"/>
      <c r="AB245" s="41"/>
      <c r="AD245" s="32"/>
      <c r="AE245" s="41"/>
    </row>
    <row r="246" spans="1:31" s="30" customFormat="1" x14ac:dyDescent="0.25">
      <c r="A246" s="36"/>
      <c r="B246" s="31"/>
      <c r="C246" s="31"/>
      <c r="D246" s="32"/>
      <c r="H246" s="32"/>
      <c r="J246" s="32"/>
      <c r="K246" s="41"/>
      <c r="L246" s="32"/>
      <c r="N246" s="32"/>
      <c r="O246" s="41"/>
      <c r="P246" s="32"/>
      <c r="R246" s="32"/>
      <c r="S246" s="41"/>
      <c r="T246" s="32"/>
      <c r="V246" s="32"/>
      <c r="W246" s="41"/>
      <c r="X246" s="32"/>
      <c r="Z246" s="32"/>
      <c r="AA246" s="41"/>
      <c r="AB246" s="41"/>
      <c r="AD246" s="32"/>
      <c r="AE246" s="41"/>
    </row>
    <row r="247" spans="1:31" s="30" customFormat="1" x14ac:dyDescent="0.25">
      <c r="A247" s="36"/>
      <c r="B247" s="31"/>
      <c r="C247" s="31"/>
      <c r="D247" s="32"/>
      <c r="H247" s="32"/>
      <c r="J247" s="32"/>
      <c r="K247" s="41"/>
      <c r="L247" s="32"/>
      <c r="N247" s="32"/>
      <c r="O247" s="41"/>
      <c r="P247" s="32"/>
      <c r="R247" s="32"/>
      <c r="S247" s="41"/>
      <c r="T247" s="32"/>
      <c r="V247" s="32"/>
      <c r="W247" s="41"/>
      <c r="X247" s="32"/>
      <c r="Z247" s="32"/>
      <c r="AA247" s="41"/>
      <c r="AB247" s="41"/>
      <c r="AD247" s="32"/>
      <c r="AE247" s="41"/>
    </row>
    <row r="248" spans="1:31" s="30" customFormat="1" x14ac:dyDescent="0.25">
      <c r="A248" s="36"/>
      <c r="B248" s="31"/>
      <c r="C248" s="31"/>
      <c r="D248" s="32"/>
      <c r="H248" s="32"/>
      <c r="J248" s="32"/>
      <c r="K248" s="41"/>
      <c r="L248" s="32"/>
      <c r="N248" s="32"/>
      <c r="O248" s="41"/>
      <c r="P248" s="32"/>
      <c r="R248" s="32"/>
      <c r="S248" s="41"/>
      <c r="T248" s="32"/>
      <c r="V248" s="32"/>
      <c r="W248" s="41"/>
      <c r="X248" s="32"/>
      <c r="Z248" s="32"/>
      <c r="AA248" s="41"/>
      <c r="AB248" s="41"/>
      <c r="AD248" s="32"/>
      <c r="AE248" s="41"/>
    </row>
    <row r="249" spans="1:31" s="30" customFormat="1" x14ac:dyDescent="0.25">
      <c r="A249" s="36"/>
      <c r="B249" s="31"/>
      <c r="C249" s="31"/>
      <c r="D249" s="32"/>
      <c r="H249" s="32"/>
      <c r="J249" s="32"/>
      <c r="K249" s="41"/>
      <c r="L249" s="32"/>
      <c r="N249" s="32"/>
      <c r="O249" s="41"/>
      <c r="P249" s="32"/>
      <c r="R249" s="32"/>
      <c r="S249" s="41"/>
      <c r="T249" s="32"/>
      <c r="V249" s="32"/>
      <c r="W249" s="41"/>
      <c r="X249" s="32"/>
      <c r="Z249" s="32"/>
      <c r="AA249" s="41"/>
      <c r="AB249" s="41"/>
      <c r="AD249" s="32"/>
      <c r="AE249" s="41"/>
    </row>
    <row r="250" spans="1:31" s="30" customFormat="1" x14ac:dyDescent="0.25">
      <c r="A250" s="36"/>
      <c r="B250" s="31"/>
      <c r="C250" s="31"/>
      <c r="D250" s="32"/>
      <c r="H250" s="32"/>
      <c r="J250" s="32"/>
      <c r="K250" s="41"/>
      <c r="L250" s="32"/>
      <c r="N250" s="32"/>
      <c r="O250" s="41"/>
      <c r="P250" s="32"/>
      <c r="R250" s="32"/>
      <c r="S250" s="41"/>
      <c r="T250" s="32"/>
      <c r="V250" s="32"/>
      <c r="W250" s="41"/>
      <c r="X250" s="32"/>
      <c r="Z250" s="32"/>
      <c r="AA250" s="41"/>
      <c r="AB250" s="41"/>
      <c r="AD250" s="32"/>
      <c r="AE250" s="41"/>
    </row>
    <row r="251" spans="1:31" s="30" customFormat="1" x14ac:dyDescent="0.25">
      <c r="A251" s="36"/>
      <c r="B251" s="31"/>
      <c r="C251" s="31"/>
      <c r="D251" s="32"/>
      <c r="H251" s="32"/>
      <c r="J251" s="32"/>
      <c r="K251" s="41"/>
      <c r="L251" s="32"/>
      <c r="N251" s="32"/>
      <c r="O251" s="41"/>
      <c r="P251" s="32"/>
      <c r="R251" s="32"/>
      <c r="S251" s="41"/>
      <c r="T251" s="32"/>
      <c r="V251" s="32"/>
      <c r="W251" s="41"/>
      <c r="X251" s="32"/>
      <c r="Z251" s="32"/>
      <c r="AA251" s="41"/>
      <c r="AB251" s="41"/>
      <c r="AD251" s="32"/>
      <c r="AE251" s="41"/>
    </row>
    <row r="252" spans="1:31" s="30" customFormat="1" x14ac:dyDescent="0.25">
      <c r="A252" s="36"/>
      <c r="B252" s="31"/>
      <c r="C252" s="31"/>
      <c r="D252" s="32"/>
      <c r="H252" s="32"/>
      <c r="J252" s="32"/>
      <c r="K252" s="41"/>
      <c r="L252" s="32"/>
      <c r="N252" s="32"/>
      <c r="O252" s="41"/>
      <c r="P252" s="32"/>
      <c r="R252" s="32"/>
      <c r="S252" s="41"/>
      <c r="T252" s="32"/>
      <c r="V252" s="32"/>
      <c r="W252" s="41"/>
      <c r="X252" s="32"/>
      <c r="Z252" s="32"/>
      <c r="AA252" s="41"/>
      <c r="AB252" s="41"/>
      <c r="AD252" s="32"/>
      <c r="AE252" s="41"/>
    </row>
    <row r="253" spans="1:31" s="30" customFormat="1" x14ac:dyDescent="0.25">
      <c r="A253" s="36"/>
      <c r="B253" s="31"/>
      <c r="C253" s="31"/>
      <c r="D253" s="32"/>
      <c r="H253" s="32"/>
      <c r="J253" s="32"/>
      <c r="K253" s="41"/>
      <c r="L253" s="32"/>
      <c r="N253" s="32"/>
      <c r="O253" s="41"/>
      <c r="P253" s="32"/>
      <c r="R253" s="32"/>
      <c r="S253" s="41"/>
      <c r="T253" s="32"/>
      <c r="V253" s="32"/>
      <c r="W253" s="41"/>
      <c r="X253" s="32"/>
      <c r="Z253" s="32"/>
      <c r="AA253" s="41"/>
      <c r="AB253" s="41"/>
      <c r="AD253" s="32"/>
      <c r="AE253" s="41"/>
    </row>
    <row r="254" spans="1:31" s="30" customFormat="1" x14ac:dyDescent="0.25">
      <c r="A254" s="36"/>
      <c r="B254" s="31"/>
      <c r="C254" s="31"/>
      <c r="D254" s="32"/>
      <c r="H254" s="32"/>
      <c r="J254" s="32"/>
      <c r="K254" s="41"/>
      <c r="L254" s="32"/>
      <c r="N254" s="32"/>
      <c r="O254" s="41"/>
      <c r="P254" s="32"/>
      <c r="R254" s="32"/>
      <c r="S254" s="41"/>
      <c r="T254" s="32"/>
      <c r="V254" s="32"/>
      <c r="W254" s="41"/>
      <c r="X254" s="32"/>
      <c r="Z254" s="32"/>
      <c r="AA254" s="41"/>
      <c r="AB254" s="41"/>
      <c r="AD254" s="32"/>
      <c r="AE254" s="41"/>
    </row>
    <row r="255" spans="1:31" s="30" customFormat="1" x14ac:dyDescent="0.25">
      <c r="A255" s="36"/>
      <c r="B255" s="31"/>
      <c r="C255" s="31"/>
      <c r="D255" s="32"/>
      <c r="H255" s="32"/>
      <c r="J255" s="32"/>
      <c r="K255" s="41"/>
      <c r="L255" s="32"/>
      <c r="N255" s="32"/>
      <c r="O255" s="41"/>
      <c r="P255" s="32"/>
      <c r="R255" s="32"/>
      <c r="S255" s="41"/>
      <c r="T255" s="32"/>
      <c r="V255" s="32"/>
      <c r="W255" s="41"/>
      <c r="X255" s="32"/>
      <c r="Z255" s="32"/>
      <c r="AA255" s="41"/>
      <c r="AB255" s="41"/>
      <c r="AD255" s="32"/>
      <c r="AE255" s="41"/>
    </row>
    <row r="256" spans="1:31" s="30" customFormat="1" x14ac:dyDescent="0.25">
      <c r="A256" s="36"/>
      <c r="B256" s="31"/>
      <c r="C256" s="31"/>
      <c r="D256" s="32"/>
      <c r="H256" s="32"/>
      <c r="J256" s="32"/>
      <c r="K256" s="41"/>
      <c r="L256" s="32"/>
      <c r="N256" s="32"/>
      <c r="O256" s="41"/>
      <c r="P256" s="32"/>
      <c r="R256" s="32"/>
      <c r="S256" s="41"/>
      <c r="T256" s="32"/>
      <c r="V256" s="32"/>
      <c r="W256" s="41"/>
      <c r="X256" s="32"/>
      <c r="Z256" s="32"/>
      <c r="AA256" s="41"/>
      <c r="AB256" s="41"/>
      <c r="AD256" s="32"/>
      <c r="AE256" s="41"/>
    </row>
    <row r="257" spans="1:31" s="30" customFormat="1" x14ac:dyDescent="0.25">
      <c r="A257" s="36"/>
      <c r="B257" s="31"/>
      <c r="C257" s="31"/>
      <c r="D257" s="32"/>
      <c r="H257" s="32"/>
      <c r="J257" s="32"/>
      <c r="K257" s="41"/>
      <c r="L257" s="32"/>
      <c r="N257" s="32"/>
      <c r="O257" s="41"/>
      <c r="P257" s="32"/>
      <c r="R257" s="32"/>
      <c r="S257" s="41"/>
      <c r="T257" s="32"/>
      <c r="V257" s="32"/>
      <c r="W257" s="41"/>
      <c r="X257" s="32"/>
      <c r="Z257" s="32"/>
      <c r="AA257" s="41"/>
      <c r="AB257" s="41"/>
      <c r="AD257" s="32"/>
      <c r="AE257" s="41"/>
    </row>
    <row r="258" spans="1:31" s="30" customFormat="1" x14ac:dyDescent="0.25">
      <c r="A258" s="36"/>
      <c r="B258" s="31"/>
      <c r="C258" s="31"/>
      <c r="D258" s="32"/>
      <c r="H258" s="32"/>
      <c r="J258" s="32"/>
      <c r="K258" s="41"/>
      <c r="L258" s="32"/>
      <c r="N258" s="32"/>
      <c r="O258" s="41"/>
      <c r="P258" s="32"/>
      <c r="R258" s="32"/>
      <c r="S258" s="41"/>
      <c r="T258" s="32"/>
      <c r="V258" s="32"/>
      <c r="W258" s="41"/>
      <c r="X258" s="32"/>
      <c r="Z258" s="32"/>
      <c r="AA258" s="41"/>
      <c r="AB258" s="41"/>
      <c r="AD258" s="32"/>
      <c r="AE258" s="41"/>
    </row>
    <row r="259" spans="1:31" s="30" customFormat="1" x14ac:dyDescent="0.25">
      <c r="A259" s="36"/>
      <c r="B259" s="31"/>
      <c r="C259" s="31"/>
      <c r="D259" s="32"/>
      <c r="H259" s="32"/>
      <c r="J259" s="32"/>
      <c r="K259" s="41"/>
      <c r="L259" s="32"/>
      <c r="N259" s="32"/>
      <c r="O259" s="41"/>
      <c r="P259" s="32"/>
      <c r="R259" s="32"/>
      <c r="S259" s="41"/>
      <c r="T259" s="32"/>
      <c r="V259" s="32"/>
      <c r="W259" s="41"/>
      <c r="X259" s="32"/>
      <c r="Z259" s="32"/>
      <c r="AA259" s="41"/>
      <c r="AB259" s="41"/>
      <c r="AD259" s="32"/>
      <c r="AE259" s="41"/>
    </row>
    <row r="260" spans="1:31" s="30" customFormat="1" x14ac:dyDescent="0.25">
      <c r="A260" s="36"/>
      <c r="B260" s="31"/>
      <c r="C260" s="31"/>
      <c r="D260" s="32"/>
      <c r="H260" s="32"/>
      <c r="J260" s="32"/>
      <c r="K260" s="41"/>
      <c r="L260" s="32"/>
      <c r="N260" s="32"/>
      <c r="O260" s="41"/>
      <c r="P260" s="32"/>
      <c r="R260" s="32"/>
      <c r="S260" s="41"/>
      <c r="T260" s="32"/>
      <c r="V260" s="32"/>
      <c r="W260" s="41"/>
      <c r="X260" s="32"/>
      <c r="Z260" s="32"/>
      <c r="AA260" s="41"/>
      <c r="AB260" s="41"/>
      <c r="AD260" s="32"/>
      <c r="AE260" s="41"/>
    </row>
    <row r="261" spans="1:31" s="30" customFormat="1" x14ac:dyDescent="0.25">
      <c r="A261" s="36"/>
      <c r="B261" s="31"/>
      <c r="C261" s="31"/>
      <c r="D261" s="32"/>
      <c r="H261" s="32"/>
      <c r="J261" s="32"/>
      <c r="K261" s="41"/>
      <c r="L261" s="32"/>
      <c r="N261" s="32"/>
      <c r="O261" s="41"/>
      <c r="P261" s="32"/>
      <c r="R261" s="32"/>
      <c r="S261" s="41"/>
      <c r="T261" s="32"/>
      <c r="V261" s="32"/>
      <c r="W261" s="41"/>
      <c r="X261" s="32"/>
      <c r="Z261" s="32"/>
      <c r="AA261" s="41"/>
      <c r="AB261" s="41"/>
      <c r="AD261" s="32"/>
      <c r="AE261" s="41"/>
    </row>
    <row r="262" spans="1:31" s="30" customFormat="1" x14ac:dyDescent="0.25">
      <c r="A262" s="36"/>
      <c r="B262" s="31"/>
      <c r="C262" s="31"/>
      <c r="D262" s="32"/>
      <c r="H262" s="32"/>
      <c r="J262" s="32"/>
      <c r="K262" s="41"/>
      <c r="L262" s="32"/>
      <c r="N262" s="32"/>
      <c r="O262" s="41"/>
      <c r="P262" s="32"/>
      <c r="R262" s="32"/>
      <c r="S262" s="41"/>
      <c r="T262" s="32"/>
      <c r="V262" s="32"/>
      <c r="W262" s="41"/>
      <c r="X262" s="32"/>
      <c r="Z262" s="32"/>
      <c r="AA262" s="41"/>
      <c r="AB262" s="41"/>
      <c r="AD262" s="32"/>
      <c r="AE262" s="41"/>
    </row>
    <row r="263" spans="1:31" s="30" customFormat="1" x14ac:dyDescent="0.25">
      <c r="A263" s="36"/>
      <c r="B263" s="31"/>
      <c r="C263" s="31"/>
      <c r="D263" s="32"/>
      <c r="H263" s="32"/>
      <c r="J263" s="32"/>
      <c r="K263" s="41"/>
      <c r="L263" s="32"/>
      <c r="N263" s="32"/>
      <c r="O263" s="41"/>
      <c r="P263" s="32"/>
      <c r="R263" s="32"/>
      <c r="S263" s="41"/>
      <c r="T263" s="32"/>
      <c r="V263" s="32"/>
      <c r="W263" s="41"/>
      <c r="X263" s="32"/>
      <c r="Z263" s="32"/>
      <c r="AA263" s="41"/>
      <c r="AB263" s="41"/>
      <c r="AD263" s="32"/>
      <c r="AE263" s="41"/>
    </row>
    <row r="264" spans="1:31" s="30" customFormat="1" x14ac:dyDescent="0.25">
      <c r="A264" s="36"/>
      <c r="B264" s="31"/>
      <c r="C264" s="31"/>
      <c r="D264" s="32"/>
      <c r="H264" s="32"/>
      <c r="J264" s="32"/>
      <c r="K264" s="41"/>
      <c r="L264" s="32"/>
      <c r="N264" s="32"/>
      <c r="O264" s="41"/>
      <c r="P264" s="32"/>
      <c r="R264" s="32"/>
      <c r="S264" s="41"/>
      <c r="T264" s="32"/>
      <c r="V264" s="32"/>
      <c r="W264" s="41"/>
      <c r="X264" s="32"/>
      <c r="Z264" s="32"/>
      <c r="AA264" s="41"/>
      <c r="AB264" s="41"/>
      <c r="AD264" s="32"/>
      <c r="AE264" s="41"/>
    </row>
    <row r="265" spans="1:31" s="30" customFormat="1" x14ac:dyDescent="0.25">
      <c r="A265" s="36"/>
      <c r="B265" s="31"/>
      <c r="C265" s="31"/>
      <c r="D265" s="32"/>
      <c r="H265" s="32"/>
      <c r="J265" s="32"/>
      <c r="K265" s="41"/>
      <c r="L265" s="32"/>
      <c r="N265" s="32"/>
      <c r="O265" s="41"/>
      <c r="P265" s="32"/>
      <c r="R265" s="32"/>
      <c r="S265" s="41"/>
      <c r="T265" s="32"/>
      <c r="V265" s="32"/>
      <c r="W265" s="41"/>
      <c r="X265" s="32"/>
      <c r="Z265" s="32"/>
      <c r="AA265" s="41"/>
      <c r="AB265" s="41"/>
      <c r="AD265" s="32"/>
      <c r="AE265" s="41"/>
    </row>
    <row r="266" spans="1:31" s="30" customFormat="1" x14ac:dyDescent="0.25">
      <c r="A266" s="36"/>
      <c r="B266" s="31"/>
      <c r="C266" s="31"/>
      <c r="D266" s="32"/>
      <c r="H266" s="32"/>
      <c r="J266" s="32"/>
      <c r="K266" s="41"/>
      <c r="L266" s="32"/>
      <c r="N266" s="32"/>
      <c r="O266" s="41"/>
      <c r="P266" s="32"/>
      <c r="R266" s="32"/>
      <c r="S266" s="41"/>
      <c r="T266" s="32"/>
      <c r="V266" s="32"/>
      <c r="W266" s="41"/>
      <c r="X266" s="32"/>
      <c r="Z266" s="32"/>
      <c r="AA266" s="41"/>
      <c r="AB266" s="41"/>
      <c r="AD266" s="32"/>
      <c r="AE266" s="41"/>
    </row>
    <row r="267" spans="1:31" s="30" customFormat="1" x14ac:dyDescent="0.25">
      <c r="A267" s="36"/>
      <c r="B267" s="31"/>
      <c r="C267" s="31"/>
      <c r="D267" s="32"/>
      <c r="H267" s="32"/>
      <c r="J267" s="32"/>
      <c r="K267" s="41"/>
      <c r="L267" s="32"/>
      <c r="N267" s="32"/>
      <c r="O267" s="41"/>
      <c r="P267" s="32"/>
      <c r="R267" s="32"/>
      <c r="S267" s="41"/>
      <c r="T267" s="32"/>
      <c r="V267" s="32"/>
      <c r="W267" s="41"/>
      <c r="X267" s="32"/>
      <c r="Z267" s="32"/>
      <c r="AA267" s="41"/>
      <c r="AB267" s="41"/>
      <c r="AD267" s="32"/>
      <c r="AE267" s="41"/>
    </row>
    <row r="268" spans="1:31" s="30" customFormat="1" x14ac:dyDescent="0.25">
      <c r="A268" s="36"/>
      <c r="B268" s="31"/>
      <c r="C268" s="31"/>
      <c r="D268" s="32"/>
      <c r="H268" s="32"/>
      <c r="J268" s="32"/>
      <c r="K268" s="41"/>
      <c r="L268" s="32"/>
      <c r="N268" s="32"/>
      <c r="O268" s="41"/>
      <c r="P268" s="32"/>
      <c r="R268" s="32"/>
      <c r="S268" s="41"/>
      <c r="T268" s="32"/>
      <c r="V268" s="32"/>
      <c r="W268" s="41"/>
      <c r="X268" s="32"/>
      <c r="Z268" s="32"/>
      <c r="AA268" s="41"/>
      <c r="AB268" s="41"/>
      <c r="AD268" s="32"/>
      <c r="AE268" s="41"/>
    </row>
    <row r="269" spans="1:31" s="30" customFormat="1" x14ac:dyDescent="0.25">
      <c r="A269" s="36"/>
      <c r="B269" s="31"/>
      <c r="C269" s="31"/>
      <c r="D269" s="32"/>
      <c r="H269" s="32"/>
      <c r="J269" s="32"/>
      <c r="K269" s="41"/>
      <c r="L269" s="32"/>
      <c r="N269" s="32"/>
      <c r="O269" s="41"/>
      <c r="P269" s="32"/>
      <c r="R269" s="32"/>
      <c r="S269" s="41"/>
      <c r="T269" s="32"/>
      <c r="V269" s="32"/>
      <c r="W269" s="41"/>
      <c r="X269" s="32"/>
      <c r="Z269" s="32"/>
      <c r="AA269" s="41"/>
      <c r="AB269" s="41"/>
      <c r="AD269" s="32"/>
      <c r="AE269" s="41"/>
    </row>
    <row r="270" spans="1:31" s="30" customFormat="1" x14ac:dyDescent="0.25">
      <c r="A270" s="36"/>
      <c r="B270" s="31"/>
      <c r="C270" s="31"/>
      <c r="D270" s="32"/>
      <c r="H270" s="32"/>
      <c r="J270" s="32"/>
      <c r="K270" s="41"/>
      <c r="L270" s="32"/>
      <c r="N270" s="32"/>
      <c r="O270" s="41"/>
      <c r="P270" s="32"/>
      <c r="R270" s="32"/>
      <c r="S270" s="41"/>
      <c r="T270" s="32"/>
      <c r="V270" s="32"/>
      <c r="W270" s="41"/>
      <c r="X270" s="32"/>
      <c r="Z270" s="32"/>
      <c r="AA270" s="41"/>
      <c r="AB270" s="41"/>
      <c r="AD270" s="32"/>
      <c r="AE270" s="41"/>
    </row>
    <row r="271" spans="1:31" s="30" customFormat="1" x14ac:dyDescent="0.25">
      <c r="A271" s="36"/>
      <c r="B271" s="31"/>
      <c r="C271" s="31"/>
      <c r="D271" s="32"/>
      <c r="H271" s="32"/>
      <c r="J271" s="32"/>
      <c r="K271" s="41"/>
      <c r="L271" s="32"/>
      <c r="N271" s="32"/>
      <c r="O271" s="41"/>
      <c r="P271" s="32"/>
      <c r="R271" s="32"/>
      <c r="S271" s="41"/>
      <c r="T271" s="32"/>
      <c r="V271" s="32"/>
      <c r="W271" s="41"/>
      <c r="X271" s="32"/>
      <c r="Z271" s="32"/>
      <c r="AA271" s="41"/>
      <c r="AB271" s="41"/>
      <c r="AD271" s="32"/>
      <c r="AE271" s="41"/>
    </row>
    <row r="272" spans="1:31" s="30" customFormat="1" x14ac:dyDescent="0.25">
      <c r="A272" s="36"/>
      <c r="B272" s="31"/>
      <c r="C272" s="31"/>
      <c r="D272" s="32"/>
      <c r="H272" s="32"/>
      <c r="J272" s="32"/>
      <c r="K272" s="41"/>
      <c r="L272" s="32"/>
      <c r="N272" s="32"/>
      <c r="O272" s="41"/>
      <c r="P272" s="32"/>
      <c r="R272" s="32"/>
      <c r="S272" s="41"/>
      <c r="T272" s="32"/>
      <c r="V272" s="32"/>
      <c r="W272" s="41"/>
      <c r="X272" s="32"/>
      <c r="Z272" s="32"/>
      <c r="AA272" s="41"/>
      <c r="AB272" s="41"/>
      <c r="AD272" s="32"/>
      <c r="AE272" s="41"/>
    </row>
    <row r="273" spans="1:31" s="30" customFormat="1" x14ac:dyDescent="0.25">
      <c r="A273" s="36"/>
      <c r="B273" s="31"/>
      <c r="C273" s="31"/>
      <c r="D273" s="32"/>
      <c r="H273" s="32"/>
      <c r="J273" s="32"/>
      <c r="K273" s="41"/>
      <c r="L273" s="32"/>
      <c r="N273" s="32"/>
      <c r="O273" s="41"/>
      <c r="P273" s="32"/>
      <c r="R273" s="32"/>
      <c r="S273" s="41"/>
      <c r="T273" s="32"/>
      <c r="V273" s="32"/>
      <c r="W273" s="41"/>
      <c r="X273" s="32"/>
      <c r="Z273" s="32"/>
      <c r="AA273" s="41"/>
      <c r="AB273" s="41"/>
      <c r="AD273" s="32"/>
      <c r="AE273" s="41"/>
    </row>
    <row r="274" spans="1:31" s="30" customFormat="1" x14ac:dyDescent="0.25">
      <c r="A274" s="36"/>
      <c r="B274" s="31"/>
      <c r="C274" s="31"/>
      <c r="D274" s="32"/>
      <c r="H274" s="32"/>
      <c r="J274" s="32"/>
      <c r="K274" s="41"/>
      <c r="L274" s="32"/>
      <c r="N274" s="32"/>
      <c r="O274" s="41"/>
      <c r="P274" s="32"/>
      <c r="R274" s="32"/>
      <c r="S274" s="41"/>
      <c r="T274" s="32"/>
      <c r="V274" s="32"/>
      <c r="W274" s="41"/>
      <c r="X274" s="32"/>
      <c r="Z274" s="32"/>
      <c r="AA274" s="41"/>
      <c r="AB274" s="41"/>
      <c r="AD274" s="32"/>
      <c r="AE274" s="41"/>
    </row>
    <row r="275" spans="1:31" s="30" customFormat="1" x14ac:dyDescent="0.25">
      <c r="A275" s="36"/>
      <c r="B275" s="31"/>
      <c r="C275" s="31"/>
      <c r="D275" s="32"/>
      <c r="H275" s="32"/>
      <c r="J275" s="32"/>
      <c r="K275" s="41"/>
      <c r="L275" s="32"/>
      <c r="N275" s="32"/>
      <c r="O275" s="41"/>
      <c r="P275" s="32"/>
      <c r="R275" s="32"/>
      <c r="S275" s="41"/>
      <c r="T275" s="32"/>
      <c r="V275" s="32"/>
      <c r="W275" s="41"/>
      <c r="X275" s="32"/>
      <c r="Z275" s="32"/>
      <c r="AA275" s="41"/>
      <c r="AB275" s="41"/>
      <c r="AD275" s="32"/>
      <c r="AE275" s="41"/>
    </row>
    <row r="276" spans="1:31" s="30" customFormat="1" x14ac:dyDescent="0.25">
      <c r="A276" s="36"/>
      <c r="B276" s="31"/>
      <c r="C276" s="31"/>
      <c r="D276" s="32"/>
      <c r="H276" s="32"/>
      <c r="J276" s="32"/>
      <c r="K276" s="41"/>
      <c r="L276" s="32"/>
      <c r="N276" s="32"/>
      <c r="O276" s="41"/>
      <c r="P276" s="32"/>
      <c r="R276" s="32"/>
      <c r="S276" s="41"/>
      <c r="T276" s="32"/>
      <c r="V276" s="32"/>
      <c r="W276" s="41"/>
      <c r="X276" s="32"/>
      <c r="Z276" s="32"/>
      <c r="AA276" s="41"/>
      <c r="AB276" s="41"/>
      <c r="AD276" s="32"/>
      <c r="AE276" s="41"/>
    </row>
    <row r="277" spans="1:31" s="30" customFormat="1" x14ac:dyDescent="0.25">
      <c r="A277" s="36"/>
      <c r="B277" s="31"/>
      <c r="C277" s="31"/>
      <c r="D277" s="32"/>
      <c r="H277" s="32"/>
      <c r="J277" s="32"/>
      <c r="K277" s="41"/>
      <c r="L277" s="32"/>
      <c r="N277" s="32"/>
      <c r="O277" s="41"/>
      <c r="P277" s="32"/>
      <c r="R277" s="32"/>
      <c r="S277" s="41"/>
      <c r="T277" s="32"/>
      <c r="V277" s="32"/>
      <c r="W277" s="41"/>
      <c r="X277" s="32"/>
      <c r="Z277" s="32"/>
      <c r="AA277" s="41"/>
      <c r="AB277" s="41"/>
      <c r="AD277" s="32"/>
      <c r="AE277" s="41"/>
    </row>
    <row r="278" spans="1:31" s="30" customFormat="1" x14ac:dyDescent="0.25">
      <c r="A278" s="36"/>
      <c r="B278" s="31"/>
      <c r="C278" s="31"/>
      <c r="D278" s="32"/>
      <c r="H278" s="32"/>
      <c r="J278" s="32"/>
      <c r="K278" s="41"/>
      <c r="L278" s="32"/>
      <c r="N278" s="32"/>
      <c r="O278" s="41"/>
      <c r="P278" s="32"/>
      <c r="R278" s="32"/>
      <c r="S278" s="41"/>
      <c r="T278" s="32"/>
      <c r="V278" s="32"/>
      <c r="W278" s="41"/>
      <c r="X278" s="32"/>
      <c r="Z278" s="32"/>
      <c r="AA278" s="41"/>
      <c r="AB278" s="41"/>
      <c r="AD278" s="32"/>
      <c r="AE278" s="41"/>
    </row>
    <row r="279" spans="1:31" s="30" customFormat="1" x14ac:dyDescent="0.25">
      <c r="A279" s="36"/>
      <c r="B279" s="31"/>
      <c r="C279" s="31"/>
      <c r="D279" s="32"/>
      <c r="H279" s="32"/>
      <c r="J279" s="32"/>
      <c r="K279" s="41"/>
      <c r="L279" s="32"/>
      <c r="N279" s="32"/>
      <c r="O279" s="41"/>
      <c r="P279" s="32"/>
      <c r="R279" s="32"/>
      <c r="S279" s="41"/>
      <c r="T279" s="32"/>
      <c r="V279" s="32"/>
      <c r="W279" s="41"/>
      <c r="X279" s="32"/>
      <c r="Z279" s="32"/>
      <c r="AA279" s="41"/>
      <c r="AB279" s="41"/>
      <c r="AD279" s="32"/>
      <c r="AE279" s="41"/>
    </row>
    <row r="280" spans="1:31" s="30" customFormat="1" x14ac:dyDescent="0.25">
      <c r="A280" s="36"/>
      <c r="B280" s="31"/>
      <c r="C280" s="31"/>
      <c r="D280" s="32"/>
      <c r="H280" s="32"/>
      <c r="J280" s="32"/>
      <c r="K280" s="41"/>
      <c r="L280" s="32"/>
      <c r="N280" s="32"/>
      <c r="O280" s="41"/>
      <c r="P280" s="32"/>
      <c r="R280" s="32"/>
      <c r="S280" s="41"/>
      <c r="T280" s="32"/>
      <c r="V280" s="32"/>
      <c r="W280" s="41"/>
      <c r="X280" s="32"/>
      <c r="Z280" s="32"/>
      <c r="AA280" s="41"/>
      <c r="AB280" s="41"/>
      <c r="AD280" s="32"/>
      <c r="AE280" s="41"/>
    </row>
    <row r="281" spans="1:31" s="30" customFormat="1" x14ac:dyDescent="0.25">
      <c r="A281" s="36"/>
      <c r="B281" s="31"/>
      <c r="C281" s="31"/>
      <c r="D281" s="32"/>
      <c r="H281" s="32"/>
      <c r="J281" s="32"/>
      <c r="K281" s="41"/>
      <c r="L281" s="32"/>
      <c r="N281" s="32"/>
      <c r="O281" s="41"/>
      <c r="P281" s="32"/>
      <c r="R281" s="32"/>
      <c r="S281" s="41"/>
      <c r="T281" s="32"/>
      <c r="V281" s="32"/>
      <c r="W281" s="41"/>
      <c r="X281" s="32"/>
      <c r="Z281" s="32"/>
      <c r="AA281" s="41"/>
      <c r="AB281" s="41"/>
      <c r="AD281" s="32"/>
      <c r="AE281" s="41"/>
    </row>
    <row r="282" spans="1:31" s="30" customFormat="1" x14ac:dyDescent="0.25">
      <c r="A282" s="36"/>
      <c r="B282" s="31"/>
      <c r="C282" s="31"/>
      <c r="D282" s="32"/>
      <c r="H282" s="32"/>
      <c r="J282" s="32"/>
      <c r="K282" s="41"/>
      <c r="L282" s="32"/>
      <c r="N282" s="32"/>
      <c r="O282" s="41"/>
      <c r="P282" s="32"/>
      <c r="R282" s="32"/>
      <c r="S282" s="41"/>
      <c r="T282" s="32"/>
      <c r="V282" s="32"/>
      <c r="W282" s="41"/>
      <c r="X282" s="32"/>
      <c r="Z282" s="32"/>
      <c r="AA282" s="41"/>
      <c r="AB282" s="41"/>
      <c r="AD282" s="32"/>
      <c r="AE282" s="41"/>
    </row>
    <row r="283" spans="1:31" s="30" customFormat="1" x14ac:dyDescent="0.25">
      <c r="A283" s="36"/>
      <c r="B283" s="31"/>
      <c r="C283" s="31"/>
      <c r="D283" s="32"/>
      <c r="H283" s="32"/>
      <c r="J283" s="32"/>
      <c r="K283" s="41"/>
      <c r="L283" s="32"/>
      <c r="N283" s="32"/>
      <c r="O283" s="41"/>
      <c r="P283" s="32"/>
      <c r="R283" s="32"/>
      <c r="S283" s="41"/>
      <c r="T283" s="32"/>
      <c r="V283" s="32"/>
      <c r="W283" s="41"/>
      <c r="X283" s="32"/>
      <c r="Z283" s="32"/>
      <c r="AA283" s="41"/>
      <c r="AB283" s="41"/>
      <c r="AD283" s="32"/>
      <c r="AE283" s="41"/>
    </row>
    <row r="284" spans="1:31" s="30" customFormat="1" x14ac:dyDescent="0.25">
      <c r="A284" s="36"/>
      <c r="B284" s="31"/>
      <c r="C284" s="31"/>
      <c r="D284" s="32"/>
      <c r="H284" s="32"/>
      <c r="J284" s="32"/>
      <c r="K284" s="41"/>
      <c r="L284" s="32"/>
      <c r="N284" s="32"/>
      <c r="O284" s="41"/>
      <c r="P284" s="32"/>
      <c r="R284" s="32"/>
      <c r="S284" s="41"/>
      <c r="T284" s="32"/>
      <c r="V284" s="32"/>
      <c r="W284" s="41"/>
      <c r="X284" s="32"/>
      <c r="Z284" s="32"/>
      <c r="AA284" s="41"/>
      <c r="AB284" s="41"/>
      <c r="AD284" s="32"/>
      <c r="AE284" s="41"/>
    </row>
    <row r="285" spans="1:31" s="30" customFormat="1" x14ac:dyDescent="0.25">
      <c r="A285" s="36"/>
      <c r="B285" s="31"/>
      <c r="C285" s="31"/>
      <c r="D285" s="32"/>
      <c r="H285" s="32"/>
      <c r="J285" s="32"/>
      <c r="K285" s="41"/>
      <c r="L285" s="32"/>
      <c r="N285" s="32"/>
      <c r="O285" s="41"/>
      <c r="P285" s="32"/>
      <c r="R285" s="32"/>
      <c r="S285" s="41"/>
      <c r="T285" s="32"/>
      <c r="V285" s="32"/>
      <c r="W285" s="41"/>
      <c r="X285" s="32"/>
      <c r="Z285" s="32"/>
      <c r="AA285" s="41"/>
      <c r="AB285" s="41"/>
      <c r="AD285" s="32"/>
      <c r="AE285" s="41"/>
    </row>
    <row r="286" spans="1:31" s="30" customFormat="1" x14ac:dyDescent="0.25">
      <c r="A286" s="36"/>
      <c r="B286" s="31"/>
      <c r="C286" s="31"/>
      <c r="D286" s="32"/>
      <c r="H286" s="32"/>
      <c r="J286" s="32"/>
      <c r="K286" s="41"/>
      <c r="L286" s="32"/>
      <c r="N286" s="32"/>
      <c r="O286" s="41"/>
      <c r="P286" s="32"/>
      <c r="R286" s="32"/>
      <c r="S286" s="41"/>
      <c r="T286" s="32"/>
      <c r="V286" s="32"/>
      <c r="W286" s="41"/>
      <c r="X286" s="32"/>
      <c r="Z286" s="32"/>
      <c r="AA286" s="41"/>
      <c r="AB286" s="41"/>
      <c r="AD286" s="32"/>
      <c r="AE286" s="41"/>
    </row>
    <row r="287" spans="1:31" s="30" customFormat="1" x14ac:dyDescent="0.25">
      <c r="A287" s="36"/>
      <c r="B287" s="31"/>
      <c r="C287" s="31"/>
      <c r="D287" s="32"/>
      <c r="H287" s="32"/>
      <c r="J287" s="32"/>
      <c r="K287" s="41"/>
      <c r="L287" s="32"/>
      <c r="N287" s="32"/>
      <c r="O287" s="41"/>
      <c r="P287" s="32"/>
      <c r="R287" s="32"/>
      <c r="S287" s="41"/>
      <c r="T287" s="32"/>
      <c r="V287" s="32"/>
      <c r="W287" s="41"/>
      <c r="X287" s="32"/>
      <c r="Z287" s="32"/>
      <c r="AA287" s="41"/>
      <c r="AB287" s="41"/>
      <c r="AD287" s="32"/>
      <c r="AE287" s="41"/>
    </row>
    <row r="288" spans="1:31" s="30" customFormat="1" x14ac:dyDescent="0.25">
      <c r="A288" s="36"/>
      <c r="B288" s="31"/>
      <c r="C288" s="31"/>
      <c r="D288" s="32"/>
      <c r="H288" s="32"/>
      <c r="J288" s="32"/>
      <c r="K288" s="41"/>
      <c r="L288" s="32"/>
      <c r="N288" s="32"/>
      <c r="O288" s="41"/>
      <c r="P288" s="32"/>
      <c r="R288" s="32"/>
      <c r="S288" s="41"/>
      <c r="T288" s="32"/>
      <c r="V288" s="32"/>
      <c r="W288" s="41"/>
      <c r="X288" s="32"/>
      <c r="Z288" s="32"/>
      <c r="AA288" s="41"/>
      <c r="AB288" s="41"/>
      <c r="AD288" s="32"/>
      <c r="AE288" s="41"/>
    </row>
    <row r="289" spans="1:31" s="30" customFormat="1" x14ac:dyDescent="0.25">
      <c r="A289" s="36"/>
      <c r="B289" s="31"/>
      <c r="C289" s="31"/>
      <c r="D289" s="32"/>
      <c r="H289" s="32"/>
      <c r="J289" s="32"/>
      <c r="K289" s="41"/>
      <c r="L289" s="32"/>
      <c r="N289" s="32"/>
      <c r="O289" s="41"/>
      <c r="P289" s="32"/>
      <c r="R289" s="32"/>
      <c r="S289" s="41"/>
      <c r="T289" s="32"/>
      <c r="V289" s="32"/>
      <c r="W289" s="41"/>
      <c r="X289" s="32"/>
      <c r="Z289" s="32"/>
      <c r="AA289" s="41"/>
      <c r="AB289" s="41"/>
      <c r="AD289" s="32"/>
      <c r="AE289" s="41"/>
    </row>
    <row r="290" spans="1:31" s="30" customFormat="1" x14ac:dyDescent="0.25">
      <c r="A290" s="36"/>
      <c r="B290" s="31"/>
      <c r="C290" s="31"/>
      <c r="D290" s="32"/>
      <c r="H290" s="32"/>
      <c r="J290" s="32"/>
      <c r="K290" s="41"/>
      <c r="L290" s="32"/>
      <c r="N290" s="32"/>
      <c r="O290" s="41"/>
      <c r="P290" s="32"/>
      <c r="R290" s="32"/>
      <c r="S290" s="41"/>
      <c r="T290" s="32"/>
      <c r="V290" s="32"/>
      <c r="W290" s="41"/>
      <c r="X290" s="32"/>
      <c r="Z290" s="32"/>
      <c r="AA290" s="41"/>
      <c r="AB290" s="41"/>
      <c r="AD290" s="32"/>
      <c r="AE290" s="41"/>
    </row>
    <row r="291" spans="1:31" s="30" customFormat="1" x14ac:dyDescent="0.25">
      <c r="A291" s="36"/>
      <c r="B291" s="31"/>
      <c r="C291" s="31"/>
      <c r="D291" s="32"/>
      <c r="H291" s="32"/>
      <c r="J291" s="32"/>
      <c r="K291" s="41"/>
      <c r="L291" s="32"/>
      <c r="N291" s="32"/>
      <c r="O291" s="41"/>
      <c r="P291" s="32"/>
      <c r="R291" s="32"/>
      <c r="S291" s="41"/>
      <c r="T291" s="32"/>
      <c r="V291" s="32"/>
      <c r="W291" s="41"/>
      <c r="X291" s="32"/>
      <c r="Z291" s="32"/>
      <c r="AA291" s="41"/>
      <c r="AB291" s="41"/>
      <c r="AD291" s="32"/>
      <c r="AE291" s="41"/>
    </row>
    <row r="292" spans="1:31" s="30" customFormat="1" x14ac:dyDescent="0.25">
      <c r="A292" s="36"/>
      <c r="B292" s="31"/>
      <c r="C292" s="31"/>
      <c r="D292" s="32"/>
      <c r="H292" s="32"/>
      <c r="J292" s="32"/>
      <c r="K292" s="41"/>
      <c r="L292" s="32"/>
      <c r="N292" s="32"/>
      <c r="O292" s="41"/>
      <c r="P292" s="32"/>
      <c r="R292" s="32"/>
      <c r="S292" s="41"/>
      <c r="T292" s="32"/>
      <c r="V292" s="32"/>
      <c r="W292" s="41"/>
      <c r="X292" s="32"/>
      <c r="Z292" s="32"/>
      <c r="AA292" s="41"/>
      <c r="AB292" s="41"/>
      <c r="AD292" s="32"/>
      <c r="AE292" s="41"/>
    </row>
    <row r="293" spans="1:31" s="30" customFormat="1" x14ac:dyDescent="0.25">
      <c r="A293" s="36"/>
      <c r="B293" s="31"/>
      <c r="C293" s="31"/>
      <c r="D293" s="32"/>
      <c r="H293" s="32"/>
      <c r="J293" s="32"/>
      <c r="K293" s="41"/>
      <c r="L293" s="32"/>
      <c r="N293" s="32"/>
      <c r="O293" s="41"/>
      <c r="P293" s="32"/>
      <c r="R293" s="32"/>
      <c r="S293" s="41"/>
      <c r="T293" s="32"/>
      <c r="V293" s="32"/>
      <c r="W293" s="41"/>
      <c r="X293" s="32"/>
      <c r="Z293" s="32"/>
      <c r="AA293" s="41"/>
      <c r="AB293" s="41"/>
      <c r="AD293" s="32"/>
      <c r="AE293" s="41"/>
    </row>
    <row r="294" spans="1:31" s="30" customFormat="1" x14ac:dyDescent="0.25">
      <c r="A294" s="36"/>
      <c r="B294" s="31"/>
      <c r="C294" s="31"/>
      <c r="D294" s="32"/>
      <c r="H294" s="32"/>
      <c r="J294" s="32"/>
      <c r="K294" s="41"/>
      <c r="L294" s="32"/>
      <c r="N294" s="32"/>
      <c r="O294" s="41"/>
      <c r="P294" s="32"/>
      <c r="R294" s="32"/>
      <c r="S294" s="41"/>
      <c r="T294" s="32"/>
      <c r="V294" s="32"/>
      <c r="W294" s="41"/>
      <c r="X294" s="32"/>
      <c r="Z294" s="32"/>
      <c r="AA294" s="41"/>
      <c r="AB294" s="41"/>
      <c r="AD294" s="32"/>
      <c r="AE294" s="41"/>
    </row>
    <row r="295" spans="1:31" s="30" customFormat="1" x14ac:dyDescent="0.25">
      <c r="A295" s="36"/>
      <c r="B295" s="31"/>
      <c r="C295" s="31"/>
      <c r="D295" s="32"/>
      <c r="H295" s="32"/>
      <c r="J295" s="32"/>
      <c r="K295" s="41"/>
      <c r="L295" s="32"/>
      <c r="N295" s="32"/>
      <c r="O295" s="41"/>
      <c r="P295" s="32"/>
      <c r="R295" s="32"/>
      <c r="S295" s="41"/>
      <c r="T295" s="32"/>
      <c r="V295" s="32"/>
      <c r="W295" s="41"/>
      <c r="X295" s="32"/>
      <c r="Z295" s="32"/>
      <c r="AA295" s="41"/>
      <c r="AB295" s="41"/>
      <c r="AD295" s="32"/>
      <c r="AE295" s="41"/>
    </row>
    <row r="296" spans="1:31" s="30" customFormat="1" x14ac:dyDescent="0.25">
      <c r="A296" s="36"/>
      <c r="B296" s="31"/>
      <c r="C296" s="31"/>
      <c r="D296" s="32"/>
      <c r="H296" s="32"/>
      <c r="J296" s="32"/>
      <c r="K296" s="41"/>
      <c r="L296" s="32"/>
      <c r="N296" s="32"/>
      <c r="O296" s="41"/>
      <c r="P296" s="32"/>
      <c r="R296" s="32"/>
      <c r="S296" s="41"/>
      <c r="T296" s="32"/>
      <c r="V296" s="32"/>
      <c r="W296" s="41"/>
      <c r="X296" s="32"/>
      <c r="Z296" s="32"/>
      <c r="AA296" s="41"/>
      <c r="AB296" s="41"/>
      <c r="AD296" s="32"/>
      <c r="AE296" s="41"/>
    </row>
    <row r="297" spans="1:31" s="30" customFormat="1" x14ac:dyDescent="0.25">
      <c r="A297" s="36"/>
      <c r="B297" s="31"/>
      <c r="C297" s="31"/>
      <c r="D297" s="32"/>
      <c r="H297" s="32"/>
      <c r="J297" s="32"/>
      <c r="K297" s="41"/>
      <c r="L297" s="32"/>
      <c r="N297" s="32"/>
      <c r="O297" s="41"/>
      <c r="P297" s="32"/>
      <c r="R297" s="32"/>
      <c r="S297" s="41"/>
      <c r="T297" s="32"/>
      <c r="V297" s="32"/>
      <c r="W297" s="41"/>
      <c r="X297" s="32"/>
      <c r="Z297" s="32"/>
      <c r="AA297" s="41"/>
      <c r="AB297" s="41"/>
      <c r="AD297" s="32"/>
      <c r="AE297" s="41"/>
    </row>
    <row r="298" spans="1:31" s="30" customFormat="1" x14ac:dyDescent="0.25">
      <c r="A298" s="36"/>
      <c r="B298" s="31"/>
      <c r="C298" s="31"/>
      <c r="D298" s="32"/>
      <c r="H298" s="32"/>
      <c r="J298" s="32"/>
      <c r="K298" s="41"/>
      <c r="L298" s="32"/>
      <c r="N298" s="32"/>
      <c r="O298" s="41"/>
      <c r="P298" s="32"/>
      <c r="R298" s="32"/>
      <c r="S298" s="41"/>
      <c r="T298" s="32"/>
      <c r="V298" s="32"/>
      <c r="W298" s="41"/>
      <c r="X298" s="32"/>
      <c r="Z298" s="32"/>
      <c r="AA298" s="41"/>
      <c r="AB298" s="41"/>
      <c r="AD298" s="32"/>
      <c r="AE298" s="41"/>
    </row>
    <row r="299" spans="1:31" s="30" customFormat="1" x14ac:dyDescent="0.25">
      <c r="A299" s="36"/>
      <c r="B299" s="31"/>
      <c r="C299" s="31"/>
      <c r="D299" s="32"/>
      <c r="H299" s="32"/>
      <c r="J299" s="32"/>
      <c r="K299" s="41"/>
      <c r="L299" s="32"/>
      <c r="N299" s="32"/>
      <c r="O299" s="41"/>
      <c r="P299" s="32"/>
      <c r="R299" s="32"/>
      <c r="S299" s="41"/>
      <c r="T299" s="32"/>
      <c r="V299" s="32"/>
      <c r="W299" s="41"/>
      <c r="X299" s="32"/>
      <c r="Z299" s="32"/>
      <c r="AA299" s="41"/>
      <c r="AB299" s="41"/>
      <c r="AD299" s="32"/>
      <c r="AE299" s="41"/>
    </row>
    <row r="300" spans="1:31" s="30" customFormat="1" x14ac:dyDescent="0.25">
      <c r="A300" s="36"/>
      <c r="B300" s="31"/>
      <c r="C300" s="31"/>
      <c r="D300" s="32"/>
      <c r="H300" s="32"/>
      <c r="J300" s="32"/>
      <c r="K300" s="41"/>
      <c r="L300" s="32"/>
      <c r="N300" s="32"/>
      <c r="O300" s="41"/>
      <c r="P300" s="32"/>
      <c r="R300" s="32"/>
      <c r="S300" s="41"/>
      <c r="T300" s="32"/>
      <c r="V300" s="32"/>
      <c r="W300" s="41"/>
      <c r="X300" s="32"/>
      <c r="Z300" s="32"/>
      <c r="AA300" s="41"/>
      <c r="AB300" s="41"/>
      <c r="AD300" s="32"/>
      <c r="AE300" s="41"/>
    </row>
    <row r="301" spans="1:31" s="30" customFormat="1" x14ac:dyDescent="0.25">
      <c r="A301" s="36"/>
      <c r="B301" s="31"/>
      <c r="C301" s="31"/>
      <c r="D301" s="32"/>
      <c r="H301" s="32"/>
      <c r="J301" s="32"/>
      <c r="K301" s="41"/>
      <c r="L301" s="32"/>
      <c r="N301" s="32"/>
      <c r="O301" s="41"/>
      <c r="P301" s="32"/>
      <c r="R301" s="32"/>
      <c r="S301" s="41"/>
      <c r="T301" s="32"/>
      <c r="V301" s="32"/>
      <c r="W301" s="41"/>
      <c r="X301" s="32"/>
      <c r="Z301" s="32"/>
      <c r="AA301" s="41"/>
      <c r="AB301" s="41"/>
      <c r="AD301" s="32"/>
      <c r="AE301" s="41"/>
    </row>
    <row r="302" spans="1:31" s="30" customFormat="1" x14ac:dyDescent="0.25">
      <c r="A302" s="36"/>
      <c r="B302" s="31"/>
      <c r="C302" s="31"/>
      <c r="D302" s="32"/>
      <c r="H302" s="32"/>
      <c r="J302" s="32"/>
      <c r="K302" s="41"/>
      <c r="L302" s="32"/>
      <c r="N302" s="32"/>
      <c r="O302" s="41"/>
      <c r="P302" s="32"/>
      <c r="R302" s="32"/>
      <c r="S302" s="41"/>
      <c r="T302" s="32"/>
      <c r="V302" s="32"/>
      <c r="W302" s="41"/>
      <c r="X302" s="32"/>
      <c r="Z302" s="32"/>
      <c r="AA302" s="41"/>
      <c r="AB302" s="41"/>
      <c r="AD302" s="32"/>
      <c r="AE302" s="41"/>
    </row>
    <row r="303" spans="1:31" s="30" customFormat="1" x14ac:dyDescent="0.25">
      <c r="A303" s="36"/>
      <c r="B303" s="31"/>
      <c r="C303" s="31"/>
      <c r="D303" s="32"/>
      <c r="H303" s="32"/>
      <c r="J303" s="32"/>
      <c r="K303" s="41"/>
      <c r="L303" s="32"/>
      <c r="N303" s="32"/>
      <c r="O303" s="41"/>
      <c r="P303" s="32"/>
      <c r="R303" s="32"/>
      <c r="S303" s="41"/>
      <c r="T303" s="32"/>
      <c r="V303" s="32"/>
      <c r="W303" s="41"/>
      <c r="X303" s="32"/>
      <c r="Z303" s="32"/>
      <c r="AA303" s="41"/>
      <c r="AB303" s="41"/>
      <c r="AD303" s="32"/>
      <c r="AE303" s="41"/>
    </row>
    <row r="304" spans="1:31" s="30" customFormat="1" x14ac:dyDescent="0.25">
      <c r="A304" s="36"/>
      <c r="B304" s="31"/>
      <c r="C304" s="31"/>
      <c r="D304" s="32"/>
      <c r="H304" s="32"/>
      <c r="J304" s="32"/>
      <c r="K304" s="41"/>
      <c r="L304" s="32"/>
      <c r="N304" s="32"/>
      <c r="O304" s="41"/>
      <c r="P304" s="32"/>
      <c r="R304" s="32"/>
      <c r="S304" s="41"/>
      <c r="T304" s="32"/>
      <c r="V304" s="32"/>
      <c r="W304" s="41"/>
      <c r="X304" s="32"/>
      <c r="Z304" s="32"/>
      <c r="AA304" s="41"/>
      <c r="AB304" s="41"/>
      <c r="AD304" s="32"/>
      <c r="AE304" s="41"/>
    </row>
    <row r="305" spans="1:31" s="30" customFormat="1" x14ac:dyDescent="0.25">
      <c r="A305" s="36"/>
      <c r="B305" s="31"/>
      <c r="C305" s="31"/>
      <c r="D305" s="32"/>
      <c r="H305" s="32"/>
      <c r="J305" s="32"/>
      <c r="K305" s="41"/>
      <c r="L305" s="32"/>
      <c r="N305" s="32"/>
      <c r="O305" s="41"/>
      <c r="P305" s="32"/>
      <c r="R305" s="32"/>
      <c r="S305" s="41"/>
      <c r="T305" s="32"/>
      <c r="V305" s="32"/>
      <c r="W305" s="41"/>
      <c r="X305" s="32"/>
      <c r="Z305" s="32"/>
      <c r="AA305" s="41"/>
      <c r="AB305" s="41"/>
      <c r="AD305" s="32"/>
      <c r="AE305" s="41"/>
    </row>
    <row r="306" spans="1:31" s="30" customFormat="1" x14ac:dyDescent="0.25">
      <c r="A306" s="36"/>
      <c r="B306" s="31"/>
      <c r="C306" s="31"/>
      <c r="D306" s="32"/>
      <c r="H306" s="32"/>
      <c r="J306" s="32"/>
      <c r="K306" s="41"/>
      <c r="L306" s="32"/>
      <c r="N306" s="32"/>
      <c r="O306" s="41"/>
      <c r="P306" s="32"/>
      <c r="R306" s="32"/>
      <c r="S306" s="41"/>
      <c r="T306" s="32"/>
      <c r="V306" s="32"/>
      <c r="W306" s="41"/>
      <c r="X306" s="32"/>
      <c r="Z306" s="32"/>
      <c r="AA306" s="41"/>
      <c r="AB306" s="41"/>
      <c r="AD306" s="32"/>
      <c r="AE306" s="41"/>
    </row>
    <row r="307" spans="1:31" s="30" customFormat="1" x14ac:dyDescent="0.25">
      <c r="A307" s="36"/>
      <c r="B307" s="31"/>
      <c r="C307" s="31"/>
      <c r="D307" s="32"/>
      <c r="H307" s="32"/>
      <c r="J307" s="32"/>
      <c r="K307" s="41"/>
      <c r="L307" s="32"/>
      <c r="N307" s="32"/>
      <c r="O307" s="41"/>
      <c r="P307" s="32"/>
      <c r="R307" s="32"/>
      <c r="S307" s="41"/>
      <c r="T307" s="32"/>
      <c r="V307" s="32"/>
      <c r="W307" s="41"/>
      <c r="X307" s="32"/>
      <c r="Z307" s="32"/>
      <c r="AA307" s="41"/>
      <c r="AB307" s="41"/>
      <c r="AD307" s="32"/>
      <c r="AE307" s="41"/>
    </row>
    <row r="308" spans="1:31" s="30" customFormat="1" x14ac:dyDescent="0.25">
      <c r="A308" s="36"/>
      <c r="B308" s="31"/>
      <c r="C308" s="31"/>
      <c r="D308" s="32"/>
      <c r="H308" s="32"/>
      <c r="J308" s="32"/>
      <c r="K308" s="41"/>
      <c r="L308" s="32"/>
      <c r="N308" s="32"/>
      <c r="O308" s="41"/>
      <c r="P308" s="32"/>
      <c r="R308" s="32"/>
      <c r="S308" s="41"/>
      <c r="T308" s="32"/>
      <c r="V308" s="32"/>
      <c r="W308" s="41"/>
      <c r="X308" s="32"/>
      <c r="Z308" s="32"/>
      <c r="AA308" s="41"/>
      <c r="AB308" s="41"/>
      <c r="AD308" s="32"/>
      <c r="AE308" s="41"/>
    </row>
    <row r="309" spans="1:31" s="30" customFormat="1" x14ac:dyDescent="0.25">
      <c r="A309" s="36"/>
      <c r="B309" s="31"/>
      <c r="C309" s="31"/>
      <c r="D309" s="32"/>
      <c r="H309" s="32"/>
      <c r="J309" s="32"/>
      <c r="K309" s="41"/>
      <c r="L309" s="32"/>
      <c r="N309" s="32"/>
      <c r="O309" s="41"/>
      <c r="P309" s="32"/>
      <c r="R309" s="32"/>
      <c r="S309" s="41"/>
      <c r="T309" s="32"/>
      <c r="V309" s="32"/>
      <c r="W309" s="41"/>
      <c r="X309" s="32"/>
      <c r="Z309" s="32"/>
      <c r="AA309" s="41"/>
      <c r="AB309" s="41"/>
      <c r="AD309" s="32"/>
      <c r="AE309" s="41"/>
    </row>
    <row r="310" spans="1:31" s="30" customFormat="1" x14ac:dyDescent="0.25">
      <c r="A310" s="36"/>
      <c r="B310" s="31"/>
      <c r="C310" s="31"/>
      <c r="D310" s="32"/>
      <c r="H310" s="32"/>
      <c r="J310" s="32"/>
      <c r="K310" s="41"/>
      <c r="L310" s="32"/>
      <c r="N310" s="32"/>
      <c r="O310" s="41"/>
      <c r="P310" s="32"/>
      <c r="R310" s="32"/>
      <c r="S310" s="41"/>
      <c r="T310" s="32"/>
      <c r="V310" s="32"/>
      <c r="W310" s="41"/>
      <c r="X310" s="32"/>
      <c r="Z310" s="32"/>
      <c r="AA310" s="41"/>
      <c r="AB310" s="41"/>
      <c r="AD310" s="32"/>
      <c r="AE310" s="41"/>
    </row>
    <row r="311" spans="1:31" s="30" customFormat="1" x14ac:dyDescent="0.25">
      <c r="A311" s="36"/>
      <c r="B311" s="31"/>
      <c r="C311" s="31"/>
      <c r="D311" s="32"/>
      <c r="H311" s="32"/>
      <c r="J311" s="32"/>
      <c r="K311" s="41"/>
      <c r="L311" s="32"/>
      <c r="N311" s="32"/>
      <c r="O311" s="41"/>
      <c r="P311" s="32"/>
      <c r="R311" s="32"/>
      <c r="S311" s="41"/>
      <c r="T311" s="32"/>
      <c r="V311" s="32"/>
      <c r="W311" s="41"/>
      <c r="X311" s="32"/>
      <c r="Z311" s="32"/>
      <c r="AA311" s="41"/>
      <c r="AB311" s="41"/>
      <c r="AD311" s="32"/>
      <c r="AE311" s="41"/>
    </row>
    <row r="312" spans="1:31" s="30" customFormat="1" x14ac:dyDescent="0.25">
      <c r="A312" s="36"/>
      <c r="B312" s="31"/>
      <c r="C312" s="31"/>
      <c r="D312" s="32"/>
      <c r="H312" s="32"/>
      <c r="J312" s="32"/>
      <c r="K312" s="41"/>
      <c r="L312" s="32"/>
      <c r="N312" s="32"/>
      <c r="O312" s="41"/>
      <c r="P312" s="32"/>
      <c r="R312" s="32"/>
      <c r="S312" s="41"/>
      <c r="T312" s="32"/>
      <c r="V312" s="32"/>
      <c r="W312" s="41"/>
      <c r="X312" s="32"/>
      <c r="Z312" s="32"/>
      <c r="AA312" s="41"/>
      <c r="AB312" s="41"/>
      <c r="AD312" s="32"/>
      <c r="AE312" s="41"/>
    </row>
    <row r="313" spans="1:31" s="30" customFormat="1" x14ac:dyDescent="0.25">
      <c r="A313" s="36"/>
      <c r="B313" s="31"/>
      <c r="C313" s="31"/>
      <c r="D313" s="32"/>
      <c r="H313" s="32"/>
      <c r="J313" s="32"/>
      <c r="K313" s="41"/>
      <c r="L313" s="32"/>
      <c r="N313" s="32"/>
      <c r="O313" s="41"/>
      <c r="P313" s="32"/>
      <c r="R313" s="32"/>
      <c r="S313" s="41"/>
      <c r="T313" s="32"/>
      <c r="V313" s="32"/>
      <c r="W313" s="41"/>
      <c r="X313" s="32"/>
      <c r="Z313" s="32"/>
      <c r="AA313" s="41"/>
      <c r="AB313" s="41"/>
      <c r="AD313" s="32"/>
      <c r="AE313" s="41"/>
    </row>
    <row r="314" spans="1:31" s="30" customFormat="1" x14ac:dyDescent="0.25">
      <c r="A314" s="36"/>
      <c r="B314" s="31"/>
      <c r="C314" s="31"/>
      <c r="D314" s="32"/>
      <c r="H314" s="32"/>
      <c r="J314" s="32"/>
      <c r="K314" s="41"/>
      <c r="L314" s="32"/>
      <c r="N314" s="32"/>
      <c r="O314" s="41"/>
      <c r="P314" s="32"/>
      <c r="R314" s="32"/>
      <c r="S314" s="41"/>
      <c r="T314" s="32"/>
      <c r="V314" s="32"/>
      <c r="W314" s="41"/>
      <c r="X314" s="32"/>
      <c r="Z314" s="32"/>
      <c r="AA314" s="41"/>
      <c r="AB314" s="41"/>
      <c r="AD314" s="32"/>
      <c r="AE314" s="41"/>
    </row>
    <row r="315" spans="1:31" s="30" customFormat="1" x14ac:dyDescent="0.25">
      <c r="A315" s="36"/>
      <c r="B315" s="31"/>
      <c r="C315" s="31"/>
      <c r="D315" s="32"/>
      <c r="H315" s="32"/>
      <c r="J315" s="32"/>
      <c r="K315" s="41"/>
      <c r="L315" s="32"/>
      <c r="N315" s="32"/>
      <c r="O315" s="41"/>
      <c r="P315" s="32"/>
      <c r="R315" s="32"/>
      <c r="S315" s="41"/>
      <c r="T315" s="32"/>
      <c r="V315" s="32"/>
      <c r="W315" s="41"/>
      <c r="X315" s="32"/>
      <c r="Z315" s="32"/>
      <c r="AA315" s="41"/>
      <c r="AB315" s="41"/>
      <c r="AD315" s="32"/>
      <c r="AE315" s="41"/>
    </row>
    <row r="316" spans="1:31" s="30" customFormat="1" x14ac:dyDescent="0.25">
      <c r="A316" s="36"/>
      <c r="B316" s="31"/>
      <c r="C316" s="31"/>
      <c r="D316" s="32"/>
      <c r="H316" s="32"/>
      <c r="J316" s="32"/>
      <c r="K316" s="41"/>
      <c r="L316" s="32"/>
      <c r="N316" s="32"/>
      <c r="O316" s="41"/>
      <c r="P316" s="32"/>
      <c r="R316" s="32"/>
      <c r="S316" s="41"/>
      <c r="T316" s="32"/>
      <c r="V316" s="32"/>
      <c r="W316" s="41"/>
      <c r="X316" s="32"/>
      <c r="Z316" s="32"/>
      <c r="AA316" s="41"/>
      <c r="AB316" s="41"/>
      <c r="AD316" s="32"/>
      <c r="AE316" s="41"/>
    </row>
    <row r="317" spans="1:31" s="30" customFormat="1" x14ac:dyDescent="0.25">
      <c r="A317" s="36"/>
      <c r="B317" s="31"/>
      <c r="C317" s="31"/>
      <c r="D317" s="32"/>
      <c r="H317" s="32"/>
      <c r="J317" s="32"/>
      <c r="K317" s="41"/>
      <c r="L317" s="32"/>
      <c r="N317" s="32"/>
      <c r="O317" s="41"/>
      <c r="P317" s="32"/>
      <c r="R317" s="32"/>
      <c r="S317" s="41"/>
      <c r="T317" s="32"/>
      <c r="V317" s="32"/>
      <c r="W317" s="41"/>
      <c r="X317" s="32"/>
      <c r="Z317" s="32"/>
      <c r="AA317" s="41"/>
      <c r="AB317" s="41"/>
      <c r="AD317" s="32"/>
      <c r="AE317" s="41"/>
    </row>
    <row r="318" spans="1:31" s="30" customFormat="1" x14ac:dyDescent="0.25">
      <c r="A318" s="36"/>
      <c r="B318" s="31"/>
      <c r="C318" s="31"/>
      <c r="D318" s="32"/>
      <c r="H318" s="32"/>
      <c r="J318" s="32"/>
      <c r="K318" s="41"/>
      <c r="L318" s="32"/>
      <c r="N318" s="32"/>
      <c r="O318" s="41"/>
      <c r="P318" s="32"/>
      <c r="R318" s="32"/>
      <c r="S318" s="41"/>
      <c r="T318" s="32"/>
      <c r="V318" s="32"/>
      <c r="W318" s="41"/>
      <c r="X318" s="32"/>
      <c r="Z318" s="32"/>
      <c r="AA318" s="41"/>
      <c r="AB318" s="41"/>
      <c r="AD318" s="32"/>
      <c r="AE318" s="41"/>
    </row>
    <row r="319" spans="1:31" s="30" customFormat="1" x14ac:dyDescent="0.25">
      <c r="A319" s="36"/>
      <c r="B319" s="31"/>
      <c r="C319" s="31"/>
      <c r="D319" s="32"/>
      <c r="H319" s="32"/>
      <c r="J319" s="32"/>
      <c r="K319" s="41"/>
      <c r="L319" s="32"/>
      <c r="N319" s="32"/>
      <c r="O319" s="41"/>
      <c r="P319" s="32"/>
      <c r="R319" s="32"/>
      <c r="S319" s="41"/>
      <c r="T319" s="32"/>
      <c r="V319" s="32"/>
      <c r="W319" s="41"/>
      <c r="X319" s="32"/>
      <c r="Z319" s="32"/>
      <c r="AA319" s="41"/>
      <c r="AB319" s="41"/>
      <c r="AD319" s="32"/>
      <c r="AE319" s="41"/>
    </row>
    <row r="320" spans="1:31" s="30" customFormat="1" x14ac:dyDescent="0.25">
      <c r="A320" s="36"/>
      <c r="B320" s="31"/>
      <c r="C320" s="31"/>
      <c r="D320" s="32"/>
      <c r="H320" s="32"/>
      <c r="J320" s="32"/>
      <c r="K320" s="41"/>
      <c r="L320" s="32"/>
      <c r="N320" s="32"/>
      <c r="O320" s="41"/>
      <c r="P320" s="32"/>
      <c r="R320" s="32"/>
      <c r="S320" s="41"/>
      <c r="T320" s="32"/>
      <c r="V320" s="32"/>
      <c r="W320" s="41"/>
      <c r="X320" s="32"/>
      <c r="Z320" s="32"/>
      <c r="AA320" s="41"/>
      <c r="AB320" s="41"/>
      <c r="AD320" s="32"/>
      <c r="AE320" s="41"/>
    </row>
    <row r="321" spans="1:31" s="30" customFormat="1" x14ac:dyDescent="0.25">
      <c r="A321" s="36"/>
      <c r="B321" s="31"/>
      <c r="C321" s="31"/>
      <c r="D321" s="32"/>
      <c r="H321" s="32"/>
      <c r="J321" s="32"/>
      <c r="K321" s="41"/>
      <c r="L321" s="32"/>
      <c r="N321" s="32"/>
      <c r="O321" s="41"/>
      <c r="P321" s="32"/>
      <c r="R321" s="32"/>
      <c r="S321" s="41"/>
      <c r="T321" s="32"/>
      <c r="V321" s="32"/>
      <c r="W321" s="41"/>
      <c r="X321" s="32"/>
      <c r="Z321" s="32"/>
      <c r="AA321" s="41"/>
      <c r="AB321" s="41"/>
      <c r="AD321" s="32"/>
      <c r="AE321" s="41"/>
    </row>
    <row r="322" spans="1:31" s="30" customFormat="1" x14ac:dyDescent="0.25">
      <c r="A322" s="36"/>
      <c r="B322" s="31"/>
      <c r="C322" s="31"/>
      <c r="D322" s="32"/>
      <c r="H322" s="32"/>
      <c r="J322" s="32"/>
      <c r="K322" s="41"/>
      <c r="L322" s="32"/>
      <c r="N322" s="32"/>
      <c r="O322" s="41"/>
      <c r="P322" s="32"/>
      <c r="R322" s="32"/>
      <c r="S322" s="41"/>
      <c r="T322" s="32"/>
      <c r="V322" s="32"/>
      <c r="W322" s="41"/>
      <c r="X322" s="32"/>
      <c r="Z322" s="32"/>
      <c r="AA322" s="41"/>
      <c r="AB322" s="41"/>
      <c r="AD322" s="32"/>
      <c r="AE322" s="41"/>
    </row>
    <row r="323" spans="1:31" s="30" customFormat="1" x14ac:dyDescent="0.25">
      <c r="A323" s="36"/>
      <c r="B323" s="31"/>
      <c r="C323" s="31"/>
      <c r="D323" s="32"/>
      <c r="H323" s="32"/>
      <c r="J323" s="32"/>
      <c r="K323" s="41"/>
      <c r="L323" s="32"/>
      <c r="N323" s="32"/>
      <c r="O323" s="41"/>
      <c r="P323" s="32"/>
      <c r="R323" s="32"/>
      <c r="S323" s="41"/>
      <c r="T323" s="32"/>
      <c r="V323" s="32"/>
      <c r="W323" s="41"/>
      <c r="X323" s="32"/>
      <c r="Z323" s="32"/>
      <c r="AA323" s="41"/>
      <c r="AB323" s="41"/>
      <c r="AD323" s="32"/>
      <c r="AE323" s="41"/>
    </row>
    <row r="324" spans="1:31" s="30" customFormat="1" x14ac:dyDescent="0.25">
      <c r="A324" s="36"/>
      <c r="B324" s="31"/>
      <c r="C324" s="31"/>
      <c r="D324" s="32"/>
      <c r="H324" s="32"/>
      <c r="J324" s="32"/>
      <c r="K324" s="41"/>
      <c r="L324" s="32"/>
      <c r="N324" s="32"/>
      <c r="O324" s="41"/>
      <c r="P324" s="32"/>
      <c r="R324" s="32"/>
      <c r="S324" s="41"/>
      <c r="T324" s="32"/>
      <c r="V324" s="32"/>
      <c r="W324" s="41"/>
      <c r="X324" s="32"/>
      <c r="Z324" s="32"/>
      <c r="AA324" s="41"/>
      <c r="AB324" s="41"/>
      <c r="AD324" s="32"/>
      <c r="AE324" s="41"/>
    </row>
    <row r="325" spans="1:31" s="30" customFormat="1" x14ac:dyDescent="0.25">
      <c r="A325" s="36"/>
      <c r="B325" s="31"/>
      <c r="C325" s="31"/>
      <c r="D325" s="32"/>
      <c r="H325" s="32"/>
      <c r="J325" s="32"/>
      <c r="K325" s="41"/>
      <c r="L325" s="32"/>
      <c r="N325" s="32"/>
      <c r="O325" s="41"/>
      <c r="P325" s="32"/>
      <c r="R325" s="32"/>
      <c r="S325" s="41"/>
      <c r="T325" s="32"/>
      <c r="V325" s="32"/>
      <c r="W325" s="41"/>
      <c r="X325" s="32"/>
      <c r="Z325" s="32"/>
      <c r="AA325" s="41"/>
      <c r="AB325" s="41"/>
      <c r="AD325" s="32"/>
      <c r="AE325" s="41"/>
    </row>
    <row r="326" spans="1:31" s="30" customFormat="1" x14ac:dyDescent="0.25">
      <c r="A326" s="36"/>
      <c r="B326" s="31"/>
      <c r="C326" s="31"/>
      <c r="D326" s="32"/>
      <c r="H326" s="32"/>
      <c r="J326" s="32"/>
      <c r="K326" s="41"/>
      <c r="L326" s="32"/>
      <c r="N326" s="32"/>
      <c r="O326" s="41"/>
      <c r="P326" s="32"/>
      <c r="R326" s="32"/>
      <c r="S326" s="41"/>
      <c r="T326" s="32"/>
      <c r="V326" s="32"/>
      <c r="W326" s="41"/>
      <c r="X326" s="32"/>
      <c r="Z326" s="32"/>
      <c r="AA326" s="41"/>
      <c r="AB326" s="41"/>
      <c r="AD326" s="32"/>
      <c r="AE326" s="41"/>
    </row>
    <row r="327" spans="1:31" s="30" customFormat="1" x14ac:dyDescent="0.25">
      <c r="A327" s="36"/>
      <c r="B327" s="31"/>
      <c r="C327" s="31"/>
      <c r="D327" s="32"/>
      <c r="H327" s="32"/>
      <c r="J327" s="32"/>
      <c r="K327" s="41"/>
      <c r="L327" s="32"/>
      <c r="N327" s="32"/>
      <c r="O327" s="41"/>
      <c r="P327" s="32"/>
      <c r="R327" s="32"/>
      <c r="S327" s="41"/>
      <c r="T327" s="32"/>
      <c r="V327" s="32"/>
      <c r="W327" s="41"/>
      <c r="X327" s="32"/>
      <c r="Z327" s="32"/>
      <c r="AA327" s="41"/>
      <c r="AB327" s="41"/>
      <c r="AD327" s="32"/>
      <c r="AE327" s="41"/>
    </row>
    <row r="328" spans="1:31" s="30" customFormat="1" x14ac:dyDescent="0.25">
      <c r="A328" s="36"/>
      <c r="B328" s="31"/>
      <c r="C328" s="31"/>
      <c r="D328" s="32"/>
      <c r="H328" s="32"/>
      <c r="J328" s="32"/>
      <c r="K328" s="41"/>
      <c r="L328" s="32"/>
      <c r="N328" s="32"/>
      <c r="O328" s="41"/>
      <c r="P328" s="32"/>
      <c r="R328" s="32"/>
      <c r="S328" s="41"/>
      <c r="T328" s="32"/>
      <c r="V328" s="32"/>
      <c r="W328" s="41"/>
      <c r="X328" s="32"/>
      <c r="Z328" s="32"/>
      <c r="AA328" s="41"/>
      <c r="AB328" s="41"/>
      <c r="AD328" s="32"/>
      <c r="AE328" s="41"/>
    </row>
    <row r="329" spans="1:31" s="30" customFormat="1" x14ac:dyDescent="0.25">
      <c r="A329" s="36"/>
      <c r="B329" s="31"/>
      <c r="C329" s="31"/>
      <c r="D329" s="32"/>
      <c r="H329" s="32"/>
      <c r="J329" s="32"/>
      <c r="K329" s="41"/>
      <c r="L329" s="32"/>
      <c r="N329" s="32"/>
      <c r="O329" s="41"/>
      <c r="P329" s="32"/>
      <c r="R329" s="32"/>
      <c r="S329" s="41"/>
      <c r="T329" s="32"/>
      <c r="V329" s="32"/>
      <c r="W329" s="41"/>
      <c r="X329" s="32"/>
      <c r="Z329" s="32"/>
      <c r="AA329" s="41"/>
      <c r="AB329" s="41"/>
      <c r="AD329" s="32"/>
      <c r="AE329" s="41"/>
    </row>
    <row r="330" spans="1:31" s="30" customFormat="1" x14ac:dyDescent="0.25">
      <c r="A330" s="36"/>
      <c r="B330" s="31"/>
      <c r="C330" s="31"/>
      <c r="D330" s="32"/>
      <c r="H330" s="32"/>
      <c r="J330" s="32"/>
      <c r="K330" s="41"/>
      <c r="L330" s="32"/>
      <c r="N330" s="32"/>
      <c r="O330" s="41"/>
      <c r="P330" s="32"/>
      <c r="R330" s="32"/>
      <c r="S330" s="41"/>
      <c r="T330" s="32"/>
      <c r="V330" s="32"/>
      <c r="W330" s="41"/>
      <c r="X330" s="32"/>
      <c r="Z330" s="32"/>
      <c r="AA330" s="41"/>
      <c r="AB330" s="41"/>
      <c r="AD330" s="32"/>
      <c r="AE330" s="41"/>
    </row>
    <row r="331" spans="1:31" s="30" customFormat="1" x14ac:dyDescent="0.25">
      <c r="A331" s="36"/>
      <c r="B331" s="31"/>
      <c r="C331" s="31"/>
      <c r="D331" s="32"/>
      <c r="H331" s="32"/>
      <c r="J331" s="32"/>
      <c r="K331" s="41"/>
      <c r="L331" s="32"/>
      <c r="N331" s="32"/>
      <c r="O331" s="41"/>
      <c r="P331" s="32"/>
      <c r="R331" s="32"/>
      <c r="S331" s="41"/>
      <c r="T331" s="32"/>
      <c r="V331" s="32"/>
      <c r="W331" s="41"/>
      <c r="X331" s="32"/>
      <c r="Z331" s="32"/>
      <c r="AA331" s="41"/>
      <c r="AB331" s="41"/>
      <c r="AD331" s="32"/>
      <c r="AE331" s="41"/>
    </row>
    <row r="332" spans="1:31" s="30" customFormat="1" x14ac:dyDescent="0.25">
      <c r="A332" s="36"/>
      <c r="B332" s="31"/>
      <c r="C332" s="31"/>
      <c r="D332" s="32"/>
      <c r="H332" s="32"/>
      <c r="J332" s="32"/>
      <c r="K332" s="41"/>
      <c r="L332" s="32"/>
      <c r="N332" s="32"/>
      <c r="O332" s="41"/>
      <c r="P332" s="32"/>
      <c r="R332" s="32"/>
      <c r="S332" s="41"/>
      <c r="T332" s="32"/>
      <c r="V332" s="32"/>
      <c r="W332" s="41"/>
      <c r="X332" s="32"/>
      <c r="Z332" s="32"/>
      <c r="AA332" s="41"/>
      <c r="AB332" s="41"/>
      <c r="AD332" s="32"/>
      <c r="AE332" s="41"/>
    </row>
    <row r="333" spans="1:31" s="30" customFormat="1" x14ac:dyDescent="0.25">
      <c r="A333" s="36"/>
      <c r="B333" s="31"/>
      <c r="C333" s="31"/>
      <c r="D333" s="32"/>
      <c r="H333" s="32"/>
      <c r="J333" s="32"/>
      <c r="K333" s="41"/>
      <c r="L333" s="32"/>
      <c r="N333" s="32"/>
      <c r="O333" s="41"/>
      <c r="P333" s="32"/>
      <c r="R333" s="32"/>
      <c r="S333" s="41"/>
      <c r="T333" s="32"/>
      <c r="V333" s="32"/>
      <c r="W333" s="41"/>
      <c r="X333" s="32"/>
      <c r="Z333" s="32"/>
      <c r="AA333" s="41"/>
      <c r="AB333" s="41"/>
      <c r="AD333" s="32"/>
      <c r="AE333" s="41"/>
    </row>
    <row r="334" spans="1:31" s="30" customFormat="1" x14ac:dyDescent="0.25">
      <c r="A334" s="36"/>
      <c r="B334" s="31"/>
      <c r="C334" s="31"/>
      <c r="D334" s="32"/>
      <c r="H334" s="32"/>
      <c r="J334" s="32"/>
      <c r="K334" s="41"/>
      <c r="L334" s="32"/>
      <c r="N334" s="32"/>
      <c r="O334" s="41"/>
      <c r="P334" s="32"/>
      <c r="R334" s="32"/>
      <c r="S334" s="41"/>
      <c r="T334" s="32"/>
      <c r="V334" s="32"/>
      <c r="W334" s="41"/>
      <c r="X334" s="32"/>
      <c r="Z334" s="32"/>
      <c r="AA334" s="41"/>
      <c r="AB334" s="41"/>
      <c r="AD334" s="32"/>
      <c r="AE334" s="41"/>
    </row>
    <row r="335" spans="1:31" s="30" customFormat="1" x14ac:dyDescent="0.25">
      <c r="A335" s="36"/>
      <c r="B335" s="31"/>
      <c r="C335" s="31"/>
      <c r="D335" s="32"/>
      <c r="H335" s="32"/>
      <c r="J335" s="32"/>
      <c r="K335" s="41"/>
      <c r="L335" s="32"/>
      <c r="N335" s="32"/>
      <c r="O335" s="41"/>
      <c r="P335" s="32"/>
      <c r="R335" s="32"/>
      <c r="S335" s="41"/>
      <c r="T335" s="32"/>
      <c r="V335" s="32"/>
      <c r="W335" s="41"/>
      <c r="X335" s="32"/>
      <c r="Z335" s="32"/>
      <c r="AA335" s="41"/>
      <c r="AB335" s="41"/>
      <c r="AD335" s="32"/>
      <c r="AE335" s="41"/>
    </row>
    <row r="336" spans="1:31" s="30" customFormat="1" x14ac:dyDescent="0.25">
      <c r="A336" s="36"/>
      <c r="B336" s="31"/>
      <c r="C336" s="31"/>
      <c r="D336" s="32"/>
      <c r="H336" s="32"/>
      <c r="J336" s="32"/>
      <c r="K336" s="41"/>
      <c r="L336" s="32"/>
      <c r="N336" s="32"/>
      <c r="O336" s="41"/>
      <c r="P336" s="32"/>
      <c r="R336" s="32"/>
      <c r="S336" s="41"/>
      <c r="T336" s="32"/>
      <c r="V336" s="32"/>
      <c r="W336" s="41"/>
      <c r="X336" s="32"/>
      <c r="Z336" s="32"/>
      <c r="AA336" s="41"/>
      <c r="AB336" s="41"/>
      <c r="AD336" s="32"/>
      <c r="AE336" s="41"/>
    </row>
    <row r="337" spans="1:31" s="30" customFormat="1" x14ac:dyDescent="0.25">
      <c r="A337" s="36"/>
      <c r="B337" s="31"/>
      <c r="C337" s="31"/>
      <c r="D337" s="32"/>
      <c r="H337" s="32"/>
      <c r="J337" s="32"/>
      <c r="K337" s="41"/>
      <c r="L337" s="32"/>
      <c r="N337" s="32"/>
      <c r="O337" s="41"/>
      <c r="P337" s="32"/>
      <c r="R337" s="32"/>
      <c r="S337" s="41"/>
      <c r="T337" s="32"/>
      <c r="V337" s="32"/>
      <c r="W337" s="41"/>
      <c r="X337" s="32"/>
      <c r="Z337" s="32"/>
      <c r="AA337" s="41"/>
      <c r="AB337" s="41"/>
      <c r="AD337" s="32"/>
      <c r="AE337" s="41"/>
    </row>
    <row r="338" spans="1:31" s="30" customFormat="1" x14ac:dyDescent="0.25">
      <c r="A338" s="36"/>
      <c r="B338" s="31"/>
      <c r="C338" s="31"/>
      <c r="D338" s="32"/>
      <c r="H338" s="32"/>
      <c r="J338" s="32"/>
      <c r="K338" s="41"/>
      <c r="L338" s="32"/>
      <c r="N338" s="32"/>
      <c r="O338" s="41"/>
      <c r="P338" s="32"/>
      <c r="R338" s="32"/>
      <c r="S338" s="41"/>
      <c r="T338" s="32"/>
      <c r="V338" s="32"/>
      <c r="W338" s="41"/>
      <c r="X338" s="32"/>
      <c r="Z338" s="32"/>
      <c r="AA338" s="41"/>
      <c r="AB338" s="41"/>
      <c r="AD338" s="32"/>
      <c r="AE338" s="41"/>
    </row>
    <row r="339" spans="1:31" s="30" customFormat="1" x14ac:dyDescent="0.25">
      <c r="A339" s="36"/>
      <c r="B339" s="31"/>
      <c r="C339" s="31"/>
      <c r="D339" s="32"/>
      <c r="H339" s="32"/>
      <c r="J339" s="32"/>
      <c r="K339" s="41"/>
      <c r="L339" s="32"/>
      <c r="N339" s="32"/>
      <c r="O339" s="41"/>
      <c r="P339" s="32"/>
      <c r="R339" s="32"/>
      <c r="S339" s="41"/>
      <c r="T339" s="32"/>
      <c r="V339" s="32"/>
      <c r="W339" s="41"/>
      <c r="X339" s="32"/>
      <c r="Z339" s="32"/>
      <c r="AA339" s="41"/>
      <c r="AB339" s="41"/>
      <c r="AD339" s="32"/>
      <c r="AE339" s="41"/>
    </row>
    <row r="340" spans="1:31" s="30" customFormat="1" x14ac:dyDescent="0.25">
      <c r="A340" s="36"/>
      <c r="B340" s="31"/>
      <c r="C340" s="31"/>
      <c r="D340" s="32"/>
      <c r="H340" s="32"/>
      <c r="J340" s="32"/>
      <c r="K340" s="41"/>
      <c r="L340" s="32"/>
      <c r="N340" s="32"/>
      <c r="O340" s="41"/>
      <c r="P340" s="32"/>
      <c r="R340" s="32"/>
      <c r="S340" s="41"/>
      <c r="T340" s="32"/>
      <c r="V340" s="32"/>
      <c r="W340" s="41"/>
      <c r="X340" s="32"/>
      <c r="Z340" s="32"/>
      <c r="AA340" s="41"/>
      <c r="AB340" s="41"/>
      <c r="AD340" s="32"/>
      <c r="AE340" s="41"/>
    </row>
    <row r="341" spans="1:31" s="30" customFormat="1" x14ac:dyDescent="0.25">
      <c r="A341" s="36"/>
      <c r="B341" s="31"/>
      <c r="C341" s="31"/>
      <c r="D341" s="32"/>
      <c r="H341" s="32"/>
      <c r="J341" s="32"/>
      <c r="K341" s="41"/>
      <c r="L341" s="32"/>
      <c r="N341" s="32"/>
      <c r="O341" s="41"/>
      <c r="P341" s="32"/>
      <c r="R341" s="32"/>
      <c r="S341" s="41"/>
      <c r="T341" s="32"/>
      <c r="V341" s="32"/>
      <c r="W341" s="41"/>
      <c r="X341" s="32"/>
      <c r="Z341" s="32"/>
      <c r="AA341" s="41"/>
      <c r="AB341" s="41"/>
      <c r="AD341" s="32"/>
      <c r="AE341" s="41"/>
    </row>
    <row r="342" spans="1:31" s="30" customFormat="1" x14ac:dyDescent="0.25">
      <c r="A342" s="36"/>
      <c r="B342" s="31"/>
      <c r="C342" s="31"/>
      <c r="D342" s="32"/>
      <c r="H342" s="32"/>
      <c r="J342" s="32"/>
      <c r="K342" s="41"/>
      <c r="L342" s="32"/>
      <c r="N342" s="32"/>
      <c r="O342" s="41"/>
      <c r="P342" s="32"/>
      <c r="R342" s="32"/>
      <c r="S342" s="41"/>
      <c r="T342" s="32"/>
      <c r="V342" s="32"/>
      <c r="W342" s="41"/>
      <c r="X342" s="32"/>
      <c r="Z342" s="32"/>
      <c r="AA342" s="41"/>
      <c r="AB342" s="41"/>
      <c r="AD342" s="32"/>
      <c r="AE342" s="41"/>
    </row>
    <row r="343" spans="1:31" s="30" customFormat="1" x14ac:dyDescent="0.25">
      <c r="A343" s="36"/>
      <c r="B343" s="31"/>
      <c r="C343" s="31"/>
      <c r="D343" s="32"/>
      <c r="H343" s="32"/>
      <c r="J343" s="32"/>
      <c r="K343" s="41"/>
      <c r="L343" s="32"/>
      <c r="N343" s="32"/>
      <c r="O343" s="41"/>
      <c r="P343" s="32"/>
      <c r="R343" s="32"/>
      <c r="S343" s="41"/>
      <c r="T343" s="32"/>
      <c r="V343" s="32"/>
      <c r="W343" s="41"/>
      <c r="X343" s="32"/>
      <c r="Z343" s="32"/>
      <c r="AA343" s="41"/>
      <c r="AB343" s="41"/>
      <c r="AD343" s="32"/>
      <c r="AE343" s="41"/>
    </row>
    <row r="344" spans="1:31" s="30" customFormat="1" x14ac:dyDescent="0.25">
      <c r="A344" s="36"/>
      <c r="B344" s="31"/>
      <c r="C344" s="31"/>
      <c r="D344" s="32"/>
      <c r="H344" s="32"/>
      <c r="J344" s="32"/>
      <c r="K344" s="41"/>
      <c r="L344" s="32"/>
      <c r="N344" s="32"/>
      <c r="O344" s="41"/>
      <c r="P344" s="32"/>
      <c r="R344" s="32"/>
      <c r="S344" s="41"/>
      <c r="T344" s="32"/>
      <c r="V344" s="32"/>
      <c r="W344" s="41"/>
      <c r="X344" s="32"/>
      <c r="Z344" s="32"/>
      <c r="AA344" s="41"/>
      <c r="AB344" s="41"/>
      <c r="AD344" s="32"/>
      <c r="AE344" s="41"/>
    </row>
    <row r="345" spans="1:31" s="30" customFormat="1" x14ac:dyDescent="0.25">
      <c r="A345" s="36"/>
      <c r="B345" s="31"/>
      <c r="C345" s="31"/>
      <c r="D345" s="32"/>
      <c r="H345" s="32"/>
      <c r="J345" s="32"/>
      <c r="K345" s="41"/>
      <c r="L345" s="32"/>
      <c r="N345" s="32"/>
      <c r="O345" s="41"/>
      <c r="P345" s="32"/>
      <c r="R345" s="32"/>
      <c r="S345" s="41"/>
      <c r="T345" s="32"/>
      <c r="V345" s="32"/>
      <c r="W345" s="41"/>
      <c r="X345" s="32"/>
      <c r="Z345" s="32"/>
      <c r="AA345" s="41"/>
      <c r="AB345" s="41"/>
      <c r="AD345" s="32"/>
      <c r="AE345" s="41"/>
    </row>
    <row r="346" spans="1:31" s="30" customFormat="1" x14ac:dyDescent="0.25">
      <c r="A346" s="36"/>
      <c r="B346" s="31"/>
      <c r="C346" s="31"/>
      <c r="D346" s="32"/>
      <c r="H346" s="32"/>
      <c r="J346" s="32"/>
      <c r="K346" s="41"/>
      <c r="L346" s="32"/>
      <c r="N346" s="32"/>
      <c r="O346" s="41"/>
      <c r="P346" s="32"/>
      <c r="R346" s="32"/>
      <c r="S346" s="41"/>
      <c r="T346" s="32"/>
      <c r="V346" s="32"/>
      <c r="W346" s="41"/>
      <c r="X346" s="32"/>
      <c r="Z346" s="32"/>
      <c r="AA346" s="41"/>
      <c r="AB346" s="41"/>
      <c r="AD346" s="32"/>
      <c r="AE346" s="41"/>
    </row>
    <row r="347" spans="1:31" s="30" customFormat="1" x14ac:dyDescent="0.25">
      <c r="A347" s="36"/>
      <c r="B347" s="31"/>
      <c r="C347" s="31"/>
      <c r="D347" s="32"/>
      <c r="H347" s="32"/>
      <c r="J347" s="32"/>
      <c r="K347" s="41"/>
      <c r="L347" s="32"/>
      <c r="N347" s="32"/>
      <c r="O347" s="41"/>
      <c r="P347" s="32"/>
      <c r="R347" s="32"/>
      <c r="S347" s="41"/>
      <c r="T347" s="32"/>
      <c r="V347" s="32"/>
      <c r="W347" s="41"/>
      <c r="X347" s="32"/>
      <c r="Z347" s="32"/>
      <c r="AA347" s="41"/>
      <c r="AB347" s="41"/>
      <c r="AD347" s="32"/>
      <c r="AE347" s="41"/>
    </row>
    <row r="348" spans="1:31" s="30" customFormat="1" x14ac:dyDescent="0.25">
      <c r="A348" s="36"/>
      <c r="B348" s="31"/>
      <c r="C348" s="31"/>
      <c r="D348" s="32"/>
      <c r="H348" s="32"/>
      <c r="J348" s="32"/>
      <c r="K348" s="41"/>
      <c r="L348" s="32"/>
      <c r="N348" s="32"/>
      <c r="O348" s="41"/>
      <c r="P348" s="32"/>
      <c r="R348" s="32"/>
      <c r="S348" s="41"/>
      <c r="T348" s="32"/>
      <c r="V348" s="32"/>
      <c r="W348" s="41"/>
      <c r="X348" s="32"/>
      <c r="Z348" s="32"/>
      <c r="AA348" s="41"/>
      <c r="AB348" s="41"/>
      <c r="AD348" s="32"/>
      <c r="AE348" s="41"/>
    </row>
    <row r="349" spans="1:31" s="30" customFormat="1" x14ac:dyDescent="0.25">
      <c r="A349" s="36"/>
      <c r="B349" s="31"/>
      <c r="C349" s="31"/>
      <c r="D349" s="32"/>
      <c r="H349" s="32"/>
      <c r="J349" s="32"/>
      <c r="K349" s="41"/>
      <c r="L349" s="32"/>
      <c r="N349" s="32"/>
      <c r="O349" s="41"/>
      <c r="P349" s="32"/>
      <c r="R349" s="32"/>
      <c r="S349" s="41"/>
      <c r="T349" s="32"/>
      <c r="V349" s="32"/>
      <c r="W349" s="41"/>
      <c r="X349" s="32"/>
      <c r="Z349" s="32"/>
      <c r="AA349" s="41"/>
      <c r="AB349" s="41"/>
      <c r="AD349" s="32"/>
      <c r="AE349" s="41"/>
    </row>
    <row r="350" spans="1:31" s="30" customFormat="1" x14ac:dyDescent="0.25">
      <c r="A350" s="36"/>
      <c r="B350" s="31"/>
      <c r="C350" s="31"/>
      <c r="D350" s="32"/>
      <c r="H350" s="32"/>
      <c r="J350" s="32"/>
      <c r="K350" s="41"/>
      <c r="L350" s="32"/>
      <c r="N350" s="32"/>
      <c r="O350" s="41"/>
      <c r="P350" s="32"/>
      <c r="R350" s="32"/>
      <c r="S350" s="41"/>
      <c r="T350" s="32"/>
      <c r="V350" s="32"/>
      <c r="W350" s="41"/>
      <c r="X350" s="32"/>
      <c r="Z350" s="32"/>
      <c r="AA350" s="41"/>
      <c r="AB350" s="41"/>
      <c r="AD350" s="32"/>
      <c r="AE350" s="41"/>
    </row>
    <row r="351" spans="1:31" s="30" customFormat="1" x14ac:dyDescent="0.25">
      <c r="A351" s="36"/>
      <c r="B351" s="31"/>
      <c r="C351" s="31"/>
      <c r="D351" s="32"/>
      <c r="H351" s="32"/>
      <c r="J351" s="32"/>
      <c r="K351" s="41"/>
      <c r="L351" s="32"/>
      <c r="N351" s="32"/>
      <c r="O351" s="41"/>
      <c r="P351" s="32"/>
      <c r="R351" s="32"/>
      <c r="S351" s="41"/>
      <c r="T351" s="32"/>
      <c r="V351" s="32"/>
      <c r="W351" s="41"/>
      <c r="X351" s="32"/>
      <c r="Z351" s="32"/>
      <c r="AA351" s="41"/>
      <c r="AB351" s="41"/>
      <c r="AD351" s="32"/>
      <c r="AE351" s="41"/>
    </row>
    <row r="352" spans="1:31" s="30" customFormat="1" x14ac:dyDescent="0.25">
      <c r="A352" s="36"/>
      <c r="B352" s="31"/>
      <c r="C352" s="31"/>
      <c r="D352" s="32"/>
      <c r="H352" s="32"/>
      <c r="J352" s="32"/>
      <c r="K352" s="41"/>
      <c r="L352" s="32"/>
      <c r="N352" s="32"/>
      <c r="O352" s="41"/>
      <c r="P352" s="32"/>
      <c r="R352" s="32"/>
      <c r="S352" s="41"/>
      <c r="T352" s="32"/>
      <c r="V352" s="32"/>
      <c r="W352" s="41"/>
      <c r="X352" s="32"/>
      <c r="Z352" s="32"/>
      <c r="AA352" s="41"/>
      <c r="AB352" s="41"/>
      <c r="AD352" s="32"/>
      <c r="AE352" s="41"/>
    </row>
    <row r="353" spans="1:31" s="30" customFormat="1" x14ac:dyDescent="0.25">
      <c r="A353" s="36"/>
      <c r="B353" s="31"/>
      <c r="C353" s="31"/>
      <c r="D353" s="32"/>
      <c r="H353" s="32"/>
      <c r="J353" s="32"/>
      <c r="K353" s="41"/>
      <c r="L353" s="32"/>
      <c r="N353" s="32"/>
      <c r="O353" s="41"/>
      <c r="P353" s="32"/>
      <c r="R353" s="32"/>
      <c r="S353" s="41"/>
      <c r="T353" s="32"/>
      <c r="V353" s="32"/>
      <c r="W353" s="41"/>
      <c r="X353" s="32"/>
      <c r="Z353" s="32"/>
      <c r="AA353" s="41"/>
      <c r="AB353" s="41"/>
      <c r="AD353" s="32"/>
      <c r="AE353" s="41"/>
    </row>
    <row r="354" spans="1:31" s="30" customFormat="1" x14ac:dyDescent="0.25">
      <c r="A354" s="36"/>
      <c r="B354" s="31"/>
      <c r="C354" s="31"/>
      <c r="D354" s="32"/>
      <c r="H354" s="32"/>
      <c r="J354" s="32"/>
      <c r="K354" s="41"/>
      <c r="L354" s="32"/>
      <c r="N354" s="32"/>
      <c r="O354" s="41"/>
      <c r="P354" s="32"/>
      <c r="R354" s="32"/>
      <c r="S354" s="41"/>
      <c r="T354" s="32"/>
      <c r="V354" s="32"/>
      <c r="W354" s="41"/>
      <c r="X354" s="32"/>
      <c r="Z354" s="32"/>
      <c r="AA354" s="41"/>
      <c r="AB354" s="41"/>
      <c r="AD354" s="32"/>
      <c r="AE354" s="41"/>
    </row>
    <row r="355" spans="1:31" s="30" customFormat="1" x14ac:dyDescent="0.25">
      <c r="A355" s="36"/>
      <c r="B355" s="31"/>
      <c r="C355" s="31"/>
      <c r="D355" s="32"/>
      <c r="H355" s="32"/>
      <c r="J355" s="32"/>
      <c r="K355" s="41"/>
      <c r="L355" s="32"/>
      <c r="N355" s="32"/>
      <c r="O355" s="41"/>
      <c r="P355" s="32"/>
      <c r="R355" s="32"/>
      <c r="S355" s="41"/>
      <c r="T355" s="32"/>
      <c r="V355" s="32"/>
      <c r="W355" s="41"/>
      <c r="X355" s="32"/>
      <c r="Z355" s="32"/>
      <c r="AA355" s="41"/>
      <c r="AB355" s="41"/>
      <c r="AD355" s="32"/>
      <c r="AE355" s="41"/>
    </row>
    <row r="356" spans="1:31" s="30" customFormat="1" x14ac:dyDescent="0.25">
      <c r="A356" s="36"/>
      <c r="B356" s="31"/>
      <c r="C356" s="31"/>
      <c r="D356" s="32"/>
      <c r="H356" s="32"/>
      <c r="J356" s="32"/>
      <c r="K356" s="41"/>
      <c r="L356" s="32"/>
      <c r="N356" s="32"/>
      <c r="O356" s="41"/>
      <c r="P356" s="32"/>
      <c r="R356" s="32"/>
      <c r="S356" s="41"/>
      <c r="T356" s="32"/>
      <c r="V356" s="32"/>
      <c r="W356" s="41"/>
      <c r="X356" s="32"/>
      <c r="Z356" s="32"/>
      <c r="AA356" s="41"/>
      <c r="AB356" s="41"/>
      <c r="AD356" s="32"/>
      <c r="AE356" s="41"/>
    </row>
    <row r="357" spans="1:31" s="30" customFormat="1" x14ac:dyDescent="0.25">
      <c r="A357" s="36"/>
      <c r="B357" s="31"/>
      <c r="C357" s="31"/>
      <c r="D357" s="32"/>
      <c r="H357" s="32"/>
      <c r="J357" s="32"/>
      <c r="K357" s="41"/>
      <c r="L357" s="32"/>
      <c r="N357" s="32"/>
      <c r="O357" s="41"/>
      <c r="P357" s="32"/>
      <c r="R357" s="32"/>
      <c r="S357" s="41"/>
      <c r="T357" s="32"/>
      <c r="V357" s="32"/>
      <c r="W357" s="41"/>
      <c r="X357" s="32"/>
      <c r="Z357" s="32"/>
      <c r="AA357" s="41"/>
      <c r="AB357" s="41"/>
      <c r="AD357" s="32"/>
      <c r="AE357" s="41"/>
    </row>
    <row r="358" spans="1:31" s="30" customFormat="1" x14ac:dyDescent="0.25">
      <c r="A358" s="36"/>
      <c r="B358" s="31"/>
      <c r="C358" s="31"/>
      <c r="D358" s="32"/>
      <c r="H358" s="32"/>
      <c r="J358" s="32"/>
      <c r="K358" s="41"/>
      <c r="L358" s="32"/>
      <c r="N358" s="32"/>
      <c r="O358" s="41"/>
      <c r="P358" s="32"/>
      <c r="R358" s="32"/>
      <c r="S358" s="41"/>
      <c r="T358" s="32"/>
      <c r="V358" s="32"/>
      <c r="W358" s="41"/>
      <c r="X358" s="32"/>
      <c r="Z358" s="32"/>
      <c r="AA358" s="41"/>
      <c r="AB358" s="41"/>
      <c r="AD358" s="32"/>
      <c r="AE358" s="41"/>
    </row>
    <row r="359" spans="1:31" s="30" customFormat="1" x14ac:dyDescent="0.25">
      <c r="A359" s="36"/>
      <c r="B359" s="31"/>
      <c r="C359" s="31"/>
      <c r="D359" s="32"/>
      <c r="H359" s="32"/>
      <c r="J359" s="32"/>
      <c r="K359" s="41"/>
      <c r="L359" s="32"/>
      <c r="N359" s="32"/>
      <c r="O359" s="41"/>
      <c r="P359" s="32"/>
      <c r="R359" s="32"/>
      <c r="S359" s="41"/>
      <c r="T359" s="32"/>
      <c r="V359" s="32"/>
      <c r="W359" s="41"/>
      <c r="X359" s="32"/>
      <c r="Z359" s="32"/>
      <c r="AA359" s="41"/>
      <c r="AB359" s="41"/>
      <c r="AD359" s="32"/>
      <c r="AE359" s="41"/>
    </row>
    <row r="360" spans="1:31" s="30" customFormat="1" x14ac:dyDescent="0.25">
      <c r="A360" s="36"/>
      <c r="B360" s="31"/>
      <c r="C360" s="31"/>
      <c r="D360" s="32"/>
      <c r="H360" s="32"/>
      <c r="J360" s="32"/>
      <c r="K360" s="41"/>
      <c r="L360" s="32"/>
      <c r="N360" s="32"/>
      <c r="O360" s="41"/>
      <c r="P360" s="32"/>
      <c r="R360" s="32"/>
      <c r="S360" s="41"/>
      <c r="T360" s="32"/>
      <c r="V360" s="32"/>
      <c r="W360" s="41"/>
      <c r="X360" s="32"/>
      <c r="Z360" s="32"/>
      <c r="AA360" s="41"/>
      <c r="AB360" s="41"/>
      <c r="AD360" s="32"/>
      <c r="AE360" s="41"/>
    </row>
    <row r="361" spans="1:31" s="30" customFormat="1" x14ac:dyDescent="0.25">
      <c r="A361" s="36"/>
      <c r="B361" s="31"/>
      <c r="C361" s="31"/>
      <c r="D361" s="32"/>
      <c r="H361" s="32"/>
      <c r="J361" s="32"/>
      <c r="K361" s="41"/>
      <c r="L361" s="32"/>
      <c r="N361" s="32"/>
      <c r="O361" s="41"/>
      <c r="P361" s="32"/>
      <c r="R361" s="32"/>
      <c r="S361" s="41"/>
      <c r="T361" s="32"/>
      <c r="V361" s="32"/>
      <c r="W361" s="41"/>
      <c r="X361" s="32"/>
      <c r="Z361" s="32"/>
      <c r="AA361" s="41"/>
      <c r="AB361" s="41"/>
      <c r="AD361" s="32"/>
      <c r="AE361" s="41"/>
    </row>
    <row r="362" spans="1:31" s="30" customFormat="1" x14ac:dyDescent="0.25">
      <c r="A362" s="36"/>
      <c r="B362" s="31"/>
      <c r="C362" s="31"/>
      <c r="D362" s="32"/>
      <c r="H362" s="32"/>
      <c r="J362" s="32"/>
      <c r="K362" s="41"/>
      <c r="L362" s="32"/>
      <c r="N362" s="32"/>
      <c r="O362" s="41"/>
      <c r="P362" s="32"/>
      <c r="R362" s="32"/>
      <c r="S362" s="41"/>
      <c r="T362" s="32"/>
      <c r="V362" s="32"/>
      <c r="W362" s="41"/>
      <c r="X362" s="32"/>
      <c r="Z362" s="32"/>
      <c r="AA362" s="41"/>
      <c r="AB362" s="41"/>
      <c r="AD362" s="32"/>
      <c r="AE362" s="41"/>
    </row>
    <row r="363" spans="1:31" s="30" customFormat="1" x14ac:dyDescent="0.25">
      <c r="A363" s="36"/>
      <c r="B363" s="31"/>
      <c r="C363" s="31"/>
      <c r="D363" s="32"/>
      <c r="H363" s="32"/>
      <c r="J363" s="32"/>
      <c r="K363" s="41"/>
      <c r="L363" s="32"/>
      <c r="N363" s="32"/>
      <c r="O363" s="41"/>
      <c r="P363" s="32"/>
      <c r="R363" s="32"/>
      <c r="S363" s="41"/>
      <c r="T363" s="32"/>
      <c r="V363" s="32"/>
      <c r="W363" s="41"/>
      <c r="X363" s="32"/>
      <c r="Z363" s="32"/>
      <c r="AA363" s="41"/>
      <c r="AB363" s="41"/>
      <c r="AD363" s="32"/>
      <c r="AE363" s="41"/>
    </row>
    <row r="364" spans="1:31" s="30" customFormat="1" x14ac:dyDescent="0.25">
      <c r="A364" s="36"/>
      <c r="B364" s="31"/>
      <c r="C364" s="31"/>
      <c r="D364" s="32"/>
      <c r="H364" s="32"/>
      <c r="J364" s="32"/>
      <c r="K364" s="41"/>
      <c r="L364" s="32"/>
      <c r="N364" s="32"/>
      <c r="O364" s="41"/>
      <c r="P364" s="32"/>
      <c r="R364" s="32"/>
      <c r="S364" s="41"/>
      <c r="T364" s="32"/>
      <c r="V364" s="32"/>
      <c r="W364" s="41"/>
      <c r="X364" s="32"/>
      <c r="Z364" s="32"/>
      <c r="AA364" s="41"/>
      <c r="AB364" s="41"/>
      <c r="AD364" s="32"/>
      <c r="AE364" s="41"/>
    </row>
    <row r="365" spans="1:31" s="30" customFormat="1" x14ac:dyDescent="0.25">
      <c r="A365" s="36"/>
      <c r="B365" s="31"/>
      <c r="C365" s="31"/>
      <c r="D365" s="32"/>
      <c r="H365" s="32"/>
      <c r="J365" s="32"/>
      <c r="K365" s="41"/>
      <c r="L365" s="32"/>
      <c r="N365" s="32"/>
      <c r="O365" s="41"/>
      <c r="P365" s="32"/>
      <c r="R365" s="32"/>
      <c r="S365" s="41"/>
      <c r="T365" s="32"/>
      <c r="V365" s="32"/>
      <c r="W365" s="41"/>
      <c r="X365" s="32"/>
      <c r="Z365" s="32"/>
      <c r="AA365" s="41"/>
      <c r="AB365" s="41"/>
      <c r="AD365" s="32"/>
      <c r="AE365" s="41"/>
    </row>
    <row r="366" spans="1:31" s="30" customFormat="1" x14ac:dyDescent="0.25">
      <c r="A366" s="36"/>
      <c r="B366" s="31"/>
      <c r="C366" s="31"/>
      <c r="D366" s="32"/>
      <c r="H366" s="32"/>
      <c r="J366" s="32"/>
      <c r="K366" s="41"/>
      <c r="L366" s="32"/>
      <c r="N366" s="32"/>
      <c r="O366" s="41"/>
      <c r="P366" s="32"/>
      <c r="R366" s="32"/>
      <c r="S366" s="41"/>
      <c r="T366" s="32"/>
      <c r="V366" s="32"/>
      <c r="W366" s="41"/>
      <c r="X366" s="32"/>
      <c r="Z366" s="32"/>
      <c r="AA366" s="41"/>
      <c r="AB366" s="41"/>
      <c r="AD366" s="32"/>
      <c r="AE366" s="41"/>
    </row>
    <row r="367" spans="1:31" s="30" customFormat="1" x14ac:dyDescent="0.25">
      <c r="A367" s="36"/>
      <c r="B367" s="31"/>
      <c r="C367" s="31"/>
      <c r="D367" s="32"/>
      <c r="H367" s="32"/>
      <c r="J367" s="32"/>
      <c r="K367" s="41"/>
      <c r="L367" s="32"/>
      <c r="N367" s="32"/>
      <c r="O367" s="41"/>
      <c r="P367" s="32"/>
      <c r="R367" s="32"/>
      <c r="S367" s="41"/>
      <c r="T367" s="32"/>
      <c r="V367" s="32"/>
      <c r="W367" s="41"/>
      <c r="X367" s="32"/>
      <c r="Z367" s="32"/>
      <c r="AA367" s="41"/>
      <c r="AB367" s="41"/>
      <c r="AD367" s="32"/>
      <c r="AE367" s="41"/>
    </row>
    <row r="368" spans="1:31" s="30" customFormat="1" x14ac:dyDescent="0.25">
      <c r="A368" s="36"/>
      <c r="B368" s="31"/>
      <c r="C368" s="31"/>
      <c r="D368" s="32"/>
      <c r="H368" s="32"/>
      <c r="J368" s="32"/>
      <c r="K368" s="41"/>
      <c r="L368" s="32"/>
      <c r="N368" s="32"/>
      <c r="O368" s="41"/>
      <c r="P368" s="32"/>
      <c r="R368" s="32"/>
      <c r="S368" s="41"/>
      <c r="T368" s="32"/>
      <c r="V368" s="32"/>
      <c r="W368" s="41"/>
      <c r="X368" s="32"/>
      <c r="Z368" s="32"/>
      <c r="AA368" s="41"/>
      <c r="AB368" s="41"/>
      <c r="AD368" s="32"/>
      <c r="AE368" s="41"/>
    </row>
    <row r="369" spans="1:31" s="30" customFormat="1" x14ac:dyDescent="0.25">
      <c r="A369" s="36"/>
      <c r="B369" s="31"/>
      <c r="C369" s="31"/>
      <c r="D369" s="32"/>
      <c r="H369" s="32"/>
      <c r="J369" s="32"/>
      <c r="K369" s="41"/>
      <c r="L369" s="32"/>
      <c r="N369" s="32"/>
      <c r="O369" s="41"/>
      <c r="P369" s="32"/>
      <c r="R369" s="32"/>
      <c r="S369" s="41"/>
      <c r="T369" s="32"/>
      <c r="V369" s="32"/>
      <c r="W369" s="41"/>
      <c r="X369" s="32"/>
      <c r="Z369" s="32"/>
      <c r="AA369" s="41"/>
      <c r="AB369" s="41"/>
      <c r="AD369" s="32"/>
      <c r="AE369" s="41"/>
    </row>
    <row r="370" spans="1:31" s="30" customFormat="1" x14ac:dyDescent="0.25">
      <c r="A370" s="36"/>
      <c r="B370" s="31"/>
      <c r="C370" s="31"/>
      <c r="D370" s="32"/>
      <c r="H370" s="32"/>
      <c r="J370" s="32"/>
      <c r="K370" s="41"/>
      <c r="L370" s="32"/>
      <c r="N370" s="32"/>
      <c r="O370" s="41"/>
      <c r="P370" s="32"/>
      <c r="R370" s="32"/>
      <c r="S370" s="41"/>
      <c r="T370" s="32"/>
      <c r="V370" s="32"/>
      <c r="W370" s="41"/>
      <c r="X370" s="32"/>
      <c r="Z370" s="32"/>
      <c r="AA370" s="41"/>
      <c r="AB370" s="41"/>
      <c r="AD370" s="32"/>
      <c r="AE370" s="41"/>
    </row>
    <row r="371" spans="1:31" s="30" customFormat="1" x14ac:dyDescent="0.25">
      <c r="A371" s="36"/>
      <c r="B371" s="31"/>
      <c r="C371" s="31"/>
      <c r="D371" s="32"/>
      <c r="H371" s="32"/>
      <c r="J371" s="32"/>
      <c r="K371" s="41"/>
      <c r="L371" s="32"/>
      <c r="N371" s="32"/>
      <c r="O371" s="41"/>
      <c r="P371" s="32"/>
      <c r="R371" s="32"/>
      <c r="S371" s="41"/>
      <c r="T371" s="32"/>
      <c r="V371" s="32"/>
      <c r="W371" s="41"/>
      <c r="X371" s="32"/>
      <c r="Z371" s="32"/>
      <c r="AA371" s="41"/>
      <c r="AB371" s="41"/>
      <c r="AD371" s="32"/>
      <c r="AE371" s="41"/>
    </row>
    <row r="372" spans="1:31" s="30" customFormat="1" x14ac:dyDescent="0.25">
      <c r="A372" s="36"/>
      <c r="B372" s="31"/>
      <c r="C372" s="31"/>
      <c r="D372" s="32"/>
      <c r="H372" s="32"/>
      <c r="J372" s="32"/>
      <c r="K372" s="41"/>
      <c r="L372" s="32"/>
      <c r="N372" s="32"/>
      <c r="O372" s="41"/>
      <c r="P372" s="32"/>
      <c r="R372" s="32"/>
      <c r="S372" s="41"/>
      <c r="T372" s="32"/>
      <c r="V372" s="32"/>
      <c r="W372" s="41"/>
      <c r="X372" s="32"/>
      <c r="Z372" s="32"/>
      <c r="AA372" s="41"/>
      <c r="AB372" s="41"/>
      <c r="AD372" s="32"/>
      <c r="AE372" s="41"/>
    </row>
    <row r="373" spans="1:31" s="30" customFormat="1" x14ac:dyDescent="0.25">
      <c r="A373" s="36"/>
      <c r="B373" s="31"/>
      <c r="C373" s="31"/>
      <c r="D373" s="32"/>
      <c r="H373" s="32"/>
      <c r="J373" s="32"/>
      <c r="K373" s="41"/>
      <c r="L373" s="32"/>
      <c r="N373" s="32"/>
      <c r="O373" s="41"/>
      <c r="P373" s="32"/>
      <c r="R373" s="32"/>
      <c r="S373" s="41"/>
      <c r="T373" s="32"/>
      <c r="V373" s="32"/>
      <c r="W373" s="41"/>
      <c r="X373" s="32"/>
      <c r="Z373" s="32"/>
      <c r="AA373" s="41"/>
      <c r="AB373" s="41"/>
      <c r="AD373" s="32"/>
      <c r="AE373" s="41"/>
    </row>
    <row r="374" spans="1:31" s="30" customFormat="1" x14ac:dyDescent="0.25">
      <c r="A374" s="36"/>
      <c r="B374" s="31"/>
      <c r="C374" s="31"/>
      <c r="D374" s="32"/>
      <c r="H374" s="32"/>
      <c r="J374" s="32"/>
      <c r="K374" s="41"/>
      <c r="L374" s="32"/>
      <c r="N374" s="32"/>
      <c r="O374" s="41"/>
      <c r="P374" s="32"/>
      <c r="R374" s="32"/>
      <c r="S374" s="41"/>
      <c r="T374" s="32"/>
      <c r="V374" s="32"/>
      <c r="W374" s="41"/>
      <c r="X374" s="32"/>
      <c r="Z374" s="32"/>
      <c r="AA374" s="41"/>
      <c r="AB374" s="41"/>
      <c r="AD374" s="32"/>
      <c r="AE374" s="41"/>
    </row>
    <row r="375" spans="1:31" s="30" customFormat="1" x14ac:dyDescent="0.25">
      <c r="A375" s="36"/>
      <c r="B375" s="31"/>
      <c r="C375" s="31"/>
      <c r="D375" s="32"/>
      <c r="H375" s="32"/>
      <c r="J375" s="32"/>
      <c r="K375" s="41"/>
      <c r="L375" s="32"/>
      <c r="N375" s="32"/>
      <c r="O375" s="41"/>
      <c r="P375" s="32"/>
      <c r="R375" s="32"/>
      <c r="S375" s="41"/>
      <c r="T375" s="32"/>
      <c r="V375" s="32"/>
      <c r="W375" s="41"/>
      <c r="X375" s="32"/>
      <c r="Z375" s="32"/>
      <c r="AA375" s="41"/>
      <c r="AB375" s="41"/>
      <c r="AD375" s="32"/>
      <c r="AE375" s="41"/>
    </row>
    <row r="376" spans="1:31" s="30" customFormat="1" x14ac:dyDescent="0.25">
      <c r="A376" s="36"/>
      <c r="B376" s="31"/>
      <c r="C376" s="31"/>
      <c r="D376" s="32"/>
      <c r="H376" s="32"/>
      <c r="J376" s="32"/>
      <c r="K376" s="41"/>
      <c r="L376" s="32"/>
      <c r="N376" s="32"/>
      <c r="O376" s="41"/>
      <c r="P376" s="32"/>
      <c r="R376" s="32"/>
      <c r="S376" s="41"/>
      <c r="T376" s="32"/>
      <c r="V376" s="32"/>
      <c r="W376" s="41"/>
      <c r="X376" s="32"/>
      <c r="Z376" s="32"/>
      <c r="AA376" s="41"/>
      <c r="AB376" s="41"/>
      <c r="AD376" s="32"/>
      <c r="AE376" s="41"/>
    </row>
    <row r="377" spans="1:31" s="30" customFormat="1" x14ac:dyDescent="0.25">
      <c r="A377" s="36"/>
      <c r="B377" s="31"/>
      <c r="C377" s="31"/>
      <c r="D377" s="32"/>
      <c r="H377" s="32"/>
      <c r="J377" s="32"/>
      <c r="K377" s="41"/>
      <c r="L377" s="32"/>
      <c r="N377" s="32"/>
      <c r="O377" s="41"/>
      <c r="P377" s="32"/>
      <c r="R377" s="32"/>
      <c r="S377" s="41"/>
      <c r="T377" s="32"/>
      <c r="V377" s="32"/>
      <c r="W377" s="41"/>
      <c r="X377" s="32"/>
      <c r="Z377" s="32"/>
      <c r="AA377" s="41"/>
      <c r="AB377" s="41"/>
      <c r="AD377" s="32"/>
      <c r="AE377" s="41"/>
    </row>
    <row r="378" spans="1:31" s="30" customFormat="1" x14ac:dyDescent="0.25">
      <c r="A378" s="36"/>
      <c r="B378" s="31"/>
      <c r="C378" s="31"/>
      <c r="D378" s="32"/>
      <c r="H378" s="32"/>
      <c r="J378" s="32"/>
      <c r="K378" s="41"/>
      <c r="L378" s="32"/>
      <c r="N378" s="32"/>
      <c r="O378" s="41"/>
      <c r="P378" s="32"/>
      <c r="R378" s="32"/>
      <c r="S378" s="41"/>
      <c r="T378" s="32"/>
      <c r="V378" s="32"/>
      <c r="W378" s="41"/>
      <c r="X378" s="32"/>
      <c r="Z378" s="32"/>
      <c r="AA378" s="41"/>
      <c r="AB378" s="41"/>
      <c r="AD378" s="32"/>
      <c r="AE378" s="41"/>
    </row>
    <row r="379" spans="1:31" s="30" customFormat="1" x14ac:dyDescent="0.25">
      <c r="A379" s="36"/>
      <c r="B379" s="31"/>
      <c r="C379" s="31"/>
      <c r="D379" s="32"/>
      <c r="H379" s="32"/>
      <c r="J379" s="32"/>
      <c r="K379" s="41"/>
      <c r="L379" s="32"/>
      <c r="N379" s="32"/>
      <c r="O379" s="41"/>
      <c r="P379" s="32"/>
      <c r="R379" s="32"/>
      <c r="S379" s="41"/>
      <c r="T379" s="32"/>
      <c r="V379" s="32"/>
      <c r="W379" s="41"/>
      <c r="X379" s="32"/>
      <c r="Z379" s="32"/>
      <c r="AA379" s="41"/>
      <c r="AB379" s="41"/>
      <c r="AD379" s="32"/>
      <c r="AE379" s="41"/>
    </row>
    <row r="380" spans="1:31" s="30" customFormat="1" x14ac:dyDescent="0.25">
      <c r="A380" s="36"/>
      <c r="B380" s="31"/>
      <c r="C380" s="31"/>
      <c r="D380" s="32"/>
      <c r="H380" s="32"/>
      <c r="J380" s="32"/>
      <c r="K380" s="41"/>
      <c r="L380" s="32"/>
      <c r="N380" s="32"/>
      <c r="O380" s="41"/>
      <c r="P380" s="32"/>
      <c r="R380" s="32"/>
      <c r="S380" s="41"/>
      <c r="T380" s="32"/>
      <c r="V380" s="32"/>
      <c r="W380" s="41"/>
      <c r="X380" s="32"/>
      <c r="Z380" s="32"/>
      <c r="AA380" s="41"/>
      <c r="AB380" s="41"/>
      <c r="AD380" s="32"/>
      <c r="AE380" s="41"/>
    </row>
    <row r="381" spans="1:31" s="30" customFormat="1" x14ac:dyDescent="0.25">
      <c r="A381" s="36"/>
      <c r="B381" s="31"/>
      <c r="C381" s="31"/>
      <c r="D381" s="32"/>
      <c r="H381" s="32"/>
      <c r="J381" s="32"/>
      <c r="K381" s="41"/>
      <c r="L381" s="32"/>
      <c r="N381" s="32"/>
      <c r="O381" s="41"/>
      <c r="P381" s="32"/>
      <c r="R381" s="32"/>
      <c r="S381" s="41"/>
      <c r="T381" s="32"/>
      <c r="V381" s="32"/>
      <c r="W381" s="41"/>
      <c r="X381" s="32"/>
      <c r="Z381" s="32"/>
      <c r="AA381" s="41"/>
      <c r="AB381" s="41"/>
      <c r="AD381" s="32"/>
      <c r="AE381" s="41"/>
    </row>
    <row r="382" spans="1:31" s="30" customFormat="1" x14ac:dyDescent="0.25">
      <c r="A382" s="36"/>
      <c r="B382" s="31"/>
      <c r="C382" s="31"/>
      <c r="D382" s="32"/>
      <c r="H382" s="32"/>
      <c r="J382" s="32"/>
      <c r="K382" s="41"/>
      <c r="L382" s="32"/>
      <c r="N382" s="32"/>
      <c r="O382" s="41"/>
      <c r="P382" s="32"/>
      <c r="R382" s="32"/>
      <c r="S382" s="41"/>
      <c r="T382" s="32"/>
      <c r="V382" s="32"/>
      <c r="W382" s="41"/>
      <c r="X382" s="32"/>
      <c r="Z382" s="32"/>
      <c r="AA382" s="41"/>
      <c r="AB382" s="41"/>
      <c r="AD382" s="32"/>
      <c r="AE382" s="41"/>
    </row>
    <row r="383" spans="1:31" s="30" customFormat="1" x14ac:dyDescent="0.25">
      <c r="A383" s="36"/>
      <c r="B383" s="31"/>
      <c r="C383" s="31"/>
      <c r="D383" s="32"/>
      <c r="H383" s="32"/>
      <c r="J383" s="32"/>
      <c r="K383" s="41"/>
      <c r="L383" s="32"/>
      <c r="N383" s="32"/>
      <c r="O383" s="41"/>
      <c r="P383" s="32"/>
      <c r="R383" s="32"/>
      <c r="S383" s="41"/>
      <c r="T383" s="32"/>
      <c r="V383" s="32"/>
      <c r="W383" s="41"/>
      <c r="X383" s="32"/>
      <c r="Z383" s="32"/>
      <c r="AA383" s="41"/>
      <c r="AB383" s="41"/>
      <c r="AD383" s="32"/>
      <c r="AE383" s="41"/>
    </row>
    <row r="384" spans="1:31" s="30" customFormat="1" x14ac:dyDescent="0.25">
      <c r="A384" s="36"/>
      <c r="B384" s="31"/>
      <c r="C384" s="31"/>
      <c r="D384" s="32"/>
      <c r="H384" s="32"/>
      <c r="J384" s="32"/>
      <c r="K384" s="41"/>
      <c r="L384" s="32"/>
      <c r="N384" s="32"/>
      <c r="O384" s="41"/>
      <c r="P384" s="32"/>
      <c r="R384" s="32"/>
      <c r="S384" s="41"/>
      <c r="T384" s="32"/>
      <c r="V384" s="32"/>
      <c r="W384" s="41"/>
      <c r="X384" s="32"/>
      <c r="Z384" s="32"/>
      <c r="AA384" s="41"/>
      <c r="AB384" s="41"/>
      <c r="AD384" s="32"/>
      <c r="AE384" s="41"/>
    </row>
    <row r="385" spans="1:31" s="30" customFormat="1" x14ac:dyDescent="0.25">
      <c r="A385" s="36"/>
      <c r="B385" s="31"/>
      <c r="C385" s="31"/>
      <c r="D385" s="32"/>
      <c r="H385" s="32"/>
      <c r="J385" s="32"/>
      <c r="K385" s="41"/>
      <c r="L385" s="32"/>
      <c r="N385" s="32"/>
      <c r="O385" s="41"/>
      <c r="P385" s="32"/>
      <c r="R385" s="32"/>
      <c r="S385" s="41"/>
      <c r="T385" s="32"/>
      <c r="V385" s="32"/>
      <c r="W385" s="41"/>
      <c r="X385" s="32"/>
      <c r="Z385" s="32"/>
      <c r="AA385" s="41"/>
      <c r="AB385" s="41"/>
      <c r="AD385" s="32"/>
      <c r="AE385" s="41"/>
    </row>
    <row r="386" spans="1:31" s="30" customFormat="1" x14ac:dyDescent="0.25">
      <c r="A386" s="36"/>
      <c r="B386" s="31"/>
      <c r="C386" s="31"/>
      <c r="D386" s="32"/>
      <c r="H386" s="32"/>
      <c r="J386" s="32"/>
      <c r="K386" s="41"/>
      <c r="L386" s="32"/>
      <c r="N386" s="32"/>
      <c r="O386" s="41"/>
      <c r="P386" s="32"/>
      <c r="R386" s="32"/>
      <c r="S386" s="41"/>
      <c r="T386" s="32"/>
      <c r="V386" s="32"/>
      <c r="W386" s="41"/>
      <c r="X386" s="32"/>
      <c r="Z386" s="32"/>
      <c r="AA386" s="41"/>
      <c r="AB386" s="41"/>
      <c r="AD386" s="32"/>
      <c r="AE386" s="41"/>
    </row>
    <row r="387" spans="1:31" s="30" customFormat="1" x14ac:dyDescent="0.25">
      <c r="A387" s="36"/>
      <c r="B387" s="31"/>
      <c r="C387" s="31"/>
      <c r="D387" s="32"/>
      <c r="H387" s="32"/>
      <c r="J387" s="32"/>
      <c r="K387" s="41"/>
      <c r="L387" s="32"/>
      <c r="N387" s="32"/>
      <c r="O387" s="41"/>
      <c r="P387" s="32"/>
      <c r="R387" s="32"/>
      <c r="S387" s="41"/>
      <c r="T387" s="32"/>
      <c r="V387" s="32"/>
      <c r="W387" s="41"/>
      <c r="X387" s="32"/>
      <c r="Z387" s="32"/>
      <c r="AA387" s="41"/>
      <c r="AB387" s="41"/>
      <c r="AD387" s="32"/>
      <c r="AE387" s="41"/>
    </row>
    <row r="388" spans="1:31" s="30" customFormat="1" x14ac:dyDescent="0.25">
      <c r="A388" s="36"/>
      <c r="B388" s="31"/>
      <c r="C388" s="31"/>
      <c r="D388" s="32"/>
      <c r="H388" s="32"/>
      <c r="J388" s="32"/>
      <c r="K388" s="41"/>
      <c r="L388" s="32"/>
      <c r="N388" s="32"/>
      <c r="O388" s="41"/>
      <c r="P388" s="32"/>
      <c r="R388" s="32"/>
      <c r="S388" s="41"/>
      <c r="T388" s="32"/>
      <c r="V388" s="32"/>
      <c r="W388" s="41"/>
      <c r="X388" s="32"/>
      <c r="Z388" s="32"/>
      <c r="AA388" s="41"/>
      <c r="AB388" s="41"/>
      <c r="AD388" s="32"/>
      <c r="AE388" s="41"/>
    </row>
    <row r="389" spans="1:31" s="30" customFormat="1" x14ac:dyDescent="0.25">
      <c r="A389" s="36"/>
      <c r="B389" s="31"/>
      <c r="C389" s="31"/>
      <c r="D389" s="32"/>
      <c r="H389" s="32"/>
      <c r="J389" s="32"/>
      <c r="K389" s="41"/>
      <c r="L389" s="32"/>
      <c r="N389" s="32"/>
      <c r="O389" s="41"/>
      <c r="P389" s="32"/>
      <c r="R389" s="32"/>
      <c r="S389" s="41"/>
      <c r="T389" s="32"/>
      <c r="V389" s="32"/>
      <c r="W389" s="41"/>
      <c r="X389" s="32"/>
      <c r="Z389" s="32"/>
      <c r="AA389" s="41"/>
      <c r="AB389" s="41"/>
      <c r="AD389" s="32"/>
      <c r="AE389" s="41"/>
    </row>
    <row r="390" spans="1:31" s="30" customFormat="1" x14ac:dyDescent="0.25">
      <c r="A390" s="36"/>
      <c r="B390" s="31"/>
      <c r="C390" s="31"/>
      <c r="D390" s="32"/>
      <c r="H390" s="32"/>
      <c r="J390" s="32"/>
      <c r="K390" s="41"/>
      <c r="L390" s="32"/>
      <c r="N390" s="32"/>
      <c r="O390" s="41"/>
      <c r="P390" s="32"/>
      <c r="R390" s="32"/>
      <c r="S390" s="41"/>
      <c r="T390" s="32"/>
      <c r="V390" s="32"/>
      <c r="W390" s="41"/>
      <c r="X390" s="32"/>
      <c r="Z390" s="32"/>
      <c r="AA390" s="41"/>
      <c r="AB390" s="41"/>
      <c r="AD390" s="32"/>
      <c r="AE390" s="41"/>
    </row>
    <row r="391" spans="1:31" s="30" customFormat="1" x14ac:dyDescent="0.25">
      <c r="A391" s="36"/>
      <c r="B391" s="31"/>
      <c r="C391" s="31"/>
      <c r="D391" s="32"/>
      <c r="H391" s="32"/>
      <c r="J391" s="32"/>
      <c r="K391" s="41"/>
      <c r="L391" s="32"/>
      <c r="N391" s="32"/>
      <c r="O391" s="41"/>
      <c r="P391" s="32"/>
      <c r="R391" s="32"/>
      <c r="S391" s="41"/>
      <c r="T391" s="32"/>
      <c r="V391" s="32"/>
      <c r="W391" s="41"/>
      <c r="X391" s="32"/>
      <c r="Z391" s="32"/>
      <c r="AA391" s="41"/>
      <c r="AB391" s="41"/>
      <c r="AD391" s="32"/>
      <c r="AE391" s="41"/>
    </row>
    <row r="392" spans="1:31" s="30" customFormat="1" x14ac:dyDescent="0.25">
      <c r="A392" s="36"/>
      <c r="B392" s="31"/>
      <c r="C392" s="31"/>
      <c r="D392" s="32"/>
      <c r="H392" s="32"/>
      <c r="J392" s="32"/>
      <c r="K392" s="41"/>
      <c r="L392" s="32"/>
      <c r="N392" s="32"/>
      <c r="O392" s="41"/>
      <c r="P392" s="32"/>
      <c r="R392" s="32"/>
      <c r="S392" s="41"/>
      <c r="T392" s="32"/>
      <c r="V392" s="32"/>
      <c r="W392" s="41"/>
      <c r="X392" s="32"/>
      <c r="Z392" s="32"/>
      <c r="AA392" s="41"/>
      <c r="AB392" s="41"/>
      <c r="AD392" s="32"/>
      <c r="AE392" s="41"/>
    </row>
    <row r="393" spans="1:31" s="30" customFormat="1" x14ac:dyDescent="0.25">
      <c r="A393" s="36"/>
      <c r="B393" s="31"/>
      <c r="C393" s="31"/>
      <c r="D393" s="32"/>
      <c r="H393" s="32"/>
      <c r="J393" s="32"/>
      <c r="K393" s="41"/>
      <c r="L393" s="32"/>
      <c r="N393" s="32"/>
      <c r="O393" s="41"/>
      <c r="P393" s="32"/>
      <c r="R393" s="32"/>
      <c r="S393" s="41"/>
      <c r="T393" s="32"/>
      <c r="V393" s="32"/>
      <c r="W393" s="41"/>
      <c r="X393" s="32"/>
      <c r="Z393" s="32"/>
      <c r="AA393" s="41"/>
      <c r="AB393" s="41"/>
      <c r="AD393" s="32"/>
      <c r="AE393" s="41"/>
    </row>
    <row r="394" spans="1:31" s="30" customFormat="1" x14ac:dyDescent="0.25">
      <c r="A394" s="36"/>
      <c r="B394" s="31"/>
      <c r="C394" s="31"/>
      <c r="D394" s="32"/>
      <c r="H394" s="32"/>
      <c r="J394" s="32"/>
      <c r="K394" s="41"/>
      <c r="L394" s="32"/>
      <c r="N394" s="32"/>
      <c r="O394" s="41"/>
      <c r="P394" s="32"/>
      <c r="R394" s="32"/>
      <c r="S394" s="41"/>
      <c r="T394" s="32"/>
      <c r="V394" s="32"/>
      <c r="W394" s="41"/>
      <c r="X394" s="32"/>
      <c r="Z394" s="32"/>
      <c r="AA394" s="41"/>
      <c r="AB394" s="41"/>
      <c r="AD394" s="32"/>
      <c r="AE394" s="41"/>
    </row>
    <row r="395" spans="1:31" s="30" customFormat="1" x14ac:dyDescent="0.25">
      <c r="A395" s="36"/>
      <c r="B395" s="31"/>
      <c r="C395" s="31"/>
      <c r="D395" s="32"/>
      <c r="H395" s="32"/>
      <c r="J395" s="32"/>
      <c r="K395" s="41"/>
      <c r="L395" s="32"/>
      <c r="N395" s="32"/>
      <c r="O395" s="41"/>
      <c r="P395" s="32"/>
      <c r="R395" s="32"/>
      <c r="S395" s="41"/>
      <c r="T395" s="32"/>
      <c r="V395" s="32"/>
      <c r="W395" s="41"/>
      <c r="X395" s="32"/>
      <c r="Z395" s="32"/>
      <c r="AA395" s="41"/>
      <c r="AB395" s="41"/>
      <c r="AD395" s="32"/>
      <c r="AE395" s="41"/>
    </row>
    <row r="396" spans="1:31" s="30" customFormat="1" x14ac:dyDescent="0.25">
      <c r="A396" s="36"/>
      <c r="B396" s="31"/>
      <c r="C396" s="31"/>
      <c r="D396" s="32"/>
      <c r="H396" s="32"/>
      <c r="J396" s="32"/>
      <c r="K396" s="41"/>
      <c r="L396" s="32"/>
      <c r="N396" s="32"/>
      <c r="O396" s="41"/>
      <c r="P396" s="32"/>
      <c r="R396" s="32"/>
      <c r="S396" s="41"/>
      <c r="T396" s="32"/>
      <c r="V396" s="32"/>
      <c r="W396" s="41"/>
      <c r="X396" s="32"/>
      <c r="Z396" s="32"/>
      <c r="AA396" s="41"/>
      <c r="AB396" s="41"/>
      <c r="AD396" s="32"/>
      <c r="AE396" s="41"/>
    </row>
    <row r="397" spans="1:31" s="30" customFormat="1" x14ac:dyDescent="0.25">
      <c r="A397" s="36"/>
      <c r="B397" s="31"/>
      <c r="C397" s="31"/>
      <c r="D397" s="32"/>
      <c r="H397" s="32"/>
      <c r="J397" s="32"/>
      <c r="K397" s="41"/>
      <c r="L397" s="32"/>
      <c r="N397" s="32"/>
      <c r="O397" s="41"/>
      <c r="P397" s="32"/>
      <c r="R397" s="32"/>
      <c r="S397" s="41"/>
      <c r="T397" s="32"/>
      <c r="V397" s="32"/>
      <c r="W397" s="41"/>
      <c r="X397" s="32"/>
      <c r="Z397" s="32"/>
      <c r="AA397" s="41"/>
      <c r="AB397" s="41"/>
      <c r="AD397" s="32"/>
      <c r="AE397" s="41"/>
    </row>
    <row r="398" spans="1:31" s="30" customFormat="1" x14ac:dyDescent="0.25">
      <c r="A398" s="36"/>
      <c r="B398" s="31"/>
      <c r="C398" s="31"/>
      <c r="D398" s="32"/>
      <c r="H398" s="32"/>
      <c r="J398" s="32"/>
      <c r="K398" s="41"/>
      <c r="L398" s="32"/>
      <c r="N398" s="32"/>
      <c r="O398" s="41"/>
      <c r="P398" s="32"/>
      <c r="R398" s="32"/>
      <c r="S398" s="41"/>
      <c r="T398" s="32"/>
      <c r="V398" s="32"/>
      <c r="W398" s="41"/>
      <c r="X398" s="32"/>
      <c r="Z398" s="32"/>
      <c r="AA398" s="41"/>
      <c r="AB398" s="41"/>
      <c r="AD398" s="32"/>
      <c r="AE398" s="41"/>
    </row>
    <row r="399" spans="1:31" s="30" customFormat="1" x14ac:dyDescent="0.25">
      <c r="A399" s="36"/>
      <c r="B399" s="31"/>
      <c r="C399" s="31"/>
      <c r="D399" s="32"/>
      <c r="H399" s="32"/>
      <c r="J399" s="32"/>
      <c r="K399" s="41"/>
      <c r="L399" s="32"/>
      <c r="N399" s="32"/>
      <c r="O399" s="41"/>
      <c r="P399" s="32"/>
      <c r="R399" s="32"/>
      <c r="S399" s="41"/>
      <c r="T399" s="32"/>
      <c r="V399" s="32"/>
      <c r="W399" s="41"/>
      <c r="X399" s="32"/>
      <c r="Z399" s="32"/>
      <c r="AA399" s="41"/>
      <c r="AB399" s="41"/>
      <c r="AD399" s="32"/>
      <c r="AE399" s="41"/>
    </row>
    <row r="400" spans="1:31" s="30" customFormat="1" x14ac:dyDescent="0.25">
      <c r="A400" s="36"/>
      <c r="B400" s="31"/>
      <c r="C400" s="31"/>
      <c r="D400" s="32"/>
      <c r="H400" s="32"/>
      <c r="J400" s="32"/>
      <c r="K400" s="41"/>
      <c r="L400" s="32"/>
      <c r="N400" s="32"/>
      <c r="O400" s="41"/>
      <c r="P400" s="32"/>
      <c r="R400" s="32"/>
      <c r="S400" s="41"/>
      <c r="T400" s="32"/>
      <c r="V400" s="32"/>
      <c r="W400" s="41"/>
      <c r="X400" s="32"/>
      <c r="Z400" s="32"/>
      <c r="AA400" s="41"/>
      <c r="AB400" s="41"/>
      <c r="AD400" s="32"/>
      <c r="AE400" s="41"/>
    </row>
    <row r="401" spans="1:31" s="30" customFormat="1" x14ac:dyDescent="0.25">
      <c r="A401" s="36"/>
      <c r="B401" s="31"/>
      <c r="C401" s="31"/>
      <c r="D401" s="32"/>
      <c r="H401" s="32"/>
      <c r="J401" s="32"/>
      <c r="K401" s="41"/>
      <c r="L401" s="32"/>
      <c r="N401" s="32"/>
      <c r="O401" s="41"/>
      <c r="P401" s="32"/>
      <c r="R401" s="32"/>
      <c r="S401" s="41"/>
      <c r="T401" s="32"/>
      <c r="V401" s="32"/>
      <c r="W401" s="41"/>
      <c r="X401" s="32"/>
      <c r="Z401" s="32"/>
      <c r="AA401" s="41"/>
      <c r="AB401" s="41"/>
      <c r="AD401" s="32"/>
      <c r="AE401" s="41"/>
    </row>
    <row r="402" spans="1:31" s="30" customFormat="1" x14ac:dyDescent="0.25">
      <c r="A402" s="36"/>
      <c r="B402" s="31"/>
      <c r="C402" s="31"/>
      <c r="D402" s="32"/>
      <c r="H402" s="32"/>
      <c r="J402" s="32"/>
      <c r="K402" s="41"/>
      <c r="L402" s="32"/>
      <c r="N402" s="32"/>
      <c r="O402" s="41"/>
      <c r="P402" s="32"/>
      <c r="R402" s="32"/>
      <c r="S402" s="41"/>
      <c r="T402" s="32"/>
      <c r="V402" s="32"/>
      <c r="W402" s="41"/>
      <c r="X402" s="32"/>
      <c r="Z402" s="32"/>
      <c r="AA402" s="41"/>
      <c r="AB402" s="41"/>
      <c r="AD402" s="32"/>
      <c r="AE402" s="41"/>
    </row>
    <row r="403" spans="1:31" s="30" customFormat="1" x14ac:dyDescent="0.25">
      <c r="A403" s="36"/>
      <c r="B403" s="31"/>
      <c r="C403" s="31"/>
      <c r="D403" s="32"/>
      <c r="H403" s="32"/>
      <c r="J403" s="32"/>
      <c r="K403" s="41"/>
      <c r="L403" s="32"/>
      <c r="N403" s="32"/>
      <c r="O403" s="41"/>
      <c r="P403" s="32"/>
      <c r="R403" s="32"/>
      <c r="S403" s="41"/>
      <c r="T403" s="32"/>
      <c r="V403" s="32"/>
      <c r="W403" s="41"/>
      <c r="X403" s="32"/>
      <c r="Z403" s="32"/>
      <c r="AA403" s="41"/>
      <c r="AB403" s="41"/>
      <c r="AD403" s="32"/>
      <c r="AE403" s="41"/>
    </row>
    <row r="404" spans="1:31" s="30" customFormat="1" x14ac:dyDescent="0.25">
      <c r="A404" s="36"/>
      <c r="B404" s="31"/>
      <c r="C404" s="31"/>
      <c r="D404" s="32"/>
      <c r="H404" s="32"/>
      <c r="J404" s="32"/>
      <c r="K404" s="41"/>
      <c r="L404" s="32"/>
      <c r="N404" s="32"/>
      <c r="O404" s="41"/>
      <c r="P404" s="32"/>
      <c r="R404" s="32"/>
      <c r="S404" s="41"/>
      <c r="T404" s="32"/>
      <c r="V404" s="32"/>
      <c r="W404" s="41"/>
      <c r="X404" s="32"/>
      <c r="Z404" s="32"/>
      <c r="AA404" s="41"/>
      <c r="AB404" s="41"/>
      <c r="AD404" s="32"/>
      <c r="AE404" s="41"/>
    </row>
    <row r="405" spans="1:31" s="30" customFormat="1" x14ac:dyDescent="0.25">
      <c r="A405" s="36"/>
      <c r="B405" s="31"/>
      <c r="C405" s="31"/>
      <c r="D405" s="32"/>
      <c r="H405" s="32"/>
      <c r="J405" s="32"/>
      <c r="K405" s="41"/>
      <c r="L405" s="32"/>
      <c r="N405" s="32"/>
      <c r="O405" s="41"/>
      <c r="P405" s="32"/>
      <c r="R405" s="32"/>
      <c r="S405" s="41"/>
      <c r="T405" s="32"/>
      <c r="V405" s="32"/>
      <c r="W405" s="41"/>
      <c r="X405" s="32"/>
      <c r="Z405" s="32"/>
      <c r="AA405" s="41"/>
      <c r="AB405" s="41"/>
      <c r="AD405" s="32"/>
      <c r="AE405" s="41"/>
    </row>
    <row r="406" spans="1:31" s="30" customFormat="1" x14ac:dyDescent="0.25">
      <c r="A406" s="36"/>
      <c r="B406" s="31"/>
      <c r="C406" s="31"/>
      <c r="D406" s="32"/>
      <c r="H406" s="32"/>
      <c r="J406" s="32"/>
      <c r="K406" s="41"/>
      <c r="L406" s="32"/>
      <c r="N406" s="32"/>
      <c r="O406" s="41"/>
      <c r="P406" s="32"/>
      <c r="R406" s="32"/>
      <c r="S406" s="41"/>
      <c r="T406" s="32"/>
      <c r="V406" s="32"/>
      <c r="W406" s="41"/>
      <c r="X406" s="32"/>
      <c r="Z406" s="32"/>
      <c r="AA406" s="41"/>
      <c r="AB406" s="41"/>
      <c r="AD406" s="32"/>
      <c r="AE406" s="41"/>
    </row>
    <row r="407" spans="1:31" s="30" customFormat="1" x14ac:dyDescent="0.25">
      <c r="A407" s="36"/>
      <c r="B407" s="31"/>
      <c r="C407" s="31"/>
      <c r="D407" s="32"/>
      <c r="H407" s="32"/>
      <c r="J407" s="32"/>
      <c r="K407" s="41"/>
      <c r="L407" s="32"/>
      <c r="N407" s="32"/>
      <c r="O407" s="41"/>
      <c r="P407" s="32"/>
      <c r="R407" s="32"/>
      <c r="S407" s="41"/>
      <c r="T407" s="32"/>
      <c r="V407" s="32"/>
      <c r="W407" s="41"/>
      <c r="X407" s="32"/>
      <c r="Z407" s="32"/>
      <c r="AA407" s="41"/>
      <c r="AB407" s="41"/>
      <c r="AD407" s="32"/>
      <c r="AE407" s="41"/>
    </row>
    <row r="408" spans="1:31" s="30" customFormat="1" x14ac:dyDescent="0.25">
      <c r="A408" s="36"/>
      <c r="B408" s="31"/>
      <c r="C408" s="31"/>
      <c r="D408" s="32"/>
      <c r="H408" s="32"/>
      <c r="J408" s="32"/>
      <c r="K408" s="41"/>
      <c r="L408" s="32"/>
      <c r="N408" s="32"/>
      <c r="O408" s="41"/>
      <c r="P408" s="32"/>
      <c r="R408" s="32"/>
      <c r="S408" s="41"/>
      <c r="T408" s="32"/>
      <c r="V408" s="32"/>
      <c r="W408" s="41"/>
      <c r="X408" s="32"/>
      <c r="Z408" s="32"/>
      <c r="AA408" s="41"/>
      <c r="AB408" s="41"/>
      <c r="AD408" s="32"/>
      <c r="AE408" s="41"/>
    </row>
    <row r="409" spans="1:31" s="30" customFormat="1" x14ac:dyDescent="0.25">
      <c r="A409" s="36"/>
      <c r="B409" s="31"/>
      <c r="C409" s="31"/>
      <c r="D409" s="32"/>
      <c r="H409" s="32"/>
      <c r="J409" s="32"/>
      <c r="K409" s="41"/>
      <c r="L409" s="32"/>
      <c r="N409" s="32"/>
      <c r="O409" s="41"/>
      <c r="P409" s="32"/>
      <c r="R409" s="32"/>
      <c r="S409" s="41"/>
      <c r="T409" s="32"/>
      <c r="V409" s="32"/>
      <c r="W409" s="41"/>
      <c r="X409" s="32"/>
      <c r="Z409" s="32"/>
      <c r="AA409" s="41"/>
      <c r="AB409" s="41"/>
      <c r="AD409" s="32"/>
      <c r="AE409" s="41"/>
    </row>
    <row r="410" spans="1:31" s="30" customFormat="1" x14ac:dyDescent="0.25">
      <c r="A410" s="36"/>
      <c r="B410" s="31"/>
      <c r="C410" s="31"/>
      <c r="D410" s="32"/>
      <c r="H410" s="32"/>
      <c r="J410" s="32"/>
      <c r="K410" s="41"/>
      <c r="L410" s="32"/>
      <c r="N410" s="32"/>
      <c r="O410" s="41"/>
      <c r="P410" s="32"/>
      <c r="R410" s="32"/>
      <c r="S410" s="41"/>
      <c r="T410" s="32"/>
      <c r="V410" s="32"/>
      <c r="W410" s="41"/>
      <c r="X410" s="32"/>
      <c r="Z410" s="32"/>
      <c r="AA410" s="41"/>
      <c r="AB410" s="41"/>
      <c r="AD410" s="32"/>
      <c r="AE410" s="41"/>
    </row>
    <row r="411" spans="1:31" s="30" customFormat="1" x14ac:dyDescent="0.25">
      <c r="A411" s="36"/>
      <c r="B411" s="31"/>
      <c r="C411" s="31"/>
      <c r="D411" s="32"/>
      <c r="H411" s="32"/>
      <c r="J411" s="32"/>
      <c r="K411" s="41"/>
      <c r="L411" s="32"/>
      <c r="N411" s="32"/>
      <c r="O411" s="41"/>
      <c r="P411" s="32"/>
      <c r="R411" s="32"/>
      <c r="S411" s="41"/>
      <c r="T411" s="32"/>
      <c r="V411" s="32"/>
      <c r="W411" s="41"/>
      <c r="X411" s="32"/>
      <c r="Z411" s="32"/>
      <c r="AA411" s="41"/>
      <c r="AB411" s="41"/>
      <c r="AD411" s="32"/>
      <c r="AE411" s="41"/>
    </row>
    <row r="412" spans="1:31" s="30" customFormat="1" x14ac:dyDescent="0.25">
      <c r="A412" s="36"/>
      <c r="B412" s="31"/>
      <c r="C412" s="31"/>
      <c r="D412" s="32"/>
      <c r="H412" s="32"/>
      <c r="J412" s="32"/>
      <c r="K412" s="41"/>
      <c r="L412" s="32"/>
      <c r="N412" s="32"/>
      <c r="O412" s="41"/>
      <c r="P412" s="32"/>
      <c r="R412" s="32"/>
      <c r="S412" s="41"/>
      <c r="T412" s="32"/>
      <c r="V412" s="32"/>
      <c r="W412" s="41"/>
      <c r="X412" s="32"/>
      <c r="Z412" s="32"/>
      <c r="AA412" s="41"/>
      <c r="AB412" s="41"/>
      <c r="AD412" s="32"/>
      <c r="AE412" s="41"/>
    </row>
    <row r="413" spans="1:31" s="30" customFormat="1" x14ac:dyDescent="0.25">
      <c r="A413" s="36"/>
      <c r="B413" s="31"/>
      <c r="C413" s="31"/>
      <c r="D413" s="32"/>
      <c r="H413" s="32"/>
      <c r="J413" s="32"/>
      <c r="K413" s="41"/>
      <c r="L413" s="32"/>
      <c r="N413" s="32"/>
      <c r="O413" s="41"/>
      <c r="P413" s="32"/>
      <c r="R413" s="32"/>
      <c r="S413" s="41"/>
      <c r="T413" s="32"/>
      <c r="V413" s="32"/>
      <c r="W413" s="41"/>
      <c r="X413" s="32"/>
      <c r="Z413" s="32"/>
      <c r="AA413" s="41"/>
      <c r="AB413" s="41"/>
      <c r="AD413" s="32"/>
      <c r="AE413" s="41"/>
    </row>
    <row r="414" spans="1:31" s="30" customFormat="1" x14ac:dyDescent="0.25">
      <c r="A414" s="36"/>
      <c r="B414" s="31"/>
      <c r="C414" s="31"/>
      <c r="D414" s="32"/>
      <c r="H414" s="32"/>
      <c r="J414" s="32"/>
      <c r="K414" s="41"/>
      <c r="L414" s="32"/>
      <c r="N414" s="32"/>
      <c r="O414" s="41"/>
      <c r="P414" s="32"/>
      <c r="R414" s="32"/>
      <c r="S414" s="41"/>
      <c r="T414" s="32"/>
      <c r="V414" s="32"/>
      <c r="W414" s="41"/>
      <c r="X414" s="32"/>
      <c r="Z414" s="32"/>
      <c r="AA414" s="41"/>
      <c r="AB414" s="41"/>
      <c r="AD414" s="32"/>
      <c r="AE414" s="41"/>
    </row>
    <row r="415" spans="1:31" s="30" customFormat="1" x14ac:dyDescent="0.25">
      <c r="A415" s="36"/>
      <c r="B415" s="31"/>
      <c r="C415" s="31"/>
      <c r="D415" s="32"/>
      <c r="H415" s="32"/>
      <c r="J415" s="32"/>
      <c r="K415" s="41"/>
      <c r="L415" s="32"/>
      <c r="N415" s="32"/>
      <c r="O415" s="41"/>
      <c r="P415" s="32"/>
      <c r="R415" s="32"/>
      <c r="S415" s="41"/>
      <c r="T415" s="32"/>
      <c r="V415" s="32"/>
      <c r="W415" s="41"/>
      <c r="X415" s="32"/>
      <c r="Z415" s="32"/>
      <c r="AA415" s="41"/>
      <c r="AB415" s="41"/>
      <c r="AD415" s="32"/>
      <c r="AE415" s="41"/>
    </row>
    <row r="416" spans="1:31" s="30" customFormat="1" x14ac:dyDescent="0.25">
      <c r="A416" s="36"/>
      <c r="B416" s="31"/>
      <c r="C416" s="31"/>
      <c r="D416" s="32"/>
      <c r="H416" s="32"/>
      <c r="J416" s="32"/>
      <c r="K416" s="41"/>
      <c r="L416" s="32"/>
      <c r="N416" s="32"/>
      <c r="O416" s="41"/>
      <c r="P416" s="32"/>
      <c r="R416" s="32"/>
      <c r="S416" s="41"/>
      <c r="T416" s="32"/>
      <c r="V416" s="32"/>
      <c r="W416" s="41"/>
      <c r="X416" s="32"/>
      <c r="Z416" s="32"/>
      <c r="AA416" s="41"/>
      <c r="AB416" s="41"/>
      <c r="AD416" s="32"/>
      <c r="AE416" s="41"/>
    </row>
    <row r="417" spans="1:31" s="30" customFormat="1" x14ac:dyDescent="0.25">
      <c r="A417" s="36"/>
      <c r="B417" s="31"/>
      <c r="C417" s="31"/>
      <c r="D417" s="32"/>
      <c r="H417" s="32"/>
      <c r="J417" s="32"/>
      <c r="K417" s="41"/>
      <c r="L417" s="32"/>
      <c r="N417" s="32"/>
      <c r="O417" s="41"/>
      <c r="P417" s="32"/>
      <c r="R417" s="32"/>
      <c r="S417" s="41"/>
      <c r="T417" s="32"/>
      <c r="V417" s="32"/>
      <c r="W417" s="41"/>
      <c r="X417" s="32"/>
      <c r="Z417" s="32"/>
      <c r="AA417" s="41"/>
      <c r="AB417" s="41"/>
      <c r="AD417" s="32"/>
      <c r="AE417" s="41"/>
    </row>
    <row r="418" spans="1:31" s="30" customFormat="1" x14ac:dyDescent="0.25">
      <c r="A418" s="36"/>
      <c r="B418" s="31"/>
      <c r="C418" s="31"/>
      <c r="D418" s="32"/>
      <c r="H418" s="32"/>
      <c r="J418" s="32"/>
      <c r="K418" s="41"/>
      <c r="L418" s="32"/>
      <c r="N418" s="32"/>
      <c r="O418" s="41"/>
      <c r="P418" s="32"/>
      <c r="R418" s="32"/>
      <c r="S418" s="41"/>
      <c r="T418" s="32"/>
      <c r="V418" s="32"/>
      <c r="W418" s="41"/>
      <c r="X418" s="32"/>
      <c r="Z418" s="32"/>
      <c r="AA418" s="41"/>
      <c r="AB418" s="41"/>
      <c r="AD418" s="32"/>
      <c r="AE418" s="41"/>
    </row>
    <row r="419" spans="1:31" s="30" customFormat="1" x14ac:dyDescent="0.25">
      <c r="A419" s="36"/>
      <c r="B419" s="31"/>
      <c r="C419" s="31"/>
      <c r="D419" s="32"/>
      <c r="H419" s="32"/>
      <c r="J419" s="32"/>
      <c r="K419" s="41"/>
      <c r="L419" s="32"/>
      <c r="N419" s="32"/>
      <c r="O419" s="41"/>
      <c r="P419" s="32"/>
      <c r="R419" s="32"/>
      <c r="S419" s="41"/>
      <c r="T419" s="32"/>
      <c r="V419" s="32"/>
      <c r="W419" s="41"/>
      <c r="X419" s="32"/>
      <c r="Z419" s="32"/>
      <c r="AA419" s="41"/>
      <c r="AB419" s="41"/>
      <c r="AD419" s="32"/>
      <c r="AE419" s="41"/>
    </row>
    <row r="420" spans="1:31" s="30" customFormat="1" x14ac:dyDescent="0.25">
      <c r="A420" s="36"/>
      <c r="B420" s="31"/>
      <c r="C420" s="31"/>
      <c r="D420" s="32"/>
      <c r="H420" s="32"/>
      <c r="J420" s="32"/>
      <c r="K420" s="41"/>
      <c r="L420" s="32"/>
      <c r="N420" s="32"/>
      <c r="O420" s="41"/>
      <c r="P420" s="32"/>
      <c r="R420" s="32"/>
      <c r="S420" s="41"/>
      <c r="T420" s="32"/>
      <c r="V420" s="32"/>
      <c r="W420" s="41"/>
      <c r="X420" s="32"/>
      <c r="Z420" s="32"/>
      <c r="AA420" s="41"/>
      <c r="AB420" s="41"/>
      <c r="AD420" s="32"/>
      <c r="AE420" s="41"/>
    </row>
    <row r="421" spans="1:31" s="30" customFormat="1" x14ac:dyDescent="0.25">
      <c r="A421" s="36"/>
      <c r="B421" s="31"/>
      <c r="C421" s="31"/>
      <c r="D421" s="32"/>
      <c r="H421" s="32"/>
      <c r="J421" s="32"/>
      <c r="K421" s="41"/>
      <c r="L421" s="32"/>
      <c r="N421" s="32"/>
      <c r="O421" s="41"/>
      <c r="P421" s="32"/>
      <c r="R421" s="32"/>
      <c r="S421" s="41"/>
      <c r="T421" s="32"/>
      <c r="V421" s="32"/>
      <c r="W421" s="41"/>
      <c r="X421" s="32"/>
      <c r="Z421" s="32"/>
      <c r="AA421" s="41"/>
      <c r="AB421" s="41"/>
      <c r="AD421" s="32"/>
      <c r="AE421" s="41"/>
    </row>
    <row r="422" spans="1:31" s="30" customFormat="1" x14ac:dyDescent="0.25">
      <c r="A422" s="36"/>
      <c r="B422" s="31"/>
      <c r="C422" s="31"/>
      <c r="D422" s="32"/>
      <c r="H422" s="32"/>
      <c r="J422" s="32"/>
      <c r="K422" s="41"/>
      <c r="L422" s="32"/>
      <c r="N422" s="32"/>
      <c r="O422" s="41"/>
      <c r="P422" s="32"/>
      <c r="R422" s="32"/>
      <c r="S422" s="41"/>
      <c r="T422" s="32"/>
      <c r="V422" s="32"/>
      <c r="W422" s="41"/>
      <c r="X422" s="32"/>
      <c r="Z422" s="32"/>
      <c r="AA422" s="41"/>
      <c r="AB422" s="41"/>
      <c r="AD422" s="32"/>
      <c r="AE422" s="41"/>
    </row>
    <row r="423" spans="1:31" s="30" customFormat="1" x14ac:dyDescent="0.25">
      <c r="A423" s="36"/>
      <c r="B423" s="31"/>
      <c r="C423" s="31"/>
      <c r="D423" s="32"/>
      <c r="H423" s="32"/>
      <c r="J423" s="32"/>
      <c r="K423" s="41"/>
      <c r="L423" s="32"/>
      <c r="N423" s="32"/>
      <c r="O423" s="41"/>
      <c r="P423" s="32"/>
      <c r="R423" s="32"/>
      <c r="S423" s="41"/>
      <c r="T423" s="32"/>
      <c r="V423" s="32"/>
      <c r="W423" s="41"/>
      <c r="X423" s="32"/>
      <c r="Z423" s="32"/>
      <c r="AA423" s="41"/>
      <c r="AB423" s="41"/>
      <c r="AD423" s="32"/>
      <c r="AE423" s="41"/>
    </row>
    <row r="424" spans="1:31" s="30" customFormat="1" x14ac:dyDescent="0.25">
      <c r="A424" s="36"/>
      <c r="B424" s="31"/>
      <c r="C424" s="31"/>
      <c r="D424" s="32"/>
      <c r="H424" s="32"/>
      <c r="J424" s="32"/>
      <c r="K424" s="41"/>
      <c r="L424" s="32"/>
      <c r="N424" s="32"/>
      <c r="O424" s="41"/>
      <c r="P424" s="32"/>
      <c r="R424" s="32"/>
      <c r="S424" s="41"/>
      <c r="T424" s="32"/>
      <c r="V424" s="32"/>
      <c r="W424" s="41"/>
      <c r="X424" s="32"/>
      <c r="Z424" s="32"/>
      <c r="AA424" s="41"/>
      <c r="AB424" s="41"/>
      <c r="AD424" s="32"/>
      <c r="AE424" s="41"/>
    </row>
    <row r="425" spans="1:31" s="30" customFormat="1" x14ac:dyDescent="0.25">
      <c r="A425" s="36"/>
      <c r="B425" s="31"/>
      <c r="C425" s="31"/>
      <c r="D425" s="32"/>
      <c r="H425" s="32"/>
      <c r="J425" s="32"/>
      <c r="K425" s="41"/>
      <c r="L425" s="32"/>
      <c r="N425" s="32"/>
      <c r="O425" s="41"/>
      <c r="P425" s="32"/>
      <c r="R425" s="32"/>
      <c r="S425" s="41"/>
      <c r="T425" s="32"/>
      <c r="V425" s="32"/>
      <c r="W425" s="41"/>
      <c r="X425" s="32"/>
      <c r="Z425" s="32"/>
      <c r="AA425" s="41"/>
      <c r="AB425" s="41"/>
      <c r="AD425" s="32"/>
      <c r="AE425" s="41"/>
    </row>
    <row r="426" spans="1:31" s="30" customFormat="1" x14ac:dyDescent="0.25">
      <c r="A426" s="36"/>
      <c r="B426" s="31"/>
      <c r="C426" s="31"/>
      <c r="D426" s="32"/>
      <c r="H426" s="32"/>
      <c r="J426" s="32"/>
      <c r="K426" s="41"/>
      <c r="L426" s="32"/>
      <c r="N426" s="32"/>
      <c r="O426" s="41"/>
      <c r="P426" s="32"/>
      <c r="R426" s="32"/>
      <c r="S426" s="41"/>
      <c r="T426" s="32"/>
      <c r="V426" s="32"/>
      <c r="W426" s="41"/>
      <c r="X426" s="32"/>
      <c r="Z426" s="32"/>
      <c r="AA426" s="41"/>
      <c r="AB426" s="41"/>
      <c r="AD426" s="32"/>
      <c r="AE426" s="41"/>
    </row>
    <row r="427" spans="1:31" s="30" customFormat="1" x14ac:dyDescent="0.25">
      <c r="A427" s="36"/>
      <c r="B427" s="31"/>
      <c r="C427" s="31"/>
      <c r="D427" s="32"/>
      <c r="H427" s="32"/>
      <c r="J427" s="32"/>
      <c r="K427" s="41"/>
      <c r="L427" s="32"/>
      <c r="N427" s="32"/>
      <c r="O427" s="41"/>
      <c r="P427" s="32"/>
      <c r="R427" s="32"/>
      <c r="S427" s="41"/>
      <c r="T427" s="32"/>
      <c r="V427" s="32"/>
      <c r="W427" s="41"/>
      <c r="X427" s="32"/>
      <c r="Z427" s="32"/>
      <c r="AA427" s="41"/>
      <c r="AB427" s="41"/>
      <c r="AD427" s="32"/>
      <c r="AE427" s="41"/>
    </row>
    <row r="428" spans="1:31" s="30" customFormat="1" x14ac:dyDescent="0.25">
      <c r="A428" s="36"/>
      <c r="B428" s="31"/>
      <c r="C428" s="31"/>
      <c r="D428" s="32"/>
      <c r="H428" s="32"/>
      <c r="J428" s="32"/>
      <c r="K428" s="41"/>
      <c r="L428" s="32"/>
      <c r="N428" s="32"/>
      <c r="O428" s="41"/>
      <c r="P428" s="32"/>
      <c r="R428" s="32"/>
      <c r="S428" s="41"/>
      <c r="T428" s="32"/>
      <c r="V428" s="32"/>
      <c r="W428" s="41"/>
      <c r="X428" s="32"/>
      <c r="Z428" s="32"/>
      <c r="AA428" s="41"/>
      <c r="AB428" s="41"/>
      <c r="AD428" s="32"/>
      <c r="AE428" s="41"/>
    </row>
    <row r="429" spans="1:31" s="30" customFormat="1" x14ac:dyDescent="0.25">
      <c r="A429" s="36"/>
      <c r="B429" s="31"/>
      <c r="C429" s="31"/>
      <c r="D429" s="32"/>
      <c r="H429" s="32"/>
      <c r="J429" s="32"/>
      <c r="K429" s="41"/>
      <c r="L429" s="32"/>
      <c r="N429" s="32"/>
      <c r="O429" s="41"/>
      <c r="P429" s="32"/>
      <c r="R429" s="32"/>
      <c r="S429" s="41"/>
      <c r="T429" s="32"/>
      <c r="V429" s="32"/>
      <c r="W429" s="41"/>
      <c r="X429" s="32"/>
      <c r="Z429" s="32"/>
      <c r="AA429" s="41"/>
      <c r="AB429" s="41"/>
      <c r="AD429" s="32"/>
      <c r="AE429" s="41"/>
    </row>
    <row r="430" spans="1:31" s="30" customFormat="1" x14ac:dyDescent="0.25">
      <c r="A430" s="36"/>
      <c r="B430" s="31"/>
      <c r="C430" s="31"/>
      <c r="D430" s="32"/>
      <c r="H430" s="32"/>
      <c r="J430" s="32"/>
      <c r="K430" s="41"/>
      <c r="L430" s="32"/>
      <c r="N430" s="32"/>
      <c r="O430" s="41"/>
      <c r="P430" s="32"/>
      <c r="R430" s="32"/>
      <c r="S430" s="41"/>
      <c r="T430" s="32"/>
      <c r="V430" s="32"/>
      <c r="W430" s="41"/>
      <c r="X430" s="32"/>
      <c r="Z430" s="32"/>
      <c r="AA430" s="41"/>
      <c r="AB430" s="41"/>
      <c r="AD430" s="32"/>
      <c r="AE430" s="41"/>
    </row>
    <row r="431" spans="1:31" s="30" customFormat="1" x14ac:dyDescent="0.25">
      <c r="A431" s="36"/>
      <c r="B431" s="31"/>
      <c r="C431" s="31"/>
      <c r="D431" s="32"/>
      <c r="H431" s="32"/>
      <c r="J431" s="32"/>
      <c r="K431" s="41"/>
      <c r="L431" s="32"/>
      <c r="N431" s="32"/>
      <c r="O431" s="41"/>
      <c r="P431" s="32"/>
      <c r="R431" s="32"/>
      <c r="S431" s="41"/>
      <c r="T431" s="32"/>
      <c r="V431" s="32"/>
      <c r="W431" s="41"/>
      <c r="X431" s="32"/>
      <c r="Z431" s="32"/>
      <c r="AA431" s="41"/>
      <c r="AB431" s="41"/>
      <c r="AD431" s="32"/>
      <c r="AE431" s="41"/>
    </row>
    <row r="432" spans="1:31" s="30" customFormat="1" x14ac:dyDescent="0.25">
      <c r="A432" s="36"/>
      <c r="B432" s="31"/>
      <c r="C432" s="31"/>
      <c r="D432" s="32"/>
      <c r="H432" s="32"/>
      <c r="J432" s="32"/>
      <c r="K432" s="41"/>
      <c r="L432" s="32"/>
      <c r="N432" s="32"/>
      <c r="O432" s="41"/>
      <c r="P432" s="32"/>
      <c r="R432" s="32"/>
      <c r="S432" s="41"/>
      <c r="T432" s="32"/>
      <c r="V432" s="32"/>
      <c r="W432" s="41"/>
      <c r="X432" s="32"/>
      <c r="Z432" s="32"/>
      <c r="AA432" s="41"/>
      <c r="AB432" s="41"/>
      <c r="AD432" s="32"/>
      <c r="AE432" s="41"/>
    </row>
    <row r="433" spans="1:31" s="30" customFormat="1" x14ac:dyDescent="0.25">
      <c r="A433" s="36"/>
      <c r="B433" s="31"/>
      <c r="C433" s="31"/>
      <c r="D433" s="32"/>
      <c r="H433" s="32"/>
      <c r="J433" s="32"/>
      <c r="K433" s="41"/>
      <c r="L433" s="32"/>
      <c r="N433" s="32"/>
      <c r="O433" s="41"/>
      <c r="P433" s="32"/>
      <c r="R433" s="32"/>
      <c r="S433" s="41"/>
      <c r="T433" s="32"/>
      <c r="V433" s="32"/>
      <c r="W433" s="41"/>
      <c r="X433" s="32"/>
      <c r="Z433" s="32"/>
      <c r="AA433" s="41"/>
      <c r="AB433" s="41"/>
      <c r="AD433" s="32"/>
      <c r="AE433" s="41"/>
    </row>
    <row r="434" spans="1:31" s="30" customFormat="1" x14ac:dyDescent="0.25">
      <c r="A434" s="36"/>
      <c r="B434" s="31"/>
      <c r="C434" s="31"/>
      <c r="D434" s="32"/>
      <c r="H434" s="32"/>
      <c r="J434" s="32"/>
      <c r="K434" s="41"/>
      <c r="L434" s="32"/>
      <c r="N434" s="32"/>
      <c r="O434" s="41"/>
      <c r="P434" s="32"/>
      <c r="R434" s="32"/>
      <c r="S434" s="41"/>
      <c r="T434" s="32"/>
      <c r="V434" s="32"/>
      <c r="W434" s="41"/>
      <c r="X434" s="32"/>
      <c r="Z434" s="32"/>
      <c r="AA434" s="41"/>
      <c r="AB434" s="41"/>
      <c r="AD434" s="32"/>
      <c r="AE434" s="41"/>
    </row>
    <row r="435" spans="1:31" s="30" customFormat="1" x14ac:dyDescent="0.25">
      <c r="A435" s="36"/>
      <c r="B435" s="31"/>
      <c r="C435" s="31"/>
      <c r="D435" s="32"/>
      <c r="H435" s="32"/>
      <c r="J435" s="32"/>
      <c r="K435" s="41"/>
      <c r="L435" s="32"/>
      <c r="N435" s="32"/>
      <c r="O435" s="41"/>
      <c r="P435" s="32"/>
      <c r="R435" s="32"/>
      <c r="S435" s="41"/>
      <c r="T435" s="32"/>
      <c r="V435" s="32"/>
      <c r="W435" s="41"/>
      <c r="X435" s="32"/>
      <c r="Z435" s="32"/>
      <c r="AA435" s="41"/>
      <c r="AB435" s="41"/>
      <c r="AD435" s="32"/>
      <c r="AE435" s="41"/>
    </row>
    <row r="436" spans="1:31" s="30" customFormat="1" x14ac:dyDescent="0.25">
      <c r="A436" s="36"/>
      <c r="B436" s="31"/>
      <c r="C436" s="31"/>
      <c r="D436" s="32"/>
      <c r="H436" s="32"/>
      <c r="J436" s="32"/>
      <c r="K436" s="41"/>
      <c r="L436" s="32"/>
      <c r="N436" s="32"/>
      <c r="O436" s="41"/>
      <c r="P436" s="32"/>
      <c r="R436" s="32"/>
      <c r="S436" s="41"/>
      <c r="T436" s="32"/>
      <c r="V436" s="32"/>
      <c r="W436" s="41"/>
      <c r="X436" s="32"/>
      <c r="Z436" s="32"/>
      <c r="AA436" s="41"/>
      <c r="AB436" s="41"/>
      <c r="AD436" s="32"/>
      <c r="AE436" s="41"/>
    </row>
    <row r="437" spans="1:31" s="30" customFormat="1" x14ac:dyDescent="0.25">
      <c r="A437" s="36"/>
      <c r="B437" s="31"/>
      <c r="C437" s="31"/>
      <c r="D437" s="32"/>
      <c r="H437" s="32"/>
      <c r="J437" s="32"/>
      <c r="K437" s="41"/>
      <c r="L437" s="32"/>
      <c r="N437" s="32"/>
      <c r="O437" s="41"/>
      <c r="P437" s="32"/>
      <c r="R437" s="32"/>
      <c r="S437" s="41"/>
      <c r="T437" s="32"/>
      <c r="V437" s="32"/>
      <c r="W437" s="41"/>
      <c r="X437" s="32"/>
      <c r="Z437" s="32"/>
      <c r="AA437" s="41"/>
      <c r="AB437" s="41"/>
      <c r="AD437" s="32"/>
      <c r="AE437" s="41"/>
    </row>
    <row r="438" spans="1:31" s="30" customFormat="1" x14ac:dyDescent="0.25">
      <c r="A438" s="36"/>
      <c r="B438" s="31"/>
      <c r="C438" s="31"/>
      <c r="D438" s="32"/>
      <c r="H438" s="32"/>
      <c r="J438" s="32"/>
      <c r="K438" s="41"/>
      <c r="L438" s="32"/>
      <c r="N438" s="32"/>
      <c r="O438" s="41"/>
      <c r="P438" s="32"/>
      <c r="R438" s="32"/>
      <c r="S438" s="41"/>
      <c r="T438" s="32"/>
      <c r="V438" s="32"/>
      <c r="W438" s="41"/>
      <c r="X438" s="32"/>
      <c r="Z438" s="32"/>
      <c r="AA438" s="41"/>
      <c r="AB438" s="41"/>
      <c r="AD438" s="32"/>
      <c r="AE438" s="41"/>
    </row>
    <row r="439" spans="1:31" s="30" customFormat="1" x14ac:dyDescent="0.25">
      <c r="A439" s="36"/>
      <c r="B439" s="31"/>
      <c r="C439" s="31"/>
      <c r="D439" s="32"/>
      <c r="H439" s="32"/>
      <c r="J439" s="32"/>
      <c r="K439" s="41"/>
      <c r="L439" s="32"/>
      <c r="N439" s="32"/>
      <c r="O439" s="41"/>
      <c r="P439" s="32"/>
      <c r="R439" s="32"/>
      <c r="S439" s="41"/>
      <c r="T439" s="32"/>
      <c r="V439" s="32"/>
      <c r="W439" s="41"/>
      <c r="X439" s="32"/>
      <c r="Z439" s="32"/>
      <c r="AA439" s="41"/>
      <c r="AB439" s="41"/>
      <c r="AD439" s="32"/>
      <c r="AE439" s="41"/>
    </row>
    <row r="440" spans="1:31" s="30" customFormat="1" x14ac:dyDescent="0.25">
      <c r="A440" s="36"/>
      <c r="B440" s="31"/>
      <c r="C440" s="31"/>
      <c r="D440" s="32"/>
      <c r="H440" s="32"/>
      <c r="J440" s="32"/>
      <c r="K440" s="41"/>
      <c r="L440" s="32"/>
      <c r="N440" s="32"/>
      <c r="O440" s="41"/>
      <c r="P440" s="32"/>
      <c r="R440" s="32"/>
      <c r="S440" s="41"/>
      <c r="T440" s="32"/>
      <c r="V440" s="32"/>
      <c r="W440" s="41"/>
      <c r="X440" s="32"/>
      <c r="Z440" s="32"/>
      <c r="AA440" s="41"/>
      <c r="AB440" s="41"/>
      <c r="AD440" s="32"/>
      <c r="AE440" s="41"/>
    </row>
    <row r="441" spans="1:31" s="30" customFormat="1" x14ac:dyDescent="0.25">
      <c r="A441" s="36"/>
      <c r="B441" s="31"/>
      <c r="C441" s="31"/>
      <c r="D441" s="32"/>
      <c r="H441" s="32"/>
      <c r="J441" s="32"/>
      <c r="K441" s="41"/>
      <c r="L441" s="32"/>
      <c r="N441" s="32"/>
      <c r="O441" s="41"/>
      <c r="P441" s="32"/>
      <c r="R441" s="32"/>
      <c r="S441" s="41"/>
      <c r="T441" s="32"/>
      <c r="V441" s="32"/>
      <c r="W441" s="41"/>
      <c r="X441" s="32"/>
      <c r="Z441" s="32"/>
      <c r="AA441" s="41"/>
      <c r="AB441" s="41"/>
      <c r="AD441" s="32"/>
      <c r="AE441" s="41"/>
    </row>
    <row r="442" spans="1:31" s="30" customFormat="1" x14ac:dyDescent="0.25">
      <c r="A442" s="36"/>
      <c r="B442" s="31"/>
      <c r="C442" s="31"/>
      <c r="D442" s="32"/>
      <c r="H442" s="32"/>
      <c r="J442" s="32"/>
      <c r="K442" s="41"/>
      <c r="L442" s="32"/>
      <c r="N442" s="32"/>
      <c r="O442" s="41"/>
      <c r="P442" s="32"/>
      <c r="R442" s="32"/>
      <c r="S442" s="41"/>
      <c r="T442" s="32"/>
      <c r="V442" s="32"/>
      <c r="W442" s="41"/>
      <c r="X442" s="32"/>
      <c r="Z442" s="32"/>
      <c r="AA442" s="41"/>
      <c r="AB442" s="41"/>
      <c r="AD442" s="32"/>
      <c r="AE442" s="41"/>
    </row>
    <row r="443" spans="1:31" s="30" customFormat="1" x14ac:dyDescent="0.25">
      <c r="A443" s="36"/>
      <c r="B443" s="31"/>
      <c r="C443" s="31"/>
      <c r="D443" s="32"/>
      <c r="H443" s="32"/>
      <c r="J443" s="32"/>
      <c r="K443" s="41"/>
      <c r="L443" s="32"/>
      <c r="N443" s="32"/>
      <c r="O443" s="41"/>
      <c r="P443" s="32"/>
      <c r="R443" s="32"/>
      <c r="S443" s="41"/>
      <c r="T443" s="32"/>
      <c r="V443" s="32"/>
      <c r="W443" s="41"/>
      <c r="X443" s="32"/>
      <c r="Z443" s="32"/>
      <c r="AA443" s="41"/>
      <c r="AB443" s="41"/>
      <c r="AD443" s="32"/>
      <c r="AE443" s="41"/>
    </row>
    <row r="444" spans="1:31" s="30" customFormat="1" x14ac:dyDescent="0.25">
      <c r="A444" s="36"/>
      <c r="B444" s="31"/>
      <c r="C444" s="31"/>
      <c r="D444" s="32"/>
      <c r="H444" s="32"/>
      <c r="J444" s="32"/>
      <c r="K444" s="41"/>
      <c r="L444" s="32"/>
      <c r="N444" s="32"/>
      <c r="O444" s="41"/>
      <c r="P444" s="32"/>
      <c r="R444" s="32"/>
      <c r="S444" s="41"/>
      <c r="T444" s="32"/>
      <c r="V444" s="32"/>
      <c r="W444" s="41"/>
      <c r="X444" s="32"/>
      <c r="Z444" s="32"/>
      <c r="AA444" s="41"/>
      <c r="AB444" s="41"/>
      <c r="AD444" s="32"/>
      <c r="AE444" s="41"/>
    </row>
    <row r="445" spans="1:31" s="30" customFormat="1" x14ac:dyDescent="0.25">
      <c r="A445" s="36"/>
      <c r="B445" s="31"/>
      <c r="C445" s="31"/>
      <c r="D445" s="32"/>
      <c r="H445" s="32"/>
      <c r="J445" s="32"/>
      <c r="K445" s="41"/>
      <c r="L445" s="32"/>
      <c r="N445" s="32"/>
      <c r="O445" s="41"/>
      <c r="P445" s="32"/>
      <c r="R445" s="32"/>
      <c r="S445" s="41"/>
      <c r="T445" s="32"/>
      <c r="V445" s="32"/>
      <c r="W445" s="41"/>
      <c r="X445" s="32"/>
      <c r="Z445" s="32"/>
      <c r="AA445" s="41"/>
      <c r="AB445" s="41"/>
      <c r="AD445" s="32"/>
      <c r="AE445" s="41"/>
    </row>
    <row r="446" spans="1:31" s="30" customFormat="1" x14ac:dyDescent="0.25">
      <c r="A446" s="36"/>
      <c r="B446" s="31"/>
      <c r="C446" s="31"/>
      <c r="D446" s="32"/>
      <c r="H446" s="32"/>
      <c r="J446" s="32"/>
      <c r="K446" s="41"/>
      <c r="L446" s="32"/>
      <c r="N446" s="32"/>
      <c r="O446" s="41"/>
      <c r="P446" s="32"/>
      <c r="R446" s="32"/>
      <c r="S446" s="41"/>
      <c r="T446" s="32"/>
      <c r="V446" s="32"/>
      <c r="W446" s="41"/>
      <c r="X446" s="32"/>
      <c r="Z446" s="32"/>
      <c r="AA446" s="41"/>
      <c r="AB446" s="41"/>
      <c r="AD446" s="32"/>
      <c r="AE446" s="41"/>
    </row>
    <row r="447" spans="1:31" s="30" customFormat="1" x14ac:dyDescent="0.25">
      <c r="A447" s="36"/>
      <c r="B447" s="31"/>
      <c r="C447" s="31"/>
      <c r="D447" s="32"/>
      <c r="H447" s="32"/>
      <c r="J447" s="32"/>
      <c r="K447" s="41"/>
      <c r="L447" s="32"/>
      <c r="N447" s="32"/>
      <c r="O447" s="41"/>
      <c r="P447" s="32"/>
      <c r="R447" s="32"/>
      <c r="S447" s="41"/>
      <c r="T447" s="32"/>
      <c r="V447" s="32"/>
      <c r="W447" s="41"/>
      <c r="X447" s="32"/>
      <c r="Z447" s="32"/>
      <c r="AA447" s="41"/>
      <c r="AB447" s="41"/>
      <c r="AD447" s="32"/>
      <c r="AE447" s="41"/>
    </row>
    <row r="448" spans="1:31" s="30" customFormat="1" x14ac:dyDescent="0.25">
      <c r="A448" s="36"/>
      <c r="B448" s="31"/>
      <c r="C448" s="31"/>
      <c r="D448" s="32"/>
      <c r="H448" s="32"/>
      <c r="J448" s="32"/>
      <c r="K448" s="41"/>
      <c r="L448" s="32"/>
      <c r="N448" s="32"/>
      <c r="O448" s="41"/>
      <c r="P448" s="32"/>
      <c r="R448" s="32"/>
      <c r="S448" s="41"/>
      <c r="T448" s="32"/>
      <c r="V448" s="32"/>
      <c r="W448" s="41"/>
      <c r="X448" s="32"/>
      <c r="Z448" s="32"/>
      <c r="AA448" s="41"/>
      <c r="AB448" s="41"/>
      <c r="AD448" s="32"/>
      <c r="AE448" s="41"/>
    </row>
    <row r="449" spans="1:31" s="30" customFormat="1" x14ac:dyDescent="0.25">
      <c r="A449" s="36"/>
      <c r="B449" s="31"/>
      <c r="C449" s="31"/>
      <c r="D449" s="32"/>
      <c r="H449" s="32"/>
      <c r="J449" s="32"/>
      <c r="K449" s="41"/>
      <c r="L449" s="32"/>
      <c r="N449" s="32"/>
      <c r="O449" s="41"/>
      <c r="P449" s="32"/>
      <c r="R449" s="32"/>
      <c r="S449" s="41"/>
      <c r="T449" s="32"/>
      <c r="V449" s="32"/>
      <c r="W449" s="41"/>
      <c r="X449" s="32"/>
      <c r="Z449" s="32"/>
      <c r="AA449" s="41"/>
      <c r="AB449" s="41"/>
      <c r="AD449" s="32"/>
      <c r="AE449" s="41"/>
    </row>
    <row r="450" spans="1:31" s="30" customFormat="1" x14ac:dyDescent="0.25">
      <c r="A450" s="36"/>
      <c r="B450" s="31"/>
      <c r="C450" s="31"/>
      <c r="D450" s="32"/>
      <c r="H450" s="32"/>
      <c r="J450" s="32"/>
      <c r="K450" s="41"/>
      <c r="L450" s="32"/>
      <c r="N450" s="32"/>
      <c r="O450" s="41"/>
      <c r="P450" s="32"/>
      <c r="R450" s="32"/>
      <c r="S450" s="41"/>
      <c r="T450" s="32"/>
      <c r="V450" s="32"/>
      <c r="W450" s="41"/>
      <c r="X450" s="32"/>
      <c r="Z450" s="32"/>
      <c r="AA450" s="41"/>
      <c r="AB450" s="41"/>
      <c r="AD450" s="32"/>
      <c r="AE450" s="41"/>
    </row>
    <row r="451" spans="1:31" s="30" customFormat="1" x14ac:dyDescent="0.25">
      <c r="A451" s="36"/>
      <c r="B451" s="31"/>
      <c r="C451" s="31"/>
      <c r="D451" s="32"/>
      <c r="H451" s="32"/>
      <c r="J451" s="32"/>
      <c r="K451" s="41"/>
      <c r="L451" s="32"/>
      <c r="N451" s="32"/>
      <c r="O451" s="41"/>
      <c r="P451" s="32"/>
      <c r="R451" s="32"/>
      <c r="S451" s="41"/>
      <c r="T451" s="32"/>
      <c r="V451" s="32"/>
      <c r="W451" s="41"/>
      <c r="X451" s="32"/>
      <c r="Z451" s="32"/>
      <c r="AA451" s="41"/>
      <c r="AB451" s="41"/>
      <c r="AD451" s="32"/>
      <c r="AE451" s="41"/>
    </row>
    <row r="452" spans="1:31" s="30" customFormat="1" x14ac:dyDescent="0.25">
      <c r="A452" s="36"/>
      <c r="B452" s="31"/>
      <c r="C452" s="31"/>
      <c r="D452" s="32"/>
      <c r="H452" s="32"/>
      <c r="J452" s="32"/>
      <c r="K452" s="41"/>
      <c r="L452" s="32"/>
      <c r="N452" s="32"/>
      <c r="O452" s="41"/>
      <c r="P452" s="32"/>
      <c r="R452" s="32"/>
      <c r="S452" s="41"/>
      <c r="T452" s="32"/>
      <c r="V452" s="32"/>
      <c r="W452" s="41"/>
      <c r="X452" s="32"/>
      <c r="Z452" s="32"/>
      <c r="AA452" s="41"/>
      <c r="AB452" s="41"/>
      <c r="AD452" s="32"/>
      <c r="AE452" s="41"/>
    </row>
    <row r="453" spans="1:31" s="30" customFormat="1" x14ac:dyDescent="0.25">
      <c r="A453" s="36"/>
      <c r="B453" s="31"/>
      <c r="C453" s="31"/>
      <c r="D453" s="32"/>
      <c r="H453" s="32"/>
      <c r="J453" s="32"/>
      <c r="K453" s="41"/>
      <c r="L453" s="32"/>
      <c r="N453" s="32"/>
      <c r="O453" s="41"/>
      <c r="P453" s="32"/>
      <c r="R453" s="32"/>
      <c r="S453" s="41"/>
      <c r="T453" s="32"/>
      <c r="V453" s="32"/>
      <c r="W453" s="41"/>
      <c r="X453" s="32"/>
      <c r="Z453" s="32"/>
      <c r="AA453" s="41"/>
      <c r="AB453" s="41"/>
      <c r="AD453" s="32"/>
      <c r="AE453" s="41"/>
    </row>
    <row r="454" spans="1:31" s="30" customFormat="1" x14ac:dyDescent="0.25">
      <c r="A454" s="36"/>
      <c r="B454" s="31"/>
      <c r="C454" s="31"/>
      <c r="D454" s="32"/>
      <c r="H454" s="32"/>
      <c r="J454" s="32"/>
      <c r="K454" s="41"/>
      <c r="L454" s="32"/>
      <c r="N454" s="32"/>
      <c r="O454" s="41"/>
      <c r="P454" s="32"/>
      <c r="R454" s="32"/>
      <c r="S454" s="41"/>
      <c r="T454" s="32"/>
      <c r="V454" s="32"/>
      <c r="W454" s="41"/>
      <c r="X454" s="32"/>
      <c r="Z454" s="32"/>
      <c r="AA454" s="41"/>
      <c r="AB454" s="41"/>
      <c r="AD454" s="32"/>
      <c r="AE454" s="41"/>
    </row>
    <row r="455" spans="1:31" s="30" customFormat="1" x14ac:dyDescent="0.25">
      <c r="A455" s="36"/>
      <c r="B455" s="31"/>
      <c r="C455" s="31"/>
      <c r="D455" s="32"/>
      <c r="H455" s="32"/>
      <c r="J455" s="32"/>
      <c r="K455" s="41"/>
      <c r="L455" s="32"/>
      <c r="N455" s="32"/>
      <c r="O455" s="41"/>
      <c r="P455" s="32"/>
      <c r="R455" s="32"/>
      <c r="S455" s="41"/>
      <c r="T455" s="32"/>
      <c r="V455" s="32"/>
      <c r="W455" s="41"/>
      <c r="X455" s="32"/>
      <c r="Z455" s="32"/>
      <c r="AA455" s="41"/>
      <c r="AB455" s="41"/>
      <c r="AD455" s="32"/>
      <c r="AE455" s="41"/>
    </row>
    <row r="456" spans="1:31" s="30" customFormat="1" x14ac:dyDescent="0.25">
      <c r="A456" s="36"/>
      <c r="B456" s="31"/>
      <c r="C456" s="31"/>
      <c r="D456" s="32"/>
      <c r="H456" s="32"/>
      <c r="J456" s="32"/>
      <c r="K456" s="41"/>
      <c r="L456" s="32"/>
      <c r="N456" s="32"/>
      <c r="O456" s="41"/>
      <c r="P456" s="32"/>
      <c r="R456" s="32"/>
      <c r="S456" s="41"/>
      <c r="T456" s="32"/>
      <c r="V456" s="32"/>
      <c r="W456" s="41"/>
      <c r="X456" s="32"/>
      <c r="Z456" s="32"/>
      <c r="AA456" s="41"/>
      <c r="AB456" s="41"/>
      <c r="AD456" s="32"/>
      <c r="AE456" s="41"/>
    </row>
    <row r="457" spans="1:31" s="30" customFormat="1" x14ac:dyDescent="0.25">
      <c r="A457" s="36"/>
      <c r="B457" s="31"/>
      <c r="C457" s="31"/>
      <c r="D457" s="32"/>
      <c r="H457" s="32"/>
      <c r="J457" s="32"/>
      <c r="K457" s="41"/>
      <c r="L457" s="32"/>
      <c r="N457" s="32"/>
      <c r="O457" s="41"/>
      <c r="P457" s="32"/>
      <c r="R457" s="32"/>
      <c r="S457" s="41"/>
      <c r="T457" s="32"/>
      <c r="V457" s="32"/>
      <c r="W457" s="41"/>
      <c r="X457" s="32"/>
      <c r="Z457" s="32"/>
      <c r="AA457" s="41"/>
      <c r="AB457" s="41"/>
      <c r="AD457" s="32"/>
      <c r="AE457" s="41"/>
    </row>
    <row r="458" spans="1:31" s="30" customFormat="1" x14ac:dyDescent="0.25">
      <c r="A458" s="36"/>
      <c r="B458" s="31"/>
      <c r="C458" s="31"/>
      <c r="D458" s="32"/>
      <c r="H458" s="32"/>
      <c r="J458" s="32"/>
      <c r="K458" s="41"/>
      <c r="L458" s="32"/>
      <c r="N458" s="32"/>
      <c r="O458" s="41"/>
      <c r="P458" s="32"/>
      <c r="R458" s="32"/>
      <c r="S458" s="41"/>
      <c r="T458" s="32"/>
      <c r="V458" s="32"/>
      <c r="W458" s="41"/>
      <c r="X458" s="32"/>
      <c r="Z458" s="32"/>
      <c r="AA458" s="41"/>
      <c r="AB458" s="41"/>
      <c r="AD458" s="32"/>
      <c r="AE458" s="41"/>
    </row>
    <row r="459" spans="1:31" s="30" customFormat="1" x14ac:dyDescent="0.25">
      <c r="A459" s="36"/>
      <c r="B459" s="31"/>
      <c r="C459" s="31"/>
      <c r="D459" s="32"/>
      <c r="H459" s="32"/>
      <c r="J459" s="32"/>
      <c r="K459" s="41"/>
      <c r="L459" s="32"/>
      <c r="N459" s="32"/>
      <c r="O459" s="41"/>
      <c r="P459" s="32"/>
      <c r="R459" s="32"/>
      <c r="S459" s="41"/>
      <c r="T459" s="32"/>
      <c r="V459" s="32"/>
      <c r="W459" s="41"/>
      <c r="X459" s="32"/>
      <c r="Z459" s="32"/>
      <c r="AA459" s="41"/>
      <c r="AB459" s="41"/>
      <c r="AD459" s="32"/>
      <c r="AE459" s="41"/>
    </row>
    <row r="460" spans="1:31" s="30" customFormat="1" x14ac:dyDescent="0.25">
      <c r="A460" s="36"/>
      <c r="B460" s="31"/>
      <c r="C460" s="31"/>
      <c r="D460" s="32"/>
      <c r="H460" s="32"/>
      <c r="J460" s="32"/>
      <c r="K460" s="41"/>
      <c r="L460" s="32"/>
      <c r="N460" s="32"/>
      <c r="O460" s="41"/>
      <c r="P460" s="32"/>
      <c r="R460" s="32"/>
      <c r="S460" s="41"/>
      <c r="T460" s="32"/>
      <c r="V460" s="32"/>
      <c r="W460" s="41"/>
      <c r="X460" s="32"/>
      <c r="Z460" s="32"/>
      <c r="AA460" s="41"/>
      <c r="AB460" s="41"/>
      <c r="AD460" s="32"/>
      <c r="AE460" s="41"/>
    </row>
    <row r="461" spans="1:31" s="30" customFormat="1" x14ac:dyDescent="0.25">
      <c r="A461" s="36"/>
      <c r="B461" s="31"/>
      <c r="C461" s="31"/>
      <c r="D461" s="32"/>
      <c r="H461" s="32"/>
      <c r="J461" s="32"/>
      <c r="K461" s="41"/>
      <c r="L461" s="32"/>
      <c r="N461" s="32"/>
      <c r="O461" s="41"/>
      <c r="P461" s="32"/>
      <c r="R461" s="32"/>
      <c r="S461" s="41"/>
      <c r="T461" s="32"/>
      <c r="V461" s="32"/>
      <c r="W461" s="41"/>
      <c r="X461" s="32"/>
      <c r="Z461" s="32"/>
      <c r="AA461" s="41"/>
      <c r="AB461" s="41"/>
      <c r="AD461" s="32"/>
      <c r="AE461" s="41"/>
    </row>
    <row r="462" spans="1:31" s="30" customFormat="1" x14ac:dyDescent="0.25">
      <c r="A462" s="36"/>
      <c r="B462" s="31"/>
      <c r="C462" s="31"/>
      <c r="D462" s="32"/>
      <c r="H462" s="32"/>
      <c r="J462" s="32"/>
      <c r="K462" s="41"/>
      <c r="L462" s="32"/>
      <c r="N462" s="32"/>
      <c r="O462" s="41"/>
      <c r="P462" s="32"/>
      <c r="R462" s="32"/>
      <c r="S462" s="41"/>
      <c r="T462" s="32"/>
      <c r="V462" s="32"/>
      <c r="W462" s="41"/>
      <c r="X462" s="32"/>
      <c r="Z462" s="32"/>
      <c r="AA462" s="41"/>
      <c r="AB462" s="41"/>
      <c r="AD462" s="32"/>
      <c r="AE462" s="41"/>
    </row>
    <row r="463" spans="1:31" s="30" customFormat="1" x14ac:dyDescent="0.25">
      <c r="A463" s="36"/>
      <c r="B463" s="31"/>
      <c r="C463" s="31"/>
      <c r="D463" s="32"/>
      <c r="H463" s="32"/>
      <c r="J463" s="32"/>
      <c r="K463" s="41"/>
      <c r="L463" s="32"/>
      <c r="N463" s="32"/>
      <c r="O463" s="41"/>
      <c r="P463" s="32"/>
      <c r="R463" s="32"/>
      <c r="S463" s="41"/>
      <c r="T463" s="32"/>
      <c r="V463" s="32"/>
      <c r="W463" s="41"/>
      <c r="X463" s="32"/>
      <c r="Z463" s="32"/>
      <c r="AA463" s="41"/>
      <c r="AB463" s="41"/>
      <c r="AD463" s="32"/>
      <c r="AE463" s="41"/>
    </row>
    <row r="464" spans="1:31" s="30" customFormat="1" x14ac:dyDescent="0.25">
      <c r="A464" s="36"/>
      <c r="B464" s="31"/>
      <c r="C464" s="31"/>
      <c r="D464" s="32"/>
      <c r="H464" s="32"/>
      <c r="J464" s="32"/>
      <c r="K464" s="41"/>
      <c r="L464" s="32"/>
      <c r="N464" s="32"/>
      <c r="O464" s="41"/>
      <c r="P464" s="32"/>
      <c r="R464" s="32"/>
      <c r="S464" s="41"/>
      <c r="T464" s="32"/>
      <c r="V464" s="32"/>
      <c r="W464" s="41"/>
      <c r="X464" s="32"/>
      <c r="Z464" s="32"/>
      <c r="AA464" s="41"/>
      <c r="AB464" s="41"/>
      <c r="AD464" s="32"/>
      <c r="AE464" s="41"/>
    </row>
    <row r="465" spans="1:31" s="30" customFormat="1" x14ac:dyDescent="0.25">
      <c r="A465" s="36"/>
      <c r="B465" s="31"/>
      <c r="C465" s="31"/>
      <c r="D465" s="32"/>
      <c r="H465" s="32"/>
      <c r="J465" s="32"/>
      <c r="K465" s="41"/>
      <c r="L465" s="32"/>
      <c r="N465" s="32"/>
      <c r="O465" s="41"/>
      <c r="P465" s="32"/>
      <c r="R465" s="32"/>
      <c r="S465" s="41"/>
      <c r="T465" s="32"/>
      <c r="V465" s="32"/>
      <c r="W465" s="41"/>
      <c r="X465" s="32"/>
      <c r="Z465" s="32"/>
      <c r="AA465" s="41"/>
      <c r="AB465" s="41"/>
      <c r="AD465" s="32"/>
      <c r="AE465" s="41"/>
    </row>
    <row r="466" spans="1:31" s="30" customFormat="1" x14ac:dyDescent="0.25">
      <c r="A466" s="36"/>
      <c r="B466" s="31"/>
      <c r="C466" s="31"/>
      <c r="D466" s="32"/>
      <c r="H466" s="32"/>
      <c r="J466" s="32"/>
      <c r="K466" s="41"/>
      <c r="L466" s="32"/>
      <c r="N466" s="32"/>
      <c r="O466" s="41"/>
      <c r="P466" s="32"/>
      <c r="R466" s="32"/>
      <c r="S466" s="41"/>
      <c r="T466" s="32"/>
      <c r="V466" s="32"/>
      <c r="W466" s="41"/>
      <c r="X466" s="32"/>
      <c r="Z466" s="32"/>
      <c r="AA466" s="41"/>
      <c r="AB466" s="41"/>
      <c r="AD466" s="32"/>
      <c r="AE466" s="41"/>
    </row>
    <row r="467" spans="1:31" s="30" customFormat="1" x14ac:dyDescent="0.25">
      <c r="A467" s="36"/>
      <c r="B467" s="31"/>
      <c r="C467" s="31"/>
      <c r="D467" s="32"/>
      <c r="H467" s="32"/>
      <c r="J467" s="32"/>
      <c r="K467" s="41"/>
      <c r="L467" s="32"/>
      <c r="N467" s="32"/>
      <c r="O467" s="41"/>
      <c r="P467" s="32"/>
      <c r="R467" s="32"/>
      <c r="S467" s="41"/>
      <c r="T467" s="32"/>
      <c r="V467" s="32"/>
      <c r="W467" s="41"/>
      <c r="X467" s="32"/>
      <c r="Z467" s="32"/>
      <c r="AA467" s="41"/>
      <c r="AB467" s="41"/>
      <c r="AD467" s="32"/>
      <c r="AE467" s="41"/>
    </row>
    <row r="468" spans="1:31" s="30" customFormat="1" x14ac:dyDescent="0.25">
      <c r="A468" s="36"/>
      <c r="B468" s="31"/>
      <c r="C468" s="31"/>
      <c r="D468" s="32"/>
      <c r="H468" s="32"/>
      <c r="J468" s="32"/>
      <c r="K468" s="41"/>
      <c r="L468" s="32"/>
      <c r="N468" s="32"/>
      <c r="O468" s="41"/>
      <c r="P468" s="32"/>
      <c r="R468" s="32"/>
      <c r="S468" s="41"/>
      <c r="T468" s="32"/>
      <c r="V468" s="32"/>
      <c r="W468" s="41"/>
      <c r="X468" s="32"/>
      <c r="Z468" s="32"/>
      <c r="AA468" s="41"/>
      <c r="AB468" s="41"/>
      <c r="AD468" s="32"/>
      <c r="AE468" s="41"/>
    </row>
    <row r="469" spans="1:31" s="30" customFormat="1" x14ac:dyDescent="0.25">
      <c r="A469" s="36"/>
      <c r="B469" s="31"/>
      <c r="C469" s="31"/>
      <c r="D469" s="32"/>
      <c r="H469" s="32"/>
      <c r="J469" s="32"/>
      <c r="K469" s="41"/>
      <c r="L469" s="32"/>
      <c r="N469" s="32"/>
      <c r="O469" s="41"/>
      <c r="P469" s="32"/>
      <c r="R469" s="32"/>
      <c r="S469" s="41"/>
      <c r="T469" s="32"/>
      <c r="V469" s="32"/>
      <c r="W469" s="41"/>
      <c r="X469" s="32"/>
      <c r="Z469" s="32"/>
      <c r="AA469" s="41"/>
      <c r="AB469" s="41"/>
      <c r="AD469" s="32"/>
      <c r="AE469" s="41"/>
    </row>
    <row r="470" spans="1:31" s="30" customFormat="1" x14ac:dyDescent="0.25">
      <c r="A470" s="36"/>
      <c r="B470" s="31"/>
      <c r="C470" s="31"/>
      <c r="D470" s="32"/>
      <c r="H470" s="32"/>
      <c r="J470" s="32"/>
      <c r="K470" s="41"/>
      <c r="L470" s="32"/>
      <c r="N470" s="32"/>
      <c r="O470" s="41"/>
      <c r="P470" s="32"/>
      <c r="R470" s="32"/>
      <c r="S470" s="41"/>
      <c r="T470" s="32"/>
      <c r="V470" s="32"/>
      <c r="W470" s="41"/>
      <c r="X470" s="32"/>
      <c r="Z470" s="32"/>
      <c r="AA470" s="41"/>
      <c r="AB470" s="41"/>
      <c r="AD470" s="32"/>
      <c r="AE470" s="41"/>
    </row>
    <row r="471" spans="1:31" s="30" customFormat="1" x14ac:dyDescent="0.25">
      <c r="A471" s="36"/>
      <c r="B471" s="31"/>
      <c r="C471" s="31"/>
      <c r="D471" s="32"/>
      <c r="H471" s="32"/>
      <c r="J471" s="32"/>
      <c r="K471" s="41"/>
      <c r="L471" s="32"/>
      <c r="N471" s="32"/>
      <c r="O471" s="41"/>
      <c r="P471" s="32"/>
      <c r="R471" s="32"/>
      <c r="S471" s="41"/>
      <c r="T471" s="32"/>
      <c r="V471" s="32"/>
      <c r="W471" s="41"/>
      <c r="X471" s="32"/>
      <c r="Z471" s="32"/>
      <c r="AA471" s="41"/>
      <c r="AB471" s="41"/>
      <c r="AD471" s="32"/>
      <c r="AE471" s="41"/>
    </row>
    <row r="472" spans="1:31" s="30" customFormat="1" x14ac:dyDescent="0.25">
      <c r="A472" s="36"/>
      <c r="B472" s="31"/>
      <c r="C472" s="31"/>
      <c r="D472" s="32"/>
      <c r="H472" s="32"/>
      <c r="J472" s="32"/>
      <c r="K472" s="41"/>
      <c r="L472" s="32"/>
      <c r="N472" s="32"/>
      <c r="O472" s="41"/>
      <c r="P472" s="32"/>
      <c r="R472" s="32"/>
      <c r="S472" s="41"/>
      <c r="T472" s="32"/>
      <c r="V472" s="32"/>
      <c r="W472" s="41"/>
      <c r="X472" s="32"/>
      <c r="Z472" s="32"/>
      <c r="AA472" s="41"/>
      <c r="AB472" s="41"/>
      <c r="AD472" s="32"/>
      <c r="AE472" s="41"/>
    </row>
    <row r="473" spans="1:31" s="30" customFormat="1" x14ac:dyDescent="0.25">
      <c r="A473" s="36"/>
      <c r="B473" s="31"/>
      <c r="C473" s="31"/>
      <c r="D473" s="32"/>
      <c r="H473" s="32"/>
      <c r="J473" s="32"/>
      <c r="K473" s="41"/>
      <c r="L473" s="32"/>
      <c r="N473" s="32"/>
      <c r="O473" s="41"/>
      <c r="P473" s="32"/>
      <c r="R473" s="32"/>
      <c r="S473" s="41"/>
      <c r="T473" s="32"/>
      <c r="V473" s="32"/>
      <c r="W473" s="41"/>
      <c r="X473" s="32"/>
      <c r="Z473" s="32"/>
      <c r="AA473" s="41"/>
      <c r="AB473" s="41"/>
      <c r="AD473" s="32"/>
      <c r="AE473" s="41"/>
    </row>
    <row r="474" spans="1:31" s="30" customFormat="1" x14ac:dyDescent="0.25">
      <c r="A474" s="36"/>
      <c r="B474" s="31"/>
      <c r="C474" s="31"/>
      <c r="D474" s="32"/>
      <c r="H474" s="32"/>
      <c r="J474" s="32"/>
      <c r="K474" s="41"/>
      <c r="L474" s="32"/>
      <c r="N474" s="32"/>
      <c r="O474" s="41"/>
      <c r="P474" s="32"/>
      <c r="R474" s="32"/>
      <c r="S474" s="41"/>
      <c r="T474" s="32"/>
      <c r="V474" s="32"/>
      <c r="W474" s="41"/>
      <c r="X474" s="32"/>
      <c r="Z474" s="32"/>
      <c r="AA474" s="41"/>
      <c r="AB474" s="41"/>
      <c r="AD474" s="32"/>
      <c r="AE474" s="41"/>
    </row>
    <row r="475" spans="1:31" s="30" customFormat="1" x14ac:dyDescent="0.25">
      <c r="A475" s="36"/>
      <c r="B475" s="31"/>
      <c r="C475" s="31"/>
      <c r="D475" s="32"/>
      <c r="H475" s="32"/>
      <c r="J475" s="32"/>
      <c r="K475" s="41"/>
      <c r="L475" s="32"/>
      <c r="N475" s="32"/>
      <c r="O475" s="41"/>
      <c r="P475" s="32"/>
      <c r="R475" s="32"/>
      <c r="S475" s="41"/>
      <c r="T475" s="32"/>
      <c r="V475" s="32"/>
      <c r="W475" s="41"/>
      <c r="X475" s="32"/>
      <c r="Z475" s="32"/>
      <c r="AA475" s="41"/>
      <c r="AB475" s="41"/>
      <c r="AD475" s="32"/>
      <c r="AE475" s="41"/>
    </row>
    <row r="476" spans="1:31" s="30" customFormat="1" x14ac:dyDescent="0.25">
      <c r="A476" s="36"/>
      <c r="B476" s="31"/>
      <c r="C476" s="31"/>
      <c r="D476" s="32"/>
      <c r="H476" s="32"/>
      <c r="J476" s="32"/>
      <c r="K476" s="41"/>
      <c r="L476" s="32"/>
      <c r="N476" s="32"/>
      <c r="O476" s="41"/>
      <c r="P476" s="32"/>
      <c r="R476" s="32"/>
      <c r="S476" s="41"/>
      <c r="T476" s="32"/>
      <c r="V476" s="32"/>
      <c r="W476" s="41"/>
      <c r="X476" s="32"/>
      <c r="Z476" s="32"/>
      <c r="AA476" s="41"/>
      <c r="AB476" s="41"/>
      <c r="AD476" s="32"/>
      <c r="AE476" s="41"/>
    </row>
    <row r="477" spans="1:31" s="30" customFormat="1" x14ac:dyDescent="0.25">
      <c r="A477" s="36"/>
      <c r="B477" s="31"/>
      <c r="C477" s="31"/>
      <c r="D477" s="32"/>
      <c r="H477" s="32"/>
      <c r="J477" s="32"/>
      <c r="K477" s="41"/>
      <c r="L477" s="32"/>
      <c r="N477" s="32"/>
      <c r="O477" s="41"/>
      <c r="P477" s="32"/>
      <c r="R477" s="32"/>
      <c r="S477" s="41"/>
      <c r="T477" s="32"/>
      <c r="V477" s="32"/>
      <c r="W477" s="41"/>
      <c r="X477" s="32"/>
      <c r="Z477" s="32"/>
      <c r="AA477" s="41"/>
      <c r="AB477" s="41"/>
      <c r="AD477" s="32"/>
      <c r="AE477" s="41"/>
    </row>
    <row r="478" spans="1:31" s="30" customFormat="1" x14ac:dyDescent="0.25">
      <c r="A478" s="36"/>
      <c r="B478" s="31"/>
      <c r="C478" s="31"/>
      <c r="D478" s="32"/>
      <c r="H478" s="32"/>
      <c r="J478" s="32"/>
      <c r="K478" s="41"/>
      <c r="L478" s="32"/>
      <c r="N478" s="32"/>
      <c r="O478" s="41"/>
      <c r="P478" s="32"/>
      <c r="R478" s="32"/>
      <c r="S478" s="41"/>
      <c r="T478" s="32"/>
      <c r="V478" s="32"/>
      <c r="W478" s="41"/>
      <c r="X478" s="32"/>
      <c r="Z478" s="32"/>
      <c r="AA478" s="41"/>
      <c r="AB478" s="41"/>
      <c r="AD478" s="32"/>
      <c r="AE478" s="41"/>
    </row>
    <row r="479" spans="1:31" s="30" customFormat="1" x14ac:dyDescent="0.25">
      <c r="A479" s="36"/>
      <c r="B479" s="31"/>
      <c r="C479" s="31"/>
      <c r="D479" s="32"/>
      <c r="H479" s="32"/>
      <c r="J479" s="32"/>
      <c r="K479" s="41"/>
      <c r="L479" s="32"/>
      <c r="N479" s="32"/>
      <c r="O479" s="41"/>
      <c r="P479" s="32"/>
      <c r="R479" s="32"/>
      <c r="S479" s="41"/>
      <c r="T479" s="32"/>
      <c r="V479" s="32"/>
      <c r="W479" s="41"/>
      <c r="X479" s="32"/>
      <c r="Z479" s="32"/>
      <c r="AA479" s="41"/>
      <c r="AB479" s="41"/>
      <c r="AD479" s="32"/>
      <c r="AE479" s="41"/>
    </row>
    <row r="480" spans="1:31" s="30" customFormat="1" x14ac:dyDescent="0.25">
      <c r="A480" s="36"/>
      <c r="B480" s="31"/>
      <c r="C480" s="31"/>
      <c r="D480" s="32"/>
      <c r="H480" s="32"/>
      <c r="J480" s="32"/>
      <c r="K480" s="41"/>
      <c r="L480" s="32"/>
      <c r="N480" s="32"/>
      <c r="O480" s="41"/>
      <c r="P480" s="32"/>
      <c r="R480" s="32"/>
      <c r="S480" s="41"/>
      <c r="T480" s="32"/>
      <c r="V480" s="32"/>
      <c r="W480" s="41"/>
      <c r="X480" s="32"/>
      <c r="Z480" s="32"/>
      <c r="AA480" s="41"/>
      <c r="AB480" s="41"/>
      <c r="AD480" s="32"/>
      <c r="AE480" s="41"/>
    </row>
    <row r="481" spans="1:31" s="30" customFormat="1" x14ac:dyDescent="0.25">
      <c r="A481" s="36"/>
      <c r="B481" s="31"/>
      <c r="C481" s="31"/>
      <c r="D481" s="32"/>
      <c r="H481" s="32"/>
      <c r="J481" s="32"/>
      <c r="K481" s="41"/>
      <c r="L481" s="32"/>
      <c r="N481" s="32"/>
      <c r="O481" s="41"/>
      <c r="P481" s="32"/>
      <c r="R481" s="32"/>
      <c r="S481" s="41"/>
      <c r="T481" s="32"/>
      <c r="V481" s="32"/>
      <c r="W481" s="41"/>
      <c r="X481" s="32"/>
      <c r="Z481" s="32"/>
      <c r="AA481" s="41"/>
      <c r="AB481" s="41"/>
      <c r="AD481" s="32"/>
      <c r="AE481" s="41"/>
    </row>
    <row r="482" spans="1:31" s="30" customFormat="1" x14ac:dyDescent="0.25">
      <c r="A482" s="36"/>
      <c r="B482" s="31"/>
      <c r="C482" s="31"/>
      <c r="D482" s="32"/>
      <c r="H482" s="32"/>
      <c r="J482" s="32"/>
      <c r="K482" s="41"/>
      <c r="L482" s="32"/>
      <c r="N482" s="32"/>
      <c r="O482" s="41"/>
      <c r="P482" s="32"/>
      <c r="R482" s="32"/>
      <c r="S482" s="41"/>
      <c r="T482" s="32"/>
      <c r="V482" s="32"/>
      <c r="W482" s="41"/>
      <c r="X482" s="32"/>
      <c r="Z482" s="32"/>
      <c r="AA482" s="41"/>
      <c r="AB482" s="41"/>
      <c r="AD482" s="32"/>
      <c r="AE482" s="41"/>
    </row>
    <row r="483" spans="1:31" s="30" customFormat="1" x14ac:dyDescent="0.25">
      <c r="A483" s="36"/>
      <c r="B483" s="31"/>
      <c r="C483" s="31"/>
      <c r="D483" s="32"/>
      <c r="H483" s="32"/>
      <c r="J483" s="32"/>
      <c r="K483" s="41"/>
      <c r="L483" s="32"/>
      <c r="N483" s="32"/>
      <c r="O483" s="41"/>
      <c r="P483" s="32"/>
      <c r="R483" s="32"/>
      <c r="S483" s="41"/>
      <c r="T483" s="32"/>
      <c r="V483" s="32"/>
      <c r="W483" s="41"/>
      <c r="X483" s="32"/>
      <c r="Z483" s="32"/>
      <c r="AA483" s="41"/>
      <c r="AB483" s="41"/>
      <c r="AD483" s="32"/>
      <c r="AE483" s="41"/>
    </row>
    <row r="484" spans="1:31" s="30" customFormat="1" x14ac:dyDescent="0.25">
      <c r="A484" s="36"/>
      <c r="B484" s="31"/>
      <c r="C484" s="31"/>
      <c r="D484" s="32"/>
      <c r="H484" s="32"/>
      <c r="J484" s="32"/>
      <c r="K484" s="41"/>
      <c r="L484" s="32"/>
      <c r="N484" s="32"/>
      <c r="O484" s="41"/>
      <c r="P484" s="32"/>
      <c r="R484" s="32"/>
      <c r="S484" s="41"/>
      <c r="T484" s="32"/>
      <c r="V484" s="32"/>
      <c r="W484" s="41"/>
      <c r="X484" s="32"/>
      <c r="Z484" s="32"/>
      <c r="AA484" s="41"/>
      <c r="AB484" s="41"/>
      <c r="AD484" s="32"/>
      <c r="AE484" s="41"/>
    </row>
    <row r="485" spans="1:31" s="30" customFormat="1" x14ac:dyDescent="0.25">
      <c r="A485" s="36"/>
      <c r="B485" s="31"/>
      <c r="C485" s="31"/>
      <c r="D485" s="32"/>
      <c r="H485" s="32"/>
      <c r="J485" s="32"/>
      <c r="K485" s="41"/>
      <c r="L485" s="32"/>
      <c r="N485" s="32"/>
      <c r="O485" s="41"/>
      <c r="P485" s="32"/>
      <c r="R485" s="32"/>
      <c r="S485" s="41"/>
      <c r="T485" s="32"/>
      <c r="V485" s="32"/>
      <c r="W485" s="41"/>
      <c r="X485" s="32"/>
      <c r="Z485" s="32"/>
      <c r="AA485" s="41"/>
      <c r="AB485" s="41"/>
      <c r="AD485" s="32"/>
      <c r="AE485" s="41"/>
    </row>
    <row r="486" spans="1:31" s="30" customFormat="1" x14ac:dyDescent="0.25">
      <c r="A486" s="36"/>
      <c r="B486" s="31"/>
      <c r="C486" s="31"/>
      <c r="D486" s="32"/>
      <c r="H486" s="32"/>
      <c r="J486" s="32"/>
      <c r="K486" s="41"/>
      <c r="L486" s="32"/>
      <c r="N486" s="32"/>
      <c r="O486" s="41"/>
      <c r="P486" s="32"/>
      <c r="R486" s="32"/>
      <c r="S486" s="41"/>
      <c r="T486" s="32"/>
      <c r="V486" s="32"/>
      <c r="W486" s="41"/>
      <c r="X486" s="32"/>
      <c r="Z486" s="32"/>
      <c r="AA486" s="41"/>
      <c r="AB486" s="41"/>
      <c r="AD486" s="32"/>
      <c r="AE486" s="41"/>
    </row>
    <row r="487" spans="1:31" s="30" customFormat="1" x14ac:dyDescent="0.25">
      <c r="A487" s="36"/>
      <c r="B487" s="31"/>
      <c r="C487" s="31"/>
      <c r="D487" s="32"/>
      <c r="H487" s="32"/>
      <c r="J487" s="32"/>
      <c r="K487" s="41"/>
      <c r="L487" s="32"/>
      <c r="N487" s="32"/>
      <c r="O487" s="41"/>
      <c r="P487" s="32"/>
      <c r="R487" s="32"/>
      <c r="S487" s="41"/>
      <c r="T487" s="32"/>
      <c r="V487" s="32"/>
      <c r="W487" s="41"/>
      <c r="X487" s="32"/>
      <c r="Z487" s="32"/>
      <c r="AA487" s="41"/>
      <c r="AB487" s="41"/>
      <c r="AD487" s="32"/>
      <c r="AE487" s="41"/>
    </row>
    <row r="488" spans="1:31" s="30" customFormat="1" x14ac:dyDescent="0.25">
      <c r="A488" s="36"/>
      <c r="B488" s="31"/>
      <c r="C488" s="31"/>
      <c r="D488" s="32"/>
      <c r="H488" s="32"/>
      <c r="J488" s="32"/>
      <c r="K488" s="41"/>
      <c r="L488" s="32"/>
      <c r="N488" s="32"/>
      <c r="O488" s="41"/>
      <c r="P488" s="32"/>
      <c r="R488" s="32"/>
      <c r="S488" s="41"/>
      <c r="T488" s="32"/>
      <c r="V488" s="32"/>
      <c r="W488" s="41"/>
      <c r="X488" s="32"/>
      <c r="Z488" s="32"/>
      <c r="AA488" s="41"/>
      <c r="AB488" s="41"/>
      <c r="AD488" s="32"/>
      <c r="AE488" s="41"/>
    </row>
    <row r="489" spans="1:31" s="30" customFormat="1" x14ac:dyDescent="0.25">
      <c r="A489" s="36"/>
      <c r="B489" s="31"/>
      <c r="C489" s="31"/>
      <c r="D489" s="32"/>
      <c r="H489" s="32"/>
      <c r="J489" s="32"/>
      <c r="K489" s="41"/>
      <c r="L489" s="32"/>
      <c r="N489" s="32"/>
      <c r="O489" s="41"/>
      <c r="P489" s="32"/>
      <c r="R489" s="32"/>
      <c r="S489" s="41"/>
      <c r="T489" s="32"/>
      <c r="V489" s="32"/>
      <c r="W489" s="41"/>
      <c r="X489" s="32"/>
      <c r="Z489" s="32"/>
      <c r="AA489" s="41"/>
      <c r="AB489" s="41"/>
      <c r="AD489" s="32"/>
      <c r="AE489" s="41"/>
    </row>
    <row r="490" spans="1:31" s="30" customFormat="1" x14ac:dyDescent="0.25">
      <c r="A490" s="36"/>
      <c r="B490" s="31"/>
      <c r="C490" s="31"/>
      <c r="D490" s="32"/>
      <c r="H490" s="32"/>
      <c r="J490" s="32"/>
      <c r="K490" s="41"/>
      <c r="L490" s="32"/>
      <c r="N490" s="32"/>
      <c r="O490" s="41"/>
      <c r="P490" s="32"/>
      <c r="R490" s="32"/>
      <c r="S490" s="41"/>
      <c r="T490" s="32"/>
      <c r="V490" s="32"/>
      <c r="W490" s="41"/>
      <c r="X490" s="32"/>
      <c r="Z490" s="32"/>
      <c r="AA490" s="41"/>
      <c r="AB490" s="41"/>
      <c r="AD490" s="32"/>
      <c r="AE490" s="41"/>
    </row>
    <row r="491" spans="1:31" s="30" customFormat="1" x14ac:dyDescent="0.25">
      <c r="A491" s="36"/>
      <c r="B491" s="31"/>
      <c r="C491" s="31"/>
      <c r="D491" s="32"/>
      <c r="H491" s="32"/>
      <c r="J491" s="32"/>
      <c r="K491" s="41"/>
      <c r="L491" s="32"/>
      <c r="N491" s="32"/>
      <c r="O491" s="41"/>
      <c r="P491" s="32"/>
      <c r="R491" s="32"/>
      <c r="S491" s="41"/>
      <c r="T491" s="32"/>
      <c r="V491" s="32"/>
      <c r="W491" s="41"/>
      <c r="X491" s="32"/>
      <c r="Z491" s="32"/>
      <c r="AA491" s="41"/>
      <c r="AB491" s="41"/>
      <c r="AD491" s="32"/>
      <c r="AE491" s="41"/>
    </row>
    <row r="492" spans="1:31" s="30" customFormat="1" x14ac:dyDescent="0.25">
      <c r="A492" s="36"/>
      <c r="B492" s="31"/>
      <c r="C492" s="31"/>
      <c r="D492" s="32"/>
      <c r="H492" s="32"/>
      <c r="J492" s="32"/>
      <c r="K492" s="41"/>
      <c r="L492" s="32"/>
      <c r="N492" s="32"/>
      <c r="O492" s="41"/>
      <c r="P492" s="32"/>
      <c r="R492" s="32"/>
      <c r="S492" s="41"/>
      <c r="T492" s="32"/>
      <c r="V492" s="32"/>
      <c r="W492" s="41"/>
      <c r="X492" s="32"/>
      <c r="Z492" s="32"/>
      <c r="AA492" s="41"/>
      <c r="AB492" s="41"/>
      <c r="AD492" s="32"/>
      <c r="AE492" s="41"/>
    </row>
    <row r="493" spans="1:31" s="30" customFormat="1" x14ac:dyDescent="0.25">
      <c r="A493" s="36"/>
      <c r="B493" s="31"/>
      <c r="C493" s="31"/>
      <c r="D493" s="32"/>
      <c r="H493" s="32"/>
      <c r="J493" s="32"/>
      <c r="K493" s="41"/>
      <c r="L493" s="32"/>
      <c r="N493" s="32"/>
      <c r="O493" s="41"/>
      <c r="P493" s="32"/>
      <c r="R493" s="32"/>
      <c r="S493" s="41"/>
      <c r="T493" s="32"/>
      <c r="V493" s="32"/>
      <c r="W493" s="41"/>
      <c r="X493" s="32"/>
      <c r="Z493" s="32"/>
      <c r="AA493" s="41"/>
      <c r="AB493" s="41"/>
      <c r="AD493" s="32"/>
      <c r="AE493" s="41"/>
    </row>
    <row r="494" spans="1:31" s="30" customFormat="1" x14ac:dyDescent="0.25">
      <c r="A494" s="36"/>
      <c r="B494" s="31"/>
      <c r="C494" s="31"/>
      <c r="D494" s="32"/>
      <c r="H494" s="32"/>
      <c r="J494" s="32"/>
      <c r="K494" s="41"/>
      <c r="L494" s="32"/>
      <c r="N494" s="32"/>
      <c r="O494" s="41"/>
      <c r="P494" s="32"/>
      <c r="R494" s="32"/>
      <c r="S494" s="41"/>
      <c r="T494" s="32"/>
      <c r="V494" s="32"/>
      <c r="W494" s="41"/>
      <c r="X494" s="32"/>
      <c r="Z494" s="32"/>
      <c r="AA494" s="41"/>
      <c r="AB494" s="41"/>
      <c r="AD494" s="32"/>
      <c r="AE494" s="41"/>
    </row>
    <row r="495" spans="1:31" s="30" customFormat="1" x14ac:dyDescent="0.25">
      <c r="A495" s="36"/>
      <c r="B495" s="31"/>
      <c r="C495" s="31"/>
      <c r="D495" s="32"/>
      <c r="H495" s="32"/>
      <c r="J495" s="32"/>
      <c r="K495" s="41"/>
      <c r="L495" s="32"/>
      <c r="N495" s="32"/>
      <c r="O495" s="41"/>
      <c r="P495" s="32"/>
      <c r="R495" s="32"/>
      <c r="S495" s="41"/>
      <c r="T495" s="32"/>
      <c r="V495" s="32"/>
      <c r="W495" s="41"/>
      <c r="X495" s="32"/>
      <c r="Z495" s="32"/>
      <c r="AA495" s="41"/>
      <c r="AB495" s="41"/>
      <c r="AD495" s="32"/>
      <c r="AE495" s="41"/>
    </row>
    <row r="496" spans="1:31" s="30" customFormat="1" x14ac:dyDescent="0.25">
      <c r="A496" s="36"/>
      <c r="B496" s="31"/>
      <c r="C496" s="31"/>
      <c r="D496" s="32"/>
      <c r="H496" s="32"/>
      <c r="J496" s="32"/>
      <c r="K496" s="41"/>
      <c r="L496" s="32"/>
      <c r="N496" s="32"/>
      <c r="O496" s="41"/>
      <c r="P496" s="32"/>
      <c r="R496" s="32"/>
      <c r="S496" s="41"/>
      <c r="T496" s="32"/>
      <c r="V496" s="32"/>
      <c r="W496" s="41"/>
      <c r="X496" s="32"/>
      <c r="Z496" s="32"/>
      <c r="AA496" s="41"/>
      <c r="AB496" s="41"/>
      <c r="AD496" s="32"/>
      <c r="AE496" s="41"/>
    </row>
    <row r="497" spans="1:31" s="30" customFormat="1" x14ac:dyDescent="0.25">
      <c r="A497" s="36"/>
      <c r="B497" s="31"/>
      <c r="C497" s="31"/>
      <c r="D497" s="32"/>
      <c r="H497" s="32"/>
      <c r="J497" s="32"/>
      <c r="K497" s="41"/>
      <c r="L497" s="32"/>
      <c r="N497" s="32"/>
      <c r="O497" s="41"/>
      <c r="P497" s="32"/>
      <c r="R497" s="32"/>
      <c r="S497" s="41"/>
      <c r="T497" s="32"/>
      <c r="V497" s="32"/>
      <c r="W497" s="41"/>
      <c r="X497" s="32"/>
      <c r="Z497" s="32"/>
      <c r="AA497" s="41"/>
      <c r="AB497" s="41"/>
      <c r="AD497" s="32"/>
      <c r="AE497" s="41"/>
    </row>
    <row r="498" spans="1:31" s="30" customFormat="1" x14ac:dyDescent="0.25">
      <c r="A498" s="36"/>
      <c r="B498" s="31"/>
      <c r="C498" s="31"/>
      <c r="D498" s="32"/>
      <c r="H498" s="32"/>
      <c r="J498" s="32"/>
      <c r="K498" s="41"/>
      <c r="L498" s="32"/>
      <c r="N498" s="32"/>
      <c r="O498" s="41"/>
      <c r="P498" s="32"/>
      <c r="R498" s="32"/>
      <c r="S498" s="41"/>
      <c r="T498" s="32"/>
      <c r="V498" s="32"/>
      <c r="W498" s="41"/>
      <c r="X498" s="32"/>
      <c r="Z498" s="32"/>
      <c r="AA498" s="41"/>
      <c r="AB498" s="41"/>
      <c r="AD498" s="32"/>
      <c r="AE498" s="41"/>
    </row>
    <row r="499" spans="1:31" s="30" customFormat="1" x14ac:dyDescent="0.25">
      <c r="A499" s="36"/>
      <c r="B499" s="31"/>
      <c r="C499" s="31"/>
      <c r="D499" s="32"/>
      <c r="H499" s="32"/>
      <c r="J499" s="32"/>
      <c r="K499" s="41"/>
      <c r="L499" s="32"/>
      <c r="N499" s="32"/>
      <c r="O499" s="41"/>
      <c r="P499" s="32"/>
      <c r="R499" s="32"/>
      <c r="S499" s="41"/>
      <c r="T499" s="32"/>
      <c r="V499" s="32"/>
      <c r="W499" s="41"/>
      <c r="X499" s="32"/>
      <c r="Z499" s="32"/>
      <c r="AA499" s="41"/>
      <c r="AB499" s="41"/>
      <c r="AD499" s="32"/>
      <c r="AE499" s="41"/>
    </row>
    <row r="500" spans="1:31" s="30" customFormat="1" x14ac:dyDescent="0.25">
      <c r="A500" s="36"/>
      <c r="B500" s="31"/>
      <c r="C500" s="31"/>
      <c r="D500" s="32"/>
      <c r="H500" s="32"/>
      <c r="J500" s="32"/>
      <c r="K500" s="41"/>
      <c r="L500" s="32"/>
      <c r="N500" s="32"/>
      <c r="O500" s="41"/>
      <c r="P500" s="32"/>
      <c r="R500" s="32"/>
      <c r="S500" s="41"/>
      <c r="T500" s="32"/>
      <c r="V500" s="32"/>
      <c r="W500" s="41"/>
      <c r="X500" s="32"/>
      <c r="Z500" s="32"/>
      <c r="AA500" s="41"/>
      <c r="AB500" s="41"/>
      <c r="AD500" s="32"/>
      <c r="AE500" s="41"/>
    </row>
    <row r="501" spans="1:31" s="30" customFormat="1" x14ac:dyDescent="0.25">
      <c r="A501" s="36"/>
      <c r="B501" s="31"/>
      <c r="C501" s="31"/>
      <c r="D501" s="32"/>
      <c r="H501" s="32"/>
      <c r="J501" s="32"/>
      <c r="K501" s="41"/>
      <c r="L501" s="32"/>
      <c r="N501" s="32"/>
      <c r="O501" s="41"/>
      <c r="P501" s="32"/>
      <c r="R501" s="32"/>
      <c r="S501" s="41"/>
      <c r="T501" s="32"/>
      <c r="V501" s="32"/>
      <c r="W501" s="41"/>
      <c r="X501" s="32"/>
      <c r="Z501" s="32"/>
      <c r="AA501" s="41"/>
      <c r="AB501" s="41"/>
      <c r="AD501" s="32"/>
      <c r="AE501" s="41"/>
    </row>
    <row r="502" spans="1:31" s="30" customFormat="1" x14ac:dyDescent="0.25">
      <c r="A502" s="36"/>
      <c r="B502" s="31"/>
      <c r="C502" s="31"/>
      <c r="D502" s="32"/>
      <c r="H502" s="32"/>
      <c r="J502" s="32"/>
      <c r="K502" s="41"/>
      <c r="L502" s="32"/>
      <c r="N502" s="32"/>
      <c r="O502" s="41"/>
      <c r="P502" s="32"/>
      <c r="R502" s="32"/>
      <c r="S502" s="41"/>
      <c r="T502" s="32"/>
      <c r="V502" s="32"/>
      <c r="W502" s="41"/>
      <c r="X502" s="32"/>
      <c r="Z502" s="32"/>
      <c r="AA502" s="41"/>
      <c r="AB502" s="41"/>
      <c r="AD502" s="32"/>
      <c r="AE502" s="41"/>
    </row>
    <row r="503" spans="1:31" s="30" customFormat="1" x14ac:dyDescent="0.25">
      <c r="A503" s="36"/>
      <c r="B503" s="31"/>
      <c r="C503" s="31"/>
      <c r="D503" s="32"/>
      <c r="H503" s="32"/>
      <c r="J503" s="32"/>
      <c r="K503" s="41"/>
      <c r="L503" s="32"/>
      <c r="N503" s="32"/>
      <c r="O503" s="41"/>
      <c r="P503" s="32"/>
      <c r="R503" s="32"/>
      <c r="S503" s="41"/>
      <c r="T503" s="32"/>
      <c r="V503" s="32"/>
      <c r="W503" s="41"/>
      <c r="X503" s="32"/>
      <c r="Z503" s="32"/>
      <c r="AA503" s="41"/>
      <c r="AB503" s="41"/>
      <c r="AD503" s="32"/>
      <c r="AE503" s="41"/>
    </row>
    <row r="504" spans="1:31" s="30" customFormat="1" x14ac:dyDescent="0.25">
      <c r="A504" s="36"/>
      <c r="B504" s="31"/>
      <c r="C504" s="31"/>
      <c r="D504" s="32"/>
      <c r="H504" s="32"/>
      <c r="J504" s="32"/>
      <c r="K504" s="41"/>
      <c r="L504" s="32"/>
      <c r="N504" s="32"/>
      <c r="O504" s="41"/>
      <c r="P504" s="32"/>
      <c r="R504" s="32"/>
      <c r="S504" s="41"/>
      <c r="T504" s="32"/>
      <c r="V504" s="32"/>
      <c r="W504" s="41"/>
      <c r="X504" s="32"/>
      <c r="Z504" s="32"/>
      <c r="AA504" s="41"/>
      <c r="AB504" s="41"/>
      <c r="AD504" s="32"/>
      <c r="AE504" s="41"/>
    </row>
    <row r="505" spans="1:31" s="30" customFormat="1" x14ac:dyDescent="0.25">
      <c r="A505" s="36"/>
      <c r="B505" s="31"/>
      <c r="C505" s="31"/>
      <c r="D505" s="32"/>
      <c r="H505" s="32"/>
      <c r="J505" s="32"/>
      <c r="K505" s="41"/>
      <c r="L505" s="32"/>
      <c r="N505" s="32"/>
      <c r="O505" s="41"/>
      <c r="P505" s="32"/>
      <c r="R505" s="32"/>
      <c r="S505" s="41"/>
      <c r="T505" s="32"/>
      <c r="V505" s="32"/>
      <c r="W505" s="41"/>
      <c r="X505" s="32"/>
      <c r="Z505" s="32"/>
      <c r="AA505" s="41"/>
      <c r="AB505" s="41"/>
      <c r="AD505" s="32"/>
      <c r="AE505" s="41"/>
    </row>
    <row r="506" spans="1:31" s="30" customFormat="1" x14ac:dyDescent="0.25">
      <c r="A506" s="36"/>
      <c r="B506" s="31"/>
      <c r="C506" s="31"/>
      <c r="D506" s="32"/>
      <c r="H506" s="32"/>
      <c r="J506" s="32"/>
      <c r="K506" s="41"/>
      <c r="L506" s="32"/>
      <c r="N506" s="32"/>
      <c r="O506" s="41"/>
      <c r="P506" s="32"/>
      <c r="R506" s="32"/>
      <c r="S506" s="41"/>
      <c r="T506" s="32"/>
      <c r="V506" s="32"/>
      <c r="W506" s="41"/>
      <c r="X506" s="32"/>
      <c r="Z506" s="32"/>
      <c r="AA506" s="41"/>
      <c r="AB506" s="41"/>
      <c r="AD506" s="32"/>
      <c r="AE506" s="41"/>
    </row>
    <row r="507" spans="1:31" s="30" customFormat="1" x14ac:dyDescent="0.25">
      <c r="A507" s="36"/>
      <c r="B507" s="31"/>
      <c r="C507" s="31"/>
      <c r="D507" s="32"/>
      <c r="H507" s="32"/>
      <c r="J507" s="32"/>
      <c r="K507" s="41"/>
      <c r="L507" s="32"/>
      <c r="N507" s="32"/>
      <c r="O507" s="41"/>
      <c r="P507" s="32"/>
      <c r="R507" s="32"/>
      <c r="S507" s="41"/>
      <c r="T507" s="32"/>
      <c r="V507" s="32"/>
      <c r="W507" s="41"/>
      <c r="X507" s="32"/>
      <c r="Z507" s="32"/>
      <c r="AA507" s="41"/>
      <c r="AB507" s="41"/>
      <c r="AD507" s="32"/>
      <c r="AE507" s="41"/>
    </row>
    <row r="508" spans="1:31" s="30" customFormat="1" x14ac:dyDescent="0.25">
      <c r="A508" s="36"/>
      <c r="B508" s="31"/>
      <c r="C508" s="31"/>
      <c r="D508" s="32"/>
      <c r="H508" s="32"/>
      <c r="J508" s="32"/>
      <c r="K508" s="41"/>
      <c r="L508" s="32"/>
      <c r="N508" s="32"/>
      <c r="O508" s="41"/>
      <c r="P508" s="32"/>
      <c r="R508" s="32"/>
      <c r="S508" s="41"/>
      <c r="T508" s="32"/>
      <c r="V508" s="32"/>
      <c r="W508" s="41"/>
      <c r="X508" s="32"/>
      <c r="Z508" s="32"/>
      <c r="AA508" s="41"/>
      <c r="AB508" s="41"/>
      <c r="AD508" s="32"/>
      <c r="AE508" s="41"/>
    </row>
    <row r="509" spans="1:31" s="30" customFormat="1" x14ac:dyDescent="0.25">
      <c r="A509" s="36"/>
      <c r="B509" s="31"/>
      <c r="C509" s="31"/>
      <c r="D509" s="32"/>
      <c r="H509" s="32"/>
      <c r="J509" s="32"/>
      <c r="K509" s="41"/>
      <c r="L509" s="32"/>
      <c r="N509" s="32"/>
      <c r="O509" s="41"/>
      <c r="P509" s="32"/>
      <c r="R509" s="32"/>
      <c r="S509" s="41"/>
      <c r="T509" s="32"/>
      <c r="V509" s="32"/>
      <c r="W509" s="41"/>
      <c r="X509" s="32"/>
      <c r="Z509" s="32"/>
      <c r="AA509" s="41"/>
      <c r="AB509" s="41"/>
      <c r="AD509" s="32"/>
      <c r="AE509" s="41"/>
    </row>
    <row r="510" spans="1:31" s="30" customFormat="1" x14ac:dyDescent="0.25">
      <c r="A510" s="36"/>
      <c r="B510" s="31"/>
      <c r="C510" s="31"/>
      <c r="D510" s="32"/>
      <c r="H510" s="32"/>
      <c r="J510" s="32"/>
      <c r="K510" s="41"/>
      <c r="L510" s="32"/>
      <c r="N510" s="32"/>
      <c r="O510" s="41"/>
      <c r="P510" s="32"/>
      <c r="R510" s="32"/>
      <c r="S510" s="41"/>
      <c r="T510" s="32"/>
      <c r="V510" s="32"/>
      <c r="W510" s="41"/>
      <c r="X510" s="32"/>
      <c r="Z510" s="32"/>
      <c r="AA510" s="41"/>
      <c r="AB510" s="41"/>
      <c r="AD510" s="32"/>
      <c r="AE510" s="41"/>
    </row>
    <row r="511" spans="1:31" s="30" customFormat="1" x14ac:dyDescent="0.25">
      <c r="A511" s="36"/>
      <c r="B511" s="31"/>
      <c r="C511" s="31"/>
      <c r="D511" s="32"/>
      <c r="H511" s="32"/>
      <c r="J511" s="32"/>
      <c r="K511" s="41"/>
      <c r="L511" s="32"/>
      <c r="N511" s="32"/>
      <c r="O511" s="41"/>
      <c r="P511" s="32"/>
      <c r="R511" s="32"/>
      <c r="S511" s="41"/>
      <c r="T511" s="32"/>
      <c r="V511" s="32"/>
      <c r="W511" s="41"/>
      <c r="X511" s="32"/>
      <c r="Z511" s="32"/>
      <c r="AA511" s="41"/>
      <c r="AB511" s="41"/>
      <c r="AD511" s="32"/>
      <c r="AE511" s="41"/>
    </row>
    <row r="512" spans="1:31" s="30" customFormat="1" x14ac:dyDescent="0.25">
      <c r="A512" s="36"/>
      <c r="B512" s="31"/>
      <c r="C512" s="31"/>
      <c r="D512" s="32"/>
      <c r="H512" s="32"/>
      <c r="J512" s="32"/>
      <c r="K512" s="41"/>
      <c r="L512" s="32"/>
      <c r="N512" s="32"/>
      <c r="O512" s="41"/>
      <c r="P512" s="32"/>
      <c r="R512" s="32"/>
      <c r="S512" s="41"/>
      <c r="T512" s="32"/>
      <c r="V512" s="32"/>
      <c r="W512" s="41"/>
      <c r="X512" s="32"/>
      <c r="Z512" s="32"/>
      <c r="AA512" s="41"/>
      <c r="AB512" s="41"/>
      <c r="AD512" s="32"/>
      <c r="AE512" s="41"/>
    </row>
    <row r="513" spans="1:31" s="30" customFormat="1" x14ac:dyDescent="0.25">
      <c r="A513" s="36"/>
      <c r="B513" s="31"/>
      <c r="C513" s="31"/>
      <c r="D513" s="32"/>
      <c r="H513" s="32"/>
      <c r="J513" s="32"/>
      <c r="K513" s="41"/>
      <c r="L513" s="32"/>
      <c r="N513" s="32"/>
      <c r="O513" s="41"/>
      <c r="P513" s="32"/>
      <c r="R513" s="32"/>
      <c r="S513" s="41"/>
      <c r="T513" s="32"/>
      <c r="V513" s="32"/>
      <c r="W513" s="41"/>
      <c r="X513" s="32"/>
      <c r="Z513" s="32"/>
      <c r="AA513" s="41"/>
      <c r="AB513" s="41"/>
      <c r="AD513" s="32"/>
      <c r="AE513" s="41"/>
    </row>
    <row r="514" spans="1:31" s="30" customFormat="1" x14ac:dyDescent="0.25">
      <c r="A514" s="36"/>
      <c r="B514" s="31"/>
      <c r="C514" s="31"/>
      <c r="D514" s="32"/>
      <c r="H514" s="32"/>
      <c r="J514" s="32"/>
      <c r="K514" s="41"/>
      <c r="L514" s="32"/>
      <c r="N514" s="32"/>
      <c r="O514" s="41"/>
      <c r="P514" s="32"/>
      <c r="R514" s="32"/>
      <c r="S514" s="41"/>
      <c r="T514" s="32"/>
      <c r="V514" s="32"/>
      <c r="W514" s="41"/>
      <c r="X514" s="32"/>
      <c r="Z514" s="32"/>
      <c r="AA514" s="41"/>
      <c r="AB514" s="41"/>
      <c r="AD514" s="32"/>
      <c r="AE514" s="41"/>
    </row>
    <row r="515" spans="1:31" s="30" customFormat="1" x14ac:dyDescent="0.25">
      <c r="A515" s="36"/>
      <c r="B515" s="31"/>
      <c r="C515" s="31"/>
      <c r="D515" s="32"/>
      <c r="H515" s="32"/>
      <c r="J515" s="32"/>
      <c r="K515" s="41"/>
      <c r="L515" s="32"/>
      <c r="N515" s="32"/>
      <c r="O515" s="41"/>
      <c r="P515" s="32"/>
      <c r="R515" s="32"/>
      <c r="S515" s="41"/>
      <c r="T515" s="32"/>
      <c r="V515" s="32"/>
      <c r="W515" s="41"/>
      <c r="X515" s="32"/>
      <c r="Z515" s="32"/>
      <c r="AA515" s="41"/>
      <c r="AB515" s="41"/>
      <c r="AD515" s="32"/>
      <c r="AE515" s="41"/>
    </row>
    <row r="516" spans="1:31" s="30" customFormat="1" x14ac:dyDescent="0.25">
      <c r="A516" s="36"/>
      <c r="B516" s="31"/>
      <c r="C516" s="31"/>
      <c r="D516" s="32"/>
      <c r="H516" s="32"/>
      <c r="J516" s="32"/>
      <c r="K516" s="41"/>
      <c r="L516" s="32"/>
      <c r="N516" s="32"/>
      <c r="O516" s="41"/>
      <c r="P516" s="32"/>
      <c r="R516" s="32"/>
      <c r="S516" s="41"/>
      <c r="T516" s="32"/>
      <c r="V516" s="32"/>
      <c r="W516" s="41"/>
      <c r="X516" s="32"/>
      <c r="Z516" s="32"/>
      <c r="AA516" s="41"/>
      <c r="AB516" s="41"/>
      <c r="AD516" s="32"/>
      <c r="AE516" s="41"/>
    </row>
    <row r="517" spans="1:31" s="30" customFormat="1" x14ac:dyDescent="0.25">
      <c r="A517" s="36"/>
      <c r="B517" s="31"/>
      <c r="C517" s="31"/>
      <c r="D517" s="32"/>
      <c r="H517" s="32"/>
      <c r="J517" s="32"/>
      <c r="K517" s="41"/>
      <c r="L517" s="32"/>
      <c r="N517" s="32"/>
      <c r="O517" s="41"/>
      <c r="P517" s="32"/>
      <c r="R517" s="32"/>
      <c r="S517" s="41"/>
      <c r="T517" s="32"/>
      <c r="V517" s="32"/>
      <c r="W517" s="41"/>
      <c r="X517" s="32"/>
      <c r="Z517" s="32"/>
      <c r="AA517" s="41"/>
      <c r="AB517" s="41"/>
      <c r="AD517" s="32"/>
      <c r="AE517" s="41"/>
    </row>
    <row r="518" spans="1:31" s="30" customFormat="1" x14ac:dyDescent="0.25">
      <c r="A518" s="36"/>
      <c r="B518" s="31"/>
      <c r="C518" s="31"/>
      <c r="D518" s="32"/>
      <c r="H518" s="32"/>
      <c r="J518" s="32"/>
      <c r="K518" s="41"/>
      <c r="L518" s="32"/>
      <c r="N518" s="32"/>
      <c r="O518" s="41"/>
      <c r="P518" s="32"/>
      <c r="R518" s="32"/>
      <c r="S518" s="41"/>
      <c r="T518" s="32"/>
      <c r="V518" s="32"/>
      <c r="W518" s="41"/>
      <c r="X518" s="32"/>
      <c r="Z518" s="32"/>
      <c r="AA518" s="41"/>
      <c r="AB518" s="41"/>
      <c r="AD518" s="32"/>
      <c r="AE518" s="41"/>
    </row>
    <row r="519" spans="1:31" s="30" customFormat="1" x14ac:dyDescent="0.25">
      <c r="A519" s="36"/>
      <c r="B519" s="31"/>
      <c r="C519" s="31"/>
      <c r="D519" s="32"/>
      <c r="H519" s="32"/>
      <c r="J519" s="32"/>
      <c r="K519" s="41"/>
      <c r="L519" s="32"/>
      <c r="N519" s="32"/>
      <c r="O519" s="41"/>
      <c r="P519" s="32"/>
      <c r="R519" s="32"/>
      <c r="S519" s="41"/>
      <c r="T519" s="32"/>
      <c r="V519" s="32"/>
      <c r="W519" s="41"/>
      <c r="X519" s="32"/>
      <c r="Z519" s="32"/>
      <c r="AA519" s="41"/>
      <c r="AB519" s="41"/>
      <c r="AD519" s="32"/>
      <c r="AE519" s="41"/>
    </row>
    <row r="520" spans="1:31" s="30" customFormat="1" x14ac:dyDescent="0.25">
      <c r="A520" s="36"/>
      <c r="B520" s="31"/>
      <c r="C520" s="31"/>
      <c r="D520" s="32"/>
      <c r="H520" s="32"/>
      <c r="J520" s="32"/>
      <c r="K520" s="41"/>
      <c r="L520" s="32"/>
      <c r="N520" s="32"/>
      <c r="O520" s="41"/>
      <c r="P520" s="32"/>
      <c r="R520" s="32"/>
      <c r="S520" s="41"/>
      <c r="T520" s="32"/>
      <c r="V520" s="32"/>
      <c r="W520" s="41"/>
      <c r="X520" s="32"/>
      <c r="Z520" s="32"/>
      <c r="AA520" s="41"/>
      <c r="AB520" s="41"/>
      <c r="AD520" s="32"/>
      <c r="AE520" s="41"/>
    </row>
    <row r="521" spans="1:31" s="30" customFormat="1" x14ac:dyDescent="0.25">
      <c r="A521" s="36"/>
      <c r="B521" s="31"/>
      <c r="C521" s="31"/>
      <c r="D521" s="32"/>
      <c r="H521" s="32"/>
      <c r="J521" s="32"/>
      <c r="K521" s="41"/>
      <c r="L521" s="32"/>
      <c r="N521" s="32"/>
      <c r="O521" s="41"/>
      <c r="P521" s="32"/>
      <c r="R521" s="32"/>
      <c r="S521" s="41"/>
      <c r="T521" s="32"/>
      <c r="V521" s="32"/>
      <c r="W521" s="41"/>
      <c r="X521" s="32"/>
      <c r="Z521" s="32"/>
      <c r="AA521" s="41"/>
      <c r="AB521" s="41"/>
      <c r="AD521" s="32"/>
      <c r="AE521" s="41"/>
    </row>
    <row r="522" spans="1:31" s="30" customFormat="1" x14ac:dyDescent="0.25">
      <c r="A522" s="36"/>
      <c r="B522" s="31"/>
      <c r="C522" s="31"/>
      <c r="D522" s="32"/>
      <c r="H522" s="32"/>
      <c r="J522" s="32"/>
      <c r="K522" s="41"/>
      <c r="L522" s="32"/>
      <c r="N522" s="32"/>
      <c r="O522" s="41"/>
      <c r="P522" s="32"/>
      <c r="R522" s="32"/>
      <c r="S522" s="41"/>
      <c r="T522" s="32"/>
      <c r="V522" s="32"/>
      <c r="W522" s="41"/>
      <c r="X522" s="32"/>
      <c r="Z522" s="32"/>
      <c r="AA522" s="41"/>
      <c r="AB522" s="41"/>
      <c r="AD522" s="32"/>
      <c r="AE522" s="41"/>
    </row>
    <row r="523" spans="1:31" s="30" customFormat="1" x14ac:dyDescent="0.25">
      <c r="A523" s="36"/>
      <c r="B523" s="31"/>
      <c r="C523" s="31"/>
      <c r="D523" s="32"/>
      <c r="H523" s="32"/>
      <c r="J523" s="32"/>
      <c r="K523" s="41"/>
      <c r="L523" s="32"/>
      <c r="N523" s="32"/>
      <c r="O523" s="41"/>
      <c r="P523" s="32"/>
      <c r="R523" s="32"/>
      <c r="S523" s="41"/>
      <c r="T523" s="32"/>
      <c r="V523" s="32"/>
      <c r="W523" s="41"/>
      <c r="X523" s="32"/>
      <c r="Z523" s="32"/>
      <c r="AA523" s="41"/>
      <c r="AB523" s="41"/>
      <c r="AD523" s="32"/>
      <c r="AE523" s="41"/>
    </row>
    <row r="524" spans="1:31" s="30" customFormat="1" x14ac:dyDescent="0.25">
      <c r="A524" s="36"/>
      <c r="B524" s="31"/>
      <c r="C524" s="31"/>
      <c r="D524" s="32"/>
      <c r="H524" s="32"/>
      <c r="J524" s="32"/>
      <c r="K524" s="41"/>
      <c r="L524" s="32"/>
      <c r="N524" s="32"/>
      <c r="O524" s="41"/>
      <c r="P524" s="32"/>
      <c r="R524" s="32"/>
      <c r="S524" s="41"/>
      <c r="T524" s="32"/>
      <c r="V524" s="32"/>
      <c r="W524" s="41"/>
      <c r="X524" s="32"/>
      <c r="Z524" s="32"/>
      <c r="AA524" s="41"/>
      <c r="AB524" s="41"/>
      <c r="AD524" s="32"/>
      <c r="AE524" s="41"/>
    </row>
    <row r="525" spans="1:31" s="30" customFormat="1" x14ac:dyDescent="0.25">
      <c r="A525" s="36"/>
      <c r="B525" s="31"/>
      <c r="C525" s="31"/>
      <c r="D525" s="32"/>
      <c r="H525" s="32"/>
      <c r="J525" s="32"/>
      <c r="K525" s="41"/>
      <c r="L525" s="32"/>
      <c r="N525" s="32"/>
      <c r="O525" s="41"/>
      <c r="P525" s="32"/>
      <c r="R525" s="32"/>
      <c r="S525" s="41"/>
      <c r="T525" s="32"/>
      <c r="V525" s="32"/>
      <c r="W525" s="41"/>
      <c r="X525" s="32"/>
      <c r="Z525" s="32"/>
      <c r="AA525" s="41"/>
      <c r="AB525" s="41"/>
      <c r="AD525" s="32"/>
      <c r="AE525" s="41"/>
    </row>
    <row r="526" spans="1:31" s="30" customFormat="1" x14ac:dyDescent="0.25">
      <c r="A526" s="36"/>
      <c r="B526" s="31"/>
      <c r="C526" s="31"/>
      <c r="D526" s="32"/>
      <c r="H526" s="32"/>
      <c r="J526" s="32"/>
      <c r="K526" s="41"/>
      <c r="L526" s="32"/>
      <c r="N526" s="32"/>
      <c r="O526" s="41"/>
      <c r="P526" s="32"/>
      <c r="R526" s="32"/>
      <c r="S526" s="41"/>
      <c r="T526" s="32"/>
      <c r="V526" s="32"/>
      <c r="W526" s="41"/>
      <c r="X526" s="32"/>
      <c r="Z526" s="32"/>
      <c r="AA526" s="41"/>
      <c r="AB526" s="41"/>
      <c r="AD526" s="32"/>
      <c r="AE526" s="41"/>
    </row>
    <row r="527" spans="1:31" s="30" customFormat="1" x14ac:dyDescent="0.25">
      <c r="A527" s="36"/>
      <c r="B527" s="31"/>
      <c r="C527" s="31"/>
      <c r="D527" s="32"/>
      <c r="H527" s="32"/>
      <c r="J527" s="32"/>
      <c r="K527" s="41"/>
      <c r="L527" s="32"/>
      <c r="N527" s="32"/>
      <c r="O527" s="41"/>
      <c r="P527" s="32"/>
      <c r="R527" s="32"/>
      <c r="S527" s="41"/>
      <c r="T527" s="32"/>
      <c r="V527" s="32"/>
      <c r="W527" s="41"/>
      <c r="X527" s="32"/>
      <c r="Z527" s="32"/>
      <c r="AA527" s="41"/>
      <c r="AB527" s="41"/>
      <c r="AD527" s="32"/>
      <c r="AE527" s="41"/>
    </row>
    <row r="528" spans="1:31" s="30" customFormat="1" x14ac:dyDescent="0.25">
      <c r="A528" s="36"/>
      <c r="B528" s="31"/>
      <c r="C528" s="31"/>
      <c r="D528" s="32"/>
      <c r="H528" s="32"/>
      <c r="J528" s="32"/>
      <c r="K528" s="41"/>
      <c r="L528" s="32"/>
      <c r="N528" s="32"/>
      <c r="O528" s="41"/>
      <c r="P528" s="32"/>
      <c r="R528" s="32"/>
      <c r="S528" s="41"/>
      <c r="T528" s="32"/>
      <c r="V528" s="32"/>
      <c r="W528" s="41"/>
      <c r="X528" s="32"/>
      <c r="Z528" s="32"/>
      <c r="AA528" s="41"/>
      <c r="AB528" s="41"/>
      <c r="AD528" s="32"/>
      <c r="AE528" s="41"/>
    </row>
    <row r="529" spans="1:31" s="30" customFormat="1" x14ac:dyDescent="0.25">
      <c r="A529" s="36"/>
      <c r="B529" s="31"/>
      <c r="C529" s="31"/>
      <c r="D529" s="32"/>
      <c r="H529" s="32"/>
      <c r="J529" s="32"/>
      <c r="K529" s="41"/>
      <c r="L529" s="32"/>
      <c r="N529" s="32"/>
      <c r="O529" s="41"/>
      <c r="P529" s="32"/>
      <c r="R529" s="32"/>
      <c r="S529" s="41"/>
      <c r="T529" s="32"/>
      <c r="V529" s="32"/>
      <c r="W529" s="41"/>
      <c r="X529" s="32"/>
      <c r="Z529" s="32"/>
      <c r="AA529" s="41"/>
      <c r="AB529" s="41"/>
      <c r="AD529" s="32"/>
      <c r="AE529" s="41"/>
    </row>
    <row r="530" spans="1:31" s="30" customFormat="1" x14ac:dyDescent="0.25">
      <c r="A530" s="36"/>
      <c r="B530" s="31"/>
      <c r="C530" s="31"/>
      <c r="D530" s="32"/>
      <c r="H530" s="32"/>
      <c r="J530" s="32"/>
      <c r="K530" s="41"/>
      <c r="L530" s="32"/>
      <c r="N530" s="32"/>
      <c r="O530" s="41"/>
      <c r="P530" s="32"/>
      <c r="R530" s="32"/>
      <c r="S530" s="41"/>
      <c r="T530" s="32"/>
      <c r="V530" s="32"/>
      <c r="W530" s="41"/>
      <c r="X530" s="32"/>
      <c r="Z530" s="32"/>
      <c r="AA530" s="41"/>
      <c r="AB530" s="41"/>
      <c r="AD530" s="32"/>
      <c r="AE530" s="41"/>
    </row>
    <row r="531" spans="1:31" s="30" customFormat="1" x14ac:dyDescent="0.25">
      <c r="A531" s="36"/>
      <c r="B531" s="31"/>
      <c r="C531" s="31"/>
      <c r="D531" s="32"/>
      <c r="H531" s="32"/>
      <c r="J531" s="32"/>
      <c r="K531" s="41"/>
      <c r="L531" s="32"/>
      <c r="N531" s="32"/>
      <c r="O531" s="41"/>
      <c r="P531" s="32"/>
      <c r="R531" s="32"/>
      <c r="S531" s="41"/>
      <c r="T531" s="32"/>
      <c r="V531" s="32"/>
      <c r="W531" s="41"/>
      <c r="X531" s="32"/>
      <c r="Z531" s="32"/>
      <c r="AA531" s="41"/>
      <c r="AB531" s="41"/>
      <c r="AD531" s="32"/>
      <c r="AE531" s="41"/>
    </row>
    <row r="532" spans="1:31" s="30" customFormat="1" x14ac:dyDescent="0.25">
      <c r="A532" s="36"/>
      <c r="B532" s="31"/>
      <c r="C532" s="31"/>
      <c r="D532" s="32"/>
      <c r="H532" s="32"/>
      <c r="J532" s="32"/>
      <c r="K532" s="41"/>
      <c r="L532" s="32"/>
      <c r="N532" s="32"/>
      <c r="O532" s="41"/>
      <c r="P532" s="32"/>
      <c r="R532" s="32"/>
      <c r="S532" s="41"/>
      <c r="T532" s="32"/>
      <c r="V532" s="32"/>
      <c r="W532" s="41"/>
      <c r="X532" s="32"/>
      <c r="Z532" s="32"/>
      <c r="AA532" s="41"/>
      <c r="AB532" s="41"/>
      <c r="AD532" s="32"/>
      <c r="AE532" s="41"/>
    </row>
    <row r="533" spans="1:31" s="30" customFormat="1" x14ac:dyDescent="0.25">
      <c r="A533" s="36"/>
      <c r="B533" s="31"/>
      <c r="C533" s="31"/>
      <c r="D533" s="32"/>
      <c r="H533" s="32"/>
      <c r="J533" s="32"/>
      <c r="K533" s="41"/>
      <c r="L533" s="32"/>
      <c r="N533" s="32"/>
      <c r="O533" s="41"/>
      <c r="P533" s="32"/>
      <c r="R533" s="32"/>
      <c r="S533" s="41"/>
      <c r="T533" s="32"/>
      <c r="V533" s="32"/>
      <c r="W533" s="41"/>
      <c r="X533" s="32"/>
      <c r="Z533" s="32"/>
      <c r="AA533" s="41"/>
      <c r="AB533" s="41"/>
      <c r="AD533" s="32"/>
      <c r="AE533" s="41"/>
    </row>
    <row r="534" spans="1:31" s="30" customFormat="1" x14ac:dyDescent="0.25">
      <c r="A534" s="36"/>
      <c r="B534" s="31"/>
      <c r="C534" s="31"/>
      <c r="D534" s="32"/>
      <c r="H534" s="32"/>
      <c r="J534" s="32"/>
      <c r="K534" s="41"/>
      <c r="L534" s="32"/>
      <c r="N534" s="32"/>
      <c r="O534" s="41"/>
      <c r="P534" s="32"/>
      <c r="R534" s="32"/>
      <c r="S534" s="41"/>
      <c r="T534" s="32"/>
      <c r="V534" s="32"/>
      <c r="W534" s="41"/>
      <c r="X534" s="32"/>
      <c r="Z534" s="32"/>
      <c r="AA534" s="41"/>
      <c r="AB534" s="41"/>
      <c r="AD534" s="32"/>
      <c r="AE534" s="41"/>
    </row>
    <row r="535" spans="1:31" s="30" customFormat="1" x14ac:dyDescent="0.25">
      <c r="A535" s="36"/>
      <c r="B535" s="31"/>
      <c r="C535" s="31"/>
      <c r="D535" s="32"/>
      <c r="H535" s="32"/>
      <c r="J535" s="32"/>
      <c r="K535" s="41"/>
      <c r="L535" s="32"/>
      <c r="N535" s="32"/>
      <c r="O535" s="41"/>
      <c r="P535" s="32"/>
      <c r="R535" s="32"/>
      <c r="S535" s="41"/>
      <c r="T535" s="32"/>
      <c r="V535" s="32"/>
      <c r="W535" s="41"/>
      <c r="X535" s="32"/>
      <c r="Z535" s="32"/>
      <c r="AA535" s="41"/>
      <c r="AB535" s="41"/>
      <c r="AD535" s="32"/>
      <c r="AE535" s="41"/>
    </row>
    <row r="536" spans="1:31" s="30" customFormat="1" x14ac:dyDescent="0.25">
      <c r="A536" s="36"/>
      <c r="B536" s="31"/>
      <c r="C536" s="31"/>
      <c r="D536" s="32"/>
      <c r="H536" s="32"/>
      <c r="J536" s="32"/>
      <c r="K536" s="41"/>
      <c r="L536" s="32"/>
      <c r="N536" s="32"/>
      <c r="O536" s="41"/>
      <c r="P536" s="32"/>
      <c r="R536" s="32"/>
      <c r="S536" s="41"/>
      <c r="T536" s="32"/>
      <c r="V536" s="32"/>
      <c r="W536" s="41"/>
      <c r="X536" s="32"/>
      <c r="Z536" s="32"/>
      <c r="AA536" s="41"/>
      <c r="AB536" s="41"/>
      <c r="AD536" s="32"/>
      <c r="AE536" s="41"/>
    </row>
    <row r="537" spans="1:31" s="30" customFormat="1" x14ac:dyDescent="0.25">
      <c r="A537" s="36"/>
      <c r="B537" s="31"/>
      <c r="C537" s="31"/>
      <c r="D537" s="32"/>
      <c r="H537" s="32"/>
      <c r="J537" s="32"/>
      <c r="K537" s="41"/>
      <c r="L537" s="32"/>
      <c r="N537" s="32"/>
      <c r="O537" s="41"/>
      <c r="P537" s="32"/>
      <c r="R537" s="32"/>
      <c r="S537" s="41"/>
      <c r="T537" s="32"/>
      <c r="V537" s="32"/>
      <c r="W537" s="41"/>
      <c r="X537" s="32"/>
      <c r="Z537" s="32"/>
      <c r="AA537" s="41"/>
      <c r="AB537" s="41"/>
      <c r="AD537" s="32"/>
      <c r="AE537" s="41"/>
    </row>
    <row r="538" spans="1:31" s="30" customFormat="1" x14ac:dyDescent="0.25">
      <c r="A538" s="36"/>
      <c r="B538" s="31"/>
      <c r="C538" s="31"/>
      <c r="D538" s="32"/>
      <c r="H538" s="32"/>
      <c r="J538" s="32"/>
      <c r="K538" s="41"/>
      <c r="L538" s="32"/>
      <c r="N538" s="32"/>
      <c r="O538" s="41"/>
      <c r="P538" s="32"/>
      <c r="R538" s="32"/>
      <c r="S538" s="41"/>
      <c r="T538" s="32"/>
      <c r="V538" s="32"/>
      <c r="W538" s="41"/>
      <c r="X538" s="32"/>
      <c r="Z538" s="32"/>
      <c r="AA538" s="41"/>
      <c r="AB538" s="41"/>
      <c r="AD538" s="32"/>
      <c r="AE538" s="41"/>
    </row>
    <row r="539" spans="1:31" s="30" customFormat="1" x14ac:dyDescent="0.25">
      <c r="A539" s="36"/>
      <c r="B539" s="31"/>
      <c r="C539" s="31"/>
      <c r="D539" s="32"/>
      <c r="H539" s="32"/>
      <c r="J539" s="32"/>
      <c r="K539" s="41"/>
      <c r="L539" s="32"/>
      <c r="N539" s="32"/>
      <c r="O539" s="41"/>
      <c r="P539" s="32"/>
      <c r="R539" s="32"/>
      <c r="S539" s="41"/>
      <c r="T539" s="32"/>
      <c r="V539" s="32"/>
      <c r="W539" s="41"/>
      <c r="X539" s="32"/>
      <c r="Z539" s="32"/>
      <c r="AA539" s="41"/>
      <c r="AB539" s="41"/>
      <c r="AD539" s="32"/>
      <c r="AE539" s="41"/>
    </row>
    <row r="540" spans="1:31" s="30" customFormat="1" x14ac:dyDescent="0.25">
      <c r="A540" s="36"/>
      <c r="B540" s="31"/>
      <c r="C540" s="31"/>
      <c r="D540" s="32"/>
      <c r="H540" s="32"/>
      <c r="J540" s="32"/>
      <c r="K540" s="41"/>
      <c r="L540" s="32"/>
      <c r="N540" s="32"/>
      <c r="O540" s="41"/>
      <c r="P540" s="32"/>
      <c r="R540" s="32"/>
      <c r="S540" s="41"/>
      <c r="T540" s="32"/>
      <c r="V540" s="32"/>
      <c r="W540" s="41"/>
      <c r="X540" s="32"/>
      <c r="Z540" s="32"/>
      <c r="AA540" s="41"/>
      <c r="AB540" s="41"/>
      <c r="AD540" s="32"/>
      <c r="AE540" s="41"/>
    </row>
    <row r="541" spans="1:31" s="30" customFormat="1" x14ac:dyDescent="0.25">
      <c r="A541" s="36"/>
      <c r="B541" s="31"/>
      <c r="C541" s="31"/>
      <c r="D541" s="32"/>
      <c r="H541" s="32"/>
      <c r="J541" s="32"/>
      <c r="K541" s="41"/>
      <c r="L541" s="32"/>
      <c r="N541" s="32"/>
      <c r="O541" s="41"/>
      <c r="P541" s="32"/>
      <c r="R541" s="32"/>
      <c r="S541" s="41"/>
      <c r="T541" s="32"/>
      <c r="V541" s="32"/>
      <c r="W541" s="41"/>
      <c r="X541" s="32"/>
      <c r="Z541" s="32"/>
      <c r="AA541" s="41"/>
      <c r="AB541" s="41"/>
      <c r="AD541" s="32"/>
      <c r="AE541" s="41"/>
    </row>
    <row r="542" spans="1:31" s="30" customFormat="1" x14ac:dyDescent="0.25">
      <c r="A542" s="36"/>
      <c r="B542" s="31"/>
      <c r="C542" s="31"/>
      <c r="D542" s="32"/>
      <c r="H542" s="32"/>
      <c r="J542" s="32"/>
      <c r="K542" s="41"/>
      <c r="L542" s="32"/>
      <c r="N542" s="32"/>
      <c r="O542" s="41"/>
      <c r="P542" s="32"/>
      <c r="R542" s="32"/>
      <c r="S542" s="41"/>
      <c r="T542" s="32"/>
      <c r="V542" s="32"/>
      <c r="W542" s="41"/>
      <c r="X542" s="32"/>
      <c r="Z542" s="32"/>
      <c r="AA542" s="41"/>
      <c r="AB542" s="41"/>
      <c r="AD542" s="32"/>
      <c r="AE542" s="41"/>
    </row>
    <row r="543" spans="1:31" s="30" customFormat="1" x14ac:dyDescent="0.25">
      <c r="A543" s="36"/>
      <c r="B543" s="31"/>
      <c r="C543" s="31"/>
      <c r="D543" s="32"/>
      <c r="H543" s="32"/>
      <c r="J543" s="32"/>
      <c r="K543" s="41"/>
      <c r="L543" s="32"/>
      <c r="N543" s="32"/>
      <c r="O543" s="41"/>
      <c r="P543" s="32"/>
      <c r="R543" s="32"/>
      <c r="S543" s="41"/>
      <c r="T543" s="32"/>
      <c r="V543" s="32"/>
      <c r="W543" s="41"/>
      <c r="X543" s="32"/>
      <c r="Z543" s="32"/>
      <c r="AA543" s="41"/>
      <c r="AB543" s="41"/>
      <c r="AD543" s="32"/>
      <c r="AE543" s="41"/>
    </row>
    <row r="544" spans="1:31" s="30" customFormat="1" x14ac:dyDescent="0.25">
      <c r="A544" s="36"/>
      <c r="B544" s="31"/>
      <c r="C544" s="31"/>
      <c r="D544" s="32"/>
      <c r="H544" s="32"/>
      <c r="J544" s="32"/>
      <c r="K544" s="41"/>
      <c r="L544" s="32"/>
      <c r="N544" s="32"/>
      <c r="O544" s="41"/>
      <c r="P544" s="32"/>
      <c r="R544" s="32"/>
      <c r="S544" s="41"/>
      <c r="T544" s="32"/>
      <c r="V544" s="32"/>
      <c r="W544" s="41"/>
      <c r="X544" s="32"/>
      <c r="Z544" s="32"/>
      <c r="AA544" s="41"/>
      <c r="AB544" s="41"/>
      <c r="AD544" s="32"/>
      <c r="AE544" s="41"/>
    </row>
    <row r="545" spans="1:31" s="30" customFormat="1" x14ac:dyDescent="0.25">
      <c r="A545" s="36"/>
      <c r="B545" s="31"/>
      <c r="C545" s="31"/>
      <c r="D545" s="32"/>
      <c r="H545" s="32"/>
      <c r="J545" s="32"/>
      <c r="K545" s="41"/>
      <c r="L545" s="32"/>
      <c r="N545" s="32"/>
      <c r="O545" s="41"/>
      <c r="P545" s="32"/>
      <c r="R545" s="32"/>
      <c r="S545" s="41"/>
      <c r="T545" s="32"/>
      <c r="V545" s="32"/>
      <c r="W545" s="41"/>
      <c r="X545" s="32"/>
      <c r="Z545" s="32"/>
      <c r="AA545" s="41"/>
      <c r="AB545" s="41"/>
      <c r="AD545" s="32"/>
      <c r="AE545" s="41"/>
    </row>
    <row r="546" spans="1:31" s="30" customFormat="1" x14ac:dyDescent="0.25">
      <c r="A546" s="36"/>
      <c r="B546" s="31"/>
      <c r="C546" s="31"/>
      <c r="D546" s="32"/>
      <c r="H546" s="32"/>
      <c r="J546" s="32"/>
      <c r="K546" s="41"/>
      <c r="L546" s="32"/>
      <c r="N546" s="32"/>
      <c r="O546" s="41"/>
      <c r="P546" s="32"/>
      <c r="R546" s="32"/>
      <c r="S546" s="41"/>
      <c r="T546" s="32"/>
      <c r="V546" s="32"/>
      <c r="W546" s="41"/>
      <c r="X546" s="32"/>
      <c r="Z546" s="32"/>
      <c r="AA546" s="41"/>
      <c r="AB546" s="41"/>
      <c r="AD546" s="32"/>
      <c r="AE546" s="41"/>
    </row>
    <row r="547" spans="1:31" s="30" customFormat="1" x14ac:dyDescent="0.25">
      <c r="A547" s="36"/>
      <c r="B547" s="31"/>
      <c r="C547" s="31"/>
      <c r="D547" s="32"/>
      <c r="H547" s="32"/>
      <c r="J547" s="32"/>
      <c r="K547" s="41"/>
      <c r="L547" s="32"/>
      <c r="N547" s="32"/>
      <c r="O547" s="41"/>
      <c r="P547" s="32"/>
      <c r="R547" s="32"/>
      <c r="S547" s="41"/>
      <c r="T547" s="32"/>
      <c r="V547" s="32"/>
      <c r="W547" s="41"/>
      <c r="X547" s="32"/>
      <c r="Z547" s="32"/>
      <c r="AA547" s="41"/>
      <c r="AB547" s="41"/>
      <c r="AD547" s="32"/>
      <c r="AE547" s="41"/>
    </row>
    <row r="548" spans="1:31" s="30" customFormat="1" x14ac:dyDescent="0.25">
      <c r="A548" s="36"/>
      <c r="B548" s="31"/>
      <c r="C548" s="31"/>
      <c r="D548" s="32"/>
      <c r="H548" s="32"/>
      <c r="J548" s="32"/>
      <c r="K548" s="41"/>
      <c r="L548" s="32"/>
      <c r="N548" s="32"/>
      <c r="O548" s="41"/>
      <c r="P548" s="32"/>
      <c r="R548" s="32"/>
      <c r="S548" s="41"/>
      <c r="T548" s="32"/>
      <c r="V548" s="32"/>
      <c r="W548" s="41"/>
      <c r="X548" s="32"/>
      <c r="Z548" s="32"/>
      <c r="AA548" s="41"/>
      <c r="AB548" s="41"/>
      <c r="AD548" s="32"/>
      <c r="AE548" s="41"/>
    </row>
    <row r="549" spans="1:31" s="30" customFormat="1" x14ac:dyDescent="0.25">
      <c r="A549" s="36"/>
      <c r="B549" s="31"/>
      <c r="C549" s="31"/>
      <c r="D549" s="32"/>
      <c r="H549" s="32"/>
      <c r="J549" s="32"/>
      <c r="K549" s="41"/>
      <c r="L549" s="32"/>
      <c r="N549" s="32"/>
      <c r="O549" s="41"/>
      <c r="P549" s="32"/>
      <c r="R549" s="32"/>
      <c r="S549" s="41"/>
      <c r="T549" s="32"/>
      <c r="V549" s="32"/>
      <c r="W549" s="41"/>
      <c r="X549" s="32"/>
      <c r="Z549" s="32"/>
      <c r="AA549" s="41"/>
      <c r="AB549" s="41"/>
      <c r="AD549" s="32"/>
      <c r="AE549" s="41"/>
    </row>
    <row r="550" spans="1:31" s="30" customFormat="1" x14ac:dyDescent="0.25">
      <c r="A550" s="36"/>
      <c r="B550" s="31"/>
      <c r="C550" s="31"/>
      <c r="D550" s="32"/>
      <c r="H550" s="32"/>
      <c r="J550" s="32"/>
      <c r="K550" s="41"/>
      <c r="L550" s="32"/>
      <c r="N550" s="32"/>
      <c r="O550" s="41"/>
      <c r="P550" s="32"/>
      <c r="R550" s="32"/>
      <c r="S550" s="41"/>
      <c r="T550" s="32"/>
      <c r="V550" s="32"/>
      <c r="W550" s="41"/>
      <c r="X550" s="32"/>
      <c r="Z550" s="32"/>
      <c r="AA550" s="41"/>
      <c r="AB550" s="41"/>
      <c r="AD550" s="32"/>
      <c r="AE550" s="41"/>
    </row>
    <row r="551" spans="1:31" s="30" customFormat="1" x14ac:dyDescent="0.25">
      <c r="A551" s="36"/>
      <c r="B551" s="31"/>
      <c r="C551" s="31"/>
      <c r="D551" s="32"/>
      <c r="H551" s="32"/>
      <c r="J551" s="32"/>
      <c r="K551" s="41"/>
      <c r="L551" s="32"/>
      <c r="N551" s="32"/>
      <c r="O551" s="41"/>
      <c r="P551" s="32"/>
      <c r="R551" s="32"/>
      <c r="S551" s="41"/>
      <c r="T551" s="32"/>
      <c r="V551" s="32"/>
      <c r="W551" s="41"/>
      <c r="X551" s="32"/>
      <c r="Z551" s="32"/>
      <c r="AA551" s="41"/>
      <c r="AB551" s="41"/>
      <c r="AD551" s="32"/>
      <c r="AE551" s="41"/>
    </row>
    <row r="552" spans="1:31" s="30" customFormat="1" x14ac:dyDescent="0.25">
      <c r="A552" s="36"/>
      <c r="B552" s="31"/>
      <c r="C552" s="31"/>
      <c r="D552" s="32"/>
      <c r="H552" s="32"/>
      <c r="J552" s="32"/>
      <c r="K552" s="41"/>
      <c r="L552" s="32"/>
      <c r="N552" s="32"/>
      <c r="O552" s="41"/>
      <c r="P552" s="32"/>
      <c r="R552" s="32"/>
      <c r="S552" s="41"/>
      <c r="T552" s="32"/>
      <c r="V552" s="32"/>
      <c r="W552" s="41"/>
      <c r="X552" s="32"/>
      <c r="Z552" s="32"/>
      <c r="AA552" s="41"/>
      <c r="AB552" s="41"/>
      <c r="AD552" s="32"/>
      <c r="AE552" s="41"/>
    </row>
    <row r="553" spans="1:31" s="30" customFormat="1" x14ac:dyDescent="0.25">
      <c r="A553" s="36"/>
      <c r="B553" s="31"/>
      <c r="C553" s="31"/>
      <c r="D553" s="32"/>
      <c r="H553" s="32"/>
      <c r="J553" s="32"/>
      <c r="K553" s="41"/>
      <c r="L553" s="32"/>
      <c r="N553" s="32"/>
      <c r="O553" s="41"/>
      <c r="P553" s="32"/>
      <c r="R553" s="32"/>
      <c r="S553" s="41"/>
      <c r="T553" s="32"/>
      <c r="V553" s="32"/>
      <c r="W553" s="41"/>
      <c r="X553" s="32"/>
      <c r="Z553" s="32"/>
      <c r="AA553" s="41"/>
      <c r="AB553" s="41"/>
      <c r="AD553" s="32"/>
      <c r="AE553" s="41"/>
    </row>
    <row r="554" spans="1:31" s="30" customFormat="1" x14ac:dyDescent="0.25">
      <c r="A554" s="36"/>
      <c r="B554" s="31"/>
      <c r="C554" s="31"/>
      <c r="D554" s="32"/>
      <c r="H554" s="32"/>
      <c r="J554" s="32"/>
      <c r="K554" s="41"/>
      <c r="L554" s="32"/>
      <c r="N554" s="32"/>
      <c r="O554" s="41"/>
      <c r="P554" s="32"/>
      <c r="R554" s="32"/>
      <c r="S554" s="41"/>
      <c r="T554" s="32"/>
      <c r="V554" s="32"/>
      <c r="W554" s="41"/>
      <c r="X554" s="32"/>
      <c r="Z554" s="32"/>
      <c r="AA554" s="41"/>
      <c r="AB554" s="41"/>
      <c r="AD554" s="32"/>
      <c r="AE554" s="41"/>
    </row>
    <row r="555" spans="1:31" s="30" customFormat="1" x14ac:dyDescent="0.25">
      <c r="A555" s="36"/>
      <c r="B555" s="31"/>
      <c r="C555" s="31"/>
      <c r="D555" s="32"/>
      <c r="H555" s="32"/>
      <c r="J555" s="32"/>
      <c r="K555" s="41"/>
      <c r="L555" s="32"/>
      <c r="N555" s="32"/>
      <c r="O555" s="41"/>
      <c r="P555" s="32"/>
      <c r="R555" s="32"/>
      <c r="S555" s="41"/>
      <c r="T555" s="32"/>
      <c r="V555" s="32"/>
      <c r="W555" s="41"/>
      <c r="X555" s="32"/>
      <c r="Z555" s="32"/>
      <c r="AA555" s="41"/>
      <c r="AB555" s="41"/>
      <c r="AD555" s="32"/>
      <c r="AE555" s="41"/>
    </row>
    <row r="556" spans="1:31" s="30" customFormat="1" x14ac:dyDescent="0.25">
      <c r="A556" s="36"/>
      <c r="B556" s="31"/>
      <c r="C556" s="31"/>
      <c r="D556" s="32"/>
      <c r="H556" s="32"/>
      <c r="J556" s="32"/>
      <c r="K556" s="41"/>
      <c r="L556" s="32"/>
      <c r="N556" s="32"/>
      <c r="O556" s="41"/>
      <c r="P556" s="32"/>
      <c r="R556" s="32"/>
      <c r="S556" s="41"/>
      <c r="T556" s="32"/>
      <c r="V556" s="32"/>
      <c r="W556" s="41"/>
      <c r="X556" s="32"/>
      <c r="Z556" s="32"/>
      <c r="AA556" s="41"/>
      <c r="AB556" s="41"/>
      <c r="AD556" s="32"/>
      <c r="AE556" s="41"/>
    </row>
    <row r="557" spans="1:31" s="30" customFormat="1" x14ac:dyDescent="0.25">
      <c r="A557" s="36"/>
      <c r="B557" s="31"/>
      <c r="C557" s="31"/>
      <c r="D557" s="32"/>
      <c r="H557" s="32"/>
      <c r="J557" s="32"/>
      <c r="K557" s="41"/>
      <c r="L557" s="32"/>
      <c r="N557" s="32"/>
      <c r="O557" s="41"/>
      <c r="P557" s="32"/>
      <c r="R557" s="32"/>
      <c r="S557" s="41"/>
      <c r="T557" s="32"/>
      <c r="V557" s="32"/>
      <c r="W557" s="41"/>
      <c r="X557" s="32"/>
      <c r="Z557" s="32"/>
      <c r="AA557" s="41"/>
      <c r="AB557" s="41"/>
      <c r="AD557" s="32"/>
      <c r="AE557" s="41"/>
    </row>
    <row r="558" spans="1:31" s="30" customFormat="1" x14ac:dyDescent="0.25">
      <c r="A558" s="36"/>
      <c r="B558" s="31"/>
      <c r="C558" s="31"/>
      <c r="D558" s="32"/>
      <c r="H558" s="32"/>
      <c r="J558" s="32"/>
      <c r="K558" s="41"/>
      <c r="L558" s="32"/>
      <c r="N558" s="32"/>
      <c r="O558" s="41"/>
      <c r="P558" s="32"/>
      <c r="R558" s="32"/>
      <c r="S558" s="41"/>
      <c r="T558" s="32"/>
      <c r="V558" s="32"/>
      <c r="W558" s="41"/>
      <c r="X558" s="32"/>
      <c r="Z558" s="32"/>
      <c r="AA558" s="41"/>
      <c r="AB558" s="41"/>
      <c r="AD558" s="32"/>
      <c r="AE558" s="41"/>
    </row>
    <row r="559" spans="1:31" s="30" customFormat="1" x14ac:dyDescent="0.25">
      <c r="A559" s="36"/>
      <c r="B559" s="31"/>
      <c r="C559" s="31"/>
      <c r="D559" s="32"/>
      <c r="H559" s="32"/>
      <c r="J559" s="32"/>
      <c r="K559" s="41"/>
      <c r="L559" s="32"/>
      <c r="N559" s="32"/>
      <c r="O559" s="41"/>
      <c r="P559" s="32"/>
      <c r="R559" s="32"/>
      <c r="S559" s="41"/>
      <c r="T559" s="32"/>
      <c r="V559" s="32"/>
      <c r="W559" s="41"/>
      <c r="X559" s="32"/>
      <c r="Z559" s="32"/>
      <c r="AA559" s="41"/>
      <c r="AB559" s="41"/>
      <c r="AD559" s="32"/>
      <c r="AE559" s="41"/>
    </row>
    <row r="560" spans="1:31" s="30" customFormat="1" x14ac:dyDescent="0.25">
      <c r="A560" s="36"/>
      <c r="B560" s="31"/>
      <c r="C560" s="31"/>
      <c r="D560" s="32"/>
      <c r="H560" s="32"/>
      <c r="J560" s="32"/>
      <c r="K560" s="41"/>
      <c r="L560" s="32"/>
      <c r="N560" s="32"/>
      <c r="O560" s="41"/>
      <c r="P560" s="32"/>
      <c r="R560" s="32"/>
      <c r="S560" s="41"/>
      <c r="T560" s="32"/>
      <c r="V560" s="32"/>
      <c r="W560" s="41"/>
      <c r="X560" s="32"/>
      <c r="Z560" s="32"/>
      <c r="AA560" s="41"/>
      <c r="AB560" s="41"/>
      <c r="AD560" s="32"/>
      <c r="AE560" s="41"/>
    </row>
    <row r="561" spans="1:31" s="30" customFormat="1" x14ac:dyDescent="0.25">
      <c r="A561" s="36"/>
      <c r="B561" s="31"/>
      <c r="C561" s="31"/>
      <c r="D561" s="32"/>
      <c r="H561" s="32"/>
      <c r="J561" s="32"/>
      <c r="K561" s="41"/>
      <c r="L561" s="32"/>
      <c r="N561" s="32"/>
      <c r="O561" s="41"/>
      <c r="P561" s="32"/>
      <c r="R561" s="32"/>
      <c r="S561" s="41"/>
      <c r="T561" s="32"/>
      <c r="V561" s="32"/>
      <c r="W561" s="41"/>
      <c r="X561" s="32"/>
      <c r="Z561" s="32"/>
      <c r="AA561" s="41"/>
      <c r="AB561" s="41"/>
      <c r="AD561" s="32"/>
      <c r="AE561" s="41"/>
    </row>
    <row r="562" spans="1:31" s="30" customFormat="1" x14ac:dyDescent="0.25">
      <c r="A562" s="36"/>
      <c r="B562" s="31"/>
      <c r="C562" s="31"/>
      <c r="D562" s="32"/>
      <c r="H562" s="32"/>
      <c r="J562" s="32"/>
      <c r="K562" s="41"/>
      <c r="L562" s="32"/>
      <c r="N562" s="32"/>
      <c r="O562" s="41"/>
      <c r="P562" s="32"/>
      <c r="R562" s="32"/>
      <c r="S562" s="41"/>
      <c r="T562" s="32"/>
      <c r="V562" s="32"/>
      <c r="W562" s="41"/>
      <c r="X562" s="32"/>
      <c r="Z562" s="32"/>
      <c r="AA562" s="41"/>
      <c r="AB562" s="41"/>
      <c r="AD562" s="32"/>
      <c r="AE562" s="41"/>
    </row>
    <row r="563" spans="1:31" s="30" customFormat="1" x14ac:dyDescent="0.25">
      <c r="A563" s="36"/>
      <c r="B563" s="31"/>
      <c r="C563" s="31"/>
      <c r="D563" s="32"/>
      <c r="H563" s="32"/>
      <c r="J563" s="32"/>
      <c r="K563" s="41"/>
      <c r="L563" s="32"/>
      <c r="N563" s="32"/>
      <c r="O563" s="41"/>
      <c r="P563" s="32"/>
      <c r="R563" s="32"/>
      <c r="S563" s="41"/>
      <c r="T563" s="32"/>
      <c r="V563" s="32"/>
      <c r="W563" s="41"/>
      <c r="X563" s="32"/>
      <c r="Z563" s="32"/>
      <c r="AA563" s="41"/>
      <c r="AB563" s="41"/>
      <c r="AD563" s="32"/>
      <c r="AE563" s="41"/>
    </row>
    <row r="564" spans="1:31" s="30" customFormat="1" x14ac:dyDescent="0.25">
      <c r="A564" s="36"/>
      <c r="B564" s="31"/>
      <c r="C564" s="31"/>
      <c r="D564" s="32"/>
      <c r="H564" s="32"/>
      <c r="J564" s="32"/>
      <c r="K564" s="41"/>
      <c r="L564" s="32"/>
      <c r="N564" s="32"/>
      <c r="O564" s="41"/>
      <c r="P564" s="32"/>
      <c r="R564" s="32"/>
      <c r="S564" s="41"/>
      <c r="T564" s="32"/>
      <c r="V564" s="32"/>
      <c r="W564" s="41"/>
      <c r="X564" s="32"/>
      <c r="Z564" s="32"/>
      <c r="AA564" s="41"/>
      <c r="AB564" s="41"/>
      <c r="AD564" s="32"/>
      <c r="AE564" s="41"/>
    </row>
    <row r="565" spans="1:31" s="30" customFormat="1" x14ac:dyDescent="0.25">
      <c r="A565" s="36"/>
      <c r="B565" s="31"/>
      <c r="C565" s="31"/>
      <c r="D565" s="32"/>
      <c r="H565" s="32"/>
      <c r="J565" s="32"/>
      <c r="K565" s="41"/>
      <c r="L565" s="32"/>
      <c r="N565" s="32"/>
      <c r="O565" s="41"/>
      <c r="P565" s="32"/>
      <c r="R565" s="32"/>
      <c r="S565" s="41"/>
      <c r="T565" s="32"/>
      <c r="V565" s="32"/>
      <c r="W565" s="41"/>
      <c r="X565" s="32"/>
      <c r="Z565" s="32"/>
      <c r="AA565" s="41"/>
      <c r="AB565" s="41"/>
      <c r="AD565" s="32"/>
      <c r="AE565" s="41"/>
    </row>
    <row r="566" spans="1:31" s="30" customFormat="1" x14ac:dyDescent="0.25">
      <c r="A566" s="36"/>
      <c r="B566" s="31"/>
      <c r="C566" s="31"/>
      <c r="D566" s="32"/>
      <c r="H566" s="32"/>
      <c r="J566" s="32"/>
      <c r="K566" s="41"/>
      <c r="L566" s="32"/>
      <c r="N566" s="32"/>
      <c r="O566" s="41"/>
      <c r="P566" s="32"/>
      <c r="R566" s="32"/>
      <c r="S566" s="41"/>
      <c r="T566" s="32"/>
      <c r="V566" s="32"/>
      <c r="W566" s="41"/>
      <c r="X566" s="32"/>
      <c r="Z566" s="32"/>
      <c r="AA566" s="41"/>
      <c r="AB566" s="41"/>
      <c r="AD566" s="32"/>
      <c r="AE566" s="41"/>
    </row>
    <row r="567" spans="1:31" s="30" customFormat="1" x14ac:dyDescent="0.25">
      <c r="A567" s="36"/>
      <c r="B567" s="31"/>
      <c r="C567" s="31"/>
      <c r="D567" s="32"/>
      <c r="H567" s="32"/>
      <c r="J567" s="32"/>
      <c r="K567" s="41"/>
      <c r="L567" s="32"/>
      <c r="N567" s="32"/>
      <c r="O567" s="41"/>
      <c r="P567" s="32"/>
      <c r="R567" s="32"/>
      <c r="S567" s="41"/>
      <c r="T567" s="32"/>
      <c r="V567" s="32"/>
      <c r="W567" s="41"/>
      <c r="X567" s="32"/>
      <c r="Z567" s="32"/>
      <c r="AA567" s="41"/>
      <c r="AB567" s="41"/>
      <c r="AD567" s="32"/>
      <c r="AE567" s="41"/>
    </row>
    <row r="568" spans="1:31" s="30" customFormat="1" x14ac:dyDescent="0.25">
      <c r="A568" s="36"/>
      <c r="B568" s="31"/>
      <c r="C568" s="31"/>
      <c r="D568" s="32"/>
      <c r="H568" s="32"/>
      <c r="J568" s="32"/>
      <c r="K568" s="41"/>
      <c r="L568" s="32"/>
      <c r="N568" s="32"/>
      <c r="O568" s="41"/>
      <c r="P568" s="32"/>
      <c r="R568" s="32"/>
      <c r="S568" s="41"/>
      <c r="T568" s="32"/>
      <c r="V568" s="32"/>
      <c r="W568" s="41"/>
      <c r="X568" s="32"/>
      <c r="Z568" s="32"/>
      <c r="AA568" s="41"/>
      <c r="AB568" s="41"/>
      <c r="AD568" s="32"/>
      <c r="AE568" s="41"/>
    </row>
    <row r="569" spans="1:31" s="30" customFormat="1" x14ac:dyDescent="0.25">
      <c r="A569" s="36"/>
      <c r="B569" s="31"/>
      <c r="C569" s="31"/>
      <c r="D569" s="32"/>
      <c r="H569" s="32"/>
      <c r="J569" s="32"/>
      <c r="K569" s="41"/>
      <c r="L569" s="32"/>
      <c r="N569" s="32"/>
      <c r="O569" s="41"/>
      <c r="P569" s="32"/>
      <c r="R569" s="32"/>
      <c r="S569" s="41"/>
      <c r="T569" s="32"/>
      <c r="V569" s="32"/>
      <c r="W569" s="41"/>
      <c r="X569" s="32"/>
      <c r="Z569" s="32"/>
      <c r="AA569" s="41"/>
      <c r="AB569" s="41"/>
      <c r="AD569" s="32"/>
      <c r="AE569" s="41"/>
    </row>
    <row r="570" spans="1:31" s="30" customFormat="1" x14ac:dyDescent="0.25">
      <c r="A570" s="36"/>
      <c r="B570" s="31"/>
      <c r="C570" s="31"/>
      <c r="D570" s="32"/>
      <c r="H570" s="32"/>
      <c r="J570" s="32"/>
      <c r="K570" s="41"/>
      <c r="L570" s="32"/>
      <c r="N570" s="32"/>
      <c r="O570" s="41"/>
      <c r="P570" s="32"/>
      <c r="R570" s="32"/>
      <c r="S570" s="41"/>
      <c r="T570" s="32"/>
      <c r="V570" s="32"/>
      <c r="W570" s="41"/>
      <c r="X570" s="32"/>
      <c r="Z570" s="32"/>
      <c r="AA570" s="41"/>
      <c r="AB570" s="41"/>
      <c r="AD570" s="32"/>
      <c r="AE570" s="41"/>
    </row>
    <row r="571" spans="1:31" s="30" customFormat="1" x14ac:dyDescent="0.25">
      <c r="A571" s="36"/>
      <c r="B571" s="31"/>
      <c r="C571" s="31"/>
      <c r="D571" s="32"/>
      <c r="H571" s="32"/>
      <c r="J571" s="32"/>
      <c r="K571" s="41"/>
      <c r="L571" s="32"/>
      <c r="N571" s="32"/>
      <c r="O571" s="41"/>
      <c r="P571" s="32"/>
      <c r="R571" s="32"/>
      <c r="S571" s="41"/>
      <c r="T571" s="32"/>
      <c r="V571" s="32"/>
      <c r="W571" s="41"/>
      <c r="X571" s="32"/>
      <c r="Z571" s="32"/>
      <c r="AA571" s="41"/>
      <c r="AB571" s="41"/>
      <c r="AD571" s="32"/>
      <c r="AE571" s="41"/>
    </row>
    <row r="572" spans="1:31" s="30" customFormat="1" x14ac:dyDescent="0.25">
      <c r="A572" s="36"/>
      <c r="B572" s="31"/>
      <c r="C572" s="31"/>
      <c r="D572" s="32"/>
      <c r="H572" s="32"/>
      <c r="J572" s="32"/>
      <c r="K572" s="41"/>
      <c r="L572" s="32"/>
      <c r="N572" s="32"/>
      <c r="O572" s="41"/>
      <c r="P572" s="32"/>
      <c r="R572" s="32"/>
      <c r="S572" s="41"/>
      <c r="T572" s="32"/>
      <c r="V572" s="32"/>
      <c r="W572" s="41"/>
      <c r="X572" s="32"/>
      <c r="Z572" s="32"/>
      <c r="AA572" s="41"/>
      <c r="AB572" s="41"/>
      <c r="AD572" s="32"/>
      <c r="AE572" s="41"/>
    </row>
    <row r="573" spans="1:31" s="30" customFormat="1" x14ac:dyDescent="0.25">
      <c r="A573" s="36"/>
      <c r="B573" s="31"/>
      <c r="C573" s="31"/>
      <c r="D573" s="32"/>
      <c r="H573" s="32"/>
      <c r="J573" s="32"/>
      <c r="K573" s="41"/>
      <c r="L573" s="32"/>
      <c r="N573" s="32"/>
      <c r="O573" s="41"/>
      <c r="P573" s="32"/>
      <c r="R573" s="32"/>
      <c r="S573" s="41"/>
      <c r="T573" s="32"/>
      <c r="V573" s="32"/>
      <c r="W573" s="41"/>
      <c r="X573" s="32"/>
      <c r="Z573" s="32"/>
      <c r="AA573" s="41"/>
      <c r="AB573" s="41"/>
      <c r="AD573" s="32"/>
      <c r="AE573" s="41"/>
    </row>
    <row r="574" spans="1:31" s="30" customFormat="1" x14ac:dyDescent="0.25">
      <c r="A574" s="36"/>
      <c r="B574" s="31"/>
      <c r="C574" s="31"/>
      <c r="D574" s="32"/>
      <c r="H574" s="32"/>
      <c r="J574" s="32"/>
      <c r="K574" s="41"/>
      <c r="L574" s="32"/>
      <c r="N574" s="32"/>
      <c r="O574" s="41"/>
      <c r="P574" s="32"/>
      <c r="R574" s="32"/>
      <c r="S574" s="41"/>
      <c r="T574" s="32"/>
      <c r="V574" s="32"/>
      <c r="W574" s="41"/>
      <c r="X574" s="32"/>
      <c r="Z574" s="32"/>
      <c r="AA574" s="41"/>
      <c r="AB574" s="41"/>
      <c r="AD574" s="32"/>
      <c r="AE574" s="41"/>
    </row>
    <row r="575" spans="1:31" s="30" customFormat="1" x14ac:dyDescent="0.25">
      <c r="A575" s="36"/>
      <c r="B575" s="31"/>
      <c r="C575" s="31"/>
      <c r="D575" s="32"/>
      <c r="H575" s="32"/>
      <c r="J575" s="32"/>
      <c r="K575" s="41"/>
      <c r="L575" s="32"/>
      <c r="N575" s="32"/>
      <c r="O575" s="41"/>
      <c r="P575" s="32"/>
      <c r="R575" s="32"/>
      <c r="S575" s="41"/>
      <c r="T575" s="32"/>
      <c r="V575" s="32"/>
      <c r="W575" s="41"/>
      <c r="X575" s="32"/>
      <c r="Z575" s="32"/>
      <c r="AA575" s="41"/>
      <c r="AB575" s="41"/>
      <c r="AD575" s="32"/>
      <c r="AE575" s="41"/>
    </row>
    <row r="576" spans="1:31" s="30" customFormat="1" x14ac:dyDescent="0.25">
      <c r="A576" s="36"/>
      <c r="B576" s="31"/>
      <c r="C576" s="31"/>
      <c r="D576" s="32"/>
      <c r="H576" s="32"/>
      <c r="J576" s="32"/>
      <c r="K576" s="41"/>
      <c r="L576" s="32"/>
      <c r="N576" s="32"/>
      <c r="O576" s="41"/>
      <c r="P576" s="32"/>
      <c r="R576" s="32"/>
      <c r="S576" s="41"/>
      <c r="T576" s="32"/>
      <c r="V576" s="32"/>
      <c r="W576" s="41"/>
      <c r="X576" s="32"/>
      <c r="Z576" s="32"/>
      <c r="AA576" s="41"/>
      <c r="AB576" s="41"/>
      <c r="AD576" s="32"/>
      <c r="AE576" s="41"/>
    </row>
    <row r="577" spans="1:31" s="30" customFormat="1" x14ac:dyDescent="0.25">
      <c r="A577" s="36"/>
      <c r="B577" s="31"/>
      <c r="C577" s="31"/>
      <c r="D577" s="32"/>
      <c r="H577" s="32"/>
      <c r="J577" s="32"/>
      <c r="K577" s="41"/>
      <c r="L577" s="32"/>
      <c r="N577" s="32"/>
      <c r="O577" s="41"/>
      <c r="P577" s="32"/>
      <c r="R577" s="32"/>
      <c r="S577" s="41"/>
      <c r="T577" s="32"/>
      <c r="V577" s="32"/>
      <c r="W577" s="41"/>
      <c r="X577" s="32"/>
      <c r="Z577" s="32"/>
      <c r="AA577" s="41"/>
      <c r="AB577" s="41"/>
      <c r="AD577" s="32"/>
      <c r="AE577" s="41"/>
    </row>
    <row r="578" spans="1:31" s="30" customFormat="1" x14ac:dyDescent="0.25">
      <c r="A578" s="36"/>
      <c r="B578" s="31"/>
      <c r="C578" s="31"/>
      <c r="D578" s="32"/>
      <c r="H578" s="32"/>
      <c r="J578" s="32"/>
      <c r="K578" s="41"/>
      <c r="L578" s="32"/>
      <c r="N578" s="32"/>
      <c r="O578" s="41"/>
      <c r="P578" s="32"/>
      <c r="R578" s="32"/>
      <c r="S578" s="41"/>
      <c r="T578" s="32"/>
      <c r="V578" s="32"/>
      <c r="W578" s="41"/>
      <c r="X578" s="32"/>
      <c r="Z578" s="32"/>
      <c r="AA578" s="41"/>
      <c r="AB578" s="41"/>
      <c r="AD578" s="32"/>
      <c r="AE578" s="41"/>
    </row>
    <row r="579" spans="1:31" s="30" customFormat="1" x14ac:dyDescent="0.25">
      <c r="A579" s="36"/>
      <c r="B579" s="31"/>
      <c r="C579" s="31"/>
      <c r="D579" s="32"/>
      <c r="H579" s="32"/>
      <c r="J579" s="32"/>
      <c r="K579" s="41"/>
      <c r="L579" s="32"/>
      <c r="N579" s="32"/>
      <c r="O579" s="41"/>
      <c r="P579" s="32"/>
      <c r="R579" s="32"/>
      <c r="S579" s="41"/>
      <c r="T579" s="32"/>
      <c r="V579" s="32"/>
      <c r="W579" s="41"/>
      <c r="X579" s="32"/>
      <c r="Z579" s="32"/>
      <c r="AA579" s="41"/>
      <c r="AB579" s="41"/>
      <c r="AD579" s="32"/>
      <c r="AE579" s="41"/>
    </row>
    <row r="580" spans="1:31" s="30" customFormat="1" x14ac:dyDescent="0.25">
      <c r="A580" s="36"/>
      <c r="B580" s="31"/>
      <c r="C580" s="31"/>
      <c r="D580" s="32"/>
      <c r="H580" s="32"/>
      <c r="J580" s="32"/>
      <c r="K580" s="41"/>
      <c r="L580" s="32"/>
      <c r="N580" s="32"/>
      <c r="O580" s="41"/>
      <c r="P580" s="32"/>
      <c r="R580" s="32"/>
      <c r="S580" s="41"/>
      <c r="T580" s="32"/>
      <c r="V580" s="32"/>
      <c r="W580" s="41"/>
      <c r="X580" s="32"/>
      <c r="Z580" s="32"/>
      <c r="AA580" s="41"/>
      <c r="AB580" s="41"/>
      <c r="AD580" s="32"/>
      <c r="AE580" s="41"/>
    </row>
    <row r="581" spans="1:31" s="30" customFormat="1" x14ac:dyDescent="0.25">
      <c r="A581" s="36"/>
      <c r="B581" s="31"/>
      <c r="C581" s="31"/>
      <c r="D581" s="32"/>
      <c r="H581" s="32"/>
      <c r="J581" s="32"/>
      <c r="K581" s="41"/>
      <c r="L581" s="32"/>
      <c r="N581" s="32"/>
      <c r="O581" s="41"/>
      <c r="P581" s="32"/>
      <c r="R581" s="32"/>
      <c r="S581" s="41"/>
      <c r="T581" s="32"/>
      <c r="V581" s="32"/>
      <c r="W581" s="41"/>
      <c r="X581" s="32"/>
      <c r="Z581" s="32"/>
      <c r="AA581" s="41"/>
      <c r="AB581" s="41"/>
      <c r="AD581" s="32"/>
      <c r="AE581" s="41"/>
    </row>
    <row r="582" spans="1:31" s="30" customFormat="1" x14ac:dyDescent="0.25">
      <c r="A582" s="36"/>
      <c r="B582" s="31"/>
      <c r="C582" s="31"/>
      <c r="D582" s="32"/>
      <c r="H582" s="32"/>
      <c r="J582" s="32"/>
      <c r="K582" s="41"/>
      <c r="L582" s="32"/>
      <c r="N582" s="32"/>
      <c r="O582" s="41"/>
      <c r="P582" s="32"/>
      <c r="R582" s="32"/>
      <c r="S582" s="41"/>
      <c r="T582" s="32"/>
      <c r="V582" s="32"/>
      <c r="W582" s="41"/>
      <c r="X582" s="32"/>
      <c r="Z582" s="32"/>
      <c r="AA582" s="41"/>
      <c r="AB582" s="41"/>
      <c r="AD582" s="32"/>
      <c r="AE582" s="41"/>
    </row>
    <row r="583" spans="1:31" s="30" customFormat="1" x14ac:dyDescent="0.25">
      <c r="A583" s="36"/>
      <c r="B583" s="31"/>
      <c r="C583" s="31"/>
      <c r="D583" s="32"/>
      <c r="H583" s="32"/>
      <c r="J583" s="32"/>
      <c r="K583" s="41"/>
      <c r="L583" s="32"/>
      <c r="N583" s="32"/>
      <c r="O583" s="41"/>
      <c r="P583" s="32"/>
      <c r="R583" s="32"/>
      <c r="S583" s="41"/>
      <c r="T583" s="32"/>
      <c r="V583" s="32"/>
      <c r="W583" s="41"/>
      <c r="X583" s="32"/>
      <c r="Z583" s="32"/>
      <c r="AA583" s="41"/>
      <c r="AB583" s="41"/>
      <c r="AD583" s="32"/>
      <c r="AE583" s="41"/>
    </row>
    <row r="584" spans="1:31" s="30" customFormat="1" x14ac:dyDescent="0.25">
      <c r="A584" s="36"/>
      <c r="B584" s="31"/>
      <c r="C584" s="31"/>
      <c r="D584" s="32"/>
      <c r="H584" s="32"/>
      <c r="J584" s="32"/>
      <c r="K584" s="41"/>
      <c r="L584" s="32"/>
      <c r="N584" s="32"/>
      <c r="O584" s="41"/>
      <c r="P584" s="32"/>
      <c r="R584" s="32"/>
      <c r="S584" s="41"/>
      <c r="T584" s="32"/>
      <c r="V584" s="32"/>
      <c r="W584" s="41"/>
      <c r="X584" s="32"/>
      <c r="Z584" s="32"/>
      <c r="AA584" s="41"/>
      <c r="AB584" s="41"/>
      <c r="AD584" s="32"/>
      <c r="AE584" s="41"/>
    </row>
    <row r="585" spans="1:31" s="30" customFormat="1" x14ac:dyDescent="0.25">
      <c r="A585" s="36"/>
      <c r="B585" s="31"/>
      <c r="C585" s="31"/>
      <c r="D585" s="32"/>
      <c r="H585" s="32"/>
      <c r="J585" s="32"/>
      <c r="K585" s="41"/>
      <c r="L585" s="32"/>
      <c r="N585" s="32"/>
      <c r="O585" s="41"/>
      <c r="P585" s="32"/>
      <c r="R585" s="32"/>
      <c r="S585" s="41"/>
      <c r="T585" s="32"/>
      <c r="V585" s="32"/>
      <c r="W585" s="41"/>
      <c r="X585" s="32"/>
      <c r="Z585" s="32"/>
      <c r="AA585" s="41"/>
      <c r="AB585" s="41"/>
      <c r="AD585" s="32"/>
      <c r="AE585" s="41"/>
    </row>
    <row r="586" spans="1:31" s="30" customFormat="1" x14ac:dyDescent="0.25">
      <c r="A586" s="36"/>
      <c r="B586" s="31"/>
      <c r="C586" s="31"/>
      <c r="D586" s="32"/>
      <c r="H586" s="32"/>
      <c r="J586" s="32"/>
      <c r="K586" s="41"/>
      <c r="L586" s="32"/>
      <c r="N586" s="32"/>
      <c r="O586" s="41"/>
      <c r="P586" s="32"/>
      <c r="R586" s="32"/>
      <c r="S586" s="41"/>
      <c r="T586" s="32"/>
      <c r="V586" s="32"/>
      <c r="W586" s="41"/>
      <c r="X586" s="32"/>
      <c r="Z586" s="32"/>
      <c r="AA586" s="41"/>
      <c r="AB586" s="41"/>
      <c r="AD586" s="32"/>
      <c r="AE586" s="41"/>
    </row>
    <row r="587" spans="1:31" s="30" customFormat="1" x14ac:dyDescent="0.25">
      <c r="A587" s="36"/>
      <c r="B587" s="31"/>
      <c r="C587" s="31"/>
      <c r="D587" s="32"/>
      <c r="H587" s="32"/>
      <c r="J587" s="32"/>
      <c r="K587" s="41"/>
      <c r="L587" s="32"/>
      <c r="N587" s="32"/>
      <c r="O587" s="41"/>
      <c r="P587" s="32"/>
      <c r="R587" s="32"/>
      <c r="S587" s="41"/>
      <c r="T587" s="32"/>
      <c r="V587" s="32"/>
      <c r="W587" s="41"/>
      <c r="X587" s="32"/>
      <c r="Z587" s="32"/>
      <c r="AA587" s="41"/>
      <c r="AB587" s="41"/>
      <c r="AD587" s="32"/>
      <c r="AE587" s="41"/>
    </row>
    <row r="588" spans="1:31" s="30" customFormat="1" x14ac:dyDescent="0.25">
      <c r="A588" s="36"/>
      <c r="B588" s="31"/>
      <c r="C588" s="31"/>
      <c r="D588" s="32"/>
      <c r="H588" s="32"/>
      <c r="J588" s="32"/>
      <c r="K588" s="41"/>
      <c r="L588" s="32"/>
      <c r="N588" s="32"/>
      <c r="O588" s="41"/>
      <c r="P588" s="32"/>
      <c r="R588" s="32"/>
      <c r="S588" s="41"/>
      <c r="T588" s="32"/>
      <c r="V588" s="32"/>
      <c r="W588" s="41"/>
      <c r="X588" s="32"/>
      <c r="Z588" s="32"/>
      <c r="AA588" s="41"/>
      <c r="AB588" s="41"/>
      <c r="AD588" s="32"/>
      <c r="AE588" s="41"/>
    </row>
    <row r="589" spans="1:31" s="30" customFormat="1" x14ac:dyDescent="0.25">
      <c r="A589" s="36"/>
      <c r="B589" s="31"/>
      <c r="C589" s="31"/>
      <c r="D589" s="32"/>
      <c r="H589" s="32"/>
      <c r="J589" s="32"/>
      <c r="K589" s="41"/>
      <c r="L589" s="32"/>
      <c r="N589" s="32"/>
      <c r="O589" s="41"/>
      <c r="P589" s="32"/>
      <c r="R589" s="32"/>
      <c r="S589" s="41"/>
      <c r="T589" s="32"/>
      <c r="V589" s="32"/>
      <c r="W589" s="41"/>
      <c r="X589" s="32"/>
      <c r="Z589" s="32"/>
      <c r="AA589" s="41"/>
      <c r="AB589" s="41"/>
      <c r="AD589" s="32"/>
      <c r="AE589" s="41"/>
    </row>
    <row r="590" spans="1:31" s="30" customFormat="1" x14ac:dyDescent="0.25">
      <c r="A590" s="36"/>
      <c r="B590" s="31"/>
      <c r="C590" s="31"/>
      <c r="D590" s="32"/>
      <c r="H590" s="32"/>
      <c r="J590" s="32"/>
      <c r="K590" s="41"/>
      <c r="L590" s="32"/>
      <c r="N590" s="32"/>
      <c r="O590" s="41"/>
      <c r="P590" s="32"/>
      <c r="R590" s="32"/>
      <c r="S590" s="41"/>
      <c r="T590" s="32"/>
      <c r="V590" s="32"/>
      <c r="W590" s="41"/>
      <c r="X590" s="32"/>
      <c r="Z590" s="32"/>
      <c r="AA590" s="41"/>
      <c r="AB590" s="41"/>
      <c r="AD590" s="32"/>
      <c r="AE590" s="41"/>
    </row>
    <row r="591" spans="1:31" s="30" customFormat="1" x14ac:dyDescent="0.25">
      <c r="A591" s="36"/>
      <c r="B591" s="31"/>
      <c r="C591" s="31"/>
      <c r="D591" s="32"/>
      <c r="H591" s="32"/>
      <c r="J591" s="32"/>
      <c r="K591" s="41"/>
      <c r="L591" s="32"/>
      <c r="N591" s="32"/>
      <c r="O591" s="41"/>
      <c r="P591" s="32"/>
      <c r="R591" s="32"/>
      <c r="S591" s="41"/>
      <c r="T591" s="32"/>
      <c r="V591" s="32"/>
      <c r="W591" s="41"/>
      <c r="X591" s="32"/>
      <c r="Z591" s="32"/>
      <c r="AA591" s="41"/>
      <c r="AB591" s="41"/>
      <c r="AD591" s="32"/>
      <c r="AE591" s="41"/>
    </row>
    <row r="592" spans="1:31" s="30" customFormat="1" x14ac:dyDescent="0.25">
      <c r="A592" s="36"/>
      <c r="B592" s="31"/>
      <c r="C592" s="31"/>
      <c r="D592" s="32"/>
      <c r="H592" s="32"/>
      <c r="J592" s="32"/>
      <c r="K592" s="41"/>
      <c r="L592" s="32"/>
      <c r="N592" s="32"/>
      <c r="O592" s="41"/>
      <c r="P592" s="32"/>
      <c r="R592" s="32"/>
      <c r="S592" s="41"/>
      <c r="T592" s="32"/>
      <c r="V592" s="32"/>
      <c r="W592" s="41"/>
      <c r="X592" s="32"/>
      <c r="Z592" s="32"/>
      <c r="AA592" s="41"/>
      <c r="AB592" s="41"/>
      <c r="AD592" s="32"/>
      <c r="AE592" s="41"/>
    </row>
    <row r="593" spans="1:31" s="30" customFormat="1" x14ac:dyDescent="0.25">
      <c r="A593" s="36"/>
      <c r="B593" s="31"/>
      <c r="C593" s="31"/>
      <c r="D593" s="32"/>
      <c r="H593" s="32"/>
      <c r="J593" s="32"/>
      <c r="K593" s="41"/>
      <c r="L593" s="32"/>
      <c r="N593" s="32"/>
      <c r="O593" s="41"/>
      <c r="P593" s="32"/>
      <c r="R593" s="32"/>
      <c r="S593" s="41"/>
      <c r="T593" s="32"/>
      <c r="V593" s="32"/>
      <c r="W593" s="41"/>
      <c r="X593" s="32"/>
      <c r="Z593" s="32"/>
      <c r="AA593" s="41"/>
      <c r="AB593" s="41"/>
      <c r="AD593" s="32"/>
      <c r="AE593" s="41"/>
    </row>
    <row r="594" spans="1:31" s="30" customFormat="1" x14ac:dyDescent="0.25">
      <c r="A594" s="36"/>
      <c r="B594" s="31"/>
      <c r="C594" s="31"/>
      <c r="D594" s="32"/>
      <c r="H594" s="32"/>
      <c r="J594" s="32"/>
      <c r="K594" s="41"/>
      <c r="L594" s="32"/>
      <c r="N594" s="32"/>
      <c r="O594" s="41"/>
      <c r="P594" s="32"/>
      <c r="R594" s="32"/>
      <c r="S594" s="41"/>
      <c r="T594" s="32"/>
      <c r="V594" s="32"/>
      <c r="W594" s="41"/>
      <c r="X594" s="32"/>
      <c r="Z594" s="32"/>
      <c r="AA594" s="41"/>
      <c r="AB594" s="41"/>
      <c r="AD594" s="32"/>
      <c r="AE594" s="41"/>
    </row>
    <row r="595" spans="1:31" s="30" customFormat="1" x14ac:dyDescent="0.25">
      <c r="A595" s="36"/>
      <c r="B595" s="31"/>
      <c r="C595" s="31"/>
      <c r="D595" s="32"/>
      <c r="H595" s="32"/>
      <c r="J595" s="32"/>
      <c r="K595" s="41"/>
      <c r="L595" s="32"/>
      <c r="N595" s="32"/>
      <c r="O595" s="41"/>
      <c r="P595" s="32"/>
      <c r="R595" s="32"/>
      <c r="S595" s="41"/>
      <c r="T595" s="32"/>
      <c r="V595" s="32"/>
      <c r="W595" s="41"/>
      <c r="X595" s="32"/>
      <c r="Z595" s="32"/>
      <c r="AA595" s="41"/>
      <c r="AB595" s="41"/>
      <c r="AD595" s="32"/>
      <c r="AE595" s="41"/>
    </row>
    <row r="596" spans="1:31" s="30" customFormat="1" x14ac:dyDescent="0.25">
      <c r="A596" s="36"/>
      <c r="B596" s="31"/>
      <c r="C596" s="31"/>
      <c r="D596" s="32"/>
      <c r="H596" s="32"/>
      <c r="J596" s="32"/>
      <c r="K596" s="41"/>
      <c r="L596" s="32"/>
      <c r="N596" s="32"/>
      <c r="O596" s="41"/>
      <c r="P596" s="32"/>
      <c r="R596" s="32"/>
      <c r="S596" s="41"/>
      <c r="T596" s="32"/>
      <c r="V596" s="32"/>
      <c r="W596" s="41"/>
      <c r="X596" s="32"/>
      <c r="Z596" s="32"/>
      <c r="AA596" s="41"/>
      <c r="AB596" s="41"/>
      <c r="AD596" s="32"/>
      <c r="AE596" s="41"/>
    </row>
    <row r="597" spans="1:31" s="30" customFormat="1" x14ac:dyDescent="0.25">
      <c r="A597" s="36"/>
      <c r="B597" s="31"/>
      <c r="C597" s="31"/>
      <c r="D597" s="32"/>
      <c r="H597" s="32"/>
      <c r="J597" s="32"/>
      <c r="K597" s="41"/>
      <c r="L597" s="32"/>
      <c r="N597" s="32"/>
      <c r="O597" s="41"/>
      <c r="P597" s="32"/>
      <c r="R597" s="32"/>
      <c r="S597" s="41"/>
      <c r="T597" s="32"/>
      <c r="V597" s="32"/>
      <c r="W597" s="41"/>
      <c r="X597" s="32"/>
      <c r="Z597" s="32"/>
      <c r="AA597" s="41"/>
      <c r="AB597" s="41"/>
      <c r="AD597" s="32"/>
      <c r="AE597" s="41"/>
    </row>
    <row r="598" spans="1:31" s="30" customFormat="1" x14ac:dyDescent="0.25">
      <c r="A598" s="36"/>
      <c r="B598" s="31"/>
      <c r="C598" s="31"/>
      <c r="D598" s="32"/>
      <c r="H598" s="32"/>
      <c r="J598" s="32"/>
      <c r="K598" s="41"/>
      <c r="L598" s="32"/>
      <c r="N598" s="32"/>
      <c r="O598" s="41"/>
      <c r="P598" s="32"/>
      <c r="R598" s="32"/>
      <c r="S598" s="41"/>
      <c r="T598" s="32"/>
      <c r="V598" s="32"/>
      <c r="W598" s="41"/>
      <c r="X598" s="32"/>
      <c r="Z598" s="32"/>
      <c r="AA598" s="41"/>
      <c r="AB598" s="41"/>
      <c r="AD598" s="32"/>
      <c r="AE598" s="41"/>
    </row>
    <row r="599" spans="1:31" s="30" customFormat="1" x14ac:dyDescent="0.25">
      <c r="A599" s="36"/>
      <c r="B599" s="31"/>
      <c r="C599" s="31"/>
      <c r="D599" s="32"/>
      <c r="H599" s="32"/>
      <c r="J599" s="32"/>
      <c r="K599" s="41"/>
      <c r="L599" s="32"/>
      <c r="N599" s="32"/>
      <c r="O599" s="41"/>
      <c r="P599" s="32"/>
      <c r="R599" s="32"/>
      <c r="S599" s="41"/>
      <c r="T599" s="32"/>
      <c r="V599" s="32"/>
      <c r="W599" s="41"/>
      <c r="X599" s="32"/>
      <c r="Z599" s="32"/>
      <c r="AA599" s="41"/>
      <c r="AB599" s="41"/>
      <c r="AD599" s="32"/>
      <c r="AE599" s="41"/>
    </row>
    <row r="600" spans="1:31" s="30" customFormat="1" x14ac:dyDescent="0.25">
      <c r="A600" s="36"/>
      <c r="B600" s="31"/>
      <c r="C600" s="31"/>
      <c r="D600" s="32"/>
      <c r="H600" s="32"/>
      <c r="J600" s="32"/>
      <c r="K600" s="41"/>
      <c r="L600" s="32"/>
      <c r="N600" s="32"/>
      <c r="O600" s="41"/>
      <c r="P600" s="32"/>
      <c r="R600" s="32"/>
      <c r="S600" s="41"/>
      <c r="T600" s="32"/>
      <c r="V600" s="32"/>
      <c r="W600" s="41"/>
      <c r="X600" s="32"/>
      <c r="Z600" s="32"/>
      <c r="AA600" s="41"/>
      <c r="AB600" s="41"/>
      <c r="AD600" s="32"/>
      <c r="AE600" s="41"/>
    </row>
    <row r="601" spans="1:31" s="30" customFormat="1" x14ac:dyDescent="0.25">
      <c r="A601" s="36"/>
      <c r="B601" s="31"/>
      <c r="C601" s="31"/>
      <c r="D601" s="32"/>
      <c r="H601" s="32"/>
      <c r="J601" s="32"/>
      <c r="K601" s="41"/>
      <c r="L601" s="32"/>
      <c r="N601" s="32"/>
      <c r="O601" s="41"/>
      <c r="P601" s="32"/>
      <c r="R601" s="32"/>
      <c r="S601" s="41"/>
      <c r="T601" s="32"/>
      <c r="V601" s="32"/>
      <c r="W601" s="41"/>
      <c r="X601" s="32"/>
      <c r="Z601" s="32"/>
      <c r="AA601" s="41"/>
      <c r="AB601" s="41"/>
      <c r="AD601" s="32"/>
      <c r="AE601" s="41"/>
    </row>
    <row r="602" spans="1:31" s="30" customFormat="1" x14ac:dyDescent="0.25">
      <c r="A602" s="36"/>
      <c r="B602" s="31"/>
      <c r="C602" s="31"/>
      <c r="D602" s="32"/>
      <c r="H602" s="32"/>
      <c r="J602" s="32"/>
      <c r="K602" s="41"/>
      <c r="L602" s="32"/>
      <c r="N602" s="32"/>
      <c r="O602" s="41"/>
      <c r="P602" s="32"/>
      <c r="R602" s="32"/>
      <c r="S602" s="41"/>
      <c r="T602" s="32"/>
      <c r="V602" s="32"/>
      <c r="W602" s="41"/>
      <c r="X602" s="32"/>
      <c r="Z602" s="32"/>
      <c r="AA602" s="41"/>
      <c r="AB602" s="41"/>
      <c r="AD602" s="32"/>
      <c r="AE602" s="41"/>
    </row>
    <row r="603" spans="1:31" s="30" customFormat="1" x14ac:dyDescent="0.25">
      <c r="A603" s="36"/>
      <c r="B603" s="31"/>
      <c r="C603" s="31"/>
      <c r="D603" s="32"/>
      <c r="H603" s="32"/>
      <c r="J603" s="32"/>
      <c r="K603" s="41"/>
      <c r="L603" s="32"/>
      <c r="N603" s="32"/>
      <c r="O603" s="41"/>
      <c r="P603" s="32"/>
      <c r="R603" s="32"/>
      <c r="S603" s="41"/>
      <c r="T603" s="32"/>
      <c r="V603" s="32"/>
      <c r="W603" s="41"/>
      <c r="X603" s="32"/>
      <c r="Z603" s="32"/>
      <c r="AA603" s="41"/>
      <c r="AB603" s="41"/>
      <c r="AD603" s="32"/>
      <c r="AE603" s="41"/>
    </row>
    <row r="604" spans="1:31" s="30" customFormat="1" x14ac:dyDescent="0.25">
      <c r="A604" s="36"/>
      <c r="B604" s="31"/>
      <c r="C604" s="31"/>
      <c r="D604" s="32"/>
      <c r="H604" s="32"/>
      <c r="J604" s="32"/>
      <c r="K604" s="41"/>
      <c r="L604" s="32"/>
      <c r="N604" s="32"/>
      <c r="O604" s="41"/>
      <c r="P604" s="32"/>
      <c r="R604" s="32"/>
      <c r="S604" s="41"/>
      <c r="T604" s="32"/>
      <c r="V604" s="32"/>
      <c r="W604" s="41"/>
      <c r="X604" s="32"/>
      <c r="Z604" s="32"/>
      <c r="AA604" s="41"/>
      <c r="AB604" s="41"/>
      <c r="AD604" s="32"/>
      <c r="AE604" s="41"/>
    </row>
    <row r="605" spans="1:31" s="30" customFormat="1" x14ac:dyDescent="0.25">
      <c r="A605" s="36"/>
      <c r="B605" s="31"/>
      <c r="C605" s="31"/>
      <c r="D605" s="32"/>
      <c r="H605" s="32"/>
      <c r="J605" s="32"/>
      <c r="K605" s="41"/>
      <c r="L605" s="32"/>
      <c r="N605" s="32"/>
      <c r="O605" s="41"/>
      <c r="P605" s="32"/>
      <c r="R605" s="32"/>
      <c r="S605" s="41"/>
      <c r="T605" s="32"/>
      <c r="V605" s="32"/>
      <c r="W605" s="41"/>
      <c r="X605" s="32"/>
      <c r="Z605" s="32"/>
      <c r="AA605" s="41"/>
      <c r="AB605" s="41"/>
      <c r="AD605" s="32"/>
      <c r="AE605" s="41"/>
    </row>
    <row r="606" spans="1:31" s="30" customFormat="1" x14ac:dyDescent="0.25">
      <c r="A606" s="36"/>
      <c r="B606" s="31"/>
      <c r="C606" s="31"/>
      <c r="D606" s="32"/>
      <c r="H606" s="32"/>
      <c r="J606" s="32"/>
      <c r="K606" s="41"/>
      <c r="L606" s="32"/>
      <c r="N606" s="32"/>
      <c r="O606" s="41"/>
      <c r="P606" s="32"/>
      <c r="R606" s="32"/>
      <c r="S606" s="41"/>
      <c r="T606" s="32"/>
      <c r="V606" s="32"/>
      <c r="W606" s="41"/>
      <c r="X606" s="32"/>
      <c r="Z606" s="32"/>
      <c r="AA606" s="41"/>
      <c r="AB606" s="41"/>
      <c r="AD606" s="32"/>
      <c r="AE606" s="41"/>
    </row>
    <row r="607" spans="1:31" s="30" customFormat="1" x14ac:dyDescent="0.25">
      <c r="A607" s="36"/>
      <c r="B607" s="31"/>
      <c r="C607" s="31"/>
      <c r="D607" s="32"/>
      <c r="H607" s="32"/>
      <c r="J607" s="32"/>
      <c r="K607" s="41"/>
      <c r="L607" s="32"/>
      <c r="N607" s="32"/>
      <c r="O607" s="41"/>
      <c r="P607" s="32"/>
      <c r="R607" s="32"/>
      <c r="S607" s="41"/>
      <c r="T607" s="32"/>
      <c r="V607" s="32"/>
      <c r="W607" s="41"/>
      <c r="X607" s="32"/>
      <c r="Z607" s="32"/>
      <c r="AA607" s="41"/>
      <c r="AB607" s="41"/>
      <c r="AD607" s="32"/>
      <c r="AE607" s="41"/>
    </row>
    <row r="608" spans="1:31" s="30" customFormat="1" x14ac:dyDescent="0.25">
      <c r="A608" s="36"/>
      <c r="B608" s="31"/>
      <c r="C608" s="31"/>
      <c r="D608" s="32"/>
      <c r="H608" s="32"/>
      <c r="J608" s="32"/>
      <c r="K608" s="41"/>
      <c r="L608" s="32"/>
      <c r="N608" s="32"/>
      <c r="O608" s="41"/>
      <c r="P608" s="32"/>
      <c r="R608" s="32"/>
      <c r="S608" s="41"/>
      <c r="T608" s="32"/>
      <c r="V608" s="32"/>
      <c r="W608" s="41"/>
      <c r="X608" s="32"/>
      <c r="Z608" s="32"/>
      <c r="AA608" s="41"/>
      <c r="AB608" s="41"/>
      <c r="AD608" s="32"/>
      <c r="AE608" s="41"/>
    </row>
    <row r="609" spans="1:31" s="30" customFormat="1" x14ac:dyDescent="0.25">
      <c r="A609" s="36"/>
      <c r="B609" s="31"/>
      <c r="C609" s="31"/>
      <c r="D609" s="32"/>
      <c r="H609" s="32"/>
      <c r="J609" s="32"/>
      <c r="K609" s="41"/>
      <c r="L609" s="32"/>
      <c r="N609" s="32"/>
      <c r="O609" s="41"/>
      <c r="P609" s="32"/>
      <c r="R609" s="32"/>
      <c r="S609" s="41"/>
      <c r="T609" s="32"/>
      <c r="V609" s="32"/>
      <c r="W609" s="41"/>
      <c r="X609" s="32"/>
      <c r="Z609" s="32"/>
      <c r="AA609" s="41"/>
      <c r="AB609" s="41"/>
      <c r="AD609" s="32"/>
      <c r="AE609" s="41"/>
    </row>
    <row r="610" spans="1:31" s="30" customFormat="1" x14ac:dyDescent="0.25">
      <c r="A610" s="36"/>
      <c r="B610" s="31"/>
      <c r="C610" s="31"/>
      <c r="D610" s="32"/>
      <c r="H610" s="32"/>
      <c r="J610" s="32"/>
      <c r="K610" s="41"/>
      <c r="L610" s="32"/>
      <c r="N610" s="32"/>
      <c r="O610" s="41"/>
      <c r="P610" s="32"/>
      <c r="R610" s="32"/>
      <c r="S610" s="41"/>
      <c r="T610" s="32"/>
      <c r="V610" s="32"/>
      <c r="W610" s="41"/>
      <c r="X610" s="32"/>
      <c r="Z610" s="32"/>
      <c r="AA610" s="41"/>
      <c r="AB610" s="41"/>
      <c r="AD610" s="32"/>
      <c r="AE610" s="41"/>
    </row>
    <row r="611" spans="1:31" s="30" customFormat="1" x14ac:dyDescent="0.25">
      <c r="A611" s="36"/>
      <c r="B611" s="31"/>
      <c r="C611" s="31"/>
      <c r="D611" s="32"/>
      <c r="H611" s="32"/>
      <c r="J611" s="32"/>
      <c r="K611" s="41"/>
      <c r="L611" s="32"/>
      <c r="N611" s="32"/>
      <c r="O611" s="41"/>
      <c r="P611" s="32"/>
      <c r="R611" s="32"/>
      <c r="S611" s="41"/>
      <c r="T611" s="32"/>
      <c r="V611" s="32"/>
      <c r="W611" s="41"/>
      <c r="X611" s="32"/>
      <c r="Z611" s="32"/>
      <c r="AA611" s="41"/>
      <c r="AB611" s="41"/>
      <c r="AD611" s="32"/>
      <c r="AE611" s="41"/>
    </row>
    <row r="612" spans="1:31" s="30" customFormat="1" x14ac:dyDescent="0.25">
      <c r="A612" s="36"/>
      <c r="B612" s="31"/>
      <c r="C612" s="31"/>
      <c r="D612" s="32"/>
      <c r="H612" s="32"/>
      <c r="J612" s="32"/>
      <c r="K612" s="41"/>
      <c r="L612" s="32"/>
      <c r="N612" s="32"/>
      <c r="O612" s="41"/>
      <c r="P612" s="32"/>
      <c r="R612" s="32"/>
      <c r="S612" s="41"/>
      <c r="T612" s="32"/>
      <c r="V612" s="32"/>
      <c r="W612" s="41"/>
      <c r="X612" s="32"/>
      <c r="Z612" s="32"/>
      <c r="AA612" s="41"/>
      <c r="AB612" s="41"/>
      <c r="AD612" s="32"/>
      <c r="AE612" s="41"/>
    </row>
    <row r="613" spans="1:31" s="30" customFormat="1" x14ac:dyDescent="0.25">
      <c r="A613" s="36"/>
      <c r="B613" s="31"/>
      <c r="C613" s="31"/>
      <c r="D613" s="32"/>
      <c r="H613" s="32"/>
      <c r="J613" s="32"/>
      <c r="K613" s="41"/>
      <c r="L613" s="32"/>
      <c r="N613" s="32"/>
      <c r="O613" s="41"/>
      <c r="P613" s="32"/>
      <c r="R613" s="32"/>
      <c r="S613" s="41"/>
      <c r="T613" s="32"/>
      <c r="V613" s="32"/>
      <c r="W613" s="41"/>
      <c r="X613" s="32"/>
      <c r="Z613" s="32"/>
      <c r="AA613" s="41"/>
      <c r="AB613" s="41"/>
      <c r="AD613" s="32"/>
      <c r="AE613" s="41"/>
    </row>
    <row r="614" spans="1:31" s="30" customFormat="1" x14ac:dyDescent="0.25">
      <c r="A614" s="36"/>
      <c r="B614" s="31"/>
      <c r="C614" s="31"/>
      <c r="D614" s="32"/>
      <c r="H614" s="32"/>
      <c r="J614" s="32"/>
      <c r="K614" s="41"/>
      <c r="L614" s="32"/>
      <c r="N614" s="32"/>
      <c r="O614" s="41"/>
      <c r="P614" s="32"/>
      <c r="R614" s="32"/>
      <c r="S614" s="41"/>
      <c r="T614" s="32"/>
      <c r="V614" s="32"/>
      <c r="W614" s="41"/>
      <c r="X614" s="32"/>
      <c r="Z614" s="32"/>
      <c r="AA614" s="41"/>
      <c r="AB614" s="41"/>
      <c r="AD614" s="32"/>
      <c r="AE614" s="41"/>
    </row>
    <row r="615" spans="1:31" s="30" customFormat="1" x14ac:dyDescent="0.25">
      <c r="A615" s="36"/>
      <c r="B615" s="31"/>
      <c r="C615" s="31"/>
      <c r="D615" s="32"/>
      <c r="H615" s="32"/>
      <c r="J615" s="32"/>
      <c r="K615" s="41"/>
      <c r="L615" s="32"/>
      <c r="N615" s="32"/>
      <c r="O615" s="41"/>
      <c r="P615" s="32"/>
      <c r="R615" s="32"/>
      <c r="S615" s="41"/>
      <c r="T615" s="32"/>
      <c r="V615" s="32"/>
      <c r="W615" s="41"/>
      <c r="X615" s="32"/>
      <c r="Z615" s="32"/>
      <c r="AA615" s="41"/>
      <c r="AB615" s="41"/>
      <c r="AD615" s="32"/>
      <c r="AE615" s="41"/>
    </row>
    <row r="616" spans="1:31" s="30" customFormat="1" x14ac:dyDescent="0.25">
      <c r="A616" s="36"/>
      <c r="B616" s="31"/>
      <c r="C616" s="31"/>
      <c r="D616" s="32"/>
      <c r="H616" s="32"/>
      <c r="J616" s="32"/>
      <c r="K616" s="41"/>
      <c r="L616" s="32"/>
      <c r="N616" s="32"/>
      <c r="O616" s="41"/>
      <c r="P616" s="32"/>
      <c r="R616" s="32"/>
      <c r="S616" s="41"/>
      <c r="T616" s="32"/>
      <c r="V616" s="32"/>
      <c r="W616" s="41"/>
      <c r="X616" s="32"/>
      <c r="Z616" s="32"/>
      <c r="AA616" s="41"/>
      <c r="AB616" s="41"/>
      <c r="AD616" s="32"/>
      <c r="AE616" s="41"/>
    </row>
    <row r="617" spans="1:31" s="30" customFormat="1" x14ac:dyDescent="0.25">
      <c r="A617" s="36"/>
      <c r="B617" s="31"/>
      <c r="C617" s="31"/>
      <c r="D617" s="32"/>
      <c r="H617" s="32"/>
      <c r="J617" s="32"/>
      <c r="K617" s="41"/>
      <c r="L617" s="32"/>
      <c r="N617" s="32"/>
      <c r="O617" s="41"/>
      <c r="P617" s="32"/>
      <c r="R617" s="32"/>
      <c r="S617" s="41"/>
      <c r="T617" s="32"/>
      <c r="V617" s="32"/>
      <c r="W617" s="41"/>
      <c r="X617" s="32"/>
      <c r="Z617" s="32"/>
      <c r="AA617" s="41"/>
      <c r="AB617" s="41"/>
      <c r="AD617" s="32"/>
      <c r="AE617" s="41"/>
    </row>
    <row r="618" spans="1:31" s="30" customFormat="1" x14ac:dyDescent="0.25">
      <c r="A618" s="36"/>
      <c r="B618" s="31"/>
      <c r="C618" s="31"/>
      <c r="D618" s="32"/>
      <c r="H618" s="32"/>
      <c r="J618" s="32"/>
      <c r="K618" s="41"/>
      <c r="L618" s="32"/>
      <c r="N618" s="32"/>
      <c r="O618" s="41"/>
      <c r="P618" s="32"/>
      <c r="R618" s="32"/>
      <c r="S618" s="41"/>
      <c r="T618" s="32"/>
      <c r="V618" s="32"/>
      <c r="W618" s="41"/>
      <c r="X618" s="32"/>
      <c r="Z618" s="32"/>
      <c r="AA618" s="41"/>
      <c r="AB618" s="41"/>
      <c r="AD618" s="32"/>
      <c r="AE618" s="41"/>
    </row>
    <row r="619" spans="1:31" s="30" customFormat="1" x14ac:dyDescent="0.25">
      <c r="A619" s="36"/>
      <c r="B619" s="31"/>
      <c r="C619" s="31"/>
      <c r="D619" s="32"/>
      <c r="H619" s="32"/>
      <c r="J619" s="32"/>
      <c r="K619" s="41"/>
      <c r="L619" s="32"/>
      <c r="N619" s="32"/>
      <c r="O619" s="41"/>
      <c r="P619" s="32"/>
      <c r="R619" s="32"/>
      <c r="S619" s="41"/>
      <c r="T619" s="32"/>
      <c r="V619" s="32"/>
      <c r="W619" s="41"/>
      <c r="X619" s="32"/>
      <c r="Z619" s="32"/>
      <c r="AA619" s="41"/>
      <c r="AB619" s="41"/>
      <c r="AD619" s="32"/>
      <c r="AE619" s="41"/>
    </row>
    <row r="620" spans="1:31" s="30" customFormat="1" x14ac:dyDescent="0.25">
      <c r="A620" s="36"/>
      <c r="B620" s="31"/>
      <c r="C620" s="31"/>
      <c r="D620" s="32"/>
      <c r="H620" s="32"/>
      <c r="J620" s="32"/>
      <c r="K620" s="41"/>
      <c r="L620" s="32"/>
      <c r="N620" s="32"/>
      <c r="O620" s="41"/>
      <c r="P620" s="32"/>
      <c r="R620" s="32"/>
      <c r="S620" s="41"/>
      <c r="T620" s="32"/>
      <c r="V620" s="32"/>
      <c r="W620" s="41"/>
      <c r="X620" s="32"/>
      <c r="Z620" s="32"/>
      <c r="AA620" s="41"/>
      <c r="AB620" s="41"/>
      <c r="AD620" s="32"/>
      <c r="AE620" s="41"/>
    </row>
    <row r="621" spans="1:31" s="30" customFormat="1" x14ac:dyDescent="0.25">
      <c r="A621" s="36"/>
      <c r="B621" s="31"/>
      <c r="C621" s="31"/>
      <c r="D621" s="32"/>
      <c r="H621" s="32"/>
      <c r="J621" s="32"/>
      <c r="K621" s="41"/>
      <c r="L621" s="32"/>
      <c r="N621" s="32"/>
      <c r="O621" s="41"/>
      <c r="P621" s="32"/>
      <c r="R621" s="32"/>
      <c r="S621" s="41"/>
      <c r="T621" s="32"/>
      <c r="V621" s="32"/>
      <c r="W621" s="41"/>
      <c r="X621" s="32"/>
      <c r="Z621" s="32"/>
      <c r="AA621" s="41"/>
      <c r="AB621" s="41"/>
      <c r="AD621" s="32"/>
      <c r="AE621" s="41"/>
    </row>
    <row r="622" spans="1:31" s="30" customFormat="1" x14ac:dyDescent="0.25">
      <c r="A622" s="36"/>
      <c r="B622" s="31"/>
      <c r="C622" s="31"/>
      <c r="D622" s="32"/>
      <c r="H622" s="32"/>
      <c r="J622" s="32"/>
      <c r="K622" s="41"/>
      <c r="L622" s="32"/>
      <c r="N622" s="32"/>
      <c r="O622" s="41"/>
      <c r="P622" s="32"/>
      <c r="R622" s="32"/>
      <c r="S622" s="41"/>
      <c r="T622" s="32"/>
      <c r="V622" s="32"/>
      <c r="W622" s="41"/>
      <c r="X622" s="32"/>
      <c r="Z622" s="32"/>
      <c r="AA622" s="41"/>
      <c r="AB622" s="41"/>
      <c r="AD622" s="32"/>
      <c r="AE622" s="41"/>
    </row>
    <row r="623" spans="1:31" s="30" customFormat="1" x14ac:dyDescent="0.25">
      <c r="A623" s="36"/>
      <c r="B623" s="31"/>
      <c r="C623" s="31"/>
      <c r="D623" s="32"/>
      <c r="H623" s="32"/>
      <c r="J623" s="32"/>
      <c r="K623" s="41"/>
      <c r="L623" s="32"/>
      <c r="N623" s="32"/>
      <c r="O623" s="41"/>
      <c r="P623" s="32"/>
      <c r="R623" s="32"/>
      <c r="S623" s="41"/>
      <c r="T623" s="32"/>
      <c r="V623" s="32"/>
      <c r="W623" s="41"/>
      <c r="X623" s="32"/>
      <c r="Z623" s="32"/>
      <c r="AA623" s="41"/>
      <c r="AB623" s="41"/>
      <c r="AD623" s="32"/>
      <c r="AE623" s="41"/>
    </row>
    <row r="624" spans="1:31" s="30" customFormat="1" x14ac:dyDescent="0.25">
      <c r="A624" s="36"/>
      <c r="B624" s="31"/>
      <c r="C624" s="31"/>
      <c r="D624" s="32"/>
      <c r="H624" s="32"/>
      <c r="J624" s="32"/>
      <c r="K624" s="41"/>
      <c r="L624" s="32"/>
      <c r="N624" s="32"/>
      <c r="O624" s="41"/>
      <c r="P624" s="32"/>
      <c r="R624" s="32"/>
      <c r="S624" s="41"/>
      <c r="T624" s="32"/>
      <c r="V624" s="32"/>
      <c r="W624" s="41"/>
      <c r="X624" s="32"/>
      <c r="Z624" s="32"/>
      <c r="AA624" s="41"/>
      <c r="AB624" s="41"/>
      <c r="AD624" s="32"/>
      <c r="AE624" s="41"/>
    </row>
    <row r="625" spans="1:31" s="30" customFormat="1" x14ac:dyDescent="0.25">
      <c r="A625" s="36"/>
      <c r="B625" s="31"/>
      <c r="C625" s="31"/>
      <c r="D625" s="32"/>
      <c r="H625" s="32"/>
      <c r="J625" s="32"/>
      <c r="K625" s="41"/>
      <c r="L625" s="32"/>
      <c r="N625" s="32"/>
      <c r="O625" s="41"/>
      <c r="P625" s="32"/>
      <c r="R625" s="32"/>
      <c r="S625" s="41"/>
      <c r="T625" s="32"/>
      <c r="V625" s="32"/>
      <c r="W625" s="41"/>
      <c r="X625" s="32"/>
      <c r="Z625" s="32"/>
      <c r="AA625" s="41"/>
      <c r="AB625" s="41"/>
      <c r="AD625" s="32"/>
      <c r="AE625" s="41"/>
    </row>
    <row r="626" spans="1:31" s="30" customFormat="1" x14ac:dyDescent="0.25">
      <c r="A626" s="36"/>
      <c r="B626" s="31"/>
      <c r="C626" s="31"/>
      <c r="D626" s="32"/>
      <c r="H626" s="32"/>
      <c r="J626" s="32"/>
      <c r="K626" s="41"/>
      <c r="L626" s="32"/>
      <c r="N626" s="32"/>
      <c r="O626" s="41"/>
      <c r="P626" s="32"/>
      <c r="R626" s="32"/>
      <c r="S626" s="41"/>
      <c r="T626" s="32"/>
      <c r="V626" s="32"/>
      <c r="W626" s="41"/>
      <c r="X626" s="32"/>
      <c r="Z626" s="32"/>
      <c r="AA626" s="41"/>
      <c r="AB626" s="41"/>
      <c r="AD626" s="32"/>
      <c r="AE626" s="41"/>
    </row>
    <row r="627" spans="1:31" s="30" customFormat="1" x14ac:dyDescent="0.25">
      <c r="A627" s="36"/>
      <c r="B627" s="31"/>
      <c r="C627" s="31"/>
      <c r="D627" s="32"/>
      <c r="H627" s="32"/>
      <c r="J627" s="32"/>
      <c r="K627" s="41"/>
      <c r="L627" s="32"/>
      <c r="N627" s="32"/>
      <c r="O627" s="41"/>
      <c r="P627" s="32"/>
      <c r="R627" s="32"/>
      <c r="S627" s="41"/>
      <c r="T627" s="32"/>
      <c r="V627" s="32"/>
      <c r="W627" s="41"/>
      <c r="X627" s="32"/>
      <c r="Z627" s="32"/>
      <c r="AA627" s="41"/>
      <c r="AB627" s="41"/>
      <c r="AD627" s="32"/>
      <c r="AE627" s="41"/>
    </row>
    <row r="628" spans="1:31" s="30" customFormat="1" x14ac:dyDescent="0.25">
      <c r="A628" s="36"/>
      <c r="B628" s="31"/>
      <c r="C628" s="31"/>
      <c r="D628" s="32"/>
      <c r="H628" s="32"/>
      <c r="J628" s="32"/>
      <c r="K628" s="41"/>
      <c r="L628" s="32"/>
      <c r="N628" s="32"/>
      <c r="O628" s="41"/>
      <c r="P628" s="32"/>
      <c r="R628" s="32"/>
      <c r="S628" s="41"/>
      <c r="T628" s="32"/>
      <c r="V628" s="32"/>
      <c r="W628" s="41"/>
      <c r="X628" s="32"/>
      <c r="Z628" s="32"/>
      <c r="AA628" s="41"/>
      <c r="AB628" s="41"/>
      <c r="AD628" s="32"/>
      <c r="AE628" s="41"/>
    </row>
    <row r="629" spans="1:31" s="30" customFormat="1" x14ac:dyDescent="0.25">
      <c r="A629" s="36"/>
      <c r="B629" s="31"/>
      <c r="C629" s="31"/>
      <c r="D629" s="32"/>
      <c r="H629" s="32"/>
      <c r="J629" s="32"/>
      <c r="K629" s="41"/>
      <c r="L629" s="32"/>
      <c r="N629" s="32"/>
      <c r="O629" s="41"/>
      <c r="P629" s="32"/>
      <c r="R629" s="32"/>
      <c r="S629" s="41"/>
      <c r="T629" s="32"/>
      <c r="V629" s="32"/>
      <c r="W629" s="41"/>
      <c r="X629" s="32"/>
      <c r="Z629" s="32"/>
      <c r="AA629" s="41"/>
      <c r="AB629" s="41"/>
      <c r="AD629" s="32"/>
      <c r="AE629" s="41"/>
    </row>
    <row r="630" spans="1:31" s="30" customFormat="1" x14ac:dyDescent="0.25">
      <c r="A630" s="36"/>
      <c r="B630" s="31"/>
      <c r="C630" s="31"/>
      <c r="D630" s="32"/>
      <c r="H630" s="32"/>
      <c r="J630" s="32"/>
      <c r="K630" s="41"/>
      <c r="L630" s="32"/>
      <c r="N630" s="32"/>
      <c r="O630" s="41"/>
      <c r="P630" s="32"/>
      <c r="R630" s="32"/>
      <c r="S630" s="41"/>
      <c r="T630" s="32"/>
      <c r="V630" s="32"/>
      <c r="W630" s="41"/>
      <c r="X630" s="32"/>
      <c r="Z630" s="32"/>
      <c r="AA630" s="41"/>
      <c r="AB630" s="41"/>
      <c r="AD630" s="32"/>
      <c r="AE630" s="41"/>
    </row>
    <row r="631" spans="1:31" s="30" customFormat="1" x14ac:dyDescent="0.25">
      <c r="A631" s="36"/>
      <c r="B631" s="31"/>
      <c r="C631" s="31"/>
      <c r="D631" s="32"/>
      <c r="H631" s="32"/>
      <c r="J631" s="32"/>
      <c r="K631" s="41"/>
      <c r="L631" s="32"/>
      <c r="N631" s="32"/>
      <c r="O631" s="41"/>
      <c r="P631" s="32"/>
      <c r="R631" s="32"/>
      <c r="S631" s="41"/>
      <c r="T631" s="32"/>
      <c r="V631" s="32"/>
      <c r="W631" s="41"/>
      <c r="X631" s="32"/>
      <c r="Z631" s="32"/>
      <c r="AA631" s="41"/>
      <c r="AB631" s="41"/>
      <c r="AD631" s="32"/>
      <c r="AE631" s="41"/>
    </row>
    <row r="632" spans="1:31" s="30" customFormat="1" x14ac:dyDescent="0.25">
      <c r="A632" s="36"/>
      <c r="B632" s="31"/>
      <c r="C632" s="31"/>
      <c r="D632" s="32"/>
      <c r="H632" s="32"/>
      <c r="J632" s="32"/>
      <c r="K632" s="41"/>
      <c r="L632" s="32"/>
      <c r="N632" s="32"/>
      <c r="O632" s="41"/>
      <c r="P632" s="32"/>
      <c r="R632" s="32"/>
      <c r="S632" s="41"/>
      <c r="T632" s="32"/>
      <c r="V632" s="32"/>
      <c r="W632" s="41"/>
      <c r="X632" s="32"/>
      <c r="Z632" s="32"/>
      <c r="AA632" s="41"/>
      <c r="AB632" s="41"/>
      <c r="AD632" s="32"/>
      <c r="AE632" s="41"/>
    </row>
    <row r="633" spans="1:31" s="30" customFormat="1" x14ac:dyDescent="0.25">
      <c r="A633" s="36"/>
      <c r="B633" s="31"/>
      <c r="C633" s="31"/>
      <c r="D633" s="32"/>
      <c r="H633" s="32"/>
      <c r="J633" s="32"/>
      <c r="K633" s="41"/>
      <c r="L633" s="32"/>
      <c r="N633" s="32"/>
      <c r="O633" s="41"/>
      <c r="P633" s="32"/>
      <c r="R633" s="32"/>
      <c r="S633" s="41"/>
      <c r="T633" s="32"/>
      <c r="V633" s="32"/>
      <c r="W633" s="41"/>
      <c r="X633" s="32"/>
      <c r="Z633" s="32"/>
      <c r="AA633" s="41"/>
      <c r="AB633" s="41"/>
      <c r="AD633" s="32"/>
      <c r="AE633" s="41"/>
    </row>
    <row r="634" spans="1:31" s="30" customFormat="1" x14ac:dyDescent="0.25">
      <c r="A634" s="36"/>
      <c r="B634" s="31"/>
      <c r="C634" s="31"/>
      <c r="D634" s="32"/>
      <c r="H634" s="32"/>
      <c r="J634" s="32"/>
      <c r="K634" s="41"/>
      <c r="L634" s="32"/>
      <c r="N634" s="32"/>
      <c r="O634" s="41"/>
      <c r="P634" s="32"/>
      <c r="R634" s="32"/>
      <c r="S634" s="41"/>
      <c r="T634" s="32"/>
      <c r="V634" s="32"/>
      <c r="W634" s="41"/>
      <c r="X634" s="32"/>
      <c r="Z634" s="32"/>
      <c r="AA634" s="41"/>
      <c r="AB634" s="41"/>
      <c r="AD634" s="32"/>
      <c r="AE634" s="41"/>
    </row>
    <row r="635" spans="1:31" s="30" customFormat="1" x14ac:dyDescent="0.25">
      <c r="A635" s="36"/>
      <c r="B635" s="31"/>
      <c r="C635" s="31"/>
      <c r="D635" s="32"/>
      <c r="H635" s="32"/>
      <c r="J635" s="32"/>
      <c r="K635" s="41"/>
      <c r="L635" s="32"/>
      <c r="N635" s="32"/>
      <c r="O635" s="41"/>
      <c r="P635" s="32"/>
      <c r="R635" s="32"/>
      <c r="S635" s="41"/>
      <c r="T635" s="32"/>
      <c r="V635" s="32"/>
      <c r="W635" s="41"/>
      <c r="X635" s="32"/>
      <c r="Z635" s="32"/>
      <c r="AA635" s="41"/>
      <c r="AB635" s="41"/>
      <c r="AD635" s="32"/>
      <c r="AE635" s="41"/>
    </row>
    <row r="636" spans="1:31" s="30" customFormat="1" x14ac:dyDescent="0.25">
      <c r="A636" s="36"/>
      <c r="B636" s="31"/>
      <c r="C636" s="31"/>
      <c r="D636" s="32"/>
      <c r="H636" s="32"/>
      <c r="J636" s="32"/>
      <c r="K636" s="41"/>
      <c r="L636" s="32"/>
      <c r="N636" s="32"/>
      <c r="O636" s="41"/>
      <c r="P636" s="32"/>
      <c r="R636" s="32"/>
      <c r="S636" s="41"/>
      <c r="T636" s="32"/>
      <c r="V636" s="32"/>
      <c r="W636" s="41"/>
      <c r="X636" s="32"/>
      <c r="Z636" s="32"/>
      <c r="AA636" s="41"/>
      <c r="AB636" s="41"/>
      <c r="AD636" s="32"/>
      <c r="AE636" s="41"/>
    </row>
    <row r="637" spans="1:31" s="30" customFormat="1" x14ac:dyDescent="0.25">
      <c r="A637" s="36"/>
      <c r="B637" s="31"/>
      <c r="C637" s="31"/>
      <c r="D637" s="32"/>
      <c r="H637" s="32"/>
      <c r="J637" s="32"/>
      <c r="K637" s="41"/>
      <c r="L637" s="32"/>
      <c r="N637" s="32"/>
      <c r="O637" s="41"/>
      <c r="P637" s="32"/>
      <c r="R637" s="32"/>
      <c r="S637" s="41"/>
      <c r="T637" s="32"/>
      <c r="V637" s="32"/>
      <c r="W637" s="41"/>
      <c r="X637" s="32"/>
      <c r="Z637" s="32"/>
      <c r="AA637" s="41"/>
      <c r="AB637" s="41"/>
      <c r="AD637" s="32"/>
      <c r="AE637" s="41"/>
    </row>
    <row r="638" spans="1:31" s="30" customFormat="1" x14ac:dyDescent="0.25">
      <c r="A638" s="36"/>
      <c r="B638" s="31"/>
      <c r="C638" s="31"/>
      <c r="D638" s="32"/>
      <c r="H638" s="32"/>
      <c r="J638" s="32"/>
      <c r="K638" s="41"/>
      <c r="L638" s="32"/>
      <c r="N638" s="32"/>
      <c r="O638" s="41"/>
      <c r="P638" s="32"/>
      <c r="R638" s="32"/>
      <c r="S638" s="41"/>
      <c r="T638" s="32"/>
      <c r="V638" s="32"/>
      <c r="W638" s="41"/>
      <c r="X638" s="32"/>
      <c r="Z638" s="32"/>
      <c r="AA638" s="41"/>
      <c r="AB638" s="41"/>
      <c r="AD638" s="32"/>
      <c r="AE638" s="41"/>
    </row>
    <row r="639" spans="1:31" s="30" customFormat="1" x14ac:dyDescent="0.25">
      <c r="A639" s="36"/>
      <c r="B639" s="31"/>
      <c r="C639" s="31"/>
      <c r="D639" s="32"/>
      <c r="H639" s="32"/>
      <c r="J639" s="32"/>
      <c r="K639" s="41"/>
      <c r="L639" s="32"/>
      <c r="N639" s="32"/>
      <c r="O639" s="41"/>
      <c r="P639" s="32"/>
      <c r="R639" s="32"/>
      <c r="S639" s="41"/>
      <c r="T639" s="32"/>
      <c r="V639" s="32"/>
      <c r="W639" s="41"/>
      <c r="X639" s="32"/>
      <c r="Z639" s="32"/>
      <c r="AA639" s="41"/>
      <c r="AB639" s="41"/>
      <c r="AD639" s="32"/>
      <c r="AE639" s="41"/>
    </row>
    <row r="640" spans="1:31" s="30" customFormat="1" x14ac:dyDescent="0.25">
      <c r="A640" s="36"/>
      <c r="B640" s="31"/>
      <c r="C640" s="31"/>
      <c r="D640" s="32"/>
      <c r="H640" s="32"/>
      <c r="J640" s="32"/>
      <c r="K640" s="41"/>
      <c r="L640" s="32"/>
      <c r="N640" s="32"/>
      <c r="O640" s="41"/>
      <c r="P640" s="32"/>
      <c r="R640" s="32"/>
      <c r="S640" s="41"/>
      <c r="T640" s="32"/>
      <c r="V640" s="32"/>
      <c r="W640" s="41"/>
      <c r="X640" s="32"/>
      <c r="Z640" s="32"/>
      <c r="AA640" s="41"/>
      <c r="AB640" s="41"/>
      <c r="AD640" s="32"/>
      <c r="AE640" s="41"/>
    </row>
    <row r="641" spans="1:31" s="30" customFormat="1" x14ac:dyDescent="0.25">
      <c r="A641" s="36"/>
      <c r="B641" s="31"/>
      <c r="C641" s="31"/>
      <c r="D641" s="32"/>
      <c r="H641" s="32"/>
      <c r="J641" s="32"/>
      <c r="K641" s="41"/>
      <c r="L641" s="32"/>
      <c r="N641" s="32"/>
      <c r="O641" s="41"/>
      <c r="P641" s="32"/>
      <c r="R641" s="32"/>
      <c r="S641" s="41"/>
      <c r="T641" s="32"/>
      <c r="V641" s="32"/>
      <c r="W641" s="41"/>
      <c r="X641" s="32"/>
      <c r="Z641" s="32"/>
      <c r="AA641" s="41"/>
      <c r="AB641" s="41"/>
      <c r="AD641" s="32"/>
      <c r="AE641" s="41"/>
    </row>
    <row r="642" spans="1:31" s="30" customFormat="1" x14ac:dyDescent="0.25">
      <c r="A642" s="36"/>
      <c r="B642" s="31"/>
      <c r="C642" s="31"/>
      <c r="D642" s="32"/>
      <c r="H642" s="32"/>
      <c r="J642" s="32"/>
      <c r="K642" s="41"/>
      <c r="L642" s="32"/>
      <c r="N642" s="32"/>
      <c r="O642" s="41"/>
      <c r="P642" s="32"/>
      <c r="R642" s="32"/>
      <c r="S642" s="41"/>
      <c r="T642" s="32"/>
      <c r="V642" s="32"/>
      <c r="W642" s="41"/>
      <c r="X642" s="32"/>
      <c r="Z642" s="32"/>
      <c r="AA642" s="41"/>
      <c r="AB642" s="41"/>
      <c r="AD642" s="32"/>
      <c r="AE642" s="41"/>
    </row>
    <row r="643" spans="1:31" s="30" customFormat="1" x14ac:dyDescent="0.25">
      <c r="A643" s="36"/>
      <c r="B643" s="31"/>
      <c r="C643" s="31"/>
      <c r="D643" s="32"/>
      <c r="H643" s="32"/>
      <c r="J643" s="32"/>
      <c r="K643" s="41"/>
      <c r="L643" s="32"/>
      <c r="N643" s="32"/>
      <c r="O643" s="41"/>
      <c r="P643" s="32"/>
      <c r="R643" s="32"/>
      <c r="S643" s="41"/>
      <c r="T643" s="32"/>
      <c r="V643" s="32"/>
      <c r="W643" s="41"/>
      <c r="X643" s="32"/>
      <c r="Z643" s="32"/>
      <c r="AA643" s="41"/>
      <c r="AB643" s="41"/>
      <c r="AD643" s="32"/>
      <c r="AE643" s="41"/>
    </row>
    <row r="644" spans="1:31" s="30" customFormat="1" x14ac:dyDescent="0.25">
      <c r="A644" s="36"/>
      <c r="B644" s="31"/>
      <c r="C644" s="31"/>
      <c r="D644" s="32"/>
      <c r="H644" s="32"/>
      <c r="J644" s="32"/>
      <c r="K644" s="41"/>
      <c r="L644" s="32"/>
      <c r="N644" s="32"/>
      <c r="O644" s="41"/>
      <c r="P644" s="32"/>
      <c r="R644" s="32"/>
      <c r="S644" s="41"/>
      <c r="T644" s="32"/>
      <c r="V644" s="32"/>
      <c r="W644" s="41"/>
      <c r="X644" s="32"/>
      <c r="Z644" s="32"/>
      <c r="AA644" s="41"/>
      <c r="AB644" s="41"/>
      <c r="AD644" s="32"/>
      <c r="AE644" s="41"/>
    </row>
    <row r="645" spans="1:31" s="30" customFormat="1" x14ac:dyDescent="0.25">
      <c r="A645" s="36"/>
      <c r="B645" s="31"/>
      <c r="C645" s="31"/>
      <c r="D645" s="32"/>
      <c r="H645" s="32"/>
      <c r="J645" s="32"/>
      <c r="K645" s="41"/>
      <c r="L645" s="32"/>
      <c r="N645" s="32"/>
      <c r="O645" s="41"/>
      <c r="P645" s="32"/>
      <c r="R645" s="32"/>
      <c r="S645" s="41"/>
      <c r="T645" s="32"/>
      <c r="V645" s="32"/>
      <c r="W645" s="41"/>
      <c r="X645" s="32"/>
      <c r="Z645" s="32"/>
      <c r="AA645" s="41"/>
      <c r="AB645" s="41"/>
      <c r="AD645" s="32"/>
      <c r="AE645" s="41"/>
    </row>
    <row r="646" spans="1:31" s="30" customFormat="1" x14ac:dyDescent="0.25">
      <c r="A646" s="36"/>
      <c r="B646" s="31"/>
      <c r="C646" s="31"/>
      <c r="D646" s="32"/>
      <c r="H646" s="32"/>
      <c r="J646" s="32"/>
      <c r="K646" s="41"/>
      <c r="L646" s="32"/>
      <c r="N646" s="32"/>
      <c r="O646" s="41"/>
      <c r="P646" s="32"/>
      <c r="R646" s="32"/>
      <c r="S646" s="41"/>
      <c r="T646" s="32"/>
      <c r="V646" s="32"/>
      <c r="W646" s="41"/>
      <c r="X646" s="32"/>
      <c r="Z646" s="32"/>
      <c r="AA646" s="41"/>
      <c r="AB646" s="41"/>
      <c r="AD646" s="32"/>
      <c r="AE646" s="41"/>
    </row>
    <row r="647" spans="1:31" s="30" customFormat="1" x14ac:dyDescent="0.25">
      <c r="A647" s="36"/>
      <c r="B647" s="31"/>
      <c r="C647" s="31"/>
      <c r="D647" s="32"/>
      <c r="H647" s="32"/>
      <c r="J647" s="32"/>
      <c r="K647" s="41"/>
      <c r="L647" s="32"/>
      <c r="N647" s="32"/>
      <c r="O647" s="41"/>
      <c r="P647" s="32"/>
      <c r="R647" s="32"/>
      <c r="S647" s="41"/>
      <c r="T647" s="32"/>
      <c r="V647" s="32"/>
      <c r="W647" s="41"/>
      <c r="X647" s="32"/>
      <c r="Z647" s="32"/>
      <c r="AA647" s="41"/>
      <c r="AB647" s="41"/>
      <c r="AD647" s="32"/>
      <c r="AE647" s="41"/>
    </row>
    <row r="648" spans="1:31" s="30" customFormat="1" x14ac:dyDescent="0.25">
      <c r="A648" s="36"/>
      <c r="B648" s="31"/>
      <c r="C648" s="31"/>
      <c r="D648" s="32"/>
      <c r="H648" s="32"/>
      <c r="J648" s="32"/>
      <c r="K648" s="41"/>
      <c r="L648" s="32"/>
      <c r="N648" s="32"/>
      <c r="O648" s="41"/>
      <c r="P648" s="32"/>
      <c r="R648" s="32"/>
      <c r="S648" s="41"/>
      <c r="T648" s="32"/>
      <c r="V648" s="32"/>
      <c r="W648" s="41"/>
      <c r="X648" s="32"/>
      <c r="Z648" s="32"/>
      <c r="AA648" s="41"/>
      <c r="AB648" s="41"/>
      <c r="AD648" s="32"/>
      <c r="AE648" s="41"/>
    </row>
    <row r="649" spans="1:31" s="30" customFormat="1" x14ac:dyDescent="0.25">
      <c r="A649" s="36"/>
      <c r="B649" s="31"/>
      <c r="C649" s="31"/>
      <c r="D649" s="32"/>
      <c r="H649" s="32"/>
      <c r="J649" s="32"/>
      <c r="K649" s="41"/>
      <c r="L649" s="32"/>
      <c r="N649" s="32"/>
      <c r="O649" s="41"/>
      <c r="P649" s="32"/>
      <c r="R649" s="32"/>
      <c r="S649" s="41"/>
      <c r="T649" s="32"/>
      <c r="V649" s="32"/>
      <c r="W649" s="41"/>
      <c r="X649" s="32"/>
      <c r="Z649" s="32"/>
      <c r="AA649" s="41"/>
      <c r="AB649" s="41"/>
      <c r="AD649" s="32"/>
      <c r="AE649" s="41"/>
    </row>
    <row r="650" spans="1:31" s="30" customFormat="1" x14ac:dyDescent="0.25">
      <c r="A650" s="36"/>
      <c r="B650" s="31"/>
      <c r="C650" s="31"/>
      <c r="D650" s="32"/>
      <c r="H650" s="32"/>
      <c r="J650" s="32"/>
      <c r="K650" s="41"/>
      <c r="L650" s="32"/>
      <c r="N650" s="32"/>
      <c r="O650" s="41"/>
      <c r="P650" s="32"/>
      <c r="R650" s="32"/>
      <c r="S650" s="41"/>
      <c r="T650" s="32"/>
      <c r="V650" s="32"/>
      <c r="W650" s="41"/>
      <c r="X650" s="32"/>
      <c r="Z650" s="32"/>
      <c r="AA650" s="41"/>
      <c r="AB650" s="41"/>
      <c r="AD650" s="32"/>
      <c r="AE650" s="41"/>
    </row>
    <row r="651" spans="1:31" s="30" customFormat="1" x14ac:dyDescent="0.25">
      <c r="A651" s="36"/>
      <c r="B651" s="31"/>
      <c r="C651" s="31"/>
      <c r="D651" s="32"/>
      <c r="H651" s="32"/>
      <c r="J651" s="32"/>
      <c r="K651" s="41"/>
      <c r="L651" s="32"/>
      <c r="N651" s="32"/>
      <c r="O651" s="41"/>
      <c r="P651" s="32"/>
      <c r="R651" s="32"/>
      <c r="S651" s="41"/>
      <c r="T651" s="32"/>
      <c r="V651" s="32"/>
      <c r="W651" s="41"/>
      <c r="X651" s="32"/>
      <c r="Z651" s="32"/>
      <c r="AA651" s="41"/>
      <c r="AB651" s="41"/>
      <c r="AD651" s="32"/>
      <c r="AE651" s="41"/>
    </row>
    <row r="652" spans="1:31" s="30" customFormat="1" x14ac:dyDescent="0.25">
      <c r="A652" s="36"/>
      <c r="B652" s="31"/>
      <c r="C652" s="31"/>
      <c r="D652" s="32"/>
      <c r="H652" s="32"/>
      <c r="J652" s="32"/>
      <c r="K652" s="41"/>
      <c r="L652" s="32"/>
      <c r="N652" s="32"/>
      <c r="O652" s="41"/>
      <c r="P652" s="32"/>
      <c r="R652" s="32"/>
      <c r="S652" s="41"/>
      <c r="T652" s="32"/>
      <c r="V652" s="32"/>
      <c r="W652" s="41"/>
      <c r="X652" s="32"/>
      <c r="Z652" s="32"/>
      <c r="AA652" s="41"/>
      <c r="AB652" s="41"/>
      <c r="AD652" s="32"/>
      <c r="AE652" s="41"/>
    </row>
    <row r="653" spans="1:31" s="30" customFormat="1" x14ac:dyDescent="0.25">
      <c r="A653" s="36"/>
      <c r="B653" s="31"/>
      <c r="C653" s="31"/>
      <c r="D653" s="32"/>
      <c r="H653" s="32"/>
      <c r="J653" s="32"/>
      <c r="K653" s="41"/>
      <c r="L653" s="32"/>
      <c r="N653" s="32"/>
      <c r="O653" s="41"/>
      <c r="P653" s="32"/>
      <c r="R653" s="32"/>
      <c r="S653" s="41"/>
      <c r="T653" s="32"/>
      <c r="V653" s="32"/>
      <c r="W653" s="41"/>
      <c r="X653" s="32"/>
      <c r="Z653" s="32"/>
      <c r="AA653" s="41"/>
      <c r="AB653" s="41"/>
      <c r="AD653" s="32"/>
      <c r="AE653" s="41"/>
    </row>
    <row r="654" spans="1:31" s="30" customFormat="1" x14ac:dyDescent="0.25">
      <c r="A654" s="36"/>
      <c r="B654" s="31"/>
      <c r="C654" s="31"/>
      <c r="D654" s="32"/>
      <c r="H654" s="32"/>
      <c r="J654" s="32"/>
      <c r="K654" s="41"/>
      <c r="L654" s="32"/>
      <c r="N654" s="32"/>
      <c r="O654" s="41"/>
      <c r="P654" s="32"/>
      <c r="R654" s="32"/>
      <c r="S654" s="41"/>
      <c r="T654" s="32"/>
      <c r="V654" s="32"/>
      <c r="W654" s="41"/>
      <c r="X654" s="32"/>
      <c r="Z654" s="32"/>
      <c r="AA654" s="41"/>
      <c r="AB654" s="41"/>
      <c r="AD654" s="32"/>
      <c r="AE654" s="41"/>
    </row>
    <row r="655" spans="1:31" s="30" customFormat="1" x14ac:dyDescent="0.25">
      <c r="A655" s="36"/>
      <c r="B655" s="31"/>
      <c r="C655" s="31"/>
      <c r="D655" s="32"/>
      <c r="H655" s="32"/>
      <c r="J655" s="32"/>
      <c r="K655" s="41"/>
      <c r="L655" s="32"/>
      <c r="N655" s="32"/>
      <c r="O655" s="41"/>
      <c r="P655" s="32"/>
      <c r="R655" s="32"/>
      <c r="S655" s="41"/>
      <c r="T655" s="32"/>
      <c r="V655" s="32"/>
      <c r="W655" s="41"/>
      <c r="X655" s="32"/>
      <c r="Z655" s="32"/>
      <c r="AA655" s="41"/>
      <c r="AB655" s="41"/>
      <c r="AD655" s="32"/>
      <c r="AE655" s="41"/>
    </row>
    <row r="656" spans="1:31" s="30" customFormat="1" x14ac:dyDescent="0.25">
      <c r="A656" s="36"/>
      <c r="B656" s="31"/>
      <c r="C656" s="31"/>
      <c r="D656" s="32"/>
      <c r="H656" s="32"/>
      <c r="J656" s="32"/>
      <c r="K656" s="41"/>
      <c r="L656" s="32"/>
      <c r="N656" s="32"/>
      <c r="O656" s="41"/>
      <c r="P656" s="32"/>
      <c r="R656" s="32"/>
      <c r="S656" s="41"/>
      <c r="T656" s="32"/>
      <c r="V656" s="32"/>
      <c r="W656" s="41"/>
      <c r="X656" s="32"/>
      <c r="Z656" s="32"/>
      <c r="AA656" s="41"/>
      <c r="AB656" s="41"/>
      <c r="AD656" s="32"/>
      <c r="AE656" s="41"/>
    </row>
    <row r="657" spans="1:31" s="30" customFormat="1" x14ac:dyDescent="0.25">
      <c r="A657" s="36"/>
      <c r="B657" s="31"/>
      <c r="C657" s="31"/>
      <c r="D657" s="32"/>
      <c r="H657" s="32"/>
      <c r="J657" s="32"/>
      <c r="K657" s="41"/>
      <c r="L657" s="32"/>
      <c r="N657" s="32"/>
      <c r="O657" s="41"/>
      <c r="P657" s="32"/>
      <c r="R657" s="32"/>
      <c r="S657" s="41"/>
      <c r="T657" s="32"/>
      <c r="V657" s="32"/>
      <c r="W657" s="41"/>
      <c r="X657" s="32"/>
      <c r="Z657" s="32"/>
      <c r="AA657" s="41"/>
      <c r="AB657" s="41"/>
      <c r="AD657" s="32"/>
      <c r="AE657" s="41"/>
    </row>
    <row r="658" spans="1:31" s="30" customFormat="1" x14ac:dyDescent="0.25">
      <c r="A658" s="36"/>
      <c r="B658" s="31"/>
      <c r="C658" s="31"/>
      <c r="D658" s="32"/>
      <c r="H658" s="32"/>
      <c r="J658" s="32"/>
      <c r="K658" s="41"/>
      <c r="L658" s="32"/>
      <c r="N658" s="32"/>
      <c r="O658" s="41"/>
      <c r="P658" s="32"/>
      <c r="R658" s="32"/>
      <c r="S658" s="41"/>
      <c r="T658" s="32"/>
      <c r="V658" s="32"/>
      <c r="W658" s="41"/>
      <c r="X658" s="32"/>
      <c r="Z658" s="32"/>
      <c r="AA658" s="41"/>
      <c r="AB658" s="41"/>
      <c r="AD658" s="32"/>
      <c r="AE658" s="41"/>
    </row>
    <row r="659" spans="1:31" s="30" customFormat="1" x14ac:dyDescent="0.25">
      <c r="A659" s="36"/>
      <c r="B659" s="31"/>
      <c r="C659" s="31"/>
      <c r="D659" s="32"/>
      <c r="H659" s="32"/>
      <c r="J659" s="32"/>
      <c r="K659" s="41"/>
      <c r="L659" s="32"/>
      <c r="N659" s="32"/>
      <c r="O659" s="41"/>
      <c r="P659" s="32"/>
      <c r="R659" s="32"/>
      <c r="S659" s="41"/>
      <c r="T659" s="32"/>
      <c r="V659" s="32"/>
      <c r="W659" s="41"/>
      <c r="X659" s="32"/>
      <c r="Z659" s="32"/>
      <c r="AA659" s="41"/>
      <c r="AB659" s="41"/>
      <c r="AD659" s="32"/>
      <c r="AE659" s="41"/>
    </row>
    <row r="660" spans="1:31" s="30" customFormat="1" x14ac:dyDescent="0.25">
      <c r="A660" s="36"/>
      <c r="B660" s="31"/>
      <c r="C660" s="31"/>
      <c r="D660" s="32"/>
      <c r="H660" s="32"/>
      <c r="J660" s="32"/>
      <c r="K660" s="41"/>
      <c r="L660" s="32"/>
      <c r="N660" s="32"/>
      <c r="O660" s="41"/>
      <c r="P660" s="32"/>
      <c r="R660" s="32"/>
      <c r="S660" s="41"/>
      <c r="T660" s="32"/>
      <c r="V660" s="32"/>
      <c r="W660" s="41"/>
      <c r="X660" s="32"/>
      <c r="Z660" s="32"/>
      <c r="AA660" s="41"/>
      <c r="AB660" s="41"/>
      <c r="AD660" s="32"/>
      <c r="AE660" s="41"/>
    </row>
    <row r="661" spans="1:31" s="30" customFormat="1" x14ac:dyDescent="0.25">
      <c r="A661" s="36"/>
      <c r="B661" s="31"/>
      <c r="C661" s="31"/>
      <c r="D661" s="32"/>
      <c r="H661" s="32"/>
      <c r="J661" s="32"/>
      <c r="K661" s="41"/>
      <c r="L661" s="32"/>
      <c r="N661" s="32"/>
      <c r="O661" s="41"/>
      <c r="P661" s="32"/>
      <c r="R661" s="32"/>
      <c r="S661" s="41"/>
      <c r="T661" s="32"/>
      <c r="V661" s="32"/>
      <c r="W661" s="41"/>
      <c r="X661" s="32"/>
      <c r="Z661" s="32"/>
      <c r="AA661" s="41"/>
      <c r="AB661" s="41"/>
      <c r="AD661" s="32"/>
      <c r="AE661" s="41"/>
    </row>
    <row r="662" spans="1:31" s="30" customFormat="1" x14ac:dyDescent="0.25">
      <c r="A662" s="36"/>
      <c r="B662" s="31"/>
      <c r="C662" s="31"/>
      <c r="D662" s="32"/>
      <c r="H662" s="32"/>
      <c r="J662" s="32"/>
      <c r="K662" s="41"/>
      <c r="L662" s="32"/>
      <c r="N662" s="32"/>
      <c r="O662" s="41"/>
      <c r="P662" s="32"/>
      <c r="R662" s="32"/>
      <c r="S662" s="41"/>
      <c r="T662" s="32"/>
      <c r="V662" s="32"/>
      <c r="W662" s="41"/>
      <c r="X662" s="32"/>
      <c r="Z662" s="32"/>
      <c r="AA662" s="41"/>
      <c r="AB662" s="41"/>
      <c r="AD662" s="32"/>
      <c r="AE662" s="41"/>
    </row>
    <row r="663" spans="1:31" s="30" customFormat="1" x14ac:dyDescent="0.25">
      <c r="A663" s="36"/>
      <c r="B663" s="31"/>
      <c r="C663" s="31"/>
      <c r="D663" s="32"/>
      <c r="H663" s="32"/>
      <c r="J663" s="32"/>
      <c r="K663" s="41"/>
      <c r="L663" s="32"/>
      <c r="N663" s="32"/>
      <c r="O663" s="41"/>
      <c r="P663" s="32"/>
      <c r="R663" s="32"/>
      <c r="S663" s="41"/>
      <c r="T663" s="32"/>
      <c r="V663" s="32"/>
      <c r="W663" s="41"/>
      <c r="X663" s="32"/>
      <c r="Z663" s="32"/>
      <c r="AA663" s="41"/>
      <c r="AB663" s="41"/>
      <c r="AD663" s="32"/>
      <c r="AE663" s="41"/>
    </row>
    <row r="664" spans="1:31" s="30" customFormat="1" x14ac:dyDescent="0.25">
      <c r="A664" s="36"/>
      <c r="B664" s="31"/>
      <c r="C664" s="31"/>
      <c r="D664" s="32"/>
      <c r="H664" s="32"/>
      <c r="J664" s="32"/>
      <c r="K664" s="41"/>
      <c r="L664" s="32"/>
      <c r="N664" s="32"/>
      <c r="O664" s="41"/>
      <c r="P664" s="32"/>
      <c r="R664" s="32"/>
      <c r="S664" s="41"/>
      <c r="T664" s="32"/>
      <c r="V664" s="32"/>
      <c r="W664" s="41"/>
      <c r="X664" s="32"/>
      <c r="Z664" s="32"/>
      <c r="AA664" s="41"/>
      <c r="AB664" s="41"/>
      <c r="AD664" s="32"/>
      <c r="AE664" s="41"/>
    </row>
    <row r="665" spans="1:31" s="30" customFormat="1" x14ac:dyDescent="0.25">
      <c r="A665" s="36"/>
      <c r="B665" s="31"/>
      <c r="C665" s="31"/>
      <c r="D665" s="32"/>
      <c r="H665" s="32"/>
      <c r="J665" s="32"/>
      <c r="K665" s="41"/>
      <c r="L665" s="32"/>
      <c r="N665" s="32"/>
      <c r="O665" s="41"/>
      <c r="P665" s="32"/>
      <c r="R665" s="32"/>
      <c r="S665" s="41"/>
      <c r="T665" s="32"/>
      <c r="V665" s="32"/>
      <c r="W665" s="41"/>
      <c r="X665" s="32"/>
      <c r="Z665" s="32"/>
      <c r="AA665" s="41"/>
      <c r="AB665" s="41"/>
      <c r="AD665" s="32"/>
      <c r="AE665" s="41"/>
    </row>
    <row r="666" spans="1:31" s="30" customFormat="1" x14ac:dyDescent="0.25">
      <c r="A666" s="36"/>
      <c r="B666" s="31"/>
      <c r="C666" s="31"/>
      <c r="D666" s="32"/>
      <c r="H666" s="32"/>
      <c r="J666" s="32"/>
      <c r="K666" s="41"/>
      <c r="L666" s="32"/>
      <c r="N666" s="32"/>
      <c r="O666" s="41"/>
      <c r="P666" s="32"/>
      <c r="R666" s="32"/>
      <c r="S666" s="41"/>
      <c r="T666" s="32"/>
      <c r="V666" s="32"/>
      <c r="W666" s="41"/>
      <c r="X666" s="32"/>
      <c r="Z666" s="32"/>
      <c r="AA666" s="41"/>
      <c r="AB666" s="41"/>
      <c r="AD666" s="32"/>
      <c r="AE666" s="41"/>
    </row>
    <row r="667" spans="1:31" s="30" customFormat="1" x14ac:dyDescent="0.25">
      <c r="A667" s="36"/>
      <c r="B667" s="31"/>
      <c r="C667" s="31"/>
      <c r="D667" s="32"/>
      <c r="H667" s="32"/>
      <c r="J667" s="32"/>
      <c r="K667" s="41"/>
      <c r="L667" s="32"/>
      <c r="N667" s="32"/>
      <c r="O667" s="41"/>
      <c r="P667" s="32"/>
      <c r="R667" s="32"/>
      <c r="S667" s="41"/>
      <c r="T667" s="32"/>
      <c r="V667" s="32"/>
      <c r="W667" s="41"/>
      <c r="X667" s="32"/>
      <c r="Z667" s="32"/>
      <c r="AA667" s="41"/>
      <c r="AB667" s="41"/>
      <c r="AD667" s="32"/>
      <c r="AE667" s="41"/>
    </row>
    <row r="668" spans="1:31" s="30" customFormat="1" x14ac:dyDescent="0.25">
      <c r="A668" s="36"/>
      <c r="B668" s="31"/>
      <c r="C668" s="31"/>
      <c r="D668" s="32"/>
      <c r="H668" s="32"/>
      <c r="J668" s="32"/>
      <c r="K668" s="41"/>
      <c r="L668" s="32"/>
      <c r="N668" s="32"/>
      <c r="O668" s="41"/>
      <c r="P668" s="32"/>
      <c r="R668" s="32"/>
      <c r="S668" s="41"/>
      <c r="T668" s="32"/>
      <c r="V668" s="32"/>
      <c r="W668" s="41"/>
      <c r="X668" s="32"/>
      <c r="Z668" s="32"/>
      <c r="AA668" s="41"/>
      <c r="AB668" s="41"/>
      <c r="AD668" s="32"/>
      <c r="AE668" s="41"/>
    </row>
    <row r="669" spans="1:31" s="30" customFormat="1" x14ac:dyDescent="0.25">
      <c r="A669" s="36"/>
      <c r="B669" s="31"/>
      <c r="C669" s="31"/>
      <c r="D669" s="32"/>
      <c r="H669" s="32"/>
      <c r="J669" s="32"/>
      <c r="K669" s="41"/>
      <c r="L669" s="32"/>
      <c r="N669" s="32"/>
      <c r="O669" s="41"/>
      <c r="P669" s="32"/>
      <c r="R669" s="32"/>
      <c r="S669" s="41"/>
      <c r="T669" s="32"/>
      <c r="V669" s="32"/>
      <c r="W669" s="41"/>
      <c r="X669" s="32"/>
      <c r="Z669" s="32"/>
      <c r="AA669" s="41"/>
      <c r="AB669" s="41"/>
      <c r="AD669" s="32"/>
      <c r="AE669" s="41"/>
    </row>
    <row r="670" spans="1:31" s="30" customFormat="1" x14ac:dyDescent="0.25">
      <c r="A670" s="36"/>
      <c r="B670" s="31"/>
      <c r="C670" s="31"/>
      <c r="D670" s="32"/>
      <c r="H670" s="32"/>
      <c r="J670" s="32"/>
      <c r="K670" s="41"/>
      <c r="L670" s="32"/>
      <c r="N670" s="32"/>
      <c r="O670" s="41"/>
      <c r="P670" s="32"/>
      <c r="R670" s="32"/>
      <c r="S670" s="41"/>
      <c r="T670" s="32"/>
      <c r="V670" s="32"/>
      <c r="W670" s="41"/>
      <c r="X670" s="32"/>
      <c r="Z670" s="32"/>
      <c r="AA670" s="41"/>
      <c r="AB670" s="41"/>
      <c r="AD670" s="32"/>
      <c r="AE670" s="41"/>
    </row>
    <row r="671" spans="1:31" s="30" customFormat="1" x14ac:dyDescent="0.25">
      <c r="A671" s="36"/>
      <c r="B671" s="31"/>
      <c r="C671" s="31"/>
      <c r="D671" s="32"/>
      <c r="H671" s="32"/>
      <c r="J671" s="32"/>
      <c r="K671" s="41"/>
      <c r="L671" s="32"/>
      <c r="N671" s="32"/>
      <c r="O671" s="41"/>
      <c r="P671" s="32"/>
      <c r="R671" s="32"/>
      <c r="S671" s="41"/>
      <c r="T671" s="32"/>
      <c r="V671" s="32"/>
      <c r="W671" s="41"/>
      <c r="X671" s="32"/>
      <c r="Z671" s="32"/>
      <c r="AA671" s="41"/>
      <c r="AB671" s="41"/>
      <c r="AD671" s="32"/>
      <c r="AE671" s="41"/>
    </row>
    <row r="672" spans="1:31" s="30" customFormat="1" x14ac:dyDescent="0.25">
      <c r="A672" s="36"/>
      <c r="B672" s="31"/>
      <c r="C672" s="31"/>
      <c r="D672" s="32"/>
      <c r="H672" s="32"/>
      <c r="J672" s="32"/>
      <c r="K672" s="41"/>
      <c r="L672" s="32"/>
      <c r="N672" s="32"/>
      <c r="O672" s="41"/>
      <c r="P672" s="32"/>
      <c r="R672" s="32"/>
      <c r="S672" s="41"/>
      <c r="T672" s="32"/>
      <c r="V672" s="32"/>
      <c r="W672" s="41"/>
      <c r="X672" s="32"/>
      <c r="Z672" s="32"/>
      <c r="AA672" s="41"/>
      <c r="AB672" s="41"/>
      <c r="AD672" s="32"/>
      <c r="AE672" s="41"/>
    </row>
    <row r="673" spans="1:31" s="30" customFormat="1" x14ac:dyDescent="0.25">
      <c r="A673" s="36"/>
      <c r="B673" s="31"/>
      <c r="C673" s="31"/>
      <c r="D673" s="32"/>
      <c r="H673" s="32"/>
      <c r="J673" s="32"/>
      <c r="K673" s="41"/>
      <c r="L673" s="32"/>
      <c r="N673" s="32"/>
      <c r="O673" s="41"/>
      <c r="P673" s="32"/>
      <c r="R673" s="32"/>
      <c r="S673" s="41"/>
      <c r="T673" s="32"/>
      <c r="V673" s="32"/>
      <c r="W673" s="41"/>
      <c r="X673" s="32"/>
      <c r="Z673" s="32"/>
      <c r="AA673" s="41"/>
      <c r="AB673" s="41"/>
      <c r="AD673" s="32"/>
      <c r="AE673" s="41"/>
    </row>
    <row r="674" spans="1:31" s="30" customFormat="1" x14ac:dyDescent="0.25">
      <c r="A674" s="36"/>
      <c r="B674" s="31"/>
      <c r="C674" s="31"/>
      <c r="D674" s="32"/>
      <c r="H674" s="32"/>
      <c r="J674" s="32"/>
      <c r="K674" s="41"/>
      <c r="L674" s="32"/>
      <c r="N674" s="32"/>
      <c r="O674" s="41"/>
      <c r="P674" s="32"/>
      <c r="R674" s="32"/>
      <c r="S674" s="41"/>
      <c r="T674" s="32"/>
      <c r="V674" s="32"/>
      <c r="W674" s="41"/>
      <c r="X674" s="32"/>
      <c r="Z674" s="32"/>
      <c r="AA674" s="41"/>
      <c r="AB674" s="41"/>
      <c r="AD674" s="32"/>
      <c r="AE674" s="41"/>
    </row>
    <row r="675" spans="1:31" s="30" customFormat="1" x14ac:dyDescent="0.25">
      <c r="A675" s="36"/>
      <c r="B675" s="31"/>
      <c r="C675" s="31"/>
      <c r="D675" s="32"/>
      <c r="H675" s="32"/>
      <c r="J675" s="32"/>
      <c r="K675" s="41"/>
      <c r="L675" s="32"/>
      <c r="N675" s="32"/>
      <c r="O675" s="41"/>
      <c r="P675" s="32"/>
      <c r="R675" s="32"/>
      <c r="S675" s="41"/>
      <c r="T675" s="32"/>
      <c r="V675" s="32"/>
      <c r="W675" s="41"/>
      <c r="X675" s="32"/>
      <c r="Z675" s="32"/>
      <c r="AA675" s="41"/>
      <c r="AB675" s="41"/>
      <c r="AD675" s="32"/>
      <c r="AE675" s="41"/>
    </row>
    <row r="676" spans="1:31" s="30" customFormat="1" x14ac:dyDescent="0.25">
      <c r="A676" s="36"/>
      <c r="B676" s="31"/>
      <c r="C676" s="31"/>
      <c r="D676" s="32"/>
      <c r="H676" s="32"/>
      <c r="J676" s="32"/>
      <c r="K676" s="41"/>
      <c r="L676" s="32"/>
      <c r="N676" s="32"/>
      <c r="O676" s="41"/>
      <c r="P676" s="32"/>
      <c r="R676" s="32"/>
      <c r="S676" s="41"/>
      <c r="T676" s="32"/>
      <c r="V676" s="32"/>
      <c r="W676" s="41"/>
      <c r="X676" s="32"/>
      <c r="Z676" s="32"/>
      <c r="AA676" s="41"/>
      <c r="AB676" s="41"/>
      <c r="AD676" s="32"/>
      <c r="AE676" s="41"/>
    </row>
    <row r="677" spans="1:31" s="30" customFormat="1" x14ac:dyDescent="0.25">
      <c r="A677" s="36"/>
      <c r="B677" s="31"/>
      <c r="C677" s="31"/>
      <c r="D677" s="32"/>
      <c r="H677" s="32"/>
      <c r="J677" s="32"/>
      <c r="K677" s="41"/>
      <c r="L677" s="32"/>
      <c r="N677" s="32"/>
      <c r="O677" s="41"/>
      <c r="P677" s="32"/>
      <c r="R677" s="32"/>
      <c r="S677" s="41"/>
      <c r="T677" s="32"/>
      <c r="V677" s="32"/>
      <c r="W677" s="41"/>
      <c r="X677" s="32"/>
      <c r="Z677" s="32"/>
      <c r="AA677" s="41"/>
      <c r="AB677" s="41"/>
      <c r="AD677" s="32"/>
      <c r="AE677" s="41"/>
    </row>
    <row r="678" spans="1:31" s="30" customFormat="1" x14ac:dyDescent="0.25">
      <c r="A678" s="36"/>
      <c r="B678" s="31"/>
      <c r="C678" s="31"/>
      <c r="D678" s="32"/>
      <c r="H678" s="32"/>
      <c r="J678" s="32"/>
      <c r="K678" s="41"/>
      <c r="L678" s="32"/>
      <c r="N678" s="32"/>
      <c r="O678" s="41"/>
      <c r="P678" s="32"/>
      <c r="R678" s="32"/>
      <c r="S678" s="41"/>
      <c r="T678" s="32"/>
      <c r="V678" s="32"/>
      <c r="W678" s="41"/>
      <c r="X678" s="32"/>
      <c r="Z678" s="32"/>
      <c r="AA678" s="41"/>
      <c r="AB678" s="41"/>
      <c r="AD678" s="32"/>
      <c r="AE678" s="41"/>
    </row>
    <row r="679" spans="1:31" s="30" customFormat="1" x14ac:dyDescent="0.25">
      <c r="A679" s="36"/>
      <c r="B679" s="31"/>
      <c r="C679" s="31"/>
      <c r="D679" s="32"/>
      <c r="H679" s="32"/>
      <c r="J679" s="32"/>
      <c r="K679" s="41"/>
      <c r="L679" s="32"/>
      <c r="N679" s="32"/>
      <c r="O679" s="41"/>
      <c r="P679" s="32"/>
      <c r="R679" s="32"/>
      <c r="S679" s="41"/>
      <c r="T679" s="32"/>
      <c r="V679" s="32"/>
      <c r="W679" s="41"/>
      <c r="X679" s="32"/>
      <c r="Z679" s="32"/>
      <c r="AA679" s="41"/>
      <c r="AB679" s="41"/>
      <c r="AD679" s="32"/>
      <c r="AE679" s="41"/>
    </row>
    <row r="680" spans="1:31" s="30" customFormat="1" x14ac:dyDescent="0.25">
      <c r="A680" s="36"/>
      <c r="B680" s="31"/>
      <c r="C680" s="31"/>
      <c r="D680" s="32"/>
      <c r="H680" s="32"/>
      <c r="J680" s="32"/>
      <c r="K680" s="41"/>
      <c r="L680" s="32"/>
      <c r="N680" s="32"/>
      <c r="O680" s="41"/>
      <c r="P680" s="32"/>
      <c r="R680" s="32"/>
      <c r="S680" s="41"/>
      <c r="T680" s="32"/>
      <c r="V680" s="32"/>
      <c r="W680" s="41"/>
      <c r="X680" s="32"/>
      <c r="Z680" s="32"/>
      <c r="AA680" s="41"/>
      <c r="AB680" s="41"/>
      <c r="AD680" s="32"/>
      <c r="AE680" s="41"/>
    </row>
    <row r="681" spans="1:31" s="30" customFormat="1" x14ac:dyDescent="0.25">
      <c r="A681" s="36"/>
      <c r="B681" s="31"/>
      <c r="C681" s="31"/>
      <c r="D681" s="32"/>
      <c r="H681" s="32"/>
      <c r="J681" s="32"/>
      <c r="K681" s="41"/>
      <c r="L681" s="32"/>
      <c r="N681" s="32"/>
      <c r="O681" s="41"/>
      <c r="P681" s="32"/>
      <c r="R681" s="32"/>
      <c r="S681" s="41"/>
      <c r="T681" s="32"/>
      <c r="V681" s="32"/>
      <c r="W681" s="41"/>
      <c r="X681" s="32"/>
      <c r="Z681" s="32"/>
      <c r="AA681" s="41"/>
      <c r="AB681" s="41"/>
      <c r="AD681" s="32"/>
      <c r="AE681" s="41"/>
    </row>
    <row r="682" spans="1:31" s="30" customFormat="1" x14ac:dyDescent="0.25">
      <c r="A682" s="36"/>
      <c r="B682" s="31"/>
      <c r="C682" s="31"/>
      <c r="D682" s="32"/>
      <c r="H682" s="32"/>
      <c r="J682" s="32"/>
      <c r="K682" s="41"/>
      <c r="L682" s="32"/>
      <c r="N682" s="32"/>
      <c r="O682" s="41"/>
      <c r="P682" s="32"/>
      <c r="R682" s="32"/>
      <c r="S682" s="41"/>
      <c r="T682" s="32"/>
      <c r="V682" s="32"/>
      <c r="W682" s="41"/>
      <c r="X682" s="32"/>
      <c r="Z682" s="32"/>
      <c r="AA682" s="41"/>
      <c r="AB682" s="41"/>
      <c r="AD682" s="32"/>
      <c r="AE682" s="41"/>
    </row>
    <row r="683" spans="1:31" s="30" customFormat="1" x14ac:dyDescent="0.25">
      <c r="A683" s="36"/>
      <c r="B683" s="31"/>
      <c r="C683" s="31"/>
      <c r="D683" s="32"/>
      <c r="H683" s="32"/>
      <c r="J683" s="32"/>
      <c r="K683" s="41"/>
      <c r="L683" s="32"/>
      <c r="N683" s="32"/>
      <c r="O683" s="41"/>
      <c r="P683" s="32"/>
      <c r="R683" s="32"/>
      <c r="S683" s="41"/>
      <c r="T683" s="32"/>
      <c r="V683" s="32"/>
      <c r="W683" s="41"/>
      <c r="X683" s="32"/>
      <c r="Z683" s="32"/>
      <c r="AA683" s="41"/>
      <c r="AB683" s="41"/>
      <c r="AD683" s="32"/>
      <c r="AE683" s="41"/>
    </row>
    <row r="684" spans="1:31" s="30" customFormat="1" x14ac:dyDescent="0.25">
      <c r="A684" s="36"/>
      <c r="B684" s="31"/>
      <c r="C684" s="31"/>
      <c r="D684" s="32"/>
      <c r="H684" s="32"/>
      <c r="J684" s="32"/>
      <c r="K684" s="41"/>
      <c r="L684" s="32"/>
      <c r="N684" s="32"/>
      <c r="O684" s="41"/>
      <c r="P684" s="32"/>
      <c r="R684" s="32"/>
      <c r="S684" s="41"/>
      <c r="T684" s="32"/>
      <c r="V684" s="32"/>
      <c r="W684" s="41"/>
      <c r="X684" s="32"/>
      <c r="Z684" s="32"/>
      <c r="AA684" s="41"/>
      <c r="AB684" s="41"/>
      <c r="AD684" s="32"/>
      <c r="AE684" s="41"/>
    </row>
    <row r="685" spans="1:31" s="30" customFormat="1" x14ac:dyDescent="0.25">
      <c r="A685" s="36"/>
      <c r="B685" s="31"/>
      <c r="C685" s="31"/>
      <c r="D685" s="32"/>
      <c r="H685" s="32"/>
      <c r="J685" s="32"/>
      <c r="K685" s="41"/>
      <c r="L685" s="32"/>
      <c r="N685" s="32"/>
      <c r="O685" s="41"/>
      <c r="P685" s="32"/>
      <c r="R685" s="32"/>
      <c r="S685" s="41"/>
      <c r="T685" s="32"/>
      <c r="V685" s="32"/>
      <c r="W685" s="41"/>
      <c r="X685" s="32"/>
      <c r="Z685" s="32"/>
      <c r="AA685" s="41"/>
      <c r="AB685" s="41"/>
      <c r="AD685" s="32"/>
      <c r="AE685" s="41"/>
    </row>
    <row r="686" spans="1:31" s="30" customFormat="1" x14ac:dyDescent="0.25">
      <c r="A686" s="36"/>
      <c r="B686" s="31"/>
      <c r="C686" s="31"/>
      <c r="D686" s="32"/>
      <c r="H686" s="32"/>
      <c r="J686" s="32"/>
      <c r="K686" s="41"/>
      <c r="L686" s="32"/>
      <c r="N686" s="32"/>
      <c r="O686" s="41"/>
      <c r="P686" s="32"/>
      <c r="R686" s="32"/>
      <c r="S686" s="41"/>
      <c r="T686" s="32"/>
      <c r="V686" s="32"/>
      <c r="W686" s="41"/>
      <c r="X686" s="32"/>
      <c r="Z686" s="32"/>
      <c r="AA686" s="41"/>
      <c r="AB686" s="41"/>
      <c r="AD686" s="32"/>
      <c r="AE686" s="41"/>
    </row>
    <row r="687" spans="1:31" s="30" customFormat="1" x14ac:dyDescent="0.25">
      <c r="A687" s="36"/>
      <c r="B687" s="31"/>
      <c r="C687" s="31"/>
      <c r="D687" s="32"/>
      <c r="H687" s="32"/>
      <c r="J687" s="32"/>
      <c r="K687" s="41"/>
      <c r="L687" s="32"/>
      <c r="N687" s="32"/>
      <c r="O687" s="41"/>
      <c r="P687" s="32"/>
      <c r="R687" s="32"/>
      <c r="S687" s="41"/>
      <c r="T687" s="32"/>
      <c r="V687" s="32"/>
      <c r="W687" s="41"/>
      <c r="X687" s="32"/>
      <c r="Z687" s="32"/>
      <c r="AA687" s="41"/>
      <c r="AB687" s="41"/>
      <c r="AD687" s="32"/>
      <c r="AE687" s="41"/>
    </row>
    <row r="688" spans="1:31" s="30" customFormat="1" x14ac:dyDescent="0.25">
      <c r="A688" s="36"/>
      <c r="B688" s="31"/>
      <c r="C688" s="31"/>
      <c r="D688" s="32"/>
      <c r="H688" s="32"/>
      <c r="J688" s="32"/>
      <c r="K688" s="41"/>
      <c r="L688" s="32"/>
      <c r="N688" s="32"/>
      <c r="O688" s="41"/>
      <c r="P688" s="32"/>
      <c r="R688" s="32"/>
      <c r="S688" s="41"/>
      <c r="T688" s="32"/>
      <c r="V688" s="32"/>
      <c r="W688" s="41"/>
      <c r="X688" s="32"/>
      <c r="Z688" s="32"/>
      <c r="AA688" s="41"/>
      <c r="AB688" s="41"/>
      <c r="AD688" s="32"/>
      <c r="AE688" s="41"/>
    </row>
    <row r="689" spans="1:31" s="30" customFormat="1" x14ac:dyDescent="0.25">
      <c r="A689" s="36"/>
      <c r="B689" s="31"/>
      <c r="C689" s="31"/>
      <c r="D689" s="32"/>
      <c r="H689" s="32"/>
      <c r="J689" s="32"/>
      <c r="K689" s="41"/>
      <c r="L689" s="32"/>
      <c r="N689" s="32"/>
      <c r="O689" s="41"/>
      <c r="P689" s="32"/>
      <c r="R689" s="32"/>
      <c r="S689" s="41"/>
      <c r="T689" s="32"/>
      <c r="V689" s="32"/>
      <c r="W689" s="41"/>
      <c r="X689" s="32"/>
      <c r="Z689" s="32"/>
      <c r="AA689" s="41"/>
      <c r="AB689" s="41"/>
      <c r="AD689" s="32"/>
      <c r="AE689" s="41"/>
    </row>
    <row r="690" spans="1:31" s="30" customFormat="1" x14ac:dyDescent="0.25">
      <c r="A690" s="36"/>
      <c r="B690" s="31"/>
      <c r="C690" s="31"/>
      <c r="D690" s="32"/>
      <c r="H690" s="32"/>
      <c r="J690" s="32"/>
      <c r="K690" s="41"/>
      <c r="L690" s="32"/>
      <c r="N690" s="32"/>
      <c r="O690" s="41"/>
      <c r="P690" s="32"/>
      <c r="R690" s="32"/>
      <c r="S690" s="41"/>
      <c r="T690" s="32"/>
      <c r="V690" s="32"/>
      <c r="W690" s="41"/>
      <c r="X690" s="32"/>
      <c r="Z690" s="32"/>
      <c r="AA690" s="41"/>
      <c r="AB690" s="41"/>
      <c r="AD690" s="32"/>
      <c r="AE690" s="41"/>
    </row>
    <row r="691" spans="1:31" s="30" customFormat="1" x14ac:dyDescent="0.25">
      <c r="A691" s="36"/>
      <c r="B691" s="31"/>
      <c r="C691" s="31"/>
      <c r="D691" s="32"/>
      <c r="H691" s="32"/>
      <c r="J691" s="32"/>
      <c r="K691" s="41"/>
      <c r="L691" s="32"/>
      <c r="N691" s="32"/>
      <c r="O691" s="41"/>
      <c r="P691" s="32"/>
      <c r="R691" s="32"/>
      <c r="S691" s="41"/>
      <c r="T691" s="32"/>
      <c r="V691" s="32"/>
      <c r="W691" s="41"/>
      <c r="X691" s="32"/>
      <c r="Z691" s="32"/>
      <c r="AA691" s="41"/>
      <c r="AB691" s="41"/>
      <c r="AD691" s="32"/>
      <c r="AE691" s="41"/>
    </row>
    <row r="692" spans="1:31" s="30" customFormat="1" x14ac:dyDescent="0.25">
      <c r="A692" s="36"/>
      <c r="B692" s="31"/>
      <c r="C692" s="31"/>
      <c r="D692" s="32"/>
      <c r="H692" s="32"/>
      <c r="J692" s="32"/>
      <c r="K692" s="41"/>
      <c r="L692" s="32"/>
      <c r="N692" s="32"/>
      <c r="O692" s="41"/>
      <c r="P692" s="32"/>
      <c r="R692" s="32"/>
      <c r="S692" s="41"/>
      <c r="T692" s="32"/>
      <c r="V692" s="32"/>
      <c r="W692" s="41"/>
      <c r="X692" s="32"/>
      <c r="Z692" s="32"/>
      <c r="AA692" s="41"/>
      <c r="AB692" s="41"/>
      <c r="AD692" s="32"/>
      <c r="AE692" s="41"/>
    </row>
    <row r="693" spans="1:31" s="30" customFormat="1" x14ac:dyDescent="0.25">
      <c r="A693" s="36"/>
      <c r="B693" s="31"/>
      <c r="C693" s="31"/>
      <c r="D693" s="32"/>
      <c r="H693" s="32"/>
      <c r="J693" s="32"/>
      <c r="K693" s="41"/>
      <c r="L693" s="32"/>
      <c r="N693" s="32"/>
      <c r="O693" s="41"/>
      <c r="P693" s="32"/>
      <c r="R693" s="32"/>
      <c r="S693" s="41"/>
      <c r="T693" s="32"/>
      <c r="V693" s="32"/>
      <c r="W693" s="41"/>
      <c r="X693" s="32"/>
      <c r="Z693" s="32"/>
      <c r="AA693" s="41"/>
      <c r="AB693" s="41"/>
      <c r="AD693" s="32"/>
      <c r="AE693" s="41"/>
    </row>
    <row r="694" spans="1:31" s="30" customFormat="1" x14ac:dyDescent="0.25">
      <c r="A694" s="36"/>
      <c r="B694" s="31"/>
      <c r="C694" s="31"/>
      <c r="D694" s="32"/>
      <c r="H694" s="32"/>
      <c r="J694" s="32"/>
      <c r="K694" s="41"/>
      <c r="L694" s="32"/>
      <c r="N694" s="32"/>
      <c r="O694" s="41"/>
      <c r="P694" s="32"/>
      <c r="R694" s="32"/>
      <c r="S694" s="41"/>
      <c r="T694" s="32"/>
      <c r="V694" s="32"/>
      <c r="W694" s="41"/>
      <c r="X694" s="32"/>
      <c r="Z694" s="32"/>
      <c r="AA694" s="41"/>
      <c r="AB694" s="41"/>
      <c r="AD694" s="32"/>
      <c r="AE694" s="41"/>
    </row>
    <row r="695" spans="1:31" s="30" customFormat="1" x14ac:dyDescent="0.25">
      <c r="A695" s="36"/>
      <c r="B695" s="31"/>
      <c r="C695" s="31"/>
      <c r="D695" s="32"/>
      <c r="H695" s="32"/>
      <c r="J695" s="32"/>
      <c r="K695" s="41"/>
      <c r="L695" s="32"/>
      <c r="N695" s="32"/>
      <c r="O695" s="41"/>
      <c r="P695" s="32"/>
      <c r="R695" s="32"/>
      <c r="S695" s="41"/>
      <c r="T695" s="32"/>
      <c r="V695" s="32"/>
      <c r="W695" s="41"/>
      <c r="X695" s="32"/>
      <c r="Z695" s="32"/>
      <c r="AA695" s="41"/>
      <c r="AB695" s="41"/>
      <c r="AD695" s="32"/>
      <c r="AE695" s="41"/>
    </row>
    <row r="696" spans="1:31" s="30" customFormat="1" x14ac:dyDescent="0.25">
      <c r="A696" s="36"/>
      <c r="B696" s="31"/>
      <c r="C696" s="31"/>
      <c r="D696" s="32"/>
      <c r="H696" s="32"/>
      <c r="J696" s="32"/>
      <c r="K696" s="41"/>
      <c r="L696" s="32"/>
      <c r="N696" s="32"/>
      <c r="O696" s="41"/>
      <c r="P696" s="32"/>
      <c r="R696" s="32"/>
      <c r="S696" s="41"/>
      <c r="T696" s="32"/>
      <c r="V696" s="32"/>
      <c r="W696" s="41"/>
      <c r="X696" s="32"/>
      <c r="Z696" s="32"/>
      <c r="AA696" s="41"/>
      <c r="AB696" s="41"/>
      <c r="AD696" s="32"/>
      <c r="AE696" s="41"/>
    </row>
    <row r="697" spans="1:31" s="30" customFormat="1" x14ac:dyDescent="0.25">
      <c r="A697" s="36"/>
      <c r="B697" s="31"/>
      <c r="C697" s="31"/>
      <c r="D697" s="32"/>
      <c r="H697" s="32"/>
      <c r="J697" s="32"/>
      <c r="K697" s="41"/>
      <c r="L697" s="32"/>
      <c r="N697" s="32"/>
      <c r="O697" s="41"/>
      <c r="P697" s="32"/>
      <c r="R697" s="32"/>
      <c r="S697" s="41"/>
      <c r="T697" s="32"/>
      <c r="V697" s="32"/>
      <c r="W697" s="41"/>
      <c r="X697" s="32"/>
      <c r="Z697" s="32"/>
      <c r="AA697" s="41"/>
      <c r="AB697" s="41"/>
      <c r="AD697" s="32"/>
      <c r="AE697" s="41"/>
    </row>
    <row r="698" spans="1:31" s="30" customFormat="1" x14ac:dyDescent="0.25">
      <c r="A698" s="36"/>
      <c r="B698" s="31"/>
      <c r="C698" s="31"/>
      <c r="D698" s="32"/>
      <c r="H698" s="32"/>
      <c r="J698" s="32"/>
      <c r="K698" s="41"/>
      <c r="L698" s="32"/>
      <c r="N698" s="32"/>
      <c r="O698" s="41"/>
      <c r="P698" s="32"/>
      <c r="R698" s="32"/>
      <c r="S698" s="41"/>
      <c r="T698" s="32"/>
      <c r="V698" s="32"/>
      <c r="W698" s="41"/>
      <c r="X698" s="32"/>
      <c r="Z698" s="32"/>
      <c r="AA698" s="41"/>
      <c r="AB698" s="41"/>
      <c r="AD698" s="32"/>
      <c r="AE698" s="41"/>
    </row>
    <row r="699" spans="1:31" s="30" customFormat="1" x14ac:dyDescent="0.25">
      <c r="A699" s="36"/>
      <c r="B699" s="31"/>
      <c r="C699" s="31"/>
      <c r="D699" s="32"/>
      <c r="H699" s="32"/>
      <c r="J699" s="32"/>
      <c r="K699" s="41"/>
      <c r="L699" s="32"/>
      <c r="N699" s="32"/>
      <c r="O699" s="41"/>
      <c r="P699" s="32"/>
      <c r="R699" s="32"/>
      <c r="S699" s="41"/>
      <c r="T699" s="32"/>
      <c r="V699" s="32"/>
      <c r="W699" s="41"/>
      <c r="X699" s="32"/>
      <c r="Z699" s="32"/>
      <c r="AA699" s="41"/>
      <c r="AB699" s="41"/>
      <c r="AD699" s="32"/>
      <c r="AE699" s="41"/>
    </row>
    <row r="700" spans="1:31" s="30" customFormat="1" x14ac:dyDescent="0.25">
      <c r="A700" s="36"/>
      <c r="B700" s="31"/>
      <c r="C700" s="31"/>
      <c r="D700" s="32"/>
      <c r="H700" s="32"/>
      <c r="J700" s="32"/>
      <c r="K700" s="41"/>
      <c r="L700" s="32"/>
      <c r="N700" s="32"/>
      <c r="O700" s="41"/>
      <c r="P700" s="32"/>
      <c r="R700" s="32"/>
      <c r="S700" s="41"/>
      <c r="T700" s="32"/>
      <c r="V700" s="32"/>
      <c r="W700" s="41"/>
      <c r="X700" s="32"/>
      <c r="Z700" s="32"/>
      <c r="AA700" s="41"/>
      <c r="AB700" s="41"/>
      <c r="AD700" s="32"/>
      <c r="AE700" s="41"/>
    </row>
    <row r="701" spans="1:31" s="30" customFormat="1" x14ac:dyDescent="0.25">
      <c r="A701" s="36"/>
      <c r="B701" s="31"/>
      <c r="C701" s="31"/>
      <c r="D701" s="32"/>
      <c r="H701" s="32"/>
      <c r="J701" s="32"/>
      <c r="K701" s="41"/>
      <c r="L701" s="32"/>
      <c r="N701" s="32"/>
      <c r="O701" s="41"/>
      <c r="P701" s="32"/>
      <c r="R701" s="32"/>
      <c r="S701" s="41"/>
      <c r="T701" s="32"/>
      <c r="V701" s="32"/>
      <c r="W701" s="41"/>
      <c r="X701" s="32"/>
      <c r="Z701" s="32"/>
      <c r="AA701" s="41"/>
      <c r="AB701" s="41"/>
      <c r="AD701" s="32"/>
      <c r="AE701" s="41"/>
    </row>
    <row r="702" spans="1:31" s="30" customFormat="1" x14ac:dyDescent="0.25">
      <c r="A702" s="36"/>
      <c r="B702" s="31"/>
      <c r="C702" s="31"/>
      <c r="D702" s="32"/>
      <c r="H702" s="32"/>
      <c r="J702" s="32"/>
      <c r="K702" s="41"/>
      <c r="L702" s="32"/>
      <c r="N702" s="32"/>
      <c r="O702" s="41"/>
      <c r="P702" s="32"/>
      <c r="R702" s="32"/>
      <c r="S702" s="41"/>
      <c r="T702" s="32"/>
      <c r="V702" s="32"/>
      <c r="W702" s="41"/>
      <c r="X702" s="32"/>
      <c r="Z702" s="32"/>
      <c r="AA702" s="41"/>
      <c r="AB702" s="41"/>
      <c r="AD702" s="32"/>
      <c r="AE702" s="41"/>
    </row>
    <row r="703" spans="1:31" s="30" customFormat="1" x14ac:dyDescent="0.25">
      <c r="A703" s="36"/>
      <c r="B703" s="31"/>
      <c r="C703" s="31"/>
      <c r="D703" s="32"/>
      <c r="H703" s="32"/>
      <c r="J703" s="32"/>
      <c r="K703" s="41"/>
      <c r="L703" s="32"/>
      <c r="N703" s="32"/>
      <c r="O703" s="41"/>
      <c r="P703" s="32"/>
      <c r="R703" s="32"/>
      <c r="S703" s="41"/>
      <c r="T703" s="32"/>
      <c r="V703" s="32"/>
      <c r="W703" s="41"/>
      <c r="X703" s="32"/>
      <c r="Z703" s="32"/>
      <c r="AA703" s="41"/>
      <c r="AB703" s="41"/>
      <c r="AD703" s="32"/>
      <c r="AE703" s="41"/>
    </row>
    <row r="704" spans="1:31" s="30" customFormat="1" x14ac:dyDescent="0.25">
      <c r="A704" s="36"/>
      <c r="B704" s="31"/>
      <c r="C704" s="31"/>
      <c r="D704" s="32"/>
      <c r="H704" s="32"/>
      <c r="J704" s="32"/>
      <c r="K704" s="41"/>
      <c r="L704" s="32"/>
      <c r="N704" s="32"/>
      <c r="O704" s="41"/>
      <c r="P704" s="32"/>
      <c r="R704" s="32"/>
      <c r="S704" s="41"/>
      <c r="T704" s="32"/>
      <c r="V704" s="32"/>
      <c r="W704" s="41"/>
      <c r="X704" s="32"/>
      <c r="Z704" s="32"/>
      <c r="AA704" s="41"/>
      <c r="AB704" s="41"/>
      <c r="AD704" s="32"/>
      <c r="AE704" s="41"/>
    </row>
    <row r="705" spans="1:31" s="30" customFormat="1" x14ac:dyDescent="0.25">
      <c r="A705" s="36"/>
      <c r="B705" s="31"/>
      <c r="C705" s="31"/>
      <c r="D705" s="32"/>
      <c r="H705" s="32"/>
      <c r="J705" s="32"/>
      <c r="K705" s="41"/>
      <c r="L705" s="32"/>
      <c r="N705" s="32"/>
      <c r="O705" s="41"/>
      <c r="P705" s="32"/>
      <c r="R705" s="32"/>
      <c r="S705" s="41"/>
      <c r="T705" s="32"/>
      <c r="V705" s="32"/>
      <c r="W705" s="41"/>
      <c r="X705" s="32"/>
      <c r="Z705" s="32"/>
      <c r="AA705" s="41"/>
      <c r="AB705" s="41"/>
      <c r="AD705" s="32"/>
      <c r="AE705" s="41"/>
    </row>
    <row r="706" spans="1:31" s="30" customFormat="1" x14ac:dyDescent="0.25">
      <c r="A706" s="36"/>
      <c r="B706" s="31"/>
      <c r="C706" s="31"/>
      <c r="D706" s="32"/>
      <c r="H706" s="32"/>
      <c r="J706" s="32"/>
      <c r="K706" s="41"/>
      <c r="L706" s="32"/>
      <c r="N706" s="32"/>
      <c r="O706" s="41"/>
      <c r="P706" s="32"/>
      <c r="R706" s="32"/>
      <c r="S706" s="41"/>
      <c r="T706" s="32"/>
      <c r="V706" s="32"/>
      <c r="W706" s="41"/>
      <c r="X706" s="32"/>
      <c r="Z706" s="32"/>
      <c r="AA706" s="41"/>
      <c r="AB706" s="41"/>
      <c r="AD706" s="32"/>
      <c r="AE706" s="41"/>
    </row>
    <row r="707" spans="1:31" s="30" customFormat="1" x14ac:dyDescent="0.25">
      <c r="A707" s="36"/>
      <c r="B707" s="31"/>
      <c r="C707" s="31"/>
      <c r="D707" s="32"/>
      <c r="H707" s="32"/>
      <c r="J707" s="32"/>
      <c r="K707" s="41"/>
      <c r="L707" s="32"/>
      <c r="N707" s="32"/>
      <c r="O707" s="41"/>
      <c r="P707" s="32"/>
      <c r="R707" s="32"/>
      <c r="S707" s="41"/>
      <c r="T707" s="32"/>
      <c r="V707" s="32"/>
      <c r="W707" s="41"/>
      <c r="X707" s="32"/>
      <c r="Z707" s="32"/>
      <c r="AA707" s="41"/>
      <c r="AB707" s="41"/>
      <c r="AD707" s="32"/>
      <c r="AE707" s="41"/>
    </row>
    <row r="708" spans="1:31" s="30" customFormat="1" x14ac:dyDescent="0.25">
      <c r="A708" s="36"/>
      <c r="B708" s="31"/>
      <c r="C708" s="31"/>
      <c r="D708" s="32"/>
      <c r="H708" s="32"/>
      <c r="J708" s="32"/>
      <c r="K708" s="41"/>
      <c r="L708" s="32"/>
      <c r="N708" s="32"/>
      <c r="O708" s="41"/>
      <c r="P708" s="32"/>
      <c r="R708" s="32"/>
      <c r="S708" s="41"/>
      <c r="T708" s="32"/>
      <c r="V708" s="32"/>
      <c r="W708" s="41"/>
      <c r="X708" s="32"/>
      <c r="Z708" s="32"/>
      <c r="AA708" s="41"/>
      <c r="AB708" s="41"/>
      <c r="AD708" s="32"/>
      <c r="AE708" s="41"/>
    </row>
    <row r="709" spans="1:31" s="30" customFormat="1" x14ac:dyDescent="0.25">
      <c r="A709" s="36"/>
      <c r="B709" s="31"/>
      <c r="C709" s="31"/>
      <c r="D709" s="32"/>
      <c r="H709" s="32"/>
      <c r="J709" s="32"/>
      <c r="K709" s="41"/>
      <c r="L709" s="32"/>
      <c r="N709" s="32"/>
      <c r="O709" s="41"/>
      <c r="P709" s="32"/>
      <c r="R709" s="32"/>
      <c r="S709" s="41"/>
      <c r="T709" s="32"/>
      <c r="V709" s="32"/>
      <c r="W709" s="41"/>
      <c r="X709" s="32"/>
      <c r="Z709" s="32"/>
      <c r="AA709" s="41"/>
      <c r="AB709" s="41"/>
      <c r="AD709" s="32"/>
      <c r="AE709" s="41"/>
    </row>
    <row r="710" spans="1:31" s="30" customFormat="1" x14ac:dyDescent="0.25">
      <c r="A710" s="36"/>
      <c r="B710" s="31"/>
      <c r="C710" s="31"/>
      <c r="D710" s="32"/>
      <c r="H710" s="32"/>
      <c r="J710" s="32"/>
      <c r="K710" s="41"/>
      <c r="L710" s="32"/>
      <c r="N710" s="32"/>
      <c r="O710" s="41"/>
      <c r="P710" s="32"/>
      <c r="R710" s="32"/>
      <c r="S710" s="41"/>
      <c r="T710" s="32"/>
      <c r="V710" s="32"/>
      <c r="W710" s="41"/>
      <c r="X710" s="32"/>
      <c r="Z710" s="32"/>
      <c r="AA710" s="41"/>
      <c r="AB710" s="41"/>
      <c r="AD710" s="32"/>
      <c r="AE710" s="41"/>
    </row>
    <row r="711" spans="1:31" s="30" customFormat="1" x14ac:dyDescent="0.25">
      <c r="A711" s="36"/>
      <c r="B711" s="31"/>
      <c r="C711" s="31"/>
      <c r="D711" s="32"/>
      <c r="H711" s="32"/>
      <c r="J711" s="32"/>
      <c r="K711" s="41"/>
      <c r="L711" s="32"/>
      <c r="N711" s="32"/>
      <c r="O711" s="41"/>
      <c r="P711" s="32"/>
      <c r="R711" s="32"/>
      <c r="S711" s="41"/>
      <c r="T711" s="32"/>
      <c r="V711" s="32"/>
      <c r="W711" s="41"/>
      <c r="X711" s="32"/>
      <c r="Z711" s="32"/>
      <c r="AA711" s="41"/>
      <c r="AB711" s="41"/>
      <c r="AD711" s="32"/>
      <c r="AE711" s="41"/>
    </row>
    <row r="712" spans="1:31" s="30" customFormat="1" x14ac:dyDescent="0.25">
      <c r="A712" s="36"/>
      <c r="B712" s="31"/>
      <c r="C712" s="31"/>
      <c r="D712" s="32"/>
      <c r="H712" s="32"/>
      <c r="J712" s="32"/>
      <c r="K712" s="41"/>
      <c r="L712" s="32"/>
      <c r="N712" s="32"/>
      <c r="O712" s="41"/>
      <c r="P712" s="32"/>
      <c r="R712" s="32"/>
      <c r="S712" s="41"/>
      <c r="T712" s="32"/>
      <c r="V712" s="32"/>
      <c r="W712" s="41"/>
      <c r="X712" s="32"/>
      <c r="Z712" s="32"/>
      <c r="AA712" s="41"/>
      <c r="AB712" s="41"/>
      <c r="AD712" s="32"/>
      <c r="AE712" s="41"/>
    </row>
    <row r="713" spans="1:31" s="30" customFormat="1" x14ac:dyDescent="0.25">
      <c r="A713" s="36"/>
      <c r="B713" s="31"/>
      <c r="C713" s="31"/>
      <c r="D713" s="32"/>
      <c r="H713" s="32"/>
      <c r="J713" s="32"/>
      <c r="K713" s="41"/>
      <c r="L713" s="32"/>
      <c r="N713" s="32"/>
      <c r="O713" s="41"/>
      <c r="P713" s="32"/>
      <c r="R713" s="32"/>
      <c r="S713" s="41"/>
      <c r="T713" s="32"/>
      <c r="V713" s="32"/>
      <c r="W713" s="41"/>
      <c r="X713" s="32"/>
      <c r="Z713" s="32"/>
      <c r="AA713" s="41"/>
      <c r="AB713" s="41"/>
      <c r="AD713" s="32"/>
      <c r="AE713" s="41"/>
    </row>
    <row r="714" spans="1:31" s="30" customFormat="1" x14ac:dyDescent="0.25">
      <c r="A714" s="36"/>
      <c r="B714" s="31"/>
      <c r="C714" s="31"/>
      <c r="D714" s="32"/>
      <c r="H714" s="32"/>
      <c r="J714" s="32"/>
      <c r="K714" s="41"/>
      <c r="L714" s="32"/>
      <c r="N714" s="32"/>
      <c r="O714" s="41"/>
      <c r="P714" s="32"/>
      <c r="R714" s="32"/>
      <c r="S714" s="41"/>
      <c r="T714" s="32"/>
      <c r="V714" s="32"/>
      <c r="W714" s="41"/>
      <c r="X714" s="32"/>
      <c r="Z714" s="32"/>
      <c r="AA714" s="41"/>
      <c r="AB714" s="41"/>
      <c r="AD714" s="32"/>
      <c r="AE714" s="41"/>
    </row>
    <row r="715" spans="1:31" s="30" customFormat="1" x14ac:dyDescent="0.25">
      <c r="A715" s="36"/>
      <c r="B715" s="31"/>
      <c r="C715" s="31"/>
      <c r="D715" s="32"/>
      <c r="H715" s="32"/>
      <c r="J715" s="32"/>
      <c r="K715" s="41"/>
      <c r="L715" s="32"/>
      <c r="N715" s="32"/>
      <c r="O715" s="41"/>
      <c r="P715" s="32"/>
      <c r="R715" s="32"/>
      <c r="S715" s="41"/>
      <c r="T715" s="32"/>
      <c r="V715" s="32"/>
      <c r="W715" s="41"/>
      <c r="X715" s="32"/>
      <c r="Z715" s="32"/>
      <c r="AA715" s="41"/>
      <c r="AB715" s="41"/>
      <c r="AD715" s="32"/>
      <c r="AE715" s="41"/>
    </row>
    <row r="716" spans="1:31" s="30" customFormat="1" x14ac:dyDescent="0.25">
      <c r="A716" s="36"/>
      <c r="B716" s="31"/>
      <c r="C716" s="31"/>
      <c r="D716" s="32"/>
      <c r="H716" s="32"/>
      <c r="J716" s="32"/>
      <c r="K716" s="41"/>
      <c r="L716" s="32"/>
      <c r="N716" s="32"/>
      <c r="O716" s="41"/>
      <c r="P716" s="32"/>
      <c r="R716" s="32"/>
      <c r="S716" s="41"/>
      <c r="T716" s="32"/>
      <c r="V716" s="32"/>
      <c r="W716" s="41"/>
      <c r="X716" s="32"/>
      <c r="Z716" s="32"/>
      <c r="AA716" s="41"/>
      <c r="AB716" s="41"/>
      <c r="AD716" s="32"/>
      <c r="AE716" s="41"/>
    </row>
    <row r="717" spans="1:31" s="30" customFormat="1" x14ac:dyDescent="0.25">
      <c r="A717" s="36"/>
      <c r="B717" s="31"/>
      <c r="C717" s="31"/>
      <c r="D717" s="32"/>
      <c r="H717" s="32"/>
      <c r="J717" s="32"/>
      <c r="K717" s="41"/>
      <c r="L717" s="32"/>
      <c r="N717" s="32"/>
      <c r="O717" s="41"/>
      <c r="P717" s="32"/>
      <c r="R717" s="32"/>
      <c r="S717" s="41"/>
      <c r="T717" s="32"/>
      <c r="V717" s="32"/>
      <c r="W717" s="41"/>
      <c r="X717" s="32"/>
      <c r="Z717" s="32"/>
      <c r="AA717" s="41"/>
      <c r="AB717" s="41"/>
      <c r="AD717" s="32"/>
      <c r="AE717" s="41"/>
    </row>
    <row r="718" spans="1:31" s="30" customFormat="1" x14ac:dyDescent="0.25">
      <c r="A718" s="36"/>
      <c r="B718" s="31"/>
      <c r="C718" s="31"/>
      <c r="D718" s="32"/>
      <c r="H718" s="32"/>
      <c r="J718" s="32"/>
      <c r="K718" s="41"/>
      <c r="L718" s="32"/>
      <c r="N718" s="32"/>
      <c r="O718" s="41"/>
      <c r="P718" s="32"/>
      <c r="R718" s="32"/>
      <c r="S718" s="41"/>
      <c r="T718" s="32"/>
      <c r="V718" s="32"/>
      <c r="W718" s="41"/>
      <c r="X718" s="32"/>
      <c r="Z718" s="32"/>
      <c r="AA718" s="41"/>
      <c r="AB718" s="41"/>
      <c r="AD718" s="32"/>
      <c r="AE718" s="41"/>
    </row>
    <row r="719" spans="1:31" s="30" customFormat="1" x14ac:dyDescent="0.25">
      <c r="A719" s="36"/>
      <c r="B719" s="31"/>
      <c r="C719" s="31"/>
      <c r="D719" s="32"/>
      <c r="H719" s="32"/>
      <c r="J719" s="32"/>
      <c r="K719" s="41"/>
      <c r="L719" s="32"/>
      <c r="N719" s="32"/>
      <c r="O719" s="41"/>
      <c r="P719" s="32"/>
      <c r="R719" s="32"/>
      <c r="S719" s="41"/>
      <c r="T719" s="32"/>
      <c r="V719" s="32"/>
      <c r="W719" s="41"/>
      <c r="X719" s="32"/>
      <c r="Z719" s="32"/>
      <c r="AA719" s="41"/>
      <c r="AB719" s="41"/>
      <c r="AD719" s="32"/>
      <c r="AE719" s="41"/>
    </row>
    <row r="720" spans="1:31" s="30" customFormat="1" x14ac:dyDescent="0.25">
      <c r="A720" s="36"/>
      <c r="B720" s="31"/>
      <c r="C720" s="31"/>
      <c r="D720" s="32"/>
      <c r="H720" s="32"/>
      <c r="J720" s="32"/>
      <c r="K720" s="41"/>
      <c r="L720" s="32"/>
      <c r="N720" s="32"/>
      <c r="O720" s="41"/>
      <c r="P720" s="32"/>
      <c r="R720" s="32"/>
      <c r="S720" s="41"/>
      <c r="T720" s="32"/>
      <c r="V720" s="32"/>
      <c r="W720" s="41"/>
      <c r="X720" s="32"/>
      <c r="Z720" s="32"/>
      <c r="AA720" s="41"/>
      <c r="AB720" s="41"/>
      <c r="AD720" s="32"/>
      <c r="AE720" s="41"/>
    </row>
    <row r="721" spans="1:31" s="30" customFormat="1" x14ac:dyDescent="0.25">
      <c r="A721" s="36"/>
      <c r="B721" s="31"/>
      <c r="C721" s="31"/>
      <c r="D721" s="32"/>
      <c r="H721" s="32"/>
      <c r="J721" s="32"/>
      <c r="K721" s="41"/>
      <c r="L721" s="32"/>
      <c r="N721" s="32"/>
      <c r="O721" s="41"/>
      <c r="P721" s="32"/>
      <c r="R721" s="32"/>
      <c r="S721" s="41"/>
      <c r="T721" s="32"/>
      <c r="V721" s="32"/>
      <c r="W721" s="41"/>
      <c r="X721" s="32"/>
      <c r="Z721" s="32"/>
      <c r="AA721" s="41"/>
      <c r="AB721" s="41"/>
      <c r="AD721" s="32"/>
      <c r="AE721" s="41"/>
    </row>
    <row r="722" spans="1:31" s="30" customFormat="1" x14ac:dyDescent="0.25">
      <c r="A722" s="36"/>
      <c r="B722" s="31"/>
      <c r="C722" s="31"/>
      <c r="D722" s="32"/>
      <c r="H722" s="32"/>
      <c r="J722" s="32"/>
      <c r="K722" s="41"/>
      <c r="L722" s="32"/>
      <c r="N722" s="32"/>
      <c r="O722" s="41"/>
      <c r="P722" s="32"/>
      <c r="R722" s="32"/>
      <c r="S722" s="41"/>
      <c r="T722" s="32"/>
      <c r="V722" s="32"/>
      <c r="W722" s="41"/>
      <c r="X722" s="32"/>
      <c r="Z722" s="32"/>
      <c r="AA722" s="41"/>
      <c r="AB722" s="41"/>
      <c r="AD722" s="32"/>
      <c r="AE722" s="41"/>
    </row>
    <row r="723" spans="1:31" s="30" customFormat="1" x14ac:dyDescent="0.25">
      <c r="A723" s="36"/>
      <c r="B723" s="31"/>
      <c r="C723" s="31"/>
      <c r="D723" s="32"/>
      <c r="H723" s="32"/>
      <c r="J723" s="32"/>
      <c r="K723" s="41"/>
      <c r="L723" s="32"/>
      <c r="N723" s="32"/>
      <c r="O723" s="41"/>
      <c r="P723" s="32"/>
      <c r="R723" s="32"/>
      <c r="S723" s="41"/>
      <c r="T723" s="32"/>
      <c r="V723" s="32"/>
      <c r="W723" s="41"/>
      <c r="X723" s="32"/>
      <c r="Z723" s="32"/>
      <c r="AA723" s="41"/>
      <c r="AB723" s="41"/>
      <c r="AD723" s="32"/>
      <c r="AE723" s="41"/>
    </row>
    <row r="724" spans="1:31" s="30" customFormat="1" x14ac:dyDescent="0.25">
      <c r="A724" s="36"/>
      <c r="B724" s="31"/>
      <c r="C724" s="31"/>
      <c r="D724" s="32"/>
      <c r="H724" s="32"/>
      <c r="J724" s="32"/>
      <c r="K724" s="41"/>
      <c r="L724" s="32"/>
      <c r="N724" s="32"/>
      <c r="O724" s="41"/>
      <c r="P724" s="32"/>
      <c r="R724" s="32"/>
      <c r="S724" s="41"/>
      <c r="T724" s="32"/>
      <c r="V724" s="32"/>
      <c r="W724" s="41"/>
      <c r="X724" s="32"/>
      <c r="Z724" s="32"/>
      <c r="AA724" s="41"/>
      <c r="AB724" s="41"/>
      <c r="AD724" s="32"/>
      <c r="AE724" s="41"/>
    </row>
    <row r="725" spans="1:31" s="30" customFormat="1" x14ac:dyDescent="0.25">
      <c r="A725" s="36"/>
      <c r="B725" s="31"/>
      <c r="C725" s="31"/>
      <c r="D725" s="32"/>
      <c r="H725" s="32"/>
      <c r="J725" s="32"/>
      <c r="K725" s="41"/>
      <c r="L725" s="32"/>
      <c r="N725" s="32"/>
      <c r="O725" s="41"/>
      <c r="P725" s="32"/>
      <c r="R725" s="32"/>
      <c r="S725" s="41"/>
      <c r="T725" s="32"/>
      <c r="V725" s="32"/>
      <c r="W725" s="41"/>
      <c r="X725" s="32"/>
      <c r="Z725" s="32"/>
      <c r="AA725" s="41"/>
      <c r="AB725" s="41"/>
      <c r="AD725" s="32"/>
      <c r="AE725" s="41"/>
    </row>
    <row r="726" spans="1:31" s="30" customFormat="1" x14ac:dyDescent="0.25">
      <c r="A726" s="36"/>
      <c r="B726" s="31"/>
      <c r="C726" s="31"/>
      <c r="D726" s="32"/>
      <c r="H726" s="32"/>
      <c r="J726" s="32"/>
      <c r="K726" s="41"/>
      <c r="L726" s="32"/>
      <c r="N726" s="32"/>
      <c r="O726" s="41"/>
      <c r="P726" s="32"/>
      <c r="R726" s="32"/>
      <c r="S726" s="41"/>
      <c r="T726" s="32"/>
      <c r="V726" s="32"/>
      <c r="W726" s="41"/>
      <c r="X726" s="32"/>
      <c r="Z726" s="32"/>
      <c r="AA726" s="41"/>
      <c r="AB726" s="41"/>
      <c r="AD726" s="32"/>
      <c r="AE726" s="41"/>
    </row>
    <row r="727" spans="1:31" s="30" customFormat="1" x14ac:dyDescent="0.25">
      <c r="A727" s="36"/>
      <c r="B727" s="31"/>
      <c r="C727" s="31"/>
      <c r="D727" s="32"/>
      <c r="H727" s="32"/>
      <c r="J727" s="32"/>
      <c r="K727" s="41"/>
      <c r="L727" s="32"/>
      <c r="N727" s="32"/>
      <c r="O727" s="41"/>
      <c r="P727" s="32"/>
      <c r="R727" s="32"/>
      <c r="S727" s="41"/>
      <c r="T727" s="32"/>
      <c r="V727" s="32"/>
      <c r="W727" s="41"/>
      <c r="X727" s="32"/>
      <c r="Z727" s="32"/>
      <c r="AA727" s="41"/>
      <c r="AB727" s="41"/>
      <c r="AD727" s="32"/>
      <c r="AE727" s="41"/>
    </row>
    <row r="728" spans="1:31" s="30" customFormat="1" x14ac:dyDescent="0.25">
      <c r="A728" s="36"/>
      <c r="B728" s="31"/>
      <c r="C728" s="31"/>
      <c r="D728" s="32"/>
      <c r="H728" s="32"/>
      <c r="J728" s="32"/>
      <c r="K728" s="41"/>
      <c r="L728" s="32"/>
      <c r="N728" s="32"/>
      <c r="O728" s="41"/>
      <c r="P728" s="32"/>
      <c r="R728" s="32"/>
      <c r="S728" s="41"/>
      <c r="T728" s="32"/>
      <c r="V728" s="32"/>
      <c r="W728" s="41"/>
      <c r="X728" s="32"/>
      <c r="Z728" s="32"/>
      <c r="AA728" s="41"/>
      <c r="AB728" s="41"/>
      <c r="AD728" s="32"/>
      <c r="AE728" s="41"/>
    </row>
    <row r="729" spans="1:31" s="30" customFormat="1" x14ac:dyDescent="0.25">
      <c r="A729" s="36"/>
      <c r="B729" s="31"/>
      <c r="C729" s="31"/>
      <c r="D729" s="32"/>
      <c r="H729" s="32"/>
      <c r="J729" s="32"/>
      <c r="K729" s="41"/>
      <c r="L729" s="32"/>
      <c r="N729" s="32"/>
      <c r="O729" s="41"/>
      <c r="P729" s="32"/>
      <c r="R729" s="32"/>
      <c r="S729" s="41"/>
      <c r="T729" s="32"/>
      <c r="V729" s="32"/>
      <c r="W729" s="41"/>
      <c r="X729" s="32"/>
      <c r="Z729" s="32"/>
      <c r="AA729" s="41"/>
      <c r="AB729" s="41"/>
      <c r="AD729" s="32"/>
      <c r="AE729" s="41"/>
    </row>
    <row r="730" spans="1:31" s="30" customFormat="1" x14ac:dyDescent="0.25">
      <c r="A730" s="36"/>
      <c r="B730" s="31"/>
      <c r="C730" s="31"/>
      <c r="D730" s="32"/>
      <c r="H730" s="32"/>
      <c r="J730" s="32"/>
      <c r="K730" s="41"/>
      <c r="L730" s="32"/>
      <c r="N730" s="32"/>
      <c r="O730" s="41"/>
      <c r="P730" s="32"/>
      <c r="R730" s="32"/>
      <c r="S730" s="41"/>
      <c r="T730" s="32"/>
      <c r="V730" s="32"/>
      <c r="W730" s="41"/>
      <c r="X730" s="32"/>
      <c r="Z730" s="32"/>
      <c r="AA730" s="41"/>
      <c r="AB730" s="41"/>
      <c r="AD730" s="32"/>
      <c r="AE730" s="41"/>
    </row>
    <row r="731" spans="1:31" s="30" customFormat="1" x14ac:dyDescent="0.25">
      <c r="A731" s="36"/>
      <c r="B731" s="31"/>
      <c r="C731" s="31"/>
      <c r="D731" s="32"/>
      <c r="H731" s="32"/>
      <c r="J731" s="32"/>
      <c r="K731" s="41"/>
      <c r="L731" s="32"/>
      <c r="N731" s="32"/>
      <c r="O731" s="41"/>
      <c r="P731" s="32"/>
      <c r="R731" s="32"/>
      <c r="S731" s="41"/>
      <c r="T731" s="32"/>
      <c r="V731" s="32"/>
      <c r="W731" s="41"/>
      <c r="X731" s="32"/>
      <c r="Z731" s="32"/>
      <c r="AA731" s="41"/>
      <c r="AB731" s="41"/>
      <c r="AD731" s="32"/>
      <c r="AE731" s="41"/>
    </row>
    <row r="732" spans="1:31" s="30" customFormat="1" x14ac:dyDescent="0.25">
      <c r="A732" s="36"/>
      <c r="B732" s="31"/>
      <c r="C732" s="31"/>
      <c r="D732" s="32"/>
      <c r="H732" s="32"/>
      <c r="J732" s="32"/>
      <c r="K732" s="41"/>
      <c r="L732" s="32"/>
      <c r="N732" s="32"/>
      <c r="O732" s="41"/>
      <c r="P732" s="32"/>
      <c r="R732" s="32"/>
      <c r="S732" s="41"/>
      <c r="T732" s="32"/>
      <c r="V732" s="32"/>
      <c r="W732" s="41"/>
      <c r="X732" s="32"/>
      <c r="Z732" s="32"/>
      <c r="AA732" s="41"/>
      <c r="AB732" s="41"/>
      <c r="AD732" s="32"/>
      <c r="AE732" s="41"/>
    </row>
    <row r="733" spans="1:31" s="30" customFormat="1" x14ac:dyDescent="0.25">
      <c r="A733" s="36"/>
      <c r="B733" s="31"/>
      <c r="C733" s="31"/>
      <c r="D733" s="32"/>
      <c r="H733" s="32"/>
      <c r="J733" s="32"/>
      <c r="K733" s="41"/>
      <c r="L733" s="32"/>
      <c r="N733" s="32"/>
      <c r="O733" s="41"/>
      <c r="P733" s="32"/>
      <c r="R733" s="32"/>
      <c r="S733" s="41"/>
      <c r="T733" s="32"/>
      <c r="V733" s="32"/>
      <c r="W733" s="41"/>
      <c r="X733" s="32"/>
      <c r="Z733" s="32"/>
      <c r="AA733" s="41"/>
      <c r="AB733" s="41"/>
      <c r="AD733" s="32"/>
      <c r="AE733" s="41"/>
    </row>
    <row r="734" spans="1:31" s="30" customFormat="1" x14ac:dyDescent="0.25">
      <c r="A734" s="36"/>
      <c r="B734" s="31"/>
      <c r="C734" s="31"/>
      <c r="D734" s="32"/>
      <c r="H734" s="32"/>
      <c r="J734" s="32"/>
      <c r="K734" s="41"/>
      <c r="L734" s="32"/>
      <c r="N734" s="32"/>
      <c r="O734" s="41"/>
      <c r="P734" s="32"/>
      <c r="R734" s="32"/>
      <c r="S734" s="41"/>
      <c r="T734" s="32"/>
      <c r="V734" s="32"/>
      <c r="W734" s="41"/>
      <c r="X734" s="32"/>
      <c r="Z734" s="32"/>
      <c r="AA734" s="41"/>
      <c r="AB734" s="41"/>
      <c r="AD734" s="32"/>
      <c r="AE734" s="41"/>
    </row>
    <row r="735" spans="1:31" s="30" customFormat="1" x14ac:dyDescent="0.25">
      <c r="A735" s="36"/>
      <c r="B735" s="31"/>
      <c r="C735" s="31"/>
      <c r="D735" s="32"/>
      <c r="H735" s="32"/>
      <c r="J735" s="32"/>
      <c r="K735" s="41"/>
      <c r="L735" s="32"/>
      <c r="N735" s="32"/>
      <c r="O735" s="41"/>
      <c r="P735" s="32"/>
      <c r="R735" s="32"/>
      <c r="S735" s="41"/>
      <c r="T735" s="32"/>
      <c r="V735" s="32"/>
      <c r="W735" s="41"/>
      <c r="X735" s="32"/>
      <c r="Z735" s="32"/>
      <c r="AA735" s="41"/>
      <c r="AB735" s="41"/>
      <c r="AD735" s="32"/>
      <c r="AE735" s="41"/>
    </row>
    <row r="736" spans="1:31" s="30" customFormat="1" x14ac:dyDescent="0.25">
      <c r="A736" s="36"/>
      <c r="B736" s="31"/>
      <c r="C736" s="31"/>
      <c r="D736" s="32"/>
      <c r="H736" s="32"/>
      <c r="J736" s="32"/>
      <c r="K736" s="41"/>
      <c r="L736" s="32"/>
      <c r="N736" s="32"/>
      <c r="O736" s="41"/>
      <c r="P736" s="32"/>
      <c r="R736" s="32"/>
      <c r="S736" s="41"/>
      <c r="T736" s="32"/>
      <c r="V736" s="32"/>
      <c r="W736" s="41"/>
      <c r="X736" s="32"/>
      <c r="Z736" s="32"/>
      <c r="AA736" s="41"/>
      <c r="AB736" s="41"/>
      <c r="AD736" s="32"/>
      <c r="AE736" s="41"/>
    </row>
    <row r="737" spans="1:31" s="30" customFormat="1" x14ac:dyDescent="0.25">
      <c r="A737" s="36"/>
      <c r="B737" s="31"/>
      <c r="C737" s="31"/>
      <c r="D737" s="32"/>
      <c r="H737" s="32"/>
      <c r="J737" s="32"/>
      <c r="K737" s="41"/>
      <c r="L737" s="32"/>
      <c r="N737" s="32"/>
      <c r="O737" s="41"/>
      <c r="P737" s="32"/>
      <c r="R737" s="32"/>
      <c r="S737" s="41"/>
      <c r="T737" s="32"/>
      <c r="V737" s="32"/>
      <c r="W737" s="41"/>
      <c r="X737" s="32"/>
      <c r="Z737" s="32"/>
      <c r="AA737" s="41"/>
      <c r="AB737" s="41"/>
      <c r="AD737" s="32"/>
      <c r="AE737" s="41"/>
    </row>
    <row r="738" spans="1:31" s="30" customFormat="1" x14ac:dyDescent="0.25">
      <c r="A738" s="36"/>
      <c r="B738" s="31"/>
      <c r="C738" s="31"/>
      <c r="D738" s="32"/>
      <c r="H738" s="32"/>
      <c r="J738" s="32"/>
      <c r="K738" s="41"/>
      <c r="L738" s="32"/>
      <c r="N738" s="32"/>
      <c r="O738" s="41"/>
      <c r="P738" s="32"/>
      <c r="R738" s="32"/>
      <c r="S738" s="41"/>
      <c r="T738" s="32"/>
      <c r="V738" s="32"/>
      <c r="W738" s="41"/>
      <c r="X738" s="32"/>
      <c r="Z738" s="32"/>
      <c r="AA738" s="41"/>
      <c r="AB738" s="41"/>
      <c r="AD738" s="32"/>
      <c r="AE738" s="41"/>
    </row>
    <row r="739" spans="1:31" s="30" customFormat="1" x14ac:dyDescent="0.25">
      <c r="A739" s="36"/>
      <c r="B739" s="31"/>
      <c r="C739" s="31"/>
      <c r="D739" s="32"/>
      <c r="H739" s="32"/>
      <c r="J739" s="32"/>
      <c r="K739" s="41"/>
      <c r="L739" s="32"/>
      <c r="N739" s="32"/>
      <c r="O739" s="41"/>
      <c r="P739" s="32"/>
      <c r="R739" s="32"/>
      <c r="S739" s="41"/>
      <c r="T739" s="32"/>
      <c r="V739" s="32"/>
      <c r="W739" s="41"/>
      <c r="X739" s="32"/>
      <c r="Z739" s="32"/>
      <c r="AA739" s="41"/>
      <c r="AB739" s="41"/>
      <c r="AD739" s="32"/>
      <c r="AE739" s="41"/>
    </row>
    <row r="740" spans="1:31" s="30" customFormat="1" x14ac:dyDescent="0.25">
      <c r="A740" s="36"/>
      <c r="B740" s="31"/>
      <c r="C740" s="31"/>
      <c r="D740" s="32"/>
      <c r="H740" s="32"/>
      <c r="J740" s="32"/>
      <c r="K740" s="41"/>
      <c r="L740" s="32"/>
      <c r="N740" s="32"/>
      <c r="O740" s="41"/>
      <c r="P740" s="32"/>
      <c r="R740" s="32"/>
      <c r="S740" s="41"/>
      <c r="T740" s="32"/>
      <c r="V740" s="32"/>
      <c r="W740" s="41"/>
      <c r="X740" s="32"/>
      <c r="Z740" s="32"/>
      <c r="AA740" s="41"/>
      <c r="AB740" s="41"/>
      <c r="AD740" s="32"/>
      <c r="AE740" s="41"/>
    </row>
    <row r="741" spans="1:31" s="30" customFormat="1" x14ac:dyDescent="0.25">
      <c r="A741" s="36"/>
      <c r="B741" s="31"/>
      <c r="C741" s="31"/>
      <c r="D741" s="32"/>
      <c r="H741" s="32"/>
      <c r="J741" s="32"/>
      <c r="K741" s="41"/>
      <c r="L741" s="32"/>
      <c r="N741" s="32"/>
      <c r="O741" s="41"/>
      <c r="P741" s="32"/>
      <c r="R741" s="32"/>
      <c r="S741" s="41"/>
      <c r="T741" s="32"/>
      <c r="V741" s="32"/>
      <c r="W741" s="41"/>
      <c r="X741" s="32"/>
      <c r="Z741" s="32"/>
      <c r="AA741" s="41"/>
      <c r="AB741" s="41"/>
      <c r="AD741" s="32"/>
      <c r="AE741" s="41"/>
    </row>
    <row r="742" spans="1:31" s="30" customFormat="1" x14ac:dyDescent="0.25">
      <c r="A742" s="36"/>
      <c r="B742" s="31"/>
      <c r="C742" s="31"/>
      <c r="D742" s="32"/>
      <c r="H742" s="32"/>
      <c r="J742" s="32"/>
      <c r="K742" s="41"/>
      <c r="L742" s="32"/>
      <c r="N742" s="32"/>
      <c r="O742" s="41"/>
      <c r="P742" s="32"/>
      <c r="R742" s="32"/>
      <c r="S742" s="41"/>
      <c r="T742" s="32"/>
      <c r="V742" s="32"/>
      <c r="W742" s="41"/>
      <c r="X742" s="32"/>
      <c r="Z742" s="32"/>
      <c r="AA742" s="41"/>
      <c r="AB742" s="41"/>
      <c r="AD742" s="32"/>
      <c r="AE742" s="41"/>
    </row>
    <row r="743" spans="1:31" s="30" customFormat="1" x14ac:dyDescent="0.25">
      <c r="A743" s="36"/>
      <c r="B743" s="31"/>
      <c r="C743" s="31"/>
      <c r="D743" s="32"/>
      <c r="H743" s="32"/>
      <c r="J743" s="32"/>
      <c r="K743" s="41"/>
      <c r="L743" s="32"/>
      <c r="N743" s="32"/>
      <c r="O743" s="41"/>
      <c r="P743" s="32"/>
      <c r="R743" s="32"/>
      <c r="S743" s="41"/>
      <c r="T743" s="32"/>
      <c r="V743" s="32"/>
      <c r="W743" s="41"/>
      <c r="X743" s="32"/>
      <c r="Z743" s="32"/>
      <c r="AA743" s="41"/>
      <c r="AB743" s="41"/>
      <c r="AD743" s="32"/>
      <c r="AE743" s="41"/>
    </row>
    <row r="744" spans="1:31" s="30" customFormat="1" x14ac:dyDescent="0.25">
      <c r="A744" s="36"/>
      <c r="B744" s="31"/>
      <c r="C744" s="31"/>
      <c r="D744" s="32"/>
      <c r="H744" s="32"/>
      <c r="J744" s="32"/>
      <c r="K744" s="41"/>
      <c r="L744" s="32"/>
      <c r="N744" s="32"/>
      <c r="O744" s="41"/>
      <c r="P744" s="32"/>
      <c r="R744" s="32"/>
      <c r="S744" s="41"/>
      <c r="T744" s="32"/>
      <c r="V744" s="32"/>
      <c r="W744" s="41"/>
      <c r="X744" s="32"/>
      <c r="Z744" s="32"/>
      <c r="AA744" s="41"/>
      <c r="AB744" s="41"/>
      <c r="AD744" s="32"/>
      <c r="AE744" s="41"/>
    </row>
    <row r="745" spans="1:31" s="30" customFormat="1" x14ac:dyDescent="0.25">
      <c r="A745" s="36"/>
      <c r="B745" s="31"/>
      <c r="C745" s="31"/>
      <c r="D745" s="32"/>
      <c r="H745" s="32"/>
      <c r="J745" s="32"/>
      <c r="K745" s="41"/>
      <c r="L745" s="32"/>
      <c r="N745" s="32"/>
      <c r="O745" s="41"/>
      <c r="P745" s="32"/>
      <c r="R745" s="32"/>
      <c r="S745" s="41"/>
      <c r="T745" s="32"/>
      <c r="V745" s="32"/>
      <c r="W745" s="41"/>
      <c r="X745" s="32"/>
      <c r="Z745" s="32"/>
      <c r="AA745" s="41"/>
      <c r="AB745" s="41"/>
      <c r="AD745" s="32"/>
      <c r="AE745" s="41"/>
    </row>
    <row r="746" spans="1:31" s="30" customFormat="1" x14ac:dyDescent="0.25">
      <c r="A746" s="36"/>
      <c r="B746" s="31"/>
      <c r="C746" s="31"/>
      <c r="D746" s="32"/>
      <c r="H746" s="32"/>
      <c r="J746" s="32"/>
      <c r="K746" s="41"/>
      <c r="L746" s="32"/>
      <c r="N746" s="32"/>
      <c r="O746" s="41"/>
      <c r="P746" s="32"/>
      <c r="R746" s="32"/>
      <c r="S746" s="41"/>
      <c r="T746" s="32"/>
      <c r="V746" s="32"/>
      <c r="W746" s="41"/>
      <c r="X746" s="32"/>
      <c r="Z746" s="32"/>
      <c r="AA746" s="41"/>
      <c r="AB746" s="41"/>
      <c r="AD746" s="32"/>
      <c r="AE746" s="41"/>
    </row>
    <row r="747" spans="1:31" s="30" customFormat="1" x14ac:dyDescent="0.25">
      <c r="A747" s="36"/>
      <c r="B747" s="31"/>
      <c r="C747" s="31"/>
      <c r="D747" s="32"/>
      <c r="H747" s="32"/>
      <c r="J747" s="32"/>
      <c r="K747" s="41"/>
      <c r="L747" s="32"/>
      <c r="N747" s="32"/>
      <c r="O747" s="41"/>
      <c r="P747" s="32"/>
      <c r="R747" s="32"/>
      <c r="S747" s="41"/>
      <c r="T747" s="32"/>
      <c r="V747" s="32"/>
      <c r="W747" s="41"/>
      <c r="X747" s="32"/>
      <c r="Z747" s="32"/>
      <c r="AA747" s="41"/>
      <c r="AB747" s="41"/>
      <c r="AD747" s="32"/>
      <c r="AE747" s="41"/>
    </row>
    <row r="748" spans="1:31" s="30" customFormat="1" x14ac:dyDescent="0.25">
      <c r="A748" s="36"/>
      <c r="B748" s="31"/>
      <c r="C748" s="31"/>
      <c r="D748" s="32"/>
      <c r="H748" s="32"/>
      <c r="J748" s="32"/>
      <c r="K748" s="41"/>
      <c r="L748" s="32"/>
      <c r="N748" s="32"/>
      <c r="O748" s="41"/>
      <c r="P748" s="32"/>
      <c r="R748" s="32"/>
      <c r="S748" s="41"/>
      <c r="T748" s="32"/>
      <c r="V748" s="32"/>
      <c r="W748" s="41"/>
      <c r="X748" s="32"/>
      <c r="Z748" s="32"/>
      <c r="AA748" s="41"/>
      <c r="AB748" s="41"/>
      <c r="AD748" s="32"/>
      <c r="AE748" s="41"/>
    </row>
    <row r="749" spans="1:31" s="30" customFormat="1" x14ac:dyDescent="0.25">
      <c r="A749" s="36"/>
      <c r="B749" s="31"/>
      <c r="C749" s="31"/>
      <c r="D749" s="32"/>
      <c r="H749" s="32"/>
      <c r="J749" s="32"/>
      <c r="K749" s="41"/>
      <c r="L749" s="32"/>
      <c r="N749" s="32"/>
      <c r="O749" s="41"/>
      <c r="P749" s="32"/>
      <c r="R749" s="32"/>
      <c r="S749" s="41"/>
      <c r="T749" s="32"/>
      <c r="V749" s="32"/>
      <c r="W749" s="41"/>
      <c r="X749" s="32"/>
      <c r="Z749" s="32"/>
      <c r="AA749" s="41"/>
      <c r="AB749" s="41"/>
      <c r="AD749" s="32"/>
      <c r="AE749" s="41"/>
    </row>
    <row r="750" spans="1:31" s="30" customFormat="1" x14ac:dyDescent="0.25">
      <c r="A750" s="36"/>
      <c r="B750" s="31"/>
      <c r="C750" s="31"/>
      <c r="D750" s="32"/>
      <c r="H750" s="32"/>
      <c r="J750" s="32"/>
      <c r="K750" s="41"/>
      <c r="L750" s="32"/>
      <c r="N750" s="32"/>
      <c r="O750" s="41"/>
      <c r="P750" s="32"/>
      <c r="R750" s="32"/>
      <c r="S750" s="41"/>
      <c r="T750" s="32"/>
      <c r="V750" s="32"/>
      <c r="W750" s="41"/>
      <c r="X750" s="32"/>
      <c r="Z750" s="32"/>
      <c r="AA750" s="41"/>
      <c r="AB750" s="41"/>
      <c r="AD750" s="32"/>
      <c r="AE750" s="41"/>
    </row>
    <row r="751" spans="1:31" s="30" customFormat="1" x14ac:dyDescent="0.25">
      <c r="A751" s="36"/>
      <c r="B751" s="31"/>
      <c r="C751" s="31"/>
      <c r="D751" s="32"/>
      <c r="H751" s="32"/>
      <c r="J751" s="32"/>
      <c r="K751" s="41"/>
      <c r="L751" s="32"/>
      <c r="N751" s="32"/>
      <c r="O751" s="41"/>
      <c r="P751" s="32"/>
      <c r="R751" s="32"/>
      <c r="S751" s="41"/>
      <c r="T751" s="32"/>
      <c r="V751" s="32"/>
      <c r="W751" s="41"/>
      <c r="X751" s="32"/>
      <c r="Z751" s="32"/>
      <c r="AA751" s="41"/>
      <c r="AB751" s="41"/>
      <c r="AD751" s="32"/>
      <c r="AE751" s="41"/>
    </row>
    <row r="752" spans="1:31" s="30" customFormat="1" x14ac:dyDescent="0.25">
      <c r="A752" s="36"/>
      <c r="B752" s="31"/>
      <c r="C752" s="31"/>
      <c r="D752" s="32"/>
      <c r="H752" s="32"/>
      <c r="J752" s="32"/>
      <c r="K752" s="41"/>
      <c r="L752" s="32"/>
      <c r="N752" s="32"/>
      <c r="O752" s="41"/>
      <c r="P752" s="32"/>
      <c r="R752" s="32"/>
      <c r="S752" s="41"/>
      <c r="T752" s="32"/>
      <c r="V752" s="32"/>
      <c r="W752" s="41"/>
      <c r="X752" s="32"/>
      <c r="Z752" s="32"/>
      <c r="AA752" s="41"/>
      <c r="AB752" s="41"/>
      <c r="AD752" s="32"/>
      <c r="AE752" s="41"/>
    </row>
    <row r="753" spans="1:31" s="30" customFormat="1" x14ac:dyDescent="0.25">
      <c r="A753" s="36"/>
      <c r="B753" s="31"/>
      <c r="C753" s="31"/>
      <c r="D753" s="32"/>
      <c r="H753" s="32"/>
      <c r="J753" s="32"/>
      <c r="K753" s="41"/>
      <c r="L753" s="32"/>
      <c r="N753" s="32"/>
      <c r="O753" s="41"/>
      <c r="P753" s="32"/>
      <c r="R753" s="32"/>
      <c r="S753" s="41"/>
      <c r="T753" s="32"/>
      <c r="V753" s="32"/>
      <c r="W753" s="41"/>
      <c r="X753" s="32"/>
      <c r="Z753" s="32"/>
      <c r="AA753" s="41"/>
      <c r="AB753" s="41"/>
      <c r="AD753" s="32"/>
      <c r="AE753" s="41"/>
    </row>
    <row r="754" spans="1:31" s="30" customFormat="1" x14ac:dyDescent="0.25">
      <c r="A754" s="36"/>
      <c r="B754" s="31"/>
      <c r="C754" s="31"/>
      <c r="D754" s="32"/>
      <c r="H754" s="32"/>
      <c r="J754" s="32"/>
      <c r="K754" s="41"/>
      <c r="L754" s="32"/>
      <c r="N754" s="32"/>
      <c r="O754" s="41"/>
      <c r="P754" s="32"/>
      <c r="R754" s="32"/>
      <c r="S754" s="41"/>
      <c r="T754" s="32"/>
      <c r="V754" s="32"/>
      <c r="W754" s="41"/>
      <c r="X754" s="32"/>
      <c r="Z754" s="32"/>
      <c r="AA754" s="41"/>
      <c r="AB754" s="41"/>
      <c r="AD754" s="32"/>
      <c r="AE754" s="41"/>
    </row>
    <row r="755" spans="1:31" s="30" customFormat="1" x14ac:dyDescent="0.25">
      <c r="A755" s="36"/>
      <c r="B755" s="31"/>
      <c r="C755" s="31"/>
      <c r="D755" s="32"/>
      <c r="H755" s="32"/>
      <c r="J755" s="32"/>
      <c r="K755" s="41"/>
      <c r="L755" s="32"/>
      <c r="N755" s="32"/>
      <c r="O755" s="41"/>
      <c r="P755" s="32"/>
      <c r="R755" s="32"/>
      <c r="S755" s="41"/>
      <c r="T755" s="32"/>
      <c r="V755" s="32"/>
      <c r="W755" s="41"/>
      <c r="X755" s="32"/>
      <c r="Z755" s="32"/>
      <c r="AA755" s="41"/>
      <c r="AB755" s="41"/>
      <c r="AD755" s="32"/>
      <c r="AE755" s="41"/>
    </row>
    <row r="756" spans="1:31" s="30" customFormat="1" x14ac:dyDescent="0.25">
      <c r="A756" s="36"/>
      <c r="B756" s="31"/>
      <c r="C756" s="31"/>
      <c r="D756" s="32"/>
      <c r="H756" s="32"/>
      <c r="J756" s="32"/>
      <c r="K756" s="41"/>
      <c r="L756" s="32"/>
      <c r="N756" s="32"/>
      <c r="O756" s="41"/>
      <c r="P756" s="32"/>
      <c r="R756" s="32"/>
      <c r="S756" s="41"/>
      <c r="T756" s="32"/>
      <c r="V756" s="32"/>
      <c r="W756" s="41"/>
      <c r="X756" s="32"/>
      <c r="Z756" s="32"/>
      <c r="AA756" s="41"/>
      <c r="AB756" s="41"/>
      <c r="AD756" s="32"/>
      <c r="AE756" s="41"/>
    </row>
    <row r="757" spans="1:31" s="30" customFormat="1" x14ac:dyDescent="0.25">
      <c r="A757" s="36"/>
      <c r="B757" s="31"/>
      <c r="C757" s="31"/>
      <c r="D757" s="32"/>
      <c r="H757" s="32"/>
      <c r="J757" s="32"/>
      <c r="K757" s="41"/>
      <c r="L757" s="32"/>
      <c r="N757" s="32"/>
      <c r="O757" s="41"/>
      <c r="P757" s="32"/>
      <c r="R757" s="32"/>
      <c r="S757" s="41"/>
      <c r="T757" s="32"/>
      <c r="V757" s="32"/>
      <c r="W757" s="41"/>
      <c r="X757" s="32"/>
      <c r="Z757" s="32"/>
      <c r="AA757" s="41"/>
      <c r="AB757" s="41"/>
      <c r="AD757" s="32"/>
      <c r="AE757" s="41"/>
    </row>
    <row r="758" spans="1:31" s="30" customFormat="1" x14ac:dyDescent="0.25">
      <c r="A758" s="36"/>
      <c r="B758" s="31"/>
      <c r="C758" s="31"/>
      <c r="D758" s="32"/>
      <c r="H758" s="32"/>
      <c r="J758" s="32"/>
      <c r="K758" s="41"/>
      <c r="L758" s="32"/>
      <c r="N758" s="32"/>
      <c r="O758" s="41"/>
      <c r="P758" s="32"/>
      <c r="R758" s="32"/>
      <c r="S758" s="41"/>
      <c r="T758" s="32"/>
      <c r="V758" s="32"/>
      <c r="W758" s="41"/>
      <c r="X758" s="32"/>
      <c r="Z758" s="32"/>
      <c r="AA758" s="41"/>
      <c r="AB758" s="41"/>
      <c r="AD758" s="32"/>
      <c r="AE758" s="41"/>
    </row>
    <row r="759" spans="1:31" s="30" customFormat="1" x14ac:dyDescent="0.25">
      <c r="A759" s="36"/>
      <c r="B759" s="31"/>
      <c r="C759" s="31"/>
      <c r="D759" s="32"/>
      <c r="H759" s="32"/>
      <c r="J759" s="32"/>
      <c r="K759" s="41"/>
      <c r="L759" s="32"/>
      <c r="N759" s="32"/>
      <c r="O759" s="41"/>
      <c r="P759" s="32"/>
      <c r="R759" s="32"/>
      <c r="S759" s="41"/>
      <c r="T759" s="32"/>
      <c r="V759" s="32"/>
      <c r="W759" s="41"/>
      <c r="X759" s="32"/>
      <c r="Z759" s="32"/>
      <c r="AA759" s="41"/>
      <c r="AB759" s="41"/>
      <c r="AD759" s="32"/>
      <c r="AE759" s="41"/>
    </row>
    <row r="760" spans="1:31" s="30" customFormat="1" x14ac:dyDescent="0.25">
      <c r="A760" s="36"/>
      <c r="B760" s="31"/>
      <c r="C760" s="31"/>
      <c r="D760" s="32"/>
      <c r="H760" s="32"/>
      <c r="J760" s="32"/>
      <c r="K760" s="41"/>
      <c r="L760" s="32"/>
      <c r="N760" s="32"/>
      <c r="O760" s="41"/>
      <c r="P760" s="32"/>
      <c r="R760" s="32"/>
      <c r="S760" s="41"/>
      <c r="T760" s="32"/>
      <c r="V760" s="32"/>
      <c r="W760" s="41"/>
      <c r="X760" s="32"/>
      <c r="Z760" s="32"/>
      <c r="AA760" s="41"/>
      <c r="AB760" s="41"/>
      <c r="AD760" s="32"/>
      <c r="AE760" s="41"/>
    </row>
    <row r="761" spans="1:31" s="30" customFormat="1" x14ac:dyDescent="0.25">
      <c r="A761" s="36"/>
      <c r="B761" s="31"/>
      <c r="C761" s="31"/>
      <c r="D761" s="32"/>
      <c r="H761" s="32"/>
      <c r="J761" s="32"/>
      <c r="K761" s="41"/>
      <c r="L761" s="32"/>
      <c r="N761" s="32"/>
      <c r="O761" s="41"/>
      <c r="P761" s="32"/>
      <c r="R761" s="32"/>
      <c r="S761" s="41"/>
      <c r="T761" s="32"/>
      <c r="V761" s="32"/>
      <c r="W761" s="41"/>
      <c r="X761" s="32"/>
      <c r="Z761" s="32"/>
      <c r="AA761" s="41"/>
      <c r="AB761" s="41"/>
      <c r="AD761" s="32"/>
      <c r="AE761" s="41"/>
    </row>
    <row r="762" spans="1:31" s="30" customFormat="1" x14ac:dyDescent="0.25">
      <c r="A762" s="36"/>
      <c r="B762" s="31"/>
      <c r="C762" s="31"/>
      <c r="D762" s="32"/>
      <c r="H762" s="32"/>
      <c r="J762" s="32"/>
      <c r="K762" s="41"/>
      <c r="L762" s="32"/>
      <c r="N762" s="32"/>
      <c r="O762" s="41"/>
      <c r="P762" s="32"/>
      <c r="R762" s="32"/>
      <c r="S762" s="41"/>
      <c r="T762" s="32"/>
      <c r="V762" s="32"/>
      <c r="W762" s="41"/>
      <c r="X762" s="32"/>
      <c r="Z762" s="32"/>
      <c r="AA762" s="41"/>
      <c r="AB762" s="41"/>
      <c r="AD762" s="32"/>
      <c r="AE762" s="41"/>
    </row>
    <row r="763" spans="1:31" s="30" customFormat="1" x14ac:dyDescent="0.25">
      <c r="A763" s="36"/>
      <c r="B763" s="31"/>
      <c r="C763" s="31"/>
      <c r="D763" s="32"/>
      <c r="H763" s="32"/>
      <c r="J763" s="32"/>
      <c r="K763" s="41"/>
      <c r="L763" s="32"/>
      <c r="N763" s="32"/>
      <c r="O763" s="41"/>
      <c r="P763" s="32"/>
      <c r="R763" s="32"/>
      <c r="S763" s="41"/>
      <c r="T763" s="32"/>
      <c r="V763" s="32"/>
      <c r="W763" s="41"/>
      <c r="X763" s="32"/>
      <c r="Z763" s="32"/>
      <c r="AA763" s="41"/>
      <c r="AB763" s="41"/>
      <c r="AD763" s="32"/>
      <c r="AE763" s="41"/>
    </row>
    <row r="764" spans="1:31" s="30" customFormat="1" x14ac:dyDescent="0.25">
      <c r="A764" s="36"/>
      <c r="B764" s="31"/>
      <c r="C764" s="31"/>
      <c r="D764" s="32"/>
      <c r="H764" s="32"/>
      <c r="J764" s="32"/>
      <c r="K764" s="41"/>
      <c r="L764" s="32"/>
      <c r="N764" s="32"/>
      <c r="O764" s="41"/>
      <c r="P764" s="32"/>
      <c r="R764" s="32"/>
      <c r="S764" s="41"/>
      <c r="T764" s="32"/>
      <c r="V764" s="32"/>
      <c r="W764" s="41"/>
      <c r="X764" s="32"/>
      <c r="Z764" s="32"/>
      <c r="AA764" s="41"/>
      <c r="AB764" s="41"/>
      <c r="AD764" s="32"/>
      <c r="AE764" s="41"/>
    </row>
    <row r="765" spans="1:31" s="30" customFormat="1" x14ac:dyDescent="0.25">
      <c r="A765" s="36"/>
      <c r="B765" s="31"/>
      <c r="C765" s="31"/>
      <c r="D765" s="32"/>
      <c r="H765" s="32"/>
      <c r="J765" s="32"/>
      <c r="K765" s="41"/>
      <c r="L765" s="32"/>
      <c r="N765" s="32"/>
      <c r="O765" s="41"/>
      <c r="P765" s="32"/>
      <c r="R765" s="32"/>
      <c r="S765" s="41"/>
      <c r="T765" s="32"/>
      <c r="V765" s="32"/>
      <c r="W765" s="41"/>
      <c r="X765" s="32"/>
      <c r="Z765" s="32"/>
      <c r="AA765" s="41"/>
      <c r="AB765" s="41"/>
      <c r="AD765" s="32"/>
      <c r="AE765" s="41"/>
    </row>
    <row r="766" spans="1:31" s="30" customFormat="1" x14ac:dyDescent="0.25">
      <c r="A766" s="36"/>
      <c r="B766" s="31"/>
      <c r="C766" s="31"/>
      <c r="D766" s="32"/>
      <c r="H766" s="32"/>
      <c r="J766" s="32"/>
      <c r="K766" s="41"/>
      <c r="L766" s="32"/>
      <c r="N766" s="32"/>
      <c r="O766" s="41"/>
      <c r="P766" s="32"/>
      <c r="R766" s="32"/>
      <c r="S766" s="41"/>
      <c r="T766" s="32"/>
      <c r="V766" s="32"/>
      <c r="W766" s="41"/>
      <c r="X766" s="32"/>
      <c r="Z766" s="32"/>
      <c r="AA766" s="41"/>
      <c r="AB766" s="41"/>
      <c r="AD766" s="32"/>
      <c r="AE766" s="41"/>
    </row>
    <row r="767" spans="1:31" s="30" customFormat="1" x14ac:dyDescent="0.25">
      <c r="A767" s="36"/>
      <c r="B767" s="31"/>
      <c r="C767" s="31"/>
      <c r="D767" s="32"/>
      <c r="H767" s="32"/>
      <c r="J767" s="32"/>
      <c r="K767" s="41"/>
      <c r="L767" s="32"/>
      <c r="N767" s="32"/>
      <c r="O767" s="41"/>
      <c r="P767" s="32"/>
      <c r="R767" s="32"/>
      <c r="S767" s="41"/>
      <c r="T767" s="32"/>
      <c r="V767" s="32"/>
      <c r="W767" s="41"/>
      <c r="X767" s="32"/>
      <c r="Z767" s="32"/>
      <c r="AA767" s="41"/>
      <c r="AB767" s="41"/>
      <c r="AD767" s="32"/>
      <c r="AE767" s="41"/>
    </row>
    <row r="768" spans="1:31" s="30" customFormat="1" x14ac:dyDescent="0.25">
      <c r="A768" s="36"/>
      <c r="B768" s="31"/>
      <c r="C768" s="31"/>
      <c r="D768" s="32"/>
      <c r="H768" s="32"/>
      <c r="J768" s="32"/>
      <c r="K768" s="41"/>
      <c r="L768" s="32"/>
      <c r="N768" s="32"/>
      <c r="O768" s="41"/>
      <c r="P768" s="32"/>
      <c r="R768" s="32"/>
      <c r="S768" s="41"/>
      <c r="T768" s="32"/>
      <c r="V768" s="32"/>
      <c r="W768" s="41"/>
      <c r="X768" s="32"/>
      <c r="Z768" s="32"/>
      <c r="AA768" s="41"/>
      <c r="AB768" s="41"/>
      <c r="AD768" s="32"/>
      <c r="AE768" s="41"/>
    </row>
    <row r="769" spans="1:31" s="30" customFormat="1" x14ac:dyDescent="0.25">
      <c r="A769" s="36"/>
      <c r="B769" s="31"/>
      <c r="C769" s="31"/>
      <c r="D769" s="32"/>
      <c r="H769" s="32"/>
      <c r="J769" s="32"/>
      <c r="K769" s="41"/>
      <c r="L769" s="32"/>
      <c r="N769" s="32"/>
      <c r="O769" s="41"/>
      <c r="P769" s="32"/>
      <c r="R769" s="32"/>
      <c r="S769" s="41"/>
      <c r="T769" s="32"/>
      <c r="V769" s="32"/>
      <c r="W769" s="41"/>
      <c r="X769" s="32"/>
      <c r="Z769" s="32"/>
      <c r="AA769" s="41"/>
      <c r="AB769" s="41"/>
      <c r="AD769" s="32"/>
      <c r="AE769" s="41"/>
    </row>
    <row r="770" spans="1:31" s="30" customFormat="1" x14ac:dyDescent="0.25">
      <c r="A770" s="36"/>
      <c r="B770" s="31"/>
      <c r="C770" s="31"/>
      <c r="D770" s="32"/>
      <c r="H770" s="32"/>
      <c r="J770" s="32"/>
      <c r="K770" s="41"/>
      <c r="L770" s="32"/>
      <c r="N770" s="32"/>
      <c r="O770" s="41"/>
      <c r="P770" s="32"/>
      <c r="R770" s="32"/>
      <c r="S770" s="41"/>
      <c r="T770" s="32"/>
      <c r="V770" s="32"/>
      <c r="W770" s="41"/>
      <c r="X770" s="32"/>
      <c r="Z770" s="32"/>
      <c r="AA770" s="41"/>
      <c r="AB770" s="41"/>
      <c r="AD770" s="32"/>
      <c r="AE770" s="41"/>
    </row>
    <row r="771" spans="1:31" s="30" customFormat="1" x14ac:dyDescent="0.25">
      <c r="A771" s="36"/>
      <c r="B771" s="31"/>
      <c r="C771" s="31"/>
      <c r="D771" s="32"/>
      <c r="H771" s="32"/>
      <c r="J771" s="32"/>
      <c r="K771" s="41"/>
      <c r="L771" s="32"/>
      <c r="N771" s="32"/>
      <c r="O771" s="41"/>
      <c r="P771" s="32"/>
      <c r="R771" s="32"/>
      <c r="S771" s="41"/>
      <c r="T771" s="32"/>
      <c r="V771" s="32"/>
      <c r="W771" s="41"/>
      <c r="X771" s="32"/>
      <c r="Z771" s="32"/>
      <c r="AA771" s="41"/>
      <c r="AB771" s="41"/>
      <c r="AD771" s="32"/>
      <c r="AE771" s="41"/>
    </row>
    <row r="772" spans="1:31" s="30" customFormat="1" x14ac:dyDescent="0.25">
      <c r="A772" s="36"/>
      <c r="B772" s="31"/>
      <c r="C772" s="31"/>
      <c r="D772" s="32"/>
      <c r="H772" s="32"/>
      <c r="J772" s="32"/>
      <c r="K772" s="41"/>
      <c r="L772" s="32"/>
      <c r="N772" s="32"/>
      <c r="O772" s="41"/>
      <c r="P772" s="32"/>
      <c r="R772" s="32"/>
      <c r="S772" s="41"/>
      <c r="T772" s="32"/>
      <c r="V772" s="32"/>
      <c r="W772" s="41"/>
      <c r="X772" s="32"/>
      <c r="Z772" s="32"/>
      <c r="AA772" s="41"/>
      <c r="AB772" s="41"/>
      <c r="AD772" s="32"/>
      <c r="AE772" s="41"/>
    </row>
    <row r="773" spans="1:31" s="30" customFormat="1" x14ac:dyDescent="0.25">
      <c r="A773" s="36"/>
      <c r="B773" s="31"/>
      <c r="C773" s="31"/>
      <c r="D773" s="32"/>
      <c r="H773" s="32"/>
      <c r="J773" s="32"/>
      <c r="K773" s="41"/>
      <c r="L773" s="32"/>
      <c r="N773" s="32"/>
      <c r="O773" s="41"/>
      <c r="P773" s="32"/>
      <c r="R773" s="32"/>
      <c r="S773" s="41"/>
      <c r="T773" s="32"/>
      <c r="V773" s="32"/>
      <c r="W773" s="41"/>
      <c r="X773" s="32"/>
      <c r="Z773" s="32"/>
      <c r="AA773" s="41"/>
      <c r="AB773" s="41"/>
      <c r="AD773" s="32"/>
      <c r="AE773" s="41"/>
    </row>
    <row r="774" spans="1:31" s="30" customFormat="1" x14ac:dyDescent="0.25">
      <c r="A774" s="36"/>
      <c r="B774" s="31"/>
      <c r="C774" s="31"/>
      <c r="D774" s="32"/>
      <c r="H774" s="32"/>
      <c r="J774" s="32"/>
      <c r="K774" s="41"/>
      <c r="L774" s="32"/>
      <c r="N774" s="32"/>
      <c r="O774" s="41"/>
      <c r="P774" s="32"/>
      <c r="R774" s="32"/>
      <c r="S774" s="41"/>
      <c r="T774" s="32"/>
      <c r="V774" s="32"/>
      <c r="W774" s="41"/>
      <c r="X774" s="32"/>
      <c r="Z774" s="32"/>
      <c r="AA774" s="41"/>
      <c r="AB774" s="41"/>
      <c r="AD774" s="32"/>
      <c r="AE774" s="41"/>
    </row>
    <row r="775" spans="1:31" s="30" customFormat="1" x14ac:dyDescent="0.25">
      <c r="A775" s="36"/>
      <c r="B775" s="31"/>
      <c r="C775" s="31"/>
      <c r="D775" s="32"/>
      <c r="H775" s="32"/>
      <c r="J775" s="32"/>
      <c r="K775" s="41"/>
      <c r="L775" s="32"/>
      <c r="N775" s="32"/>
      <c r="O775" s="41"/>
      <c r="P775" s="32"/>
      <c r="R775" s="32"/>
      <c r="S775" s="41"/>
      <c r="T775" s="32"/>
      <c r="V775" s="32"/>
      <c r="W775" s="41"/>
      <c r="X775" s="32"/>
      <c r="Z775" s="32"/>
      <c r="AA775" s="41"/>
      <c r="AB775" s="41"/>
      <c r="AD775" s="32"/>
      <c r="AE775" s="41"/>
    </row>
    <row r="776" spans="1:31" s="30" customFormat="1" x14ac:dyDescent="0.25">
      <c r="A776" s="36"/>
      <c r="B776" s="31"/>
      <c r="C776" s="31"/>
      <c r="D776" s="32"/>
      <c r="H776" s="32"/>
      <c r="J776" s="32"/>
      <c r="K776" s="41"/>
      <c r="L776" s="32"/>
      <c r="N776" s="32"/>
      <c r="O776" s="41"/>
      <c r="P776" s="32"/>
      <c r="R776" s="32"/>
      <c r="S776" s="41"/>
      <c r="T776" s="32"/>
      <c r="V776" s="32"/>
      <c r="W776" s="41"/>
      <c r="X776" s="32"/>
      <c r="Z776" s="32"/>
      <c r="AA776" s="41"/>
      <c r="AB776" s="41"/>
      <c r="AD776" s="32"/>
      <c r="AE776" s="41"/>
    </row>
    <row r="777" spans="1:31" s="30" customFormat="1" x14ac:dyDescent="0.25">
      <c r="A777" s="36"/>
      <c r="B777" s="31"/>
      <c r="C777" s="31"/>
      <c r="D777" s="32"/>
      <c r="H777" s="32"/>
      <c r="J777" s="32"/>
      <c r="K777" s="41"/>
      <c r="L777" s="32"/>
      <c r="N777" s="32"/>
      <c r="O777" s="41"/>
      <c r="P777" s="32"/>
      <c r="R777" s="32"/>
      <c r="S777" s="41"/>
      <c r="T777" s="32"/>
      <c r="V777" s="32"/>
      <c r="W777" s="41"/>
      <c r="X777" s="32"/>
      <c r="Z777" s="32"/>
      <c r="AA777" s="41"/>
      <c r="AB777" s="41"/>
      <c r="AD777" s="32"/>
      <c r="AE777" s="41"/>
    </row>
    <row r="778" spans="1:31" s="30" customFormat="1" x14ac:dyDescent="0.25">
      <c r="A778" s="36"/>
      <c r="B778" s="31"/>
      <c r="C778" s="31"/>
      <c r="D778" s="32"/>
      <c r="H778" s="32"/>
      <c r="J778" s="32"/>
      <c r="K778" s="41"/>
      <c r="L778" s="32"/>
      <c r="N778" s="32"/>
      <c r="O778" s="41"/>
      <c r="P778" s="32"/>
      <c r="R778" s="32"/>
      <c r="S778" s="41"/>
      <c r="T778" s="32"/>
      <c r="V778" s="32"/>
      <c r="W778" s="41"/>
      <c r="X778" s="32"/>
      <c r="Z778" s="32"/>
      <c r="AA778" s="41"/>
      <c r="AB778" s="41"/>
      <c r="AD778" s="32"/>
      <c r="AE778" s="41"/>
    </row>
    <row r="779" spans="1:31" s="30" customFormat="1" x14ac:dyDescent="0.25">
      <c r="A779" s="36"/>
      <c r="B779" s="31"/>
      <c r="C779" s="31"/>
      <c r="D779" s="32"/>
      <c r="H779" s="32"/>
      <c r="J779" s="32"/>
      <c r="K779" s="41"/>
      <c r="L779" s="32"/>
      <c r="N779" s="32"/>
      <c r="O779" s="41"/>
      <c r="P779" s="32"/>
      <c r="R779" s="32"/>
      <c r="S779" s="41"/>
      <c r="T779" s="32"/>
      <c r="V779" s="32"/>
      <c r="W779" s="41"/>
      <c r="X779" s="32"/>
      <c r="Z779" s="32"/>
      <c r="AA779" s="41"/>
      <c r="AB779" s="41"/>
      <c r="AD779" s="32"/>
      <c r="AE779" s="41"/>
    </row>
    <row r="780" spans="1:31" s="30" customFormat="1" x14ac:dyDescent="0.25">
      <c r="A780" s="36"/>
      <c r="B780" s="31"/>
      <c r="C780" s="31"/>
      <c r="D780" s="32"/>
      <c r="H780" s="32"/>
      <c r="J780" s="32"/>
      <c r="K780" s="41"/>
      <c r="L780" s="32"/>
      <c r="N780" s="32"/>
      <c r="O780" s="41"/>
      <c r="P780" s="32"/>
      <c r="R780" s="32"/>
      <c r="S780" s="41"/>
      <c r="T780" s="32"/>
      <c r="V780" s="32"/>
      <c r="W780" s="41"/>
      <c r="X780" s="32"/>
      <c r="Z780" s="32"/>
      <c r="AA780" s="41"/>
      <c r="AB780" s="41"/>
      <c r="AD780" s="32"/>
      <c r="AE780" s="41"/>
    </row>
  </sheetData>
  <sheetProtection algorithmName="SHA-512" hashValue="ofGUMmnqStkznKTzoOMmWKbFpKKxTmHqUP0FNZOS6urN3YlgZQYT4JuQhGZXtmlKCIRHxS7QXC7QlGijHV3sAg==" saltValue="Dg3uxkC8I/ChzCJPtckdBQ==" spinCount="100000" sheet="1" objects="1" scenarios="1" selectLockedCells="1"/>
  <mergeCells count="11">
    <mergeCell ref="AC9:AE9"/>
    <mergeCell ref="A24:C24"/>
    <mergeCell ref="U9:W9"/>
    <mergeCell ref="A6:C6"/>
    <mergeCell ref="A11:C11"/>
    <mergeCell ref="Y9:AA9"/>
    <mergeCell ref="A9:C9"/>
    <mergeCell ref="E9:G9"/>
    <mergeCell ref="I9:K9"/>
    <mergeCell ref="M9:O9"/>
    <mergeCell ref="Q9:S9"/>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D22674-A804-4E02-9C14-9DB531FD280B}">
  <sheetPr>
    <tabColor rgb="FFFFFF00"/>
  </sheetPr>
  <dimension ref="A1:AB27"/>
  <sheetViews>
    <sheetView zoomScale="110" zoomScaleNormal="110" workbookViewId="0">
      <selection activeCell="A12" sqref="A12"/>
    </sheetView>
    <sheetView workbookViewId="1"/>
  </sheetViews>
  <sheetFormatPr defaultRowHeight="15" x14ac:dyDescent="0.25"/>
  <cols>
    <col min="1" max="1" width="15.85546875" style="10" bestFit="1" customWidth="1"/>
    <col min="2" max="2" width="15.85546875" style="10" customWidth="1"/>
    <col min="3" max="3" width="33.85546875" style="10" customWidth="1"/>
    <col min="4" max="4" width="9.140625" style="10"/>
    <col min="5" max="5" width="14.5703125" style="10" bestFit="1" customWidth="1"/>
    <col min="6" max="6" width="14.5703125" style="10" customWidth="1"/>
    <col min="7" max="7" width="14.5703125" style="10" bestFit="1" customWidth="1"/>
    <col min="8" max="8" width="14.5703125" style="10" customWidth="1"/>
    <col min="9" max="9" width="15.140625" style="10" bestFit="1" customWidth="1"/>
    <col min="10" max="10" width="15.140625" style="10" customWidth="1"/>
    <col min="11" max="11" width="15.7109375" style="10" bestFit="1" customWidth="1"/>
    <col min="12" max="12" width="15.7109375" style="10" customWidth="1"/>
    <col min="13" max="13" width="15.85546875" style="10" bestFit="1" customWidth="1"/>
    <col min="14" max="14" width="15.85546875" style="10" customWidth="1"/>
    <col min="15" max="15" width="15.28515625" style="10" bestFit="1" customWidth="1"/>
    <col min="16" max="16" width="15.28515625" style="10" customWidth="1"/>
    <col min="17" max="18" width="15.85546875" style="10" bestFit="1" customWidth="1"/>
    <col min="19" max="16384" width="9.140625" style="10"/>
  </cols>
  <sheetData>
    <row r="1" spans="1:28" ht="15.75" thickBot="1" x14ac:dyDescent="0.3">
      <c r="B1" s="126" t="s">
        <v>626</v>
      </c>
      <c r="C1" s="508" t="str">
        <f>'FFP CLINs X007-X021'!B1</f>
        <v>NAME</v>
      </c>
    </row>
    <row r="3" spans="1:28" x14ac:dyDescent="0.25">
      <c r="A3" s="509" t="s">
        <v>404</v>
      </c>
    </row>
    <row r="4" spans="1:28" x14ac:dyDescent="0.25">
      <c r="A4" s="510" t="s">
        <v>574</v>
      </c>
      <c r="B4" s="425"/>
      <c r="C4" s="425"/>
      <c r="D4" s="425"/>
      <c r="E4" s="425"/>
      <c r="F4" s="425"/>
      <c r="G4" s="425"/>
      <c r="H4" s="425"/>
      <c r="I4" s="425"/>
      <c r="J4" s="425"/>
      <c r="K4" s="425"/>
      <c r="L4" s="425"/>
      <c r="M4" s="425"/>
      <c r="N4" s="425"/>
      <c r="O4" s="425"/>
      <c r="P4" s="425"/>
      <c r="Q4" s="425"/>
      <c r="R4" s="425"/>
      <c r="S4" s="425"/>
      <c r="T4" s="425"/>
      <c r="U4" s="425"/>
      <c r="V4" s="425"/>
      <c r="W4" s="425"/>
      <c r="X4" s="425"/>
      <c r="Y4" s="425"/>
      <c r="Z4" s="511"/>
      <c r="AA4" s="511"/>
      <c r="AB4" s="511"/>
    </row>
    <row r="5" spans="1:28" x14ac:dyDescent="0.25">
      <c r="A5" s="510" t="s">
        <v>407</v>
      </c>
      <c r="B5" s="425"/>
      <c r="C5" s="425"/>
      <c r="D5" s="425"/>
      <c r="E5" s="425"/>
      <c r="F5" s="425"/>
      <c r="G5" s="425"/>
      <c r="H5" s="425"/>
      <c r="I5" s="425"/>
      <c r="J5" s="425"/>
      <c r="K5" s="425"/>
      <c r="L5" s="425"/>
      <c r="M5" s="425"/>
      <c r="N5" s="425"/>
      <c r="O5" s="425"/>
      <c r="P5" s="425"/>
      <c r="Q5" s="425"/>
      <c r="R5" s="425"/>
      <c r="S5" s="425"/>
      <c r="T5" s="425"/>
      <c r="U5" s="425"/>
      <c r="V5" s="425"/>
      <c r="W5" s="425"/>
      <c r="X5" s="425"/>
      <c r="Y5" s="425"/>
      <c r="Z5" s="511"/>
      <c r="AA5" s="511"/>
      <c r="AB5" s="511"/>
    </row>
    <row r="6" spans="1:28" x14ac:dyDescent="0.25">
      <c r="A6" s="510" t="s">
        <v>405</v>
      </c>
      <c r="B6" s="425"/>
      <c r="C6" s="425"/>
      <c r="D6" s="425"/>
      <c r="E6" s="425"/>
      <c r="F6" s="425"/>
      <c r="G6" s="425"/>
      <c r="H6" s="425"/>
      <c r="I6" s="425"/>
      <c r="J6" s="425"/>
      <c r="K6" s="425"/>
      <c r="L6" s="425"/>
      <c r="M6" s="425"/>
      <c r="N6" s="425"/>
      <c r="O6" s="425"/>
      <c r="P6" s="425"/>
      <c r="Q6" s="425"/>
      <c r="R6" s="425"/>
      <c r="S6" s="425"/>
      <c r="T6" s="425"/>
      <c r="U6" s="425"/>
      <c r="V6" s="425"/>
      <c r="W6" s="425"/>
      <c r="X6" s="425"/>
      <c r="Y6" s="425"/>
    </row>
    <row r="7" spans="1:28" x14ac:dyDescent="0.25">
      <c r="A7" s="510" t="s">
        <v>631</v>
      </c>
      <c r="B7" s="425"/>
      <c r="C7" s="425"/>
      <c r="D7" s="425"/>
      <c r="E7" s="425"/>
      <c r="F7" s="425"/>
      <c r="G7" s="425"/>
      <c r="H7" s="425"/>
      <c r="I7" s="425"/>
      <c r="J7" s="425"/>
      <c r="K7" s="425"/>
      <c r="L7" s="425"/>
      <c r="M7" s="425"/>
      <c r="N7" s="425"/>
      <c r="O7" s="425"/>
      <c r="P7" s="425"/>
      <c r="Q7" s="425"/>
      <c r="R7" s="425"/>
      <c r="S7" s="425"/>
      <c r="T7" s="425"/>
      <c r="U7" s="425"/>
      <c r="V7" s="425"/>
      <c r="W7" s="425"/>
      <c r="X7" s="425"/>
      <c r="Y7" s="425"/>
    </row>
    <row r="8" spans="1:28" x14ac:dyDescent="0.25">
      <c r="A8" s="510" t="s">
        <v>408</v>
      </c>
      <c r="B8" s="425"/>
      <c r="C8" s="425"/>
      <c r="D8" s="425"/>
      <c r="E8" s="425"/>
      <c r="F8" s="425"/>
      <c r="G8" s="425"/>
      <c r="H8" s="425"/>
      <c r="I8" s="425"/>
      <c r="J8" s="425"/>
      <c r="K8" s="425"/>
      <c r="L8" s="425"/>
      <c r="M8" s="425"/>
      <c r="N8" s="425"/>
      <c r="O8" s="425"/>
      <c r="P8" s="425"/>
      <c r="Q8" s="425"/>
      <c r="R8" s="425"/>
      <c r="S8" s="425"/>
      <c r="T8" s="425"/>
      <c r="U8" s="425"/>
      <c r="V8" s="425"/>
      <c r="W8" s="425"/>
      <c r="X8" s="425"/>
      <c r="Y8" s="425"/>
    </row>
    <row r="9" spans="1:28" ht="15.75" thickBot="1" x14ac:dyDescent="0.3">
      <c r="A9" s="425"/>
      <c r="B9" s="425"/>
      <c r="C9" s="425"/>
      <c r="D9" s="425"/>
      <c r="E9" s="425"/>
      <c r="F9" s="425"/>
      <c r="G9" s="425"/>
      <c r="H9" s="425"/>
      <c r="I9" s="425"/>
      <c r="J9" s="425"/>
      <c r="K9" s="425"/>
      <c r="L9" s="425"/>
      <c r="M9" s="425"/>
      <c r="N9" s="425"/>
      <c r="O9" s="425"/>
      <c r="P9" s="425"/>
      <c r="Q9" s="425"/>
      <c r="R9" s="425"/>
      <c r="S9" s="425"/>
      <c r="T9" s="425"/>
      <c r="U9" s="425"/>
      <c r="V9" s="425"/>
      <c r="W9" s="425"/>
      <c r="X9" s="425"/>
      <c r="Y9" s="425"/>
    </row>
    <row r="10" spans="1:28" ht="15.75" thickBot="1" x14ac:dyDescent="0.3">
      <c r="A10" s="574" t="s">
        <v>380</v>
      </c>
      <c r="B10" s="579"/>
      <c r="C10" s="579"/>
      <c r="D10" s="575"/>
      <c r="E10" s="574" t="s">
        <v>290</v>
      </c>
      <c r="F10" s="575"/>
      <c r="G10" s="574" t="s">
        <v>277</v>
      </c>
      <c r="H10" s="575"/>
      <c r="I10" s="574" t="s">
        <v>278</v>
      </c>
      <c r="J10" s="575"/>
      <c r="K10" s="574" t="s">
        <v>279</v>
      </c>
      <c r="L10" s="575"/>
      <c r="M10" s="574" t="s">
        <v>280</v>
      </c>
      <c r="N10" s="575"/>
      <c r="O10" s="574" t="s">
        <v>281</v>
      </c>
      <c r="P10" s="575"/>
      <c r="Q10" s="574" t="s">
        <v>282</v>
      </c>
      <c r="R10" s="575"/>
    </row>
    <row r="11" spans="1:28" x14ac:dyDescent="0.25">
      <c r="A11" s="512" t="s">
        <v>272</v>
      </c>
      <c r="B11" s="512" t="s">
        <v>273</v>
      </c>
      <c r="C11" s="512" t="s">
        <v>253</v>
      </c>
      <c r="D11" s="513" t="s">
        <v>254</v>
      </c>
      <c r="E11" s="514" t="s">
        <v>255</v>
      </c>
      <c r="F11" s="514" t="s">
        <v>406</v>
      </c>
      <c r="G11" s="514" t="s">
        <v>255</v>
      </c>
      <c r="H11" s="514" t="s">
        <v>406</v>
      </c>
      <c r="I11" s="514" t="s">
        <v>255</v>
      </c>
      <c r="J11" s="514" t="s">
        <v>406</v>
      </c>
      <c r="K11" s="514" t="s">
        <v>255</v>
      </c>
      <c r="L11" s="514" t="s">
        <v>406</v>
      </c>
      <c r="M11" s="514" t="s">
        <v>255</v>
      </c>
      <c r="N11" s="514" t="s">
        <v>406</v>
      </c>
      <c r="O11" s="514" t="s">
        <v>255</v>
      </c>
      <c r="P11" s="514" t="s">
        <v>406</v>
      </c>
      <c r="Q11" s="514" t="s">
        <v>255</v>
      </c>
      <c r="R11" s="514" t="s">
        <v>406</v>
      </c>
    </row>
    <row r="12" spans="1:28" x14ac:dyDescent="0.25">
      <c r="A12" s="518"/>
      <c r="B12" s="518"/>
      <c r="C12" s="518"/>
      <c r="D12" s="519"/>
      <c r="E12" s="520">
        <v>0</v>
      </c>
      <c r="F12" s="515">
        <f>D12*E12</f>
        <v>0</v>
      </c>
      <c r="G12" s="520">
        <v>0</v>
      </c>
      <c r="H12" s="515">
        <f>D12*G12</f>
        <v>0</v>
      </c>
      <c r="I12" s="520">
        <v>0</v>
      </c>
      <c r="J12" s="515">
        <f>I12*D12</f>
        <v>0</v>
      </c>
      <c r="K12" s="520">
        <v>0</v>
      </c>
      <c r="L12" s="515">
        <f>D12*K12</f>
        <v>0</v>
      </c>
      <c r="M12" s="520">
        <v>0</v>
      </c>
      <c r="N12" s="515">
        <f>M12*D12</f>
        <v>0</v>
      </c>
      <c r="O12" s="520">
        <v>0</v>
      </c>
      <c r="P12" s="515">
        <f>O12*D12</f>
        <v>0</v>
      </c>
      <c r="Q12" s="520">
        <v>0</v>
      </c>
      <c r="R12" s="515">
        <f>Q12*D12</f>
        <v>0</v>
      </c>
    </row>
    <row r="13" spans="1:28" x14ac:dyDescent="0.25">
      <c r="A13" s="518"/>
      <c r="B13" s="518"/>
      <c r="C13" s="518"/>
      <c r="D13" s="519"/>
      <c r="E13" s="520">
        <v>0</v>
      </c>
      <c r="F13" s="515">
        <f t="shared" ref="F13:F24" si="0">D13*E13</f>
        <v>0</v>
      </c>
      <c r="G13" s="520">
        <v>0</v>
      </c>
      <c r="H13" s="515">
        <f t="shared" ref="H13:H24" si="1">D13*G13</f>
        <v>0</v>
      </c>
      <c r="I13" s="520">
        <v>0</v>
      </c>
      <c r="J13" s="515">
        <f t="shared" ref="J13:J24" si="2">I13*D13</f>
        <v>0</v>
      </c>
      <c r="K13" s="520">
        <v>0</v>
      </c>
      <c r="L13" s="515">
        <f t="shared" ref="L13:L24" si="3">D13*K13</f>
        <v>0</v>
      </c>
      <c r="M13" s="520">
        <v>0</v>
      </c>
      <c r="N13" s="515">
        <f t="shared" ref="N13:N24" si="4">M13*D13</f>
        <v>0</v>
      </c>
      <c r="O13" s="520">
        <v>0</v>
      </c>
      <c r="P13" s="515">
        <f t="shared" ref="P13:P24" si="5">O13*D13</f>
        <v>0</v>
      </c>
      <c r="Q13" s="520">
        <v>0</v>
      </c>
      <c r="R13" s="515">
        <f t="shared" ref="R13:R24" si="6">Q13*D13</f>
        <v>0</v>
      </c>
    </row>
    <row r="14" spans="1:28" x14ac:dyDescent="0.25">
      <c r="A14" s="518"/>
      <c r="B14" s="518"/>
      <c r="C14" s="518"/>
      <c r="D14" s="519"/>
      <c r="E14" s="520">
        <v>0</v>
      </c>
      <c r="F14" s="515">
        <f t="shared" si="0"/>
        <v>0</v>
      </c>
      <c r="G14" s="520">
        <v>0</v>
      </c>
      <c r="H14" s="515">
        <f t="shared" si="1"/>
        <v>0</v>
      </c>
      <c r="I14" s="520">
        <v>0</v>
      </c>
      <c r="J14" s="515">
        <f t="shared" si="2"/>
        <v>0</v>
      </c>
      <c r="K14" s="520">
        <v>0</v>
      </c>
      <c r="L14" s="515">
        <f t="shared" si="3"/>
        <v>0</v>
      </c>
      <c r="M14" s="520">
        <v>0</v>
      </c>
      <c r="N14" s="515">
        <f t="shared" si="4"/>
        <v>0</v>
      </c>
      <c r="O14" s="520">
        <v>0</v>
      </c>
      <c r="P14" s="515">
        <f t="shared" si="5"/>
        <v>0</v>
      </c>
      <c r="Q14" s="520">
        <v>0</v>
      </c>
      <c r="R14" s="515">
        <f t="shared" si="6"/>
        <v>0</v>
      </c>
    </row>
    <row r="15" spans="1:28" x14ac:dyDescent="0.25">
      <c r="A15" s="518"/>
      <c r="B15" s="518"/>
      <c r="C15" s="518"/>
      <c r="D15" s="519"/>
      <c r="E15" s="520">
        <v>0</v>
      </c>
      <c r="F15" s="515">
        <f t="shared" si="0"/>
        <v>0</v>
      </c>
      <c r="G15" s="520">
        <v>0</v>
      </c>
      <c r="H15" s="515">
        <f t="shared" si="1"/>
        <v>0</v>
      </c>
      <c r="I15" s="520">
        <v>0</v>
      </c>
      <c r="J15" s="515">
        <f t="shared" si="2"/>
        <v>0</v>
      </c>
      <c r="K15" s="520">
        <v>0</v>
      </c>
      <c r="L15" s="515">
        <f t="shared" si="3"/>
        <v>0</v>
      </c>
      <c r="M15" s="520">
        <v>0</v>
      </c>
      <c r="N15" s="515">
        <f t="shared" si="4"/>
        <v>0</v>
      </c>
      <c r="O15" s="520">
        <v>0</v>
      </c>
      <c r="P15" s="515">
        <f t="shared" si="5"/>
        <v>0</v>
      </c>
      <c r="Q15" s="520">
        <v>0</v>
      </c>
      <c r="R15" s="515">
        <f t="shared" si="6"/>
        <v>0</v>
      </c>
    </row>
    <row r="16" spans="1:28" x14ac:dyDescent="0.25">
      <c r="A16" s="518"/>
      <c r="B16" s="518"/>
      <c r="C16" s="518"/>
      <c r="D16" s="519"/>
      <c r="E16" s="520">
        <v>0</v>
      </c>
      <c r="F16" s="515">
        <f t="shared" si="0"/>
        <v>0</v>
      </c>
      <c r="G16" s="520">
        <v>0</v>
      </c>
      <c r="H16" s="515">
        <f t="shared" si="1"/>
        <v>0</v>
      </c>
      <c r="I16" s="520">
        <v>0</v>
      </c>
      <c r="J16" s="515">
        <f t="shared" si="2"/>
        <v>0</v>
      </c>
      <c r="K16" s="520">
        <v>0</v>
      </c>
      <c r="L16" s="515">
        <f t="shared" si="3"/>
        <v>0</v>
      </c>
      <c r="M16" s="520">
        <v>0</v>
      </c>
      <c r="N16" s="515">
        <f t="shared" si="4"/>
        <v>0</v>
      </c>
      <c r="O16" s="520">
        <v>0</v>
      </c>
      <c r="P16" s="515">
        <f t="shared" si="5"/>
        <v>0</v>
      </c>
      <c r="Q16" s="520">
        <v>0</v>
      </c>
      <c r="R16" s="515">
        <f t="shared" si="6"/>
        <v>0</v>
      </c>
    </row>
    <row r="17" spans="1:18" x14ac:dyDescent="0.25">
      <c r="A17" s="518"/>
      <c r="B17" s="518"/>
      <c r="C17" s="518"/>
      <c r="D17" s="519"/>
      <c r="E17" s="520">
        <v>0</v>
      </c>
      <c r="F17" s="515">
        <f t="shared" si="0"/>
        <v>0</v>
      </c>
      <c r="G17" s="520">
        <v>0</v>
      </c>
      <c r="H17" s="515">
        <f t="shared" si="1"/>
        <v>0</v>
      </c>
      <c r="I17" s="520">
        <v>0</v>
      </c>
      <c r="J17" s="515">
        <f t="shared" si="2"/>
        <v>0</v>
      </c>
      <c r="K17" s="520">
        <v>0</v>
      </c>
      <c r="L17" s="515">
        <f t="shared" si="3"/>
        <v>0</v>
      </c>
      <c r="M17" s="520">
        <v>0</v>
      </c>
      <c r="N17" s="515">
        <f t="shared" si="4"/>
        <v>0</v>
      </c>
      <c r="O17" s="520">
        <v>0</v>
      </c>
      <c r="P17" s="515">
        <f t="shared" si="5"/>
        <v>0</v>
      </c>
      <c r="Q17" s="520">
        <v>0</v>
      </c>
      <c r="R17" s="515">
        <f t="shared" si="6"/>
        <v>0</v>
      </c>
    </row>
    <row r="18" spans="1:18" x14ac:dyDescent="0.25">
      <c r="A18" s="518"/>
      <c r="B18" s="518"/>
      <c r="C18" s="518"/>
      <c r="D18" s="519"/>
      <c r="E18" s="520">
        <v>0</v>
      </c>
      <c r="F18" s="515">
        <f t="shared" si="0"/>
        <v>0</v>
      </c>
      <c r="G18" s="520">
        <v>0</v>
      </c>
      <c r="H18" s="515">
        <f t="shared" si="1"/>
        <v>0</v>
      </c>
      <c r="I18" s="520">
        <v>0</v>
      </c>
      <c r="J18" s="515">
        <f t="shared" si="2"/>
        <v>0</v>
      </c>
      <c r="K18" s="520">
        <v>0</v>
      </c>
      <c r="L18" s="515">
        <f t="shared" si="3"/>
        <v>0</v>
      </c>
      <c r="M18" s="520">
        <v>0</v>
      </c>
      <c r="N18" s="515">
        <f t="shared" si="4"/>
        <v>0</v>
      </c>
      <c r="O18" s="520">
        <v>0</v>
      </c>
      <c r="P18" s="515">
        <f t="shared" si="5"/>
        <v>0</v>
      </c>
      <c r="Q18" s="520">
        <v>0</v>
      </c>
      <c r="R18" s="515">
        <f t="shared" si="6"/>
        <v>0</v>
      </c>
    </row>
    <row r="19" spans="1:18" x14ac:dyDescent="0.25">
      <c r="A19" s="518"/>
      <c r="B19" s="518"/>
      <c r="C19" s="518"/>
      <c r="D19" s="519"/>
      <c r="E19" s="520">
        <v>0</v>
      </c>
      <c r="F19" s="515">
        <f t="shared" si="0"/>
        <v>0</v>
      </c>
      <c r="G19" s="520">
        <v>0</v>
      </c>
      <c r="H19" s="515">
        <f t="shared" si="1"/>
        <v>0</v>
      </c>
      <c r="I19" s="520">
        <v>0</v>
      </c>
      <c r="J19" s="515">
        <f t="shared" si="2"/>
        <v>0</v>
      </c>
      <c r="K19" s="520">
        <v>0</v>
      </c>
      <c r="L19" s="515">
        <f t="shared" si="3"/>
        <v>0</v>
      </c>
      <c r="M19" s="520">
        <v>0</v>
      </c>
      <c r="N19" s="515">
        <f t="shared" si="4"/>
        <v>0</v>
      </c>
      <c r="O19" s="520">
        <v>0</v>
      </c>
      <c r="P19" s="515">
        <f t="shared" si="5"/>
        <v>0</v>
      </c>
      <c r="Q19" s="520">
        <v>0</v>
      </c>
      <c r="R19" s="515">
        <f t="shared" si="6"/>
        <v>0</v>
      </c>
    </row>
    <row r="20" spans="1:18" x14ac:dyDescent="0.25">
      <c r="A20" s="518"/>
      <c r="B20" s="518"/>
      <c r="C20" s="518"/>
      <c r="D20" s="519"/>
      <c r="E20" s="520">
        <v>0</v>
      </c>
      <c r="F20" s="515">
        <f t="shared" si="0"/>
        <v>0</v>
      </c>
      <c r="G20" s="520">
        <v>0</v>
      </c>
      <c r="H20" s="515">
        <f t="shared" si="1"/>
        <v>0</v>
      </c>
      <c r="I20" s="520">
        <v>0</v>
      </c>
      <c r="J20" s="515">
        <f t="shared" si="2"/>
        <v>0</v>
      </c>
      <c r="K20" s="520">
        <v>0</v>
      </c>
      <c r="L20" s="515">
        <f t="shared" si="3"/>
        <v>0</v>
      </c>
      <c r="M20" s="520">
        <v>0</v>
      </c>
      <c r="N20" s="515">
        <f t="shared" si="4"/>
        <v>0</v>
      </c>
      <c r="O20" s="520">
        <v>0</v>
      </c>
      <c r="P20" s="515">
        <f t="shared" si="5"/>
        <v>0</v>
      </c>
      <c r="Q20" s="520">
        <v>0</v>
      </c>
      <c r="R20" s="515">
        <f t="shared" si="6"/>
        <v>0</v>
      </c>
    </row>
    <row r="21" spans="1:18" x14ac:dyDescent="0.25">
      <c r="A21" s="518"/>
      <c r="B21" s="518"/>
      <c r="C21" s="518"/>
      <c r="D21" s="519"/>
      <c r="E21" s="520">
        <v>0</v>
      </c>
      <c r="F21" s="515">
        <f t="shared" si="0"/>
        <v>0</v>
      </c>
      <c r="G21" s="520">
        <v>0</v>
      </c>
      <c r="H21" s="515">
        <f t="shared" si="1"/>
        <v>0</v>
      </c>
      <c r="I21" s="520">
        <v>0</v>
      </c>
      <c r="J21" s="515">
        <f t="shared" si="2"/>
        <v>0</v>
      </c>
      <c r="K21" s="520">
        <v>0</v>
      </c>
      <c r="L21" s="515">
        <f t="shared" si="3"/>
        <v>0</v>
      </c>
      <c r="M21" s="520">
        <v>0</v>
      </c>
      <c r="N21" s="515">
        <f t="shared" si="4"/>
        <v>0</v>
      </c>
      <c r="O21" s="520">
        <v>0</v>
      </c>
      <c r="P21" s="515">
        <f t="shared" si="5"/>
        <v>0</v>
      </c>
      <c r="Q21" s="520">
        <v>0</v>
      </c>
      <c r="R21" s="515">
        <f t="shared" si="6"/>
        <v>0</v>
      </c>
    </row>
    <row r="22" spans="1:18" x14ac:dyDescent="0.25">
      <c r="A22" s="518"/>
      <c r="B22" s="518"/>
      <c r="C22" s="518"/>
      <c r="D22" s="519"/>
      <c r="E22" s="520">
        <v>0</v>
      </c>
      <c r="F22" s="515">
        <f t="shared" si="0"/>
        <v>0</v>
      </c>
      <c r="G22" s="520">
        <v>0</v>
      </c>
      <c r="H22" s="515">
        <f t="shared" si="1"/>
        <v>0</v>
      </c>
      <c r="I22" s="520">
        <v>0</v>
      </c>
      <c r="J22" s="515">
        <f t="shared" si="2"/>
        <v>0</v>
      </c>
      <c r="K22" s="520">
        <v>0</v>
      </c>
      <c r="L22" s="515">
        <f t="shared" si="3"/>
        <v>0</v>
      </c>
      <c r="M22" s="520">
        <v>0</v>
      </c>
      <c r="N22" s="515">
        <f t="shared" si="4"/>
        <v>0</v>
      </c>
      <c r="O22" s="520">
        <v>0</v>
      </c>
      <c r="P22" s="515">
        <f t="shared" si="5"/>
        <v>0</v>
      </c>
      <c r="Q22" s="520">
        <v>0</v>
      </c>
      <c r="R22" s="515">
        <f t="shared" si="6"/>
        <v>0</v>
      </c>
    </row>
    <row r="23" spans="1:18" x14ac:dyDescent="0.25">
      <c r="A23" s="518"/>
      <c r="B23" s="518"/>
      <c r="C23" s="518"/>
      <c r="D23" s="519"/>
      <c r="E23" s="520">
        <v>0</v>
      </c>
      <c r="F23" s="515">
        <f t="shared" si="0"/>
        <v>0</v>
      </c>
      <c r="G23" s="520">
        <v>0</v>
      </c>
      <c r="H23" s="515">
        <f t="shared" si="1"/>
        <v>0</v>
      </c>
      <c r="I23" s="520">
        <v>0</v>
      </c>
      <c r="J23" s="515">
        <f t="shared" si="2"/>
        <v>0</v>
      </c>
      <c r="K23" s="520">
        <v>0</v>
      </c>
      <c r="L23" s="515">
        <f t="shared" si="3"/>
        <v>0</v>
      </c>
      <c r="M23" s="520">
        <v>0</v>
      </c>
      <c r="N23" s="515">
        <f t="shared" si="4"/>
        <v>0</v>
      </c>
      <c r="O23" s="520">
        <v>0</v>
      </c>
      <c r="P23" s="515">
        <f t="shared" si="5"/>
        <v>0</v>
      </c>
      <c r="Q23" s="520">
        <v>0</v>
      </c>
      <c r="R23" s="515">
        <f t="shared" si="6"/>
        <v>0</v>
      </c>
    </row>
    <row r="24" spans="1:18" x14ac:dyDescent="0.25">
      <c r="A24" s="518"/>
      <c r="B24" s="518"/>
      <c r="C24" s="518"/>
      <c r="D24" s="519"/>
      <c r="E24" s="520">
        <v>0</v>
      </c>
      <c r="F24" s="515">
        <f t="shared" si="0"/>
        <v>0</v>
      </c>
      <c r="G24" s="520">
        <v>0</v>
      </c>
      <c r="H24" s="515">
        <f t="shared" si="1"/>
        <v>0</v>
      </c>
      <c r="I24" s="520">
        <v>0</v>
      </c>
      <c r="J24" s="515">
        <f t="shared" si="2"/>
        <v>0</v>
      </c>
      <c r="K24" s="520">
        <v>0</v>
      </c>
      <c r="L24" s="515">
        <f t="shared" si="3"/>
        <v>0</v>
      </c>
      <c r="M24" s="520">
        <v>0</v>
      </c>
      <c r="N24" s="515">
        <f t="shared" si="4"/>
        <v>0</v>
      </c>
      <c r="O24" s="520">
        <v>0</v>
      </c>
      <c r="P24" s="515">
        <f t="shared" si="5"/>
        <v>0</v>
      </c>
      <c r="Q24" s="520">
        <v>0</v>
      </c>
      <c r="R24" s="515">
        <f t="shared" si="6"/>
        <v>0</v>
      </c>
    </row>
    <row r="25" spans="1:18" x14ac:dyDescent="0.25">
      <c r="A25" s="576" t="s">
        <v>21</v>
      </c>
      <c r="B25" s="577"/>
      <c r="C25" s="577"/>
      <c r="D25" s="578"/>
      <c r="F25" s="516">
        <f>SUM(F12:F24)</f>
        <v>0</v>
      </c>
      <c r="H25" s="516">
        <f>SUM(H12:H24)</f>
        <v>0</v>
      </c>
      <c r="J25" s="516">
        <f>SUM(J12:J24)</f>
        <v>0</v>
      </c>
      <c r="L25" s="516">
        <f>SUM(L12:L24)</f>
        <v>0</v>
      </c>
      <c r="N25" s="516">
        <f>SUM(N12:N24)</f>
        <v>0</v>
      </c>
      <c r="P25" s="516">
        <f>SUM(P12:P24)</f>
        <v>0</v>
      </c>
      <c r="R25" s="516">
        <f>SUM(R12:R24)</f>
        <v>0</v>
      </c>
    </row>
    <row r="26" spans="1:18" x14ac:dyDescent="0.25">
      <c r="E26" s="517"/>
      <c r="F26" s="517"/>
      <c r="G26" s="517"/>
      <c r="H26" s="517"/>
      <c r="I26" s="517"/>
      <c r="J26" s="517"/>
    </row>
    <row r="27" spans="1:18" x14ac:dyDescent="0.25">
      <c r="E27" s="517" t="s">
        <v>5</v>
      </c>
      <c r="F27" s="517"/>
      <c r="G27" s="517"/>
      <c r="H27" s="517"/>
      <c r="I27" s="517"/>
      <c r="J27" s="517"/>
    </row>
  </sheetData>
  <sheetProtection algorithmName="SHA-512" hashValue="zJ6hB3iaKKao2pRQLbgPeZXwfntluhVySOOsn8Alhq943981uqcWJjmdEZmTQSDtTbGlqlImJaazNep3aaLT/g==" saltValue="y6rMoWU1GVsONVambDrnXw==" spinCount="100000" sheet="1" objects="1" scenarios="1" selectLockedCells="1"/>
  <mergeCells count="9">
    <mergeCell ref="K10:L10"/>
    <mergeCell ref="M10:N10"/>
    <mergeCell ref="O10:P10"/>
    <mergeCell ref="Q10:R10"/>
    <mergeCell ref="A25:D25"/>
    <mergeCell ref="A10:D10"/>
    <mergeCell ref="E10:F10"/>
    <mergeCell ref="G10:H10"/>
    <mergeCell ref="I10:J10"/>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A9DFE0-5EBF-4CDC-B37E-9DB3CD819759}">
  <sheetPr>
    <tabColor rgb="FFFFFF00"/>
  </sheetPr>
  <dimension ref="A1:J63"/>
  <sheetViews>
    <sheetView topLeftCell="A48" workbookViewId="0">
      <selection activeCell="B68" sqref="B68"/>
    </sheetView>
    <sheetView workbookViewId="1"/>
  </sheetViews>
  <sheetFormatPr defaultColWidth="8.7109375" defaultRowHeight="12.75" x14ac:dyDescent="0.2"/>
  <cols>
    <col min="1" max="1" width="2.42578125" style="217" customWidth="1"/>
    <col min="2" max="2" width="45.7109375" style="217" customWidth="1"/>
    <col min="3" max="3" width="29" style="217" customWidth="1"/>
    <col min="4" max="4" width="26" style="217" customWidth="1"/>
    <col min="5" max="5" width="26.28515625" style="217" customWidth="1"/>
    <col min="6" max="6" width="27.85546875" style="217" customWidth="1"/>
    <col min="7" max="16384" width="8.7109375" style="217"/>
  </cols>
  <sheetData>
    <row r="1" spans="1:10" s="63" customFormat="1" ht="15.75" thickBot="1" x14ac:dyDescent="0.3">
      <c r="B1" s="126" t="s">
        <v>626</v>
      </c>
      <c r="C1" s="491" t="str">
        <f>'FFP CLINs X007-X021'!B1</f>
        <v>NAME</v>
      </c>
    </row>
    <row r="2" spans="1:10" ht="13.5" thickBot="1" x14ac:dyDescent="0.25"/>
    <row r="3" spans="1:10" ht="30.75" thickBot="1" x14ac:dyDescent="0.25">
      <c r="B3" s="138" t="s">
        <v>121</v>
      </c>
    </row>
    <row r="5" spans="1:10" s="186" customFormat="1" ht="15.75" x14ac:dyDescent="0.2">
      <c r="A5" s="191"/>
      <c r="B5" s="316" t="s">
        <v>130</v>
      </c>
      <c r="C5" s="194"/>
      <c r="D5" s="194"/>
      <c r="E5" s="194"/>
      <c r="F5" s="194"/>
      <c r="G5" s="194"/>
      <c r="H5" s="194"/>
      <c r="I5" s="194"/>
      <c r="J5" s="194"/>
    </row>
    <row r="6" spans="1:10" s="186" customFormat="1" ht="15.75" x14ac:dyDescent="0.25">
      <c r="A6" s="192"/>
      <c r="B6" s="192" t="s">
        <v>412</v>
      </c>
      <c r="C6" s="195"/>
      <c r="D6" s="195"/>
      <c r="E6" s="194"/>
      <c r="F6" s="194"/>
      <c r="G6" s="194"/>
      <c r="H6" s="194"/>
      <c r="I6" s="194"/>
      <c r="J6" s="194"/>
    </row>
    <row r="7" spans="1:10" s="186" customFormat="1" ht="15.75" x14ac:dyDescent="0.25">
      <c r="A7" s="192"/>
      <c r="B7" s="192" t="s">
        <v>413</v>
      </c>
    </row>
    <row r="8" spans="1:10" s="186" customFormat="1" ht="15.75" x14ac:dyDescent="0.25">
      <c r="A8" s="192"/>
      <c r="B8" s="192" t="s">
        <v>548</v>
      </c>
      <c r="C8" s="194"/>
      <c r="D8" s="194"/>
      <c r="E8" s="194"/>
      <c r="F8" s="194"/>
      <c r="G8" s="194"/>
      <c r="H8" s="194"/>
      <c r="I8" s="194"/>
      <c r="J8" s="194"/>
    </row>
    <row r="9" spans="1:10" s="186" customFormat="1" ht="15.75" x14ac:dyDescent="0.25">
      <c r="A9" s="192"/>
      <c r="B9" s="192" t="s">
        <v>411</v>
      </c>
      <c r="C9" s="194"/>
      <c r="D9" s="194"/>
      <c r="E9" s="194"/>
      <c r="F9" s="194"/>
      <c r="G9" s="194"/>
      <c r="H9" s="194"/>
      <c r="I9" s="194"/>
      <c r="J9" s="194"/>
    </row>
    <row r="10" spans="1:10" s="186" customFormat="1" ht="15.75" x14ac:dyDescent="0.25">
      <c r="A10" s="192"/>
      <c r="B10" s="258" t="s">
        <v>417</v>
      </c>
      <c r="C10" s="63"/>
      <c r="D10" s="63"/>
      <c r="E10" s="194"/>
      <c r="F10" s="194"/>
      <c r="G10" s="194"/>
      <c r="H10" s="194"/>
      <c r="I10" s="194"/>
      <c r="J10" s="194"/>
    </row>
    <row r="11" spans="1:10" s="186" customFormat="1" ht="16.5" thickBot="1" x14ac:dyDescent="0.3">
      <c r="A11" s="192"/>
      <c r="B11" s="192"/>
    </row>
    <row r="12" spans="1:10" s="186" customFormat="1" ht="16.5" thickBot="1" x14ac:dyDescent="0.3">
      <c r="A12" s="191"/>
      <c r="B12" s="580"/>
      <c r="C12" s="582" t="s">
        <v>140</v>
      </c>
      <c r="D12" s="583"/>
      <c r="E12" s="583"/>
      <c r="F12" s="584"/>
    </row>
    <row r="13" spans="1:10" ht="16.5" thickBot="1" x14ac:dyDescent="0.25">
      <c r="B13" s="581"/>
      <c r="C13" s="218" t="s">
        <v>284</v>
      </c>
      <c r="D13" s="218" t="s">
        <v>285</v>
      </c>
      <c r="E13" s="218" t="s">
        <v>286</v>
      </c>
      <c r="F13" s="218" t="s">
        <v>287</v>
      </c>
    </row>
    <row r="14" spans="1:10" ht="16.5" thickBot="1" x14ac:dyDescent="0.25">
      <c r="B14" s="219" t="s">
        <v>110</v>
      </c>
      <c r="C14" s="220" t="s">
        <v>141</v>
      </c>
      <c r="D14" s="220" t="s">
        <v>141</v>
      </c>
      <c r="E14" s="220" t="s">
        <v>141</v>
      </c>
      <c r="F14" s="220" t="s">
        <v>141</v>
      </c>
    </row>
    <row r="15" spans="1:10" ht="64.5" thickBot="1" x14ac:dyDescent="0.25">
      <c r="B15" s="228" t="s">
        <v>549</v>
      </c>
      <c r="C15" s="229"/>
      <c r="D15" s="229"/>
      <c r="E15" s="229"/>
      <c r="F15" s="229"/>
    </row>
    <row r="16" spans="1:10" x14ac:dyDescent="0.2">
      <c r="B16" s="252"/>
      <c r="C16" s="221"/>
      <c r="D16" s="221"/>
      <c r="E16" s="221"/>
      <c r="F16" s="221"/>
    </row>
    <row r="17" spans="2:6" x14ac:dyDescent="0.2">
      <c r="B17" s="252"/>
      <c r="C17" s="221"/>
      <c r="D17" s="221"/>
      <c r="E17" s="221"/>
      <c r="F17" s="221"/>
    </row>
    <row r="18" spans="2:6" x14ac:dyDescent="0.2">
      <c r="B18" s="252"/>
      <c r="C18" s="221"/>
      <c r="D18" s="221"/>
      <c r="E18" s="221"/>
      <c r="F18" s="221"/>
    </row>
    <row r="19" spans="2:6" x14ac:dyDescent="0.2">
      <c r="B19" s="252"/>
      <c r="C19" s="221"/>
      <c r="D19" s="221"/>
      <c r="E19" s="221"/>
      <c r="F19" s="221"/>
    </row>
    <row r="20" spans="2:6" x14ac:dyDescent="0.2">
      <c r="B20" s="252"/>
      <c r="C20" s="221"/>
      <c r="D20" s="221"/>
      <c r="E20" s="221"/>
      <c r="F20" s="221"/>
    </row>
    <row r="21" spans="2:6" x14ac:dyDescent="0.2">
      <c r="B21" s="252"/>
      <c r="C21" s="221"/>
      <c r="D21" s="221"/>
      <c r="E21" s="221"/>
      <c r="F21" s="221"/>
    </row>
    <row r="22" spans="2:6" x14ac:dyDescent="0.2">
      <c r="B22" s="252"/>
      <c r="C22" s="221"/>
      <c r="D22" s="221"/>
      <c r="E22" s="221"/>
      <c r="F22" s="221"/>
    </row>
    <row r="23" spans="2:6" x14ac:dyDescent="0.2">
      <c r="B23" s="252"/>
      <c r="C23" s="221"/>
      <c r="D23" s="221"/>
      <c r="E23" s="221"/>
      <c r="F23" s="221"/>
    </row>
    <row r="24" spans="2:6" x14ac:dyDescent="0.2">
      <c r="B24" s="252"/>
      <c r="C24" s="221"/>
      <c r="D24" s="221"/>
      <c r="E24" s="221"/>
      <c r="F24" s="221"/>
    </row>
    <row r="25" spans="2:6" x14ac:dyDescent="0.2">
      <c r="B25" s="252"/>
      <c r="C25" s="221"/>
      <c r="D25" s="221"/>
      <c r="E25" s="221"/>
      <c r="F25" s="221"/>
    </row>
    <row r="26" spans="2:6" x14ac:dyDescent="0.2">
      <c r="B26" s="252"/>
      <c r="C26" s="221"/>
      <c r="D26" s="221"/>
      <c r="E26" s="221"/>
      <c r="F26" s="221"/>
    </row>
    <row r="27" spans="2:6" x14ac:dyDescent="0.2">
      <c r="B27" s="252"/>
      <c r="C27" s="221"/>
      <c r="D27" s="221"/>
      <c r="E27" s="221"/>
      <c r="F27" s="221"/>
    </row>
    <row r="28" spans="2:6" x14ac:dyDescent="0.2">
      <c r="B28" s="252"/>
      <c r="C28" s="221"/>
      <c r="D28" s="221"/>
      <c r="E28" s="221"/>
      <c r="F28" s="221"/>
    </row>
    <row r="29" spans="2:6" x14ac:dyDescent="0.2">
      <c r="B29" s="252"/>
      <c r="C29" s="221"/>
      <c r="D29" s="221"/>
      <c r="E29" s="221"/>
      <c r="F29" s="221"/>
    </row>
    <row r="30" spans="2:6" x14ac:dyDescent="0.2">
      <c r="B30" s="252"/>
      <c r="C30" s="221"/>
      <c r="D30" s="221"/>
      <c r="E30" s="221"/>
      <c r="F30" s="221"/>
    </row>
    <row r="31" spans="2:6" ht="13.5" thickBot="1" x14ac:dyDescent="0.25"/>
    <row r="32" spans="2:6" ht="16.5" thickBot="1" x14ac:dyDescent="0.25">
      <c r="B32" s="224"/>
      <c r="C32" s="582" t="s">
        <v>142</v>
      </c>
      <c r="D32" s="583"/>
      <c r="E32" s="583"/>
      <c r="F32" s="584"/>
    </row>
    <row r="33" spans="2:9" ht="16.5" thickBot="1" x14ac:dyDescent="0.25">
      <c r="B33" s="225" t="s">
        <v>156</v>
      </c>
      <c r="C33" s="218" t="s">
        <v>284</v>
      </c>
      <c r="D33" s="218" t="s">
        <v>285</v>
      </c>
      <c r="E33" s="218" t="s">
        <v>286</v>
      </c>
      <c r="F33" s="218" t="s">
        <v>287</v>
      </c>
    </row>
    <row r="34" spans="2:9" ht="77.25" thickBot="1" x14ac:dyDescent="0.25">
      <c r="B34" s="228" t="s">
        <v>554</v>
      </c>
      <c r="C34" s="218"/>
      <c r="D34" s="218"/>
      <c r="E34" s="218"/>
      <c r="F34" s="218"/>
    </row>
    <row r="35" spans="2:9" x14ac:dyDescent="0.2">
      <c r="B35" s="222" t="s">
        <v>181</v>
      </c>
      <c r="C35" s="238"/>
      <c r="D35" s="238"/>
      <c r="E35" s="238"/>
      <c r="F35" s="238"/>
    </row>
    <row r="36" spans="2:9" x14ac:dyDescent="0.2">
      <c r="B36" s="222" t="s">
        <v>180</v>
      </c>
      <c r="C36" s="239"/>
      <c r="D36" s="239"/>
      <c r="E36" s="239"/>
      <c r="F36" s="239"/>
    </row>
    <row r="37" spans="2:9" x14ac:dyDescent="0.2">
      <c r="B37" s="223" t="s">
        <v>179</v>
      </c>
      <c r="C37" s="239"/>
      <c r="D37" s="239"/>
      <c r="E37" s="239"/>
      <c r="F37" s="239"/>
    </row>
    <row r="38" spans="2:9" x14ac:dyDescent="0.2">
      <c r="B38" s="226" t="s">
        <v>182</v>
      </c>
      <c r="C38" s="239"/>
      <c r="D38" s="239"/>
      <c r="E38" s="239"/>
      <c r="F38" s="239"/>
    </row>
    <row r="39" spans="2:9" ht="13.5" thickBot="1" x14ac:dyDescent="0.25">
      <c r="B39" s="226" t="s">
        <v>183</v>
      </c>
      <c r="C39" s="240"/>
      <c r="D39" s="240"/>
      <c r="E39" s="240"/>
      <c r="F39" s="240"/>
    </row>
    <row r="40" spans="2:9" ht="13.5" thickBot="1" x14ac:dyDescent="0.25"/>
    <row r="41" spans="2:9" ht="16.5" thickBot="1" x14ac:dyDescent="0.25">
      <c r="B41" s="224"/>
      <c r="C41" s="582" t="s">
        <v>384</v>
      </c>
      <c r="D41" s="583"/>
      <c r="E41" s="583"/>
      <c r="F41" s="584"/>
    </row>
    <row r="42" spans="2:9" ht="16.5" thickBot="1" x14ac:dyDescent="0.25">
      <c r="B42" s="225" t="s">
        <v>322</v>
      </c>
      <c r="C42" s="218" t="s">
        <v>284</v>
      </c>
      <c r="D42" s="218" t="s">
        <v>285</v>
      </c>
      <c r="E42" s="218" t="s">
        <v>286</v>
      </c>
      <c r="F42" s="218" t="s">
        <v>287</v>
      </c>
    </row>
    <row r="43" spans="2:9" ht="66" customHeight="1" thickBot="1" x14ac:dyDescent="0.25">
      <c r="B43" s="228" t="s">
        <v>555</v>
      </c>
      <c r="C43" s="227"/>
      <c r="D43" s="227"/>
      <c r="E43" s="227"/>
      <c r="F43" s="227"/>
    </row>
    <row r="44" spans="2:9" x14ac:dyDescent="0.2">
      <c r="B44" s="222" t="s">
        <v>188</v>
      </c>
      <c r="C44" s="238"/>
      <c r="D44" s="238"/>
      <c r="E44" s="238"/>
      <c r="F44" s="238"/>
      <c r="I44" s="217" t="s">
        <v>395</v>
      </c>
    </row>
    <row r="45" spans="2:9" x14ac:dyDescent="0.2">
      <c r="B45" s="223" t="s">
        <v>185</v>
      </c>
      <c r="C45" s="239"/>
      <c r="D45" s="239"/>
      <c r="E45" s="239"/>
      <c r="F45" s="239"/>
    </row>
    <row r="46" spans="2:9" x14ac:dyDescent="0.2">
      <c r="B46" s="226" t="s">
        <v>186</v>
      </c>
      <c r="C46" s="239"/>
      <c r="D46" s="239"/>
      <c r="E46" s="239"/>
      <c r="F46" s="239"/>
    </row>
    <row r="47" spans="2:9" ht="13.5" thickBot="1" x14ac:dyDescent="0.25">
      <c r="B47" s="226" t="s">
        <v>187</v>
      </c>
      <c r="C47" s="240"/>
      <c r="D47" s="240"/>
      <c r="E47" s="240"/>
      <c r="F47" s="240"/>
    </row>
    <row r="48" spans="2:9" ht="13.5" thickBot="1" x14ac:dyDescent="0.25"/>
    <row r="49" spans="2:6" ht="16.5" thickBot="1" x14ac:dyDescent="0.25">
      <c r="B49" s="224"/>
      <c r="C49" s="582" t="s">
        <v>143</v>
      </c>
      <c r="D49" s="583"/>
      <c r="E49" s="583"/>
      <c r="F49" s="584"/>
    </row>
    <row r="50" spans="2:6" ht="16.5" thickBot="1" x14ac:dyDescent="0.25">
      <c r="B50" s="225" t="s">
        <v>157</v>
      </c>
      <c r="C50" s="218" t="s">
        <v>284</v>
      </c>
      <c r="D50" s="218" t="s">
        <v>285</v>
      </c>
      <c r="E50" s="218" t="s">
        <v>286</v>
      </c>
      <c r="F50" s="218" t="s">
        <v>287</v>
      </c>
    </row>
    <row r="51" spans="2:6" ht="77.25" thickBot="1" x14ac:dyDescent="0.25">
      <c r="B51" s="228" t="s">
        <v>556</v>
      </c>
      <c r="C51" s="227"/>
      <c r="D51" s="227"/>
      <c r="E51" s="227"/>
      <c r="F51" s="227"/>
    </row>
    <row r="52" spans="2:6" ht="12.75" customHeight="1" x14ac:dyDescent="0.2">
      <c r="B52" s="222" t="s">
        <v>184</v>
      </c>
      <c r="C52" s="238"/>
      <c r="D52" s="238"/>
      <c r="E52" s="238"/>
      <c r="F52" s="238"/>
    </row>
    <row r="53" spans="2:6" x14ac:dyDescent="0.2">
      <c r="B53" s="223" t="s">
        <v>185</v>
      </c>
      <c r="C53" s="239"/>
      <c r="D53" s="239"/>
      <c r="E53" s="239"/>
      <c r="F53" s="239"/>
    </row>
    <row r="54" spans="2:6" x14ac:dyDescent="0.2">
      <c r="B54" s="226" t="s">
        <v>186</v>
      </c>
      <c r="C54" s="239"/>
      <c r="D54" s="239"/>
      <c r="E54" s="239"/>
      <c r="F54" s="239"/>
    </row>
    <row r="55" spans="2:6" ht="13.5" thickBot="1" x14ac:dyDescent="0.25">
      <c r="B55" s="226" t="s">
        <v>187</v>
      </c>
      <c r="C55" s="240"/>
      <c r="D55" s="240"/>
      <c r="E55" s="240"/>
      <c r="F55" s="240"/>
    </row>
    <row r="56" spans="2:6" ht="13.5" thickBot="1" x14ac:dyDescent="0.25"/>
    <row r="57" spans="2:6" ht="16.5" thickBot="1" x14ac:dyDescent="0.25">
      <c r="B57" s="224"/>
      <c r="C57" s="582" t="s">
        <v>144</v>
      </c>
      <c r="D57" s="583"/>
      <c r="E57" s="583"/>
      <c r="F57" s="584"/>
    </row>
    <row r="58" spans="2:6" ht="16.5" thickBot="1" x14ac:dyDescent="0.25">
      <c r="B58" s="225" t="s">
        <v>158</v>
      </c>
      <c r="C58" s="218" t="s">
        <v>284</v>
      </c>
      <c r="D58" s="218" t="s">
        <v>285</v>
      </c>
      <c r="E58" s="218" t="s">
        <v>286</v>
      </c>
      <c r="F58" s="218" t="s">
        <v>287</v>
      </c>
    </row>
    <row r="59" spans="2:6" ht="77.25" thickBot="1" x14ac:dyDescent="0.25">
      <c r="B59" s="228" t="s">
        <v>557</v>
      </c>
      <c r="C59" s="227"/>
      <c r="D59" s="227"/>
      <c r="E59" s="227"/>
      <c r="F59" s="227"/>
    </row>
    <row r="60" spans="2:6" x14ac:dyDescent="0.2">
      <c r="B60" s="222" t="s">
        <v>188</v>
      </c>
      <c r="C60" s="238"/>
      <c r="D60" s="238"/>
      <c r="E60" s="238"/>
      <c r="F60" s="238"/>
    </row>
    <row r="61" spans="2:6" x14ac:dyDescent="0.2">
      <c r="B61" s="223" t="s">
        <v>185</v>
      </c>
      <c r="C61" s="239"/>
      <c r="D61" s="239"/>
      <c r="E61" s="239"/>
      <c r="F61" s="239"/>
    </row>
    <row r="62" spans="2:6" x14ac:dyDescent="0.2">
      <c r="B62" s="226" t="s">
        <v>189</v>
      </c>
      <c r="C62" s="239"/>
      <c r="D62" s="239"/>
      <c r="E62" s="239"/>
      <c r="F62" s="239"/>
    </row>
    <row r="63" spans="2:6" ht="13.5" thickBot="1" x14ac:dyDescent="0.25">
      <c r="B63" s="226" t="s">
        <v>190</v>
      </c>
      <c r="C63" s="240"/>
      <c r="D63" s="240"/>
      <c r="E63" s="240"/>
      <c r="F63" s="240"/>
    </row>
  </sheetData>
  <mergeCells count="6">
    <mergeCell ref="B12:B13"/>
    <mergeCell ref="C12:F12"/>
    <mergeCell ref="C32:F32"/>
    <mergeCell ref="C49:F49"/>
    <mergeCell ref="C57:F57"/>
    <mergeCell ref="C41:F4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637F13-59D3-495C-BC02-74E510E18247}">
  <sheetPr>
    <tabColor rgb="FFFFFF00"/>
  </sheetPr>
  <dimension ref="A1:H40"/>
  <sheetViews>
    <sheetView workbookViewId="0">
      <selection activeCell="D17" sqref="D17"/>
    </sheetView>
    <sheetView workbookViewId="1"/>
  </sheetViews>
  <sheetFormatPr defaultRowHeight="15" x14ac:dyDescent="0.25"/>
  <cols>
    <col min="1" max="1" width="3.28515625" style="63" customWidth="1"/>
    <col min="2" max="2" width="52.42578125" customWidth="1"/>
    <col min="3" max="3" width="49" customWidth="1"/>
    <col min="4" max="4" width="68.5703125" bestFit="1" customWidth="1"/>
  </cols>
  <sheetData>
    <row r="1" spans="2:8" s="63" customFormat="1" ht="15.75" thickBot="1" x14ac:dyDescent="0.3">
      <c r="B1" s="126" t="s">
        <v>626</v>
      </c>
      <c r="C1" s="491" t="str">
        <f>'FFP CLINs X007-X021'!B1</f>
        <v>NAME</v>
      </c>
      <c r="D1" s="399"/>
    </row>
    <row r="2" spans="2:8" s="63" customFormat="1" ht="15.75" thickBot="1" x14ac:dyDescent="0.3">
      <c r="B2" s="47"/>
      <c r="C2" s="270"/>
      <c r="D2" s="398"/>
    </row>
    <row r="3" spans="2:8" ht="42.75" customHeight="1" thickBot="1" x14ac:dyDescent="0.3">
      <c r="B3" s="138" t="s">
        <v>121</v>
      </c>
      <c r="C3" s="139"/>
      <c r="D3" s="139"/>
    </row>
    <row r="5" spans="2:8" s="307" customFormat="1" x14ac:dyDescent="0.25">
      <c r="B5" s="261" t="s">
        <v>130</v>
      </c>
    </row>
    <row r="6" spans="2:8" s="307" customFormat="1" x14ac:dyDescent="0.25">
      <c r="B6" s="258" t="s">
        <v>412</v>
      </c>
    </row>
    <row r="7" spans="2:8" s="307" customFormat="1" x14ac:dyDescent="0.25">
      <c r="B7" s="258" t="s">
        <v>414</v>
      </c>
    </row>
    <row r="8" spans="2:8" s="307" customFormat="1" x14ac:dyDescent="0.25">
      <c r="B8" s="258" t="s">
        <v>415</v>
      </c>
    </row>
    <row r="9" spans="2:8" s="63" customFormat="1" x14ac:dyDescent="0.25">
      <c r="B9" s="258" t="s">
        <v>416</v>
      </c>
    </row>
    <row r="10" spans="2:8" s="63" customFormat="1" ht="15.75" thickBot="1" x14ac:dyDescent="0.3">
      <c r="B10" s="192"/>
    </row>
    <row r="11" spans="2:8" s="63" customFormat="1" ht="15.75" thickBot="1" x14ac:dyDescent="0.3">
      <c r="B11" s="585" t="s">
        <v>111</v>
      </c>
      <c r="C11" s="586"/>
      <c r="D11" s="587"/>
      <c r="E11" s="130"/>
      <c r="F11" s="130"/>
      <c r="G11" s="130"/>
      <c r="H11" s="130"/>
    </row>
    <row r="12" spans="2:8" s="143" customFormat="1" ht="15.75" thickBot="1" x14ac:dyDescent="0.3">
      <c r="B12" s="140"/>
      <c r="C12" s="141"/>
      <c r="D12" s="141"/>
      <c r="E12" s="142"/>
      <c r="F12" s="142"/>
      <c r="G12" s="142"/>
      <c r="H12" s="142"/>
    </row>
    <row r="13" spans="2:8" x14ac:dyDescent="0.25">
      <c r="B13" s="149" t="s">
        <v>110</v>
      </c>
      <c r="C13" s="150" t="s">
        <v>60</v>
      </c>
    </row>
    <row r="14" spans="2:8" s="63" customFormat="1" ht="60" x14ac:dyDescent="0.25">
      <c r="B14" s="416" t="s">
        <v>113</v>
      </c>
      <c r="C14" s="417" t="s">
        <v>112</v>
      </c>
    </row>
    <row r="15" spans="2:8" x14ac:dyDescent="0.25">
      <c r="B15" s="252">
        <f>'PRIME CPIF RATES (ALL)'!B16</f>
        <v>0</v>
      </c>
      <c r="C15" s="133"/>
    </row>
    <row r="16" spans="2:8" x14ac:dyDescent="0.25">
      <c r="B16" s="252">
        <f>'PRIME CPIF RATES (ALL)'!B17</f>
        <v>0</v>
      </c>
      <c r="C16" s="133"/>
    </row>
    <row r="17" spans="2:6" x14ac:dyDescent="0.25">
      <c r="B17" s="252">
        <f>'PRIME CPIF RATES (ALL)'!B18</f>
        <v>0</v>
      </c>
      <c r="C17" s="133"/>
    </row>
    <row r="18" spans="2:6" x14ac:dyDescent="0.25">
      <c r="B18" s="252">
        <f>'PRIME CPIF RATES (ALL)'!B19</f>
        <v>0</v>
      </c>
      <c r="C18" s="133"/>
    </row>
    <row r="19" spans="2:6" x14ac:dyDescent="0.25">
      <c r="B19" s="252">
        <f>'PRIME CPIF RATES (ALL)'!B20</f>
        <v>0</v>
      </c>
      <c r="C19" s="133"/>
    </row>
    <row r="20" spans="2:6" x14ac:dyDescent="0.25">
      <c r="B20" s="252">
        <f>'PRIME CPIF RATES (ALL)'!B21</f>
        <v>0</v>
      </c>
      <c r="C20" s="133"/>
    </row>
    <row r="21" spans="2:6" x14ac:dyDescent="0.25">
      <c r="B21" s="252">
        <f>'PRIME CPIF RATES (ALL)'!B22</f>
        <v>0</v>
      </c>
      <c r="C21" s="133"/>
    </row>
    <row r="22" spans="2:6" x14ac:dyDescent="0.25">
      <c r="B22" s="252">
        <f>'PRIME CPIF RATES (ALL)'!B23</f>
        <v>0</v>
      </c>
      <c r="C22" s="133"/>
    </row>
    <row r="23" spans="2:6" x14ac:dyDescent="0.25">
      <c r="B23" s="252">
        <f>'PRIME CPIF RATES (ALL)'!B24</f>
        <v>0</v>
      </c>
      <c r="C23" s="133"/>
    </row>
    <row r="24" spans="2:6" x14ac:dyDescent="0.25">
      <c r="B24" s="252">
        <f>'PRIME CPIF RATES (ALL)'!B25</f>
        <v>0</v>
      </c>
      <c r="C24" s="133"/>
    </row>
    <row r="25" spans="2:6" s="63" customFormat="1" x14ac:dyDescent="0.25">
      <c r="B25" s="252">
        <f>'PRIME CPIF RATES (ALL)'!B26</f>
        <v>0</v>
      </c>
      <c r="C25" s="133"/>
    </row>
    <row r="26" spans="2:6" s="63" customFormat="1" x14ac:dyDescent="0.25">
      <c r="B26" s="252">
        <f>'PRIME CPIF RATES (ALL)'!B27</f>
        <v>0</v>
      </c>
      <c r="C26" s="133"/>
    </row>
    <row r="27" spans="2:6" s="63" customFormat="1" x14ac:dyDescent="0.25">
      <c r="B27" s="252">
        <f>'PRIME CPIF RATES (ALL)'!B28</f>
        <v>0</v>
      </c>
      <c r="C27" s="133"/>
    </row>
    <row r="28" spans="2:6" s="63" customFormat="1" x14ac:dyDescent="0.25">
      <c r="B28" s="252">
        <f>'PRIME CPIF RATES (ALL)'!B29</f>
        <v>0</v>
      </c>
      <c r="C28" s="133"/>
    </row>
    <row r="29" spans="2:6" s="63" customFormat="1" ht="15.75" thickBot="1" x14ac:dyDescent="0.3">
      <c r="B29" s="418">
        <f>'PRIME CPIF RATES (ALL)'!B30</f>
        <v>0</v>
      </c>
      <c r="C29" s="137"/>
    </row>
    <row r="30" spans="2:6" s="129" customFormat="1" ht="15.75" thickBot="1" x14ac:dyDescent="0.3">
      <c r="B30" s="255"/>
      <c r="C30" s="128"/>
      <c r="D30" s="128"/>
    </row>
    <row r="31" spans="2:6" s="129" customFormat="1" x14ac:dyDescent="0.25">
      <c r="B31" s="144" t="s">
        <v>114</v>
      </c>
      <c r="C31" s="145" t="s">
        <v>60</v>
      </c>
      <c r="D31" s="146" t="s">
        <v>592</v>
      </c>
      <c r="E31" s="128"/>
      <c r="F31" s="128"/>
    </row>
    <row r="32" spans="2:6" s="129" customFormat="1" ht="27.75" customHeight="1" x14ac:dyDescent="0.25">
      <c r="B32" s="253" t="s">
        <v>117</v>
      </c>
      <c r="C32" s="148" t="s">
        <v>119</v>
      </c>
      <c r="D32" s="254" t="s">
        <v>120</v>
      </c>
    </row>
    <row r="33" spans="2:4" s="129" customFormat="1" x14ac:dyDescent="0.25">
      <c r="B33" s="132" t="s">
        <v>118</v>
      </c>
      <c r="C33" s="131"/>
      <c r="D33" s="147"/>
    </row>
    <row r="34" spans="2:4" s="129" customFormat="1" x14ac:dyDescent="0.25">
      <c r="B34" s="132" t="s">
        <v>154</v>
      </c>
      <c r="C34" s="131"/>
      <c r="D34" s="147"/>
    </row>
    <row r="35" spans="2:4" s="129" customFormat="1" x14ac:dyDescent="0.25">
      <c r="B35" s="134" t="s">
        <v>155</v>
      </c>
      <c r="C35" s="127"/>
      <c r="D35" s="133"/>
    </row>
    <row r="36" spans="2:4" s="129" customFormat="1" x14ac:dyDescent="0.25">
      <c r="B36" s="134" t="s">
        <v>323</v>
      </c>
      <c r="C36" s="127"/>
      <c r="D36" s="133"/>
    </row>
    <row r="37" spans="2:4" s="129" customFormat="1" x14ac:dyDescent="0.25">
      <c r="B37" s="134" t="s">
        <v>324</v>
      </c>
      <c r="C37" s="127"/>
      <c r="D37" s="133"/>
    </row>
    <row r="38" spans="2:4" s="129" customFormat="1" x14ac:dyDescent="0.25">
      <c r="B38" s="134" t="s">
        <v>115</v>
      </c>
      <c r="C38" s="127"/>
      <c r="D38" s="133"/>
    </row>
    <row r="39" spans="2:4" s="129" customFormat="1" x14ac:dyDescent="0.25">
      <c r="B39" s="134" t="s">
        <v>116</v>
      </c>
      <c r="C39" s="127"/>
      <c r="D39" s="133"/>
    </row>
    <row r="40" spans="2:4" s="129" customFormat="1" ht="15.75" thickBot="1" x14ac:dyDescent="0.3">
      <c r="B40" s="135" t="s">
        <v>191</v>
      </c>
      <c r="C40" s="136"/>
      <c r="D40" s="137"/>
    </row>
  </sheetData>
  <mergeCells count="1">
    <mergeCell ref="B11:D1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BBD0A9-E698-4922-9076-0F33DD2B5EA5}">
  <sheetPr>
    <tabColor rgb="FFFFFF00"/>
  </sheetPr>
  <dimension ref="A1:E61"/>
  <sheetViews>
    <sheetView topLeftCell="A4" workbookViewId="0">
      <selection activeCell="C9" sqref="C9"/>
    </sheetView>
    <sheetView workbookViewId="1"/>
  </sheetViews>
  <sheetFormatPr defaultRowHeight="15" x14ac:dyDescent="0.25"/>
  <cols>
    <col min="1" max="1" width="11.7109375" style="63" customWidth="1"/>
    <col min="2" max="2" width="44.42578125" style="63" customWidth="1"/>
    <col min="3" max="3" width="30.5703125" style="63" bestFit="1" customWidth="1"/>
    <col min="4" max="4" width="30.5703125" style="63" customWidth="1"/>
    <col min="5" max="5" width="40" style="63" customWidth="1"/>
    <col min="6" max="16384" width="9.140625" style="63"/>
  </cols>
  <sheetData>
    <row r="1" spans="1:5" ht="15.75" thickBot="1" x14ac:dyDescent="0.3">
      <c r="B1" s="126" t="s">
        <v>626</v>
      </c>
      <c r="C1" s="493" t="str">
        <f>'FFP CLINs X007-X021'!B1</f>
        <v>NAME</v>
      </c>
    </row>
    <row r="2" spans="1:5" ht="15.75" thickBot="1" x14ac:dyDescent="0.3">
      <c r="A2" s="126"/>
    </row>
    <row r="3" spans="1:5" ht="45.75" customHeight="1" thickBot="1" x14ac:dyDescent="0.3">
      <c r="B3" s="138" t="s">
        <v>454</v>
      </c>
      <c r="C3" s="139"/>
      <c r="D3" s="139"/>
    </row>
    <row r="4" spans="1:5" x14ac:dyDescent="0.25">
      <c r="A4" s="126"/>
    </row>
    <row r="5" spans="1:5" x14ac:dyDescent="0.25">
      <c r="A5" s="126"/>
      <c r="B5" s="420" t="s">
        <v>404</v>
      </c>
    </row>
    <row r="6" spans="1:5" x14ac:dyDescent="0.25">
      <c r="A6" s="126"/>
      <c r="B6" s="258" t="s">
        <v>451</v>
      </c>
    </row>
    <row r="7" spans="1:5" s="307" customFormat="1" x14ac:dyDescent="0.25">
      <c r="A7" s="421"/>
      <c r="B7" s="397" t="s">
        <v>424</v>
      </c>
    </row>
    <row r="8" spans="1:5" x14ac:dyDescent="0.25">
      <c r="B8" s="397" t="s">
        <v>422</v>
      </c>
    </row>
    <row r="9" spans="1:5" x14ac:dyDescent="0.25">
      <c r="B9" s="76"/>
    </row>
    <row r="10" spans="1:5" ht="30" x14ac:dyDescent="0.25">
      <c r="A10" s="419" t="s">
        <v>452</v>
      </c>
      <c r="B10" s="297" t="s">
        <v>256</v>
      </c>
      <c r="C10" s="297" t="s">
        <v>110</v>
      </c>
      <c r="D10" s="297" t="s">
        <v>245</v>
      </c>
      <c r="E10" s="297" t="s">
        <v>418</v>
      </c>
    </row>
    <row r="11" spans="1:5" x14ac:dyDescent="0.25">
      <c r="A11" s="588" t="s">
        <v>420</v>
      </c>
      <c r="B11" s="589"/>
      <c r="C11" s="589"/>
      <c r="D11" s="589"/>
      <c r="E11" s="590"/>
    </row>
    <row r="12" spans="1:5" x14ac:dyDescent="0.25">
      <c r="A12" s="422">
        <v>1.01</v>
      </c>
      <c r="B12" s="422" t="s">
        <v>246</v>
      </c>
      <c r="C12" s="422"/>
      <c r="D12" s="422"/>
      <c r="E12" s="422"/>
    </row>
    <row r="13" spans="1:5" x14ac:dyDescent="0.25">
      <c r="A13" s="422" t="s">
        <v>175</v>
      </c>
      <c r="B13" s="422" t="s">
        <v>247</v>
      </c>
      <c r="C13" s="422" t="s">
        <v>248</v>
      </c>
      <c r="D13" s="422" t="s">
        <v>419</v>
      </c>
      <c r="E13" s="422" t="s">
        <v>249</v>
      </c>
    </row>
    <row r="14" spans="1:5" x14ac:dyDescent="0.25">
      <c r="A14" s="422"/>
      <c r="B14" s="422"/>
      <c r="C14" s="422" t="s">
        <v>250</v>
      </c>
      <c r="D14" s="422"/>
      <c r="E14" s="422" t="s">
        <v>251</v>
      </c>
    </row>
    <row r="15" spans="1:5" x14ac:dyDescent="0.25">
      <c r="A15" s="422"/>
      <c r="B15" s="422"/>
      <c r="C15" s="422" t="s">
        <v>252</v>
      </c>
      <c r="D15" s="422"/>
      <c r="E15" s="422" t="s">
        <v>421</v>
      </c>
    </row>
    <row r="16" spans="1:5" x14ac:dyDescent="0.25">
      <c r="A16" s="127"/>
      <c r="B16" s="394"/>
      <c r="C16" s="127" t="s">
        <v>5</v>
      </c>
      <c r="D16" s="127"/>
      <c r="E16" s="127" t="s">
        <v>5</v>
      </c>
    </row>
    <row r="17" spans="1:5" x14ac:dyDescent="0.25">
      <c r="A17" s="127"/>
      <c r="B17" s="394"/>
      <c r="C17" s="127"/>
      <c r="D17" s="127"/>
      <c r="E17" s="127"/>
    </row>
    <row r="18" spans="1:5" x14ac:dyDescent="0.25">
      <c r="A18" s="127"/>
      <c r="B18" s="394"/>
      <c r="C18" s="127"/>
      <c r="D18" s="127"/>
      <c r="E18" s="127"/>
    </row>
    <row r="19" spans="1:5" x14ac:dyDescent="0.25">
      <c r="A19" s="127"/>
      <c r="B19" s="394"/>
      <c r="C19" s="127"/>
      <c r="D19" s="127"/>
      <c r="E19" s="127"/>
    </row>
    <row r="20" spans="1:5" x14ac:dyDescent="0.25">
      <c r="A20" s="127"/>
      <c r="B20" s="394"/>
      <c r="C20" s="127"/>
      <c r="D20" s="127"/>
      <c r="E20" s="127"/>
    </row>
    <row r="21" spans="1:5" x14ac:dyDescent="0.25">
      <c r="A21" s="127"/>
      <c r="B21" s="394"/>
      <c r="C21" s="127"/>
      <c r="D21" s="127"/>
      <c r="E21" s="127"/>
    </row>
    <row r="22" spans="1:5" x14ac:dyDescent="0.25">
      <c r="A22" s="127"/>
      <c r="B22" s="394"/>
      <c r="C22" s="127"/>
      <c r="D22" s="127"/>
      <c r="E22" s="127"/>
    </row>
    <row r="23" spans="1:5" x14ac:dyDescent="0.25">
      <c r="A23" s="127"/>
      <c r="B23" s="394"/>
      <c r="C23" s="127"/>
      <c r="D23" s="127"/>
      <c r="E23" s="127"/>
    </row>
    <row r="24" spans="1:5" x14ac:dyDescent="0.25">
      <c r="A24" s="127"/>
      <c r="B24" s="394"/>
      <c r="C24" s="127"/>
      <c r="D24" s="127"/>
      <c r="E24" s="127"/>
    </row>
    <row r="25" spans="1:5" x14ac:dyDescent="0.25">
      <c r="A25" s="127"/>
      <c r="B25" s="394"/>
      <c r="C25" s="127"/>
      <c r="D25" s="127"/>
      <c r="E25" s="127"/>
    </row>
    <row r="26" spans="1:5" x14ac:dyDescent="0.25">
      <c r="A26" s="127"/>
      <c r="B26" s="394"/>
      <c r="C26" s="127"/>
      <c r="D26" s="127"/>
      <c r="E26" s="127"/>
    </row>
    <row r="27" spans="1:5" x14ac:dyDescent="0.25">
      <c r="A27" s="127"/>
      <c r="B27" s="394"/>
      <c r="C27" s="127"/>
      <c r="D27" s="127"/>
      <c r="E27" s="127"/>
    </row>
    <row r="28" spans="1:5" x14ac:dyDescent="0.25">
      <c r="A28" s="127"/>
      <c r="B28" s="394"/>
      <c r="C28" s="127"/>
      <c r="D28" s="127"/>
      <c r="E28" s="127"/>
    </row>
    <row r="29" spans="1:5" x14ac:dyDescent="0.25">
      <c r="A29" s="127"/>
      <c r="B29" s="394"/>
      <c r="C29" s="127"/>
      <c r="D29" s="127"/>
      <c r="E29" s="127"/>
    </row>
    <row r="30" spans="1:5" x14ac:dyDescent="0.25">
      <c r="A30" s="127"/>
      <c r="B30" s="394"/>
      <c r="C30" s="127"/>
      <c r="D30" s="127"/>
      <c r="E30" s="127"/>
    </row>
    <row r="31" spans="1:5" x14ac:dyDescent="0.25">
      <c r="A31" s="127"/>
      <c r="B31" s="127"/>
      <c r="C31" s="127"/>
      <c r="D31" s="127"/>
      <c r="E31" s="127"/>
    </row>
    <row r="32" spans="1:5" x14ac:dyDescent="0.25">
      <c r="A32" s="127"/>
      <c r="B32" s="127"/>
      <c r="C32" s="127"/>
      <c r="D32" s="127"/>
      <c r="E32" s="127"/>
    </row>
    <row r="33" spans="1:5" x14ac:dyDescent="0.25">
      <c r="A33" s="127"/>
      <c r="B33" s="127"/>
      <c r="C33" s="127"/>
      <c r="D33" s="127"/>
      <c r="E33" s="127"/>
    </row>
    <row r="34" spans="1:5" x14ac:dyDescent="0.25">
      <c r="A34" s="127"/>
      <c r="B34" s="127"/>
      <c r="C34" s="127"/>
      <c r="D34" s="127"/>
      <c r="E34" s="127"/>
    </row>
    <row r="35" spans="1:5" x14ac:dyDescent="0.25">
      <c r="A35" s="127"/>
      <c r="B35" s="127"/>
      <c r="C35" s="127"/>
      <c r="D35" s="127"/>
      <c r="E35" s="127"/>
    </row>
    <row r="36" spans="1:5" x14ac:dyDescent="0.25">
      <c r="A36" s="127"/>
      <c r="B36" s="127"/>
      <c r="C36" s="127"/>
      <c r="D36" s="127"/>
      <c r="E36" s="127"/>
    </row>
    <row r="37" spans="1:5" x14ac:dyDescent="0.25">
      <c r="A37" s="127"/>
      <c r="B37" s="127"/>
      <c r="C37" s="127"/>
      <c r="D37" s="127"/>
      <c r="E37" s="127"/>
    </row>
    <row r="38" spans="1:5" x14ac:dyDescent="0.25">
      <c r="A38" s="127"/>
      <c r="B38" s="127"/>
      <c r="C38" s="127"/>
      <c r="D38" s="127"/>
      <c r="E38" s="127"/>
    </row>
    <row r="39" spans="1:5" x14ac:dyDescent="0.25">
      <c r="A39" s="127"/>
      <c r="B39" s="127"/>
      <c r="C39" s="127"/>
      <c r="D39" s="127"/>
      <c r="E39" s="127"/>
    </row>
    <row r="40" spans="1:5" x14ac:dyDescent="0.25">
      <c r="A40" s="127"/>
      <c r="B40" s="127"/>
      <c r="C40" s="127"/>
      <c r="D40" s="127"/>
      <c r="E40" s="127"/>
    </row>
    <row r="41" spans="1:5" x14ac:dyDescent="0.25">
      <c r="A41" s="127"/>
      <c r="B41" s="127"/>
      <c r="C41" s="127"/>
      <c r="D41" s="127"/>
      <c r="E41" s="127"/>
    </row>
    <row r="42" spans="1:5" x14ac:dyDescent="0.25">
      <c r="A42" s="127"/>
      <c r="B42" s="127"/>
      <c r="C42" s="127"/>
      <c r="D42" s="127"/>
      <c r="E42" s="127"/>
    </row>
    <row r="43" spans="1:5" x14ac:dyDescent="0.25">
      <c r="A43" s="127"/>
      <c r="B43" s="127"/>
      <c r="C43" s="127"/>
      <c r="D43" s="127"/>
      <c r="E43" s="127"/>
    </row>
    <row r="44" spans="1:5" x14ac:dyDescent="0.25">
      <c r="A44" s="127"/>
      <c r="B44" s="127"/>
      <c r="C44" s="127"/>
      <c r="D44" s="127"/>
      <c r="E44" s="127"/>
    </row>
    <row r="45" spans="1:5" x14ac:dyDescent="0.25">
      <c r="A45" s="127"/>
      <c r="B45" s="127"/>
      <c r="C45" s="127"/>
      <c r="D45" s="127"/>
      <c r="E45" s="127"/>
    </row>
    <row r="46" spans="1:5" x14ac:dyDescent="0.25">
      <c r="A46" s="127"/>
      <c r="B46" s="127"/>
      <c r="C46" s="127"/>
      <c r="D46" s="127"/>
      <c r="E46" s="127"/>
    </row>
    <row r="47" spans="1:5" x14ac:dyDescent="0.25">
      <c r="A47" s="127"/>
      <c r="B47" s="127"/>
      <c r="C47" s="127"/>
      <c r="D47" s="127"/>
      <c r="E47" s="127"/>
    </row>
    <row r="48" spans="1:5" x14ac:dyDescent="0.25">
      <c r="A48" s="127"/>
      <c r="B48" s="127"/>
      <c r="C48" s="127"/>
      <c r="D48" s="127"/>
      <c r="E48" s="127"/>
    </row>
    <row r="49" spans="1:5" x14ac:dyDescent="0.25">
      <c r="A49" s="127"/>
      <c r="B49" s="127"/>
      <c r="C49" s="127"/>
      <c r="D49" s="127"/>
      <c r="E49" s="127"/>
    </row>
    <row r="50" spans="1:5" x14ac:dyDescent="0.25">
      <c r="A50" s="127"/>
      <c r="B50" s="127"/>
      <c r="C50" s="127"/>
      <c r="D50" s="127"/>
      <c r="E50" s="127"/>
    </row>
    <row r="51" spans="1:5" x14ac:dyDescent="0.25">
      <c r="A51" s="127"/>
      <c r="B51" s="127"/>
      <c r="C51" s="127"/>
      <c r="D51" s="127"/>
      <c r="E51" s="127"/>
    </row>
    <row r="52" spans="1:5" x14ac:dyDescent="0.25">
      <c r="A52" s="127"/>
      <c r="B52" s="127"/>
      <c r="C52" s="127"/>
      <c r="D52" s="127"/>
      <c r="E52" s="127"/>
    </row>
    <row r="53" spans="1:5" x14ac:dyDescent="0.25">
      <c r="A53" s="127"/>
      <c r="B53" s="127"/>
      <c r="C53" s="127"/>
      <c r="D53" s="127"/>
      <c r="E53" s="127"/>
    </row>
    <row r="54" spans="1:5" x14ac:dyDescent="0.25">
      <c r="A54" s="127"/>
      <c r="B54" s="127"/>
      <c r="C54" s="127"/>
      <c r="D54" s="127"/>
      <c r="E54" s="127"/>
    </row>
    <row r="55" spans="1:5" x14ac:dyDescent="0.25">
      <c r="A55" s="127"/>
      <c r="B55" s="127"/>
      <c r="C55" s="127"/>
      <c r="D55" s="127"/>
      <c r="E55" s="127"/>
    </row>
    <row r="56" spans="1:5" x14ac:dyDescent="0.25">
      <c r="A56" s="127"/>
      <c r="B56" s="127"/>
      <c r="C56" s="127"/>
      <c r="D56" s="127"/>
      <c r="E56" s="127"/>
    </row>
    <row r="57" spans="1:5" x14ac:dyDescent="0.25">
      <c r="A57" s="127"/>
      <c r="B57" s="127"/>
      <c r="C57" s="127"/>
      <c r="D57" s="127"/>
      <c r="E57" s="127"/>
    </row>
    <row r="58" spans="1:5" x14ac:dyDescent="0.25">
      <c r="A58" s="127"/>
      <c r="B58" s="127"/>
      <c r="C58" s="127"/>
      <c r="D58" s="127"/>
      <c r="E58" s="127"/>
    </row>
    <row r="59" spans="1:5" x14ac:dyDescent="0.25">
      <c r="A59" s="127"/>
      <c r="B59" s="127"/>
      <c r="C59" s="127"/>
      <c r="D59" s="127"/>
      <c r="E59" s="127"/>
    </row>
    <row r="60" spans="1:5" x14ac:dyDescent="0.25">
      <c r="A60" s="127"/>
      <c r="B60" s="127"/>
      <c r="C60" s="127"/>
      <c r="D60" s="127"/>
      <c r="E60" s="127"/>
    </row>
    <row r="61" spans="1:5" x14ac:dyDescent="0.25">
      <c r="A61" s="127"/>
      <c r="B61" s="127"/>
      <c r="C61" s="127"/>
      <c r="D61" s="127"/>
      <c r="E61" s="127"/>
    </row>
  </sheetData>
  <mergeCells count="1">
    <mergeCell ref="A11:E1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8943CF-AF02-4577-8234-DAF52F3DC72D}">
  <sheetPr>
    <tabColor rgb="FFFFFF00"/>
  </sheetPr>
  <dimension ref="A1:R385"/>
  <sheetViews>
    <sheetView workbookViewId="0">
      <selection activeCell="B1" sqref="B1"/>
    </sheetView>
    <sheetView workbookViewId="1"/>
  </sheetViews>
  <sheetFormatPr defaultRowHeight="15" x14ac:dyDescent="0.25"/>
  <cols>
    <col min="1" max="1" width="4" style="63" customWidth="1"/>
    <col min="2" max="2" width="51.5703125" bestFit="1" customWidth="1"/>
    <col min="3" max="3" width="28.28515625" customWidth="1"/>
    <col min="4" max="4" width="12.85546875" bestFit="1" customWidth="1"/>
    <col min="5" max="5" width="12.42578125" bestFit="1" customWidth="1"/>
    <col min="6" max="6" width="18" bestFit="1" customWidth="1"/>
    <col min="7" max="7" width="1.7109375" customWidth="1"/>
    <col min="8" max="8" width="12.85546875" bestFit="1" customWidth="1"/>
    <col min="9" max="9" width="12.42578125" bestFit="1" customWidth="1"/>
    <col min="10" max="10" width="18" bestFit="1" customWidth="1"/>
    <col min="11" max="11" width="1.7109375" customWidth="1"/>
    <col min="12" max="12" width="12.85546875" bestFit="1" customWidth="1"/>
    <col min="13" max="13" width="12.42578125" bestFit="1" customWidth="1"/>
    <col min="14" max="14" width="18" bestFit="1" customWidth="1"/>
    <col min="15" max="15" width="1.7109375" style="63" customWidth="1"/>
    <col min="16" max="16" width="12.85546875" style="63" bestFit="1" customWidth="1"/>
    <col min="17" max="17" width="12.42578125" style="63" bestFit="1" customWidth="1"/>
    <col min="18" max="18" width="18" style="63" bestFit="1" customWidth="1"/>
  </cols>
  <sheetData>
    <row r="1" spans="2:18" s="63" customFormat="1" ht="15.75" thickBot="1" x14ac:dyDescent="0.3">
      <c r="B1" s="126" t="s">
        <v>626</v>
      </c>
      <c r="C1" s="493" t="str">
        <f>'FFP CLINs X007-X021'!B1</f>
        <v>NAME</v>
      </c>
    </row>
    <row r="2" spans="2:18" s="63" customFormat="1" x14ac:dyDescent="0.25">
      <c r="B2" s="126"/>
    </row>
    <row r="3" spans="2:18" s="63" customFormat="1" x14ac:dyDescent="0.25">
      <c r="B3" s="397" t="s">
        <v>404</v>
      </c>
    </row>
    <row r="4" spans="2:18" s="63" customFormat="1" x14ac:dyDescent="0.25">
      <c r="B4" s="258" t="s">
        <v>453</v>
      </c>
    </row>
    <row r="5" spans="2:18" s="307" customFormat="1" x14ac:dyDescent="0.25">
      <c r="B5" s="397" t="s">
        <v>598</v>
      </c>
    </row>
    <row r="6" spans="2:18" s="307" customFormat="1" x14ac:dyDescent="0.25">
      <c r="B6" s="397" t="s">
        <v>599</v>
      </c>
    </row>
    <row r="7" spans="2:18" s="63" customFormat="1" x14ac:dyDescent="0.25">
      <c r="B7" s="258" t="s">
        <v>423</v>
      </c>
    </row>
    <row r="8" spans="2:18" s="63" customFormat="1" ht="15.75" thickBot="1" x14ac:dyDescent="0.3"/>
    <row r="9" spans="2:18" s="63" customFormat="1" ht="18" customHeight="1" thickBot="1" x14ac:dyDescent="0.3">
      <c r="B9" s="597" t="s">
        <v>455</v>
      </c>
      <c r="C9" s="598"/>
      <c r="D9" s="594" t="s">
        <v>134</v>
      </c>
      <c r="E9" s="595"/>
      <c r="F9" s="596"/>
      <c r="G9" s="151"/>
      <c r="H9" s="594" t="s">
        <v>134</v>
      </c>
      <c r="I9" s="595"/>
      <c r="J9" s="596"/>
      <c r="K9" s="151"/>
      <c r="L9" s="594" t="s">
        <v>134</v>
      </c>
      <c r="M9" s="595"/>
      <c r="N9" s="596"/>
      <c r="O9" s="151"/>
      <c r="P9" s="594" t="s">
        <v>134</v>
      </c>
      <c r="Q9" s="595"/>
      <c r="R9" s="596"/>
    </row>
    <row r="10" spans="2:18" s="63" customFormat="1" ht="18" customHeight="1" thickBot="1" x14ac:dyDescent="0.3">
      <c r="B10" s="599"/>
      <c r="C10" s="600"/>
      <c r="D10" s="591" t="s">
        <v>291</v>
      </c>
      <c r="E10" s="592"/>
      <c r="F10" s="593"/>
      <c r="G10" s="152"/>
      <c r="H10" s="591" t="s">
        <v>305</v>
      </c>
      <c r="I10" s="592"/>
      <c r="J10" s="593"/>
      <c r="K10" s="152"/>
      <c r="L10" s="591" t="s">
        <v>292</v>
      </c>
      <c r="M10" s="592"/>
      <c r="N10" s="593"/>
      <c r="O10" s="152"/>
      <c r="P10" s="591" t="s">
        <v>293</v>
      </c>
      <c r="Q10" s="592"/>
      <c r="R10" s="593"/>
    </row>
    <row r="11" spans="2:18" s="186" customFormat="1" ht="16.5" thickBot="1" x14ac:dyDescent="0.3">
      <c r="B11" s="153" t="s">
        <v>110</v>
      </c>
      <c r="C11" s="153" t="s">
        <v>256</v>
      </c>
      <c r="D11" s="153" t="s">
        <v>91</v>
      </c>
      <c r="E11" s="154" t="s">
        <v>133</v>
      </c>
      <c r="F11" s="155" t="s">
        <v>139</v>
      </c>
      <c r="G11" s="156"/>
      <c r="H11" s="153" t="s">
        <v>91</v>
      </c>
      <c r="I11" s="154" t="s">
        <v>133</v>
      </c>
      <c r="J11" s="155" t="s">
        <v>139</v>
      </c>
      <c r="K11" s="156"/>
      <c r="L11" s="153" t="s">
        <v>91</v>
      </c>
      <c r="M11" s="154" t="s">
        <v>133</v>
      </c>
      <c r="N11" s="155" t="s">
        <v>139</v>
      </c>
      <c r="O11" s="156"/>
      <c r="P11" s="153" t="s">
        <v>91</v>
      </c>
      <c r="Q11" s="154" t="s">
        <v>133</v>
      </c>
      <c r="R11" s="485" t="s">
        <v>139</v>
      </c>
    </row>
    <row r="12" spans="2:18" s="186" customFormat="1" ht="132" customHeight="1" x14ac:dyDescent="0.2">
      <c r="B12" s="203" t="s">
        <v>601</v>
      </c>
      <c r="C12" s="203" t="s">
        <v>466</v>
      </c>
      <c r="D12" s="203" t="s">
        <v>565</v>
      </c>
      <c r="E12" s="203" t="s">
        <v>600</v>
      </c>
      <c r="F12" s="203"/>
      <c r="G12" s="156"/>
      <c r="H12" s="203" t="s">
        <v>565</v>
      </c>
      <c r="I12" s="203" t="s">
        <v>600</v>
      </c>
      <c r="J12" s="203"/>
      <c r="K12" s="156"/>
      <c r="L12" s="203" t="s">
        <v>565</v>
      </c>
      <c r="M12" s="203" t="s">
        <v>600</v>
      </c>
      <c r="N12" s="203"/>
      <c r="O12" s="156"/>
      <c r="P12" s="203" t="s">
        <v>565</v>
      </c>
      <c r="Q12" s="203" t="s">
        <v>600</v>
      </c>
      <c r="R12" s="489"/>
    </row>
    <row r="13" spans="2:18" s="186" customFormat="1" ht="15.75" x14ac:dyDescent="0.25">
      <c r="B13" s="252" t="s">
        <v>178</v>
      </c>
      <c r="C13" s="284" t="s">
        <v>175</v>
      </c>
      <c r="D13" s="157">
        <v>0</v>
      </c>
      <c r="E13" s="462">
        <v>0</v>
      </c>
      <c r="F13" s="158">
        <f>ROUND(D13*E13,0)</f>
        <v>0</v>
      </c>
      <c r="G13" s="159"/>
      <c r="H13" s="157">
        <v>0</v>
      </c>
      <c r="I13" s="462">
        <v>0</v>
      </c>
      <c r="J13" s="158">
        <f>ROUND(H13*I13,0)</f>
        <v>0</v>
      </c>
      <c r="K13" s="159"/>
      <c r="L13" s="157">
        <v>0</v>
      </c>
      <c r="M13" s="462">
        <v>0</v>
      </c>
      <c r="N13" s="158">
        <f>ROUND(L13*M13,0)</f>
        <v>0</v>
      </c>
      <c r="O13" s="159"/>
      <c r="P13" s="487">
        <v>0</v>
      </c>
      <c r="Q13" s="488">
        <v>0</v>
      </c>
      <c r="R13" s="486">
        <f>ROUND(P13*Q13,0)</f>
        <v>0</v>
      </c>
    </row>
    <row r="14" spans="2:18" s="186" customFormat="1" ht="15.75" x14ac:dyDescent="0.25">
      <c r="B14" s="252" t="s">
        <v>178</v>
      </c>
      <c r="C14" s="275" t="s">
        <v>5</v>
      </c>
      <c r="D14" s="157">
        <v>0</v>
      </c>
      <c r="E14" s="462">
        <v>0</v>
      </c>
      <c r="F14" s="158">
        <f t="shared" ref="F14:F27" si="0">ROUND(D14*E14,0)</f>
        <v>0</v>
      </c>
      <c r="G14" s="159"/>
      <c r="H14" s="157">
        <v>0</v>
      </c>
      <c r="I14" s="462">
        <v>0</v>
      </c>
      <c r="J14" s="158">
        <f t="shared" ref="J14:J27" si="1">ROUND(H14*I14,0)</f>
        <v>0</v>
      </c>
      <c r="K14" s="159"/>
      <c r="L14" s="157">
        <v>0</v>
      </c>
      <c r="M14" s="462">
        <v>0</v>
      </c>
      <c r="N14" s="158">
        <f t="shared" ref="N14:N27" si="2">ROUND(L14*M14,0)</f>
        <v>0</v>
      </c>
      <c r="O14" s="159"/>
      <c r="P14" s="157">
        <v>0</v>
      </c>
      <c r="Q14" s="462">
        <v>0</v>
      </c>
      <c r="R14" s="158">
        <f t="shared" ref="R14:R27" si="3">ROUND(P14*Q14,0)</f>
        <v>0</v>
      </c>
    </row>
    <row r="15" spans="2:18" s="186" customFormat="1" ht="15.75" x14ac:dyDescent="0.25">
      <c r="B15" s="252" t="s">
        <v>178</v>
      </c>
      <c r="C15" s="275"/>
      <c r="D15" s="157">
        <v>0</v>
      </c>
      <c r="E15" s="462">
        <v>0</v>
      </c>
      <c r="F15" s="158">
        <f t="shared" si="0"/>
        <v>0</v>
      </c>
      <c r="G15" s="159"/>
      <c r="H15" s="157">
        <v>0</v>
      </c>
      <c r="I15" s="462">
        <v>0</v>
      </c>
      <c r="J15" s="158">
        <f t="shared" si="1"/>
        <v>0</v>
      </c>
      <c r="K15" s="159"/>
      <c r="L15" s="157">
        <v>0</v>
      </c>
      <c r="M15" s="462">
        <v>0</v>
      </c>
      <c r="N15" s="158">
        <f t="shared" si="2"/>
        <v>0</v>
      </c>
      <c r="O15" s="159"/>
      <c r="P15" s="157">
        <v>0</v>
      </c>
      <c r="Q15" s="462">
        <v>0</v>
      </c>
      <c r="R15" s="158">
        <f t="shared" si="3"/>
        <v>0</v>
      </c>
    </row>
    <row r="16" spans="2:18" s="186" customFormat="1" ht="15.75" x14ac:dyDescent="0.25">
      <c r="B16" s="252" t="s">
        <v>178</v>
      </c>
      <c r="C16" s="275"/>
      <c r="D16" s="157">
        <v>0</v>
      </c>
      <c r="E16" s="462">
        <v>0</v>
      </c>
      <c r="F16" s="158">
        <f t="shared" si="0"/>
        <v>0</v>
      </c>
      <c r="G16" s="159"/>
      <c r="H16" s="157">
        <v>0</v>
      </c>
      <c r="I16" s="462">
        <v>0</v>
      </c>
      <c r="J16" s="158">
        <f t="shared" si="1"/>
        <v>0</v>
      </c>
      <c r="K16" s="159"/>
      <c r="L16" s="157">
        <v>0</v>
      </c>
      <c r="M16" s="462">
        <v>0</v>
      </c>
      <c r="N16" s="158">
        <f t="shared" si="2"/>
        <v>0</v>
      </c>
      <c r="O16" s="159"/>
      <c r="P16" s="157">
        <v>0</v>
      </c>
      <c r="Q16" s="462">
        <v>0</v>
      </c>
      <c r="R16" s="158">
        <f t="shared" si="3"/>
        <v>0</v>
      </c>
    </row>
    <row r="17" spans="2:18" s="186" customFormat="1" ht="15.75" x14ac:dyDescent="0.25">
      <c r="B17" s="252" t="s">
        <v>178</v>
      </c>
      <c r="C17" s="275"/>
      <c r="D17" s="157">
        <v>0</v>
      </c>
      <c r="E17" s="462">
        <v>0</v>
      </c>
      <c r="F17" s="158">
        <f t="shared" si="0"/>
        <v>0</v>
      </c>
      <c r="G17" s="159"/>
      <c r="H17" s="157">
        <v>0</v>
      </c>
      <c r="I17" s="462">
        <v>0</v>
      </c>
      <c r="J17" s="158">
        <f t="shared" si="1"/>
        <v>0</v>
      </c>
      <c r="K17" s="159"/>
      <c r="L17" s="157">
        <v>0</v>
      </c>
      <c r="M17" s="462">
        <v>0</v>
      </c>
      <c r="N17" s="158">
        <f t="shared" si="2"/>
        <v>0</v>
      </c>
      <c r="O17" s="159"/>
      <c r="P17" s="157">
        <v>0</v>
      </c>
      <c r="Q17" s="462">
        <v>0</v>
      </c>
      <c r="R17" s="158">
        <f t="shared" si="3"/>
        <v>0</v>
      </c>
    </row>
    <row r="18" spans="2:18" s="186" customFormat="1" ht="15.75" x14ac:dyDescent="0.25">
      <c r="B18" s="252" t="s">
        <v>178</v>
      </c>
      <c r="C18" s="284" t="s">
        <v>176</v>
      </c>
      <c r="D18" s="157">
        <v>0</v>
      </c>
      <c r="E18" s="462">
        <v>0</v>
      </c>
      <c r="F18" s="158">
        <f t="shared" si="0"/>
        <v>0</v>
      </c>
      <c r="G18" s="159"/>
      <c r="H18" s="157">
        <v>0</v>
      </c>
      <c r="I18" s="462">
        <v>0</v>
      </c>
      <c r="J18" s="158">
        <f t="shared" si="1"/>
        <v>0</v>
      </c>
      <c r="K18" s="159"/>
      <c r="L18" s="157">
        <v>0</v>
      </c>
      <c r="M18" s="462">
        <v>0</v>
      </c>
      <c r="N18" s="158">
        <f t="shared" si="2"/>
        <v>0</v>
      </c>
      <c r="O18" s="159"/>
      <c r="P18" s="157">
        <v>0</v>
      </c>
      <c r="Q18" s="462">
        <v>0</v>
      </c>
      <c r="R18" s="158">
        <f t="shared" si="3"/>
        <v>0</v>
      </c>
    </row>
    <row r="19" spans="2:18" s="186" customFormat="1" ht="15.75" x14ac:dyDescent="0.25">
      <c r="B19" s="252" t="s">
        <v>178</v>
      </c>
      <c r="C19" s="275"/>
      <c r="D19" s="157">
        <v>0</v>
      </c>
      <c r="E19" s="462">
        <v>0</v>
      </c>
      <c r="F19" s="158">
        <f t="shared" si="0"/>
        <v>0</v>
      </c>
      <c r="G19" s="159"/>
      <c r="H19" s="157">
        <v>0</v>
      </c>
      <c r="I19" s="462">
        <v>0</v>
      </c>
      <c r="J19" s="158">
        <f t="shared" si="1"/>
        <v>0</v>
      </c>
      <c r="K19" s="159"/>
      <c r="L19" s="157">
        <v>0</v>
      </c>
      <c r="M19" s="462">
        <v>0</v>
      </c>
      <c r="N19" s="158">
        <f t="shared" si="2"/>
        <v>0</v>
      </c>
      <c r="O19" s="159"/>
      <c r="P19" s="157">
        <v>0</v>
      </c>
      <c r="Q19" s="462">
        <v>0</v>
      </c>
      <c r="R19" s="158">
        <f t="shared" si="3"/>
        <v>0</v>
      </c>
    </row>
    <row r="20" spans="2:18" s="186" customFormat="1" ht="15.75" x14ac:dyDescent="0.25">
      <c r="B20" s="252" t="s">
        <v>178</v>
      </c>
      <c r="C20" s="275"/>
      <c r="D20" s="157">
        <v>0</v>
      </c>
      <c r="E20" s="462">
        <v>0</v>
      </c>
      <c r="F20" s="158">
        <f t="shared" si="0"/>
        <v>0</v>
      </c>
      <c r="G20" s="159"/>
      <c r="H20" s="157">
        <v>0</v>
      </c>
      <c r="I20" s="462">
        <v>0</v>
      </c>
      <c r="J20" s="158">
        <f t="shared" si="1"/>
        <v>0</v>
      </c>
      <c r="K20" s="159"/>
      <c r="L20" s="157">
        <v>0</v>
      </c>
      <c r="M20" s="462">
        <v>0</v>
      </c>
      <c r="N20" s="158">
        <f t="shared" si="2"/>
        <v>0</v>
      </c>
      <c r="O20" s="159"/>
      <c r="P20" s="157">
        <v>0</v>
      </c>
      <c r="Q20" s="462">
        <v>0</v>
      </c>
      <c r="R20" s="158">
        <f t="shared" si="3"/>
        <v>0</v>
      </c>
    </row>
    <row r="21" spans="2:18" s="186" customFormat="1" ht="15.75" x14ac:dyDescent="0.25">
      <c r="B21" s="252" t="s">
        <v>178</v>
      </c>
      <c r="C21" s="275"/>
      <c r="D21" s="157">
        <v>0</v>
      </c>
      <c r="E21" s="462">
        <v>0</v>
      </c>
      <c r="F21" s="158">
        <f t="shared" si="0"/>
        <v>0</v>
      </c>
      <c r="G21" s="159"/>
      <c r="H21" s="157">
        <v>0</v>
      </c>
      <c r="I21" s="462">
        <v>0</v>
      </c>
      <c r="J21" s="158">
        <f t="shared" si="1"/>
        <v>0</v>
      </c>
      <c r="K21" s="159"/>
      <c r="L21" s="157">
        <v>0</v>
      </c>
      <c r="M21" s="462">
        <v>0</v>
      </c>
      <c r="N21" s="158">
        <f t="shared" si="2"/>
        <v>0</v>
      </c>
      <c r="O21" s="159"/>
      <c r="P21" s="157">
        <v>0</v>
      </c>
      <c r="Q21" s="462">
        <v>0</v>
      </c>
      <c r="R21" s="158">
        <f t="shared" si="3"/>
        <v>0</v>
      </c>
    </row>
    <row r="22" spans="2:18" s="186" customFormat="1" ht="15.75" x14ac:dyDescent="0.25">
      <c r="B22" s="252" t="s">
        <v>178</v>
      </c>
      <c r="C22" s="275"/>
      <c r="D22" s="157">
        <v>0</v>
      </c>
      <c r="E22" s="462">
        <v>0</v>
      </c>
      <c r="F22" s="158">
        <f t="shared" si="0"/>
        <v>0</v>
      </c>
      <c r="G22" s="159"/>
      <c r="H22" s="157">
        <v>0</v>
      </c>
      <c r="I22" s="462">
        <v>0</v>
      </c>
      <c r="J22" s="158">
        <f t="shared" si="1"/>
        <v>0</v>
      </c>
      <c r="K22" s="159"/>
      <c r="L22" s="157">
        <v>0</v>
      </c>
      <c r="M22" s="462">
        <v>0</v>
      </c>
      <c r="N22" s="158">
        <f t="shared" si="2"/>
        <v>0</v>
      </c>
      <c r="O22" s="159"/>
      <c r="P22" s="157">
        <v>0</v>
      </c>
      <c r="Q22" s="462">
        <v>0</v>
      </c>
      <c r="R22" s="158">
        <f t="shared" si="3"/>
        <v>0</v>
      </c>
    </row>
    <row r="23" spans="2:18" s="186" customFormat="1" ht="14.25" customHeight="1" x14ac:dyDescent="0.25">
      <c r="B23" s="252" t="s">
        <v>178</v>
      </c>
      <c r="C23" s="284" t="s">
        <v>177</v>
      </c>
      <c r="D23" s="157">
        <v>0</v>
      </c>
      <c r="E23" s="462">
        <v>0</v>
      </c>
      <c r="F23" s="158">
        <f t="shared" si="0"/>
        <v>0</v>
      </c>
      <c r="G23" s="159"/>
      <c r="H23" s="157">
        <v>0</v>
      </c>
      <c r="I23" s="462">
        <v>0</v>
      </c>
      <c r="J23" s="158">
        <f t="shared" si="1"/>
        <v>0</v>
      </c>
      <c r="K23" s="159"/>
      <c r="L23" s="157">
        <v>0</v>
      </c>
      <c r="M23" s="462">
        <v>0</v>
      </c>
      <c r="N23" s="158">
        <f t="shared" si="2"/>
        <v>0</v>
      </c>
      <c r="O23" s="159"/>
      <c r="P23" s="157">
        <v>0</v>
      </c>
      <c r="Q23" s="462">
        <v>0</v>
      </c>
      <c r="R23" s="158">
        <f t="shared" si="3"/>
        <v>0</v>
      </c>
    </row>
    <row r="24" spans="2:18" s="186" customFormat="1" ht="15.75" x14ac:dyDescent="0.25">
      <c r="B24" s="252" t="s">
        <v>178</v>
      </c>
      <c r="C24" s="275"/>
      <c r="D24" s="157">
        <v>0</v>
      </c>
      <c r="E24" s="462">
        <v>0</v>
      </c>
      <c r="F24" s="158">
        <f t="shared" si="0"/>
        <v>0</v>
      </c>
      <c r="G24" s="159"/>
      <c r="H24" s="157">
        <v>0</v>
      </c>
      <c r="I24" s="462">
        <v>0</v>
      </c>
      <c r="J24" s="158">
        <f t="shared" si="1"/>
        <v>0</v>
      </c>
      <c r="K24" s="159"/>
      <c r="L24" s="157">
        <v>0</v>
      </c>
      <c r="M24" s="462">
        <v>0</v>
      </c>
      <c r="N24" s="158">
        <f t="shared" si="2"/>
        <v>0</v>
      </c>
      <c r="O24" s="159"/>
      <c r="P24" s="157">
        <v>0</v>
      </c>
      <c r="Q24" s="462">
        <v>0</v>
      </c>
      <c r="R24" s="158">
        <f t="shared" si="3"/>
        <v>0</v>
      </c>
    </row>
    <row r="25" spans="2:18" s="186" customFormat="1" ht="15" customHeight="1" x14ac:dyDescent="0.25">
      <c r="B25" s="252" t="s">
        <v>178</v>
      </c>
      <c r="C25" s="275"/>
      <c r="D25" s="157">
        <v>0</v>
      </c>
      <c r="E25" s="462">
        <v>0</v>
      </c>
      <c r="F25" s="158">
        <f t="shared" si="0"/>
        <v>0</v>
      </c>
      <c r="G25" s="159"/>
      <c r="H25" s="157">
        <v>0</v>
      </c>
      <c r="I25" s="462">
        <v>0</v>
      </c>
      <c r="J25" s="158">
        <f t="shared" si="1"/>
        <v>0</v>
      </c>
      <c r="K25" s="159"/>
      <c r="L25" s="157">
        <v>0</v>
      </c>
      <c r="M25" s="462">
        <v>0</v>
      </c>
      <c r="N25" s="158">
        <f t="shared" si="2"/>
        <v>0</v>
      </c>
      <c r="O25" s="159"/>
      <c r="P25" s="157">
        <v>0</v>
      </c>
      <c r="Q25" s="462">
        <v>0</v>
      </c>
      <c r="R25" s="158">
        <f t="shared" si="3"/>
        <v>0</v>
      </c>
    </row>
    <row r="26" spans="2:18" s="186" customFormat="1" ht="15.75" x14ac:dyDescent="0.25">
      <c r="B26" s="252" t="s">
        <v>178</v>
      </c>
      <c r="C26" s="275"/>
      <c r="D26" s="157">
        <v>0</v>
      </c>
      <c r="E26" s="462">
        <v>0</v>
      </c>
      <c r="F26" s="158">
        <f t="shared" si="0"/>
        <v>0</v>
      </c>
      <c r="G26" s="159"/>
      <c r="H26" s="157">
        <v>0</v>
      </c>
      <c r="I26" s="462">
        <v>0</v>
      </c>
      <c r="J26" s="158">
        <f t="shared" si="1"/>
        <v>0</v>
      </c>
      <c r="K26" s="159"/>
      <c r="L26" s="157">
        <v>0</v>
      </c>
      <c r="M26" s="462">
        <v>0</v>
      </c>
      <c r="N26" s="158">
        <f t="shared" si="2"/>
        <v>0</v>
      </c>
      <c r="O26" s="159"/>
      <c r="P26" s="157">
        <v>0</v>
      </c>
      <c r="Q26" s="462">
        <v>0</v>
      </c>
      <c r="R26" s="158">
        <f t="shared" si="3"/>
        <v>0</v>
      </c>
    </row>
    <row r="27" spans="2:18" s="186" customFormat="1" ht="16.5" thickBot="1" x14ac:dyDescent="0.3">
      <c r="B27" s="294" t="s">
        <v>178</v>
      </c>
      <c r="C27" s="295"/>
      <c r="D27" s="157">
        <v>0</v>
      </c>
      <c r="E27" s="462">
        <v>0</v>
      </c>
      <c r="F27" s="158">
        <f t="shared" si="0"/>
        <v>0</v>
      </c>
      <c r="G27" s="159"/>
      <c r="H27" s="157">
        <v>0</v>
      </c>
      <c r="I27" s="462">
        <v>0</v>
      </c>
      <c r="J27" s="158">
        <f t="shared" si="1"/>
        <v>0</v>
      </c>
      <c r="K27" s="159"/>
      <c r="L27" s="157">
        <v>0</v>
      </c>
      <c r="M27" s="462">
        <v>0</v>
      </c>
      <c r="N27" s="158">
        <f t="shared" si="2"/>
        <v>0</v>
      </c>
      <c r="O27" s="159"/>
      <c r="P27" s="157">
        <v>0</v>
      </c>
      <c r="Q27" s="462">
        <v>0</v>
      </c>
      <c r="R27" s="158">
        <f t="shared" si="3"/>
        <v>0</v>
      </c>
    </row>
    <row r="28" spans="2:18" s="186" customFormat="1" ht="16.5" thickBot="1" x14ac:dyDescent="0.25">
      <c r="B28" s="298" t="s">
        <v>151</v>
      </c>
      <c r="C28" s="296"/>
      <c r="D28" s="257">
        <f>SUM(D13:D27)</f>
        <v>0</v>
      </c>
      <c r="E28" s="205"/>
      <c r="F28" s="164">
        <f>ROUND(SUM(F13:F27),0)</f>
        <v>0</v>
      </c>
      <c r="G28" s="165"/>
      <c r="H28" s="257">
        <f>SUM(H13:H27)</f>
        <v>0</v>
      </c>
      <c r="I28" s="205" t="s">
        <v>5</v>
      </c>
      <c r="J28" s="164">
        <f>ROUND(SUM(J13:J27),0)</f>
        <v>0</v>
      </c>
      <c r="K28" s="165"/>
      <c r="L28" s="257">
        <f>SUM(L13:L27)</f>
        <v>0</v>
      </c>
      <c r="M28" s="205"/>
      <c r="N28" s="164">
        <f>ROUND(SUM(N13:N27),0)</f>
        <v>0</v>
      </c>
      <c r="O28" s="165"/>
      <c r="P28" s="257">
        <f>SUM(P13:P27)</f>
        <v>0</v>
      </c>
      <c r="Q28" s="205"/>
      <c r="R28" s="164">
        <f>ROUND(SUM(R13:R27),0)</f>
        <v>0</v>
      </c>
    </row>
    <row r="29" spans="2:18" ht="15.75" thickBot="1" x14ac:dyDescent="0.3"/>
    <row r="30" spans="2:18" ht="16.5" thickBot="1" x14ac:dyDescent="0.3">
      <c r="B30" s="597" t="s">
        <v>456</v>
      </c>
      <c r="C30" s="598"/>
      <c r="D30" s="594" t="s">
        <v>134</v>
      </c>
      <c r="E30" s="595"/>
      <c r="F30" s="596"/>
      <c r="G30" s="151"/>
      <c r="H30" s="594" t="s">
        <v>134</v>
      </c>
      <c r="I30" s="595"/>
      <c r="J30" s="596"/>
      <c r="K30" s="151"/>
      <c r="L30" s="594" t="s">
        <v>134</v>
      </c>
      <c r="M30" s="595"/>
      <c r="N30" s="596"/>
      <c r="O30" s="151"/>
      <c r="P30" s="594" t="s">
        <v>134</v>
      </c>
      <c r="Q30" s="595"/>
      <c r="R30" s="596"/>
    </row>
    <row r="31" spans="2:18" ht="21" customHeight="1" thickBot="1" x14ac:dyDescent="0.3">
      <c r="B31" s="599"/>
      <c r="C31" s="600"/>
      <c r="D31" s="591" t="str">
        <f>D10</f>
        <v>Basic Period (Year 1)</v>
      </c>
      <c r="E31" s="592"/>
      <c r="F31" s="593"/>
      <c r="G31" s="152"/>
      <c r="H31" s="591" t="str">
        <f>H10</f>
        <v>Basic Period (Year 2)</v>
      </c>
      <c r="I31" s="592"/>
      <c r="J31" s="593"/>
      <c r="K31" s="152"/>
      <c r="L31" s="591" t="str">
        <f>L10</f>
        <v>Basic Period (Year 3)</v>
      </c>
      <c r="M31" s="592"/>
      <c r="N31" s="593"/>
      <c r="O31" s="152"/>
      <c r="P31" s="591" t="str">
        <f>P10</f>
        <v>Basic Period (Year 4)</v>
      </c>
      <c r="Q31" s="592"/>
      <c r="R31" s="593"/>
    </row>
    <row r="32" spans="2:18" ht="16.5" thickBot="1" x14ac:dyDescent="0.3">
      <c r="B32" s="153" t="s">
        <v>110</v>
      </c>
      <c r="C32" s="153" t="s">
        <v>256</v>
      </c>
      <c r="D32" s="153" t="s">
        <v>91</v>
      </c>
      <c r="E32" s="154" t="s">
        <v>133</v>
      </c>
      <c r="F32" s="155" t="s">
        <v>139</v>
      </c>
      <c r="G32" s="156"/>
      <c r="H32" s="153" t="s">
        <v>91</v>
      </c>
      <c r="I32" s="154" t="s">
        <v>133</v>
      </c>
      <c r="J32" s="155" t="s">
        <v>139</v>
      </c>
      <c r="K32" s="156"/>
      <c r="L32" s="153" t="s">
        <v>91</v>
      </c>
      <c r="M32" s="154" t="s">
        <v>133</v>
      </c>
      <c r="N32" s="155" t="s">
        <v>139</v>
      </c>
      <c r="O32" s="156"/>
      <c r="P32" s="153" t="s">
        <v>91</v>
      </c>
      <c r="Q32" s="154" t="s">
        <v>133</v>
      </c>
      <c r="R32" s="155" t="s">
        <v>139</v>
      </c>
    </row>
    <row r="33" spans="2:18" ht="128.25" x14ac:dyDescent="0.25">
      <c r="B33" s="203" t="s">
        <v>601</v>
      </c>
      <c r="C33" s="203" t="s">
        <v>466</v>
      </c>
      <c r="D33" s="203" t="s">
        <v>565</v>
      </c>
      <c r="E33" s="203" t="s">
        <v>600</v>
      </c>
      <c r="F33" s="203"/>
      <c r="G33" s="156"/>
      <c r="H33" s="203" t="s">
        <v>565</v>
      </c>
      <c r="I33" s="203" t="s">
        <v>600</v>
      </c>
      <c r="J33" s="203"/>
      <c r="K33" s="156"/>
      <c r="L33" s="203" t="s">
        <v>565</v>
      </c>
      <c r="M33" s="203" t="s">
        <v>600</v>
      </c>
      <c r="N33" s="203"/>
      <c r="O33" s="156"/>
      <c r="P33" s="203" t="s">
        <v>565</v>
      </c>
      <c r="Q33" s="203" t="s">
        <v>600</v>
      </c>
      <c r="R33" s="489"/>
    </row>
    <row r="34" spans="2:18" x14ac:dyDescent="0.25">
      <c r="B34" s="252">
        <f>'PRIME CPIF RATES (ALL)'!B18</f>
        <v>0</v>
      </c>
      <c r="C34" s="284" t="s">
        <v>192</v>
      </c>
      <c r="D34" s="157">
        <v>0</v>
      </c>
      <c r="E34" s="462">
        <v>0</v>
      </c>
      <c r="F34" s="158">
        <f>ROUND(D34*E34,0)</f>
        <v>0</v>
      </c>
      <c r="G34" s="159"/>
      <c r="H34" s="157">
        <v>0</v>
      </c>
      <c r="I34" s="462">
        <v>0</v>
      </c>
      <c r="J34" s="158">
        <f>ROUND(H34*I34,0)</f>
        <v>0</v>
      </c>
      <c r="K34" s="159"/>
      <c r="L34" s="157">
        <v>0</v>
      </c>
      <c r="M34" s="462">
        <v>0</v>
      </c>
      <c r="N34" s="158">
        <f>ROUND(L34*M34,0)</f>
        <v>0</v>
      </c>
      <c r="O34" s="159"/>
      <c r="P34" s="157">
        <v>0</v>
      </c>
      <c r="Q34" s="462">
        <v>0</v>
      </c>
      <c r="R34" s="158">
        <f>ROUND(P34*Q34,0)</f>
        <v>0</v>
      </c>
    </row>
    <row r="35" spans="2:18" x14ac:dyDescent="0.25">
      <c r="B35" s="252" t="s">
        <v>178</v>
      </c>
      <c r="C35" s="275" t="s">
        <v>5</v>
      </c>
      <c r="D35" s="157">
        <v>0</v>
      </c>
      <c r="E35" s="462">
        <v>0</v>
      </c>
      <c r="F35" s="158">
        <f t="shared" ref="F35:F48" si="4">ROUND(D35*E35,0)</f>
        <v>0</v>
      </c>
      <c r="G35" s="159"/>
      <c r="H35" s="157">
        <v>0</v>
      </c>
      <c r="I35" s="462">
        <v>0</v>
      </c>
      <c r="J35" s="158">
        <f t="shared" ref="J35:J48" si="5">ROUND(H35*I35,0)</f>
        <v>0</v>
      </c>
      <c r="K35" s="159"/>
      <c r="L35" s="157">
        <v>0</v>
      </c>
      <c r="M35" s="462">
        <v>0</v>
      </c>
      <c r="N35" s="158">
        <f t="shared" ref="N35:N48" si="6">ROUND(L35*M35,0)</f>
        <v>0</v>
      </c>
      <c r="O35" s="159"/>
      <c r="P35" s="157">
        <v>0</v>
      </c>
      <c r="Q35" s="462">
        <v>0</v>
      </c>
      <c r="R35" s="158">
        <f t="shared" ref="R35:R48" si="7">ROUND(P35*Q35,0)</f>
        <v>0</v>
      </c>
    </row>
    <row r="36" spans="2:18" x14ac:dyDescent="0.25">
      <c r="B36" s="252" t="s">
        <v>178</v>
      </c>
      <c r="C36" s="275"/>
      <c r="D36" s="157">
        <v>0</v>
      </c>
      <c r="E36" s="462">
        <v>0</v>
      </c>
      <c r="F36" s="158">
        <f t="shared" si="4"/>
        <v>0</v>
      </c>
      <c r="G36" s="159"/>
      <c r="H36" s="157">
        <v>0</v>
      </c>
      <c r="I36" s="462">
        <v>0</v>
      </c>
      <c r="J36" s="158">
        <f t="shared" si="5"/>
        <v>0</v>
      </c>
      <c r="K36" s="159"/>
      <c r="L36" s="157">
        <v>0</v>
      </c>
      <c r="M36" s="462">
        <v>0</v>
      </c>
      <c r="N36" s="158">
        <f t="shared" si="6"/>
        <v>0</v>
      </c>
      <c r="O36" s="159"/>
      <c r="P36" s="157">
        <v>0</v>
      </c>
      <c r="Q36" s="462">
        <v>0</v>
      </c>
      <c r="R36" s="158">
        <f t="shared" si="7"/>
        <v>0</v>
      </c>
    </row>
    <row r="37" spans="2:18" x14ac:dyDescent="0.25">
      <c r="B37" s="252" t="s">
        <v>178</v>
      </c>
      <c r="C37" s="275"/>
      <c r="D37" s="157">
        <v>0</v>
      </c>
      <c r="E37" s="462">
        <v>0</v>
      </c>
      <c r="F37" s="158">
        <f t="shared" si="4"/>
        <v>0</v>
      </c>
      <c r="G37" s="159"/>
      <c r="H37" s="157">
        <v>0</v>
      </c>
      <c r="I37" s="462">
        <v>0</v>
      </c>
      <c r="J37" s="158">
        <f t="shared" si="5"/>
        <v>0</v>
      </c>
      <c r="K37" s="159"/>
      <c r="L37" s="157">
        <v>0</v>
      </c>
      <c r="M37" s="462">
        <v>0</v>
      </c>
      <c r="N37" s="158">
        <f t="shared" si="6"/>
        <v>0</v>
      </c>
      <c r="O37" s="159"/>
      <c r="P37" s="157">
        <v>0</v>
      </c>
      <c r="Q37" s="462">
        <v>0</v>
      </c>
      <c r="R37" s="158">
        <f t="shared" si="7"/>
        <v>0</v>
      </c>
    </row>
    <row r="38" spans="2:18" x14ac:dyDescent="0.25">
      <c r="B38" s="252" t="s">
        <v>178</v>
      </c>
      <c r="C38" s="275"/>
      <c r="D38" s="157">
        <v>0</v>
      </c>
      <c r="E38" s="462">
        <v>0</v>
      </c>
      <c r="F38" s="158">
        <f t="shared" si="4"/>
        <v>0</v>
      </c>
      <c r="G38" s="159"/>
      <c r="H38" s="157">
        <v>0</v>
      </c>
      <c r="I38" s="462">
        <v>0</v>
      </c>
      <c r="J38" s="158">
        <f t="shared" si="5"/>
        <v>0</v>
      </c>
      <c r="K38" s="159"/>
      <c r="L38" s="157">
        <v>0</v>
      </c>
      <c r="M38" s="462">
        <v>0</v>
      </c>
      <c r="N38" s="158">
        <f t="shared" si="6"/>
        <v>0</v>
      </c>
      <c r="O38" s="159"/>
      <c r="P38" s="157">
        <v>0</v>
      </c>
      <c r="Q38" s="462">
        <v>0</v>
      </c>
      <c r="R38" s="158">
        <f t="shared" si="7"/>
        <v>0</v>
      </c>
    </row>
    <row r="39" spans="2:18" x14ac:dyDescent="0.25">
      <c r="B39" s="252" t="s">
        <v>178</v>
      </c>
      <c r="C39" s="284" t="s">
        <v>193</v>
      </c>
      <c r="D39" s="157">
        <v>0</v>
      </c>
      <c r="E39" s="462">
        <v>0</v>
      </c>
      <c r="F39" s="158">
        <f t="shared" si="4"/>
        <v>0</v>
      </c>
      <c r="G39" s="159"/>
      <c r="H39" s="157">
        <v>0</v>
      </c>
      <c r="I39" s="462">
        <v>0</v>
      </c>
      <c r="J39" s="158">
        <f t="shared" si="5"/>
        <v>0</v>
      </c>
      <c r="K39" s="159"/>
      <c r="L39" s="157">
        <v>0</v>
      </c>
      <c r="M39" s="462">
        <v>0</v>
      </c>
      <c r="N39" s="158">
        <f t="shared" si="6"/>
        <v>0</v>
      </c>
      <c r="O39" s="159"/>
      <c r="P39" s="157">
        <v>0</v>
      </c>
      <c r="Q39" s="462">
        <v>0</v>
      </c>
      <c r="R39" s="158">
        <f t="shared" si="7"/>
        <v>0</v>
      </c>
    </row>
    <row r="40" spans="2:18" x14ac:dyDescent="0.25">
      <c r="B40" s="252" t="s">
        <v>178</v>
      </c>
      <c r="C40" s="275"/>
      <c r="D40" s="157">
        <v>0</v>
      </c>
      <c r="E40" s="462">
        <v>0</v>
      </c>
      <c r="F40" s="158">
        <f t="shared" si="4"/>
        <v>0</v>
      </c>
      <c r="G40" s="159"/>
      <c r="H40" s="157">
        <v>0</v>
      </c>
      <c r="I40" s="462">
        <v>0</v>
      </c>
      <c r="J40" s="158">
        <f t="shared" si="5"/>
        <v>0</v>
      </c>
      <c r="K40" s="159"/>
      <c r="L40" s="157">
        <v>0</v>
      </c>
      <c r="M40" s="462">
        <v>0</v>
      </c>
      <c r="N40" s="158">
        <f t="shared" si="6"/>
        <v>0</v>
      </c>
      <c r="O40" s="159"/>
      <c r="P40" s="157">
        <v>0</v>
      </c>
      <c r="Q40" s="462">
        <v>0</v>
      </c>
      <c r="R40" s="158">
        <f t="shared" si="7"/>
        <v>0</v>
      </c>
    </row>
    <row r="41" spans="2:18" x14ac:dyDescent="0.25">
      <c r="B41" s="252" t="s">
        <v>178</v>
      </c>
      <c r="C41" s="275"/>
      <c r="D41" s="157">
        <v>0</v>
      </c>
      <c r="E41" s="462">
        <v>0</v>
      </c>
      <c r="F41" s="158">
        <f t="shared" si="4"/>
        <v>0</v>
      </c>
      <c r="G41" s="159"/>
      <c r="H41" s="157">
        <v>0</v>
      </c>
      <c r="I41" s="462">
        <v>0</v>
      </c>
      <c r="J41" s="158">
        <f t="shared" si="5"/>
        <v>0</v>
      </c>
      <c r="K41" s="159"/>
      <c r="L41" s="157">
        <v>0</v>
      </c>
      <c r="M41" s="462">
        <v>0</v>
      </c>
      <c r="N41" s="158">
        <f t="shared" si="6"/>
        <v>0</v>
      </c>
      <c r="O41" s="159"/>
      <c r="P41" s="157">
        <v>0</v>
      </c>
      <c r="Q41" s="462">
        <v>0</v>
      </c>
      <c r="R41" s="158">
        <f t="shared" si="7"/>
        <v>0</v>
      </c>
    </row>
    <row r="42" spans="2:18" x14ac:dyDescent="0.25">
      <c r="B42" s="252" t="s">
        <v>178</v>
      </c>
      <c r="C42" s="275"/>
      <c r="D42" s="157">
        <v>0</v>
      </c>
      <c r="E42" s="462">
        <v>0</v>
      </c>
      <c r="F42" s="158">
        <f t="shared" si="4"/>
        <v>0</v>
      </c>
      <c r="G42" s="159"/>
      <c r="H42" s="157">
        <v>0</v>
      </c>
      <c r="I42" s="462">
        <v>0</v>
      </c>
      <c r="J42" s="158">
        <f t="shared" si="5"/>
        <v>0</v>
      </c>
      <c r="K42" s="159"/>
      <c r="L42" s="157">
        <v>0</v>
      </c>
      <c r="M42" s="462">
        <v>0</v>
      </c>
      <c r="N42" s="158">
        <f t="shared" si="6"/>
        <v>0</v>
      </c>
      <c r="O42" s="159"/>
      <c r="P42" s="157">
        <v>0</v>
      </c>
      <c r="Q42" s="462">
        <v>0</v>
      </c>
      <c r="R42" s="158">
        <f t="shared" si="7"/>
        <v>0</v>
      </c>
    </row>
    <row r="43" spans="2:18" x14ac:dyDescent="0.25">
      <c r="B43" s="252" t="s">
        <v>178</v>
      </c>
      <c r="C43" s="275"/>
      <c r="D43" s="157">
        <v>0</v>
      </c>
      <c r="E43" s="462">
        <v>0</v>
      </c>
      <c r="F43" s="158">
        <f t="shared" si="4"/>
        <v>0</v>
      </c>
      <c r="G43" s="159"/>
      <c r="H43" s="157">
        <v>0</v>
      </c>
      <c r="I43" s="462">
        <v>0</v>
      </c>
      <c r="J43" s="158">
        <f t="shared" si="5"/>
        <v>0</v>
      </c>
      <c r="K43" s="159"/>
      <c r="L43" s="157">
        <v>0</v>
      </c>
      <c r="M43" s="462">
        <v>0</v>
      </c>
      <c r="N43" s="158">
        <f t="shared" si="6"/>
        <v>0</v>
      </c>
      <c r="O43" s="159"/>
      <c r="P43" s="157">
        <v>0</v>
      </c>
      <c r="Q43" s="462">
        <v>0</v>
      </c>
      <c r="R43" s="158">
        <f t="shared" si="7"/>
        <v>0</v>
      </c>
    </row>
    <row r="44" spans="2:18" x14ac:dyDescent="0.25">
      <c r="B44" s="252" t="s">
        <v>178</v>
      </c>
      <c r="C44" s="284" t="s">
        <v>194</v>
      </c>
      <c r="D44" s="157">
        <v>0</v>
      </c>
      <c r="E44" s="462">
        <v>0</v>
      </c>
      <c r="F44" s="158">
        <f t="shared" si="4"/>
        <v>0</v>
      </c>
      <c r="G44" s="159"/>
      <c r="H44" s="157">
        <v>0</v>
      </c>
      <c r="I44" s="462">
        <v>0</v>
      </c>
      <c r="J44" s="158">
        <f t="shared" si="5"/>
        <v>0</v>
      </c>
      <c r="K44" s="159"/>
      <c r="L44" s="157">
        <v>0</v>
      </c>
      <c r="M44" s="462">
        <v>0</v>
      </c>
      <c r="N44" s="158">
        <f t="shared" si="6"/>
        <v>0</v>
      </c>
      <c r="O44" s="159"/>
      <c r="P44" s="157">
        <v>0</v>
      </c>
      <c r="Q44" s="462">
        <v>0</v>
      </c>
      <c r="R44" s="158">
        <f t="shared" si="7"/>
        <v>0</v>
      </c>
    </row>
    <row r="45" spans="2:18" x14ac:dyDescent="0.25">
      <c r="B45" s="252" t="s">
        <v>178</v>
      </c>
      <c r="C45" s="275"/>
      <c r="D45" s="157">
        <v>0</v>
      </c>
      <c r="E45" s="462">
        <v>0</v>
      </c>
      <c r="F45" s="158">
        <f t="shared" si="4"/>
        <v>0</v>
      </c>
      <c r="G45" s="159"/>
      <c r="H45" s="157">
        <v>0</v>
      </c>
      <c r="I45" s="462">
        <v>0</v>
      </c>
      <c r="J45" s="158">
        <f t="shared" si="5"/>
        <v>0</v>
      </c>
      <c r="K45" s="159"/>
      <c r="L45" s="157">
        <v>0</v>
      </c>
      <c r="M45" s="462">
        <v>0</v>
      </c>
      <c r="N45" s="158">
        <f t="shared" si="6"/>
        <v>0</v>
      </c>
      <c r="O45" s="159"/>
      <c r="P45" s="157">
        <v>0</v>
      </c>
      <c r="Q45" s="462">
        <v>0</v>
      </c>
      <c r="R45" s="158">
        <f t="shared" si="7"/>
        <v>0</v>
      </c>
    </row>
    <row r="46" spans="2:18" x14ac:dyDescent="0.25">
      <c r="B46" s="252" t="s">
        <v>178</v>
      </c>
      <c r="C46" s="275"/>
      <c r="D46" s="157">
        <v>0</v>
      </c>
      <c r="E46" s="462">
        <v>0</v>
      </c>
      <c r="F46" s="158">
        <f t="shared" si="4"/>
        <v>0</v>
      </c>
      <c r="G46" s="159"/>
      <c r="H46" s="157">
        <v>0</v>
      </c>
      <c r="I46" s="462">
        <v>0</v>
      </c>
      <c r="J46" s="158">
        <f t="shared" si="5"/>
        <v>0</v>
      </c>
      <c r="K46" s="159"/>
      <c r="L46" s="157">
        <v>0</v>
      </c>
      <c r="M46" s="462">
        <v>0</v>
      </c>
      <c r="N46" s="158">
        <f t="shared" si="6"/>
        <v>0</v>
      </c>
      <c r="O46" s="159"/>
      <c r="P46" s="157">
        <v>0</v>
      </c>
      <c r="Q46" s="462">
        <v>0</v>
      </c>
      <c r="R46" s="158">
        <f t="shared" si="7"/>
        <v>0</v>
      </c>
    </row>
    <row r="47" spans="2:18" x14ac:dyDescent="0.25">
      <c r="B47" s="252" t="s">
        <v>178</v>
      </c>
      <c r="C47" s="275"/>
      <c r="D47" s="157">
        <v>0</v>
      </c>
      <c r="E47" s="462">
        <v>0</v>
      </c>
      <c r="F47" s="158">
        <f t="shared" si="4"/>
        <v>0</v>
      </c>
      <c r="G47" s="159"/>
      <c r="H47" s="157">
        <v>0</v>
      </c>
      <c r="I47" s="462">
        <v>0</v>
      </c>
      <c r="J47" s="158">
        <f t="shared" si="5"/>
        <v>0</v>
      </c>
      <c r="K47" s="159"/>
      <c r="L47" s="157">
        <v>0</v>
      </c>
      <c r="M47" s="462">
        <v>0</v>
      </c>
      <c r="N47" s="158">
        <f t="shared" si="6"/>
        <v>0</v>
      </c>
      <c r="O47" s="159"/>
      <c r="P47" s="157">
        <v>0</v>
      </c>
      <c r="Q47" s="462">
        <v>0</v>
      </c>
      <c r="R47" s="158">
        <f t="shared" si="7"/>
        <v>0</v>
      </c>
    </row>
    <row r="48" spans="2:18" ht="15.75" thickBot="1" x14ac:dyDescent="0.3">
      <c r="B48" s="294" t="s">
        <v>178</v>
      </c>
      <c r="C48" s="295"/>
      <c r="D48" s="157">
        <v>0</v>
      </c>
      <c r="E48" s="462">
        <v>0</v>
      </c>
      <c r="F48" s="158">
        <f t="shared" si="4"/>
        <v>0</v>
      </c>
      <c r="G48" s="159"/>
      <c r="H48" s="157">
        <v>0</v>
      </c>
      <c r="I48" s="462">
        <v>0</v>
      </c>
      <c r="J48" s="158">
        <f t="shared" si="5"/>
        <v>0</v>
      </c>
      <c r="K48" s="159"/>
      <c r="L48" s="157">
        <v>0</v>
      </c>
      <c r="M48" s="462">
        <v>0</v>
      </c>
      <c r="N48" s="158">
        <f t="shared" si="6"/>
        <v>0</v>
      </c>
      <c r="O48" s="159"/>
      <c r="P48" s="157">
        <v>0</v>
      </c>
      <c r="Q48" s="462">
        <v>0</v>
      </c>
      <c r="R48" s="158">
        <f t="shared" si="7"/>
        <v>0</v>
      </c>
    </row>
    <row r="49" spans="2:18" ht="15.75" thickBot="1" x14ac:dyDescent="0.3">
      <c r="B49" s="298" t="s">
        <v>151</v>
      </c>
      <c r="C49" s="296"/>
      <c r="D49" s="257">
        <f>SUM(D34:D48)</f>
        <v>0</v>
      </c>
      <c r="E49" s="205"/>
      <c r="F49" s="164">
        <f>ROUND(SUM(F34:F48),0)</f>
        <v>0</v>
      </c>
      <c r="G49" s="165"/>
      <c r="H49" s="257">
        <f>SUM(H34:H48)</f>
        <v>0</v>
      </c>
      <c r="I49" s="205" t="s">
        <v>5</v>
      </c>
      <c r="J49" s="164">
        <f>ROUND(SUM(J34:J48),0)</f>
        <v>0</v>
      </c>
      <c r="K49" s="165"/>
      <c r="L49" s="257">
        <f>SUM(L34:L48)</f>
        <v>0</v>
      </c>
      <c r="M49" s="205"/>
      <c r="N49" s="164">
        <f>ROUND(SUM(N34:N48),0)</f>
        <v>0</v>
      </c>
      <c r="O49" s="165"/>
      <c r="P49" s="257">
        <f>SUM(P34:P48)</f>
        <v>0</v>
      </c>
      <c r="Q49" s="205"/>
      <c r="R49" s="164">
        <f>ROUND(SUM(R34:R48),0)</f>
        <v>0</v>
      </c>
    </row>
    <row r="50" spans="2:18" ht="15.75" thickBot="1" x14ac:dyDescent="0.3"/>
    <row r="51" spans="2:18" ht="16.5" thickBot="1" x14ac:dyDescent="0.3">
      <c r="B51" s="597" t="s">
        <v>457</v>
      </c>
      <c r="C51" s="598"/>
      <c r="D51" s="594" t="s">
        <v>134</v>
      </c>
      <c r="E51" s="595"/>
      <c r="F51" s="596"/>
      <c r="G51" s="151"/>
      <c r="H51" s="594" t="s">
        <v>134</v>
      </c>
      <c r="I51" s="595"/>
      <c r="J51" s="596"/>
      <c r="K51" s="151"/>
      <c r="L51" s="594" t="s">
        <v>134</v>
      </c>
      <c r="M51" s="595"/>
      <c r="N51" s="596"/>
      <c r="O51" s="151"/>
      <c r="P51" s="594" t="s">
        <v>134</v>
      </c>
      <c r="Q51" s="595"/>
      <c r="R51" s="596"/>
    </row>
    <row r="52" spans="2:18" ht="16.5" thickBot="1" x14ac:dyDescent="0.3">
      <c r="B52" s="599"/>
      <c r="C52" s="600"/>
      <c r="D52" s="591" t="str">
        <f>D10</f>
        <v>Basic Period (Year 1)</v>
      </c>
      <c r="E52" s="592"/>
      <c r="F52" s="593"/>
      <c r="G52" s="152"/>
      <c r="H52" s="591" t="str">
        <f>H10</f>
        <v>Basic Period (Year 2)</v>
      </c>
      <c r="I52" s="592"/>
      <c r="J52" s="593"/>
      <c r="K52" s="152"/>
      <c r="L52" s="591" t="str">
        <f>L10</f>
        <v>Basic Period (Year 3)</v>
      </c>
      <c r="M52" s="592"/>
      <c r="N52" s="593"/>
      <c r="O52" s="152"/>
      <c r="P52" s="591" t="str">
        <f>P10</f>
        <v>Basic Period (Year 4)</v>
      </c>
      <c r="Q52" s="592"/>
      <c r="R52" s="593"/>
    </row>
    <row r="53" spans="2:18" ht="16.5" thickBot="1" x14ac:dyDescent="0.3">
      <c r="B53" s="153" t="s">
        <v>110</v>
      </c>
      <c r="C53" s="153" t="s">
        <v>256</v>
      </c>
      <c r="D53" s="153" t="s">
        <v>91</v>
      </c>
      <c r="E53" s="154" t="s">
        <v>133</v>
      </c>
      <c r="F53" s="155" t="s">
        <v>139</v>
      </c>
      <c r="G53" s="156"/>
      <c r="H53" s="153" t="s">
        <v>91</v>
      </c>
      <c r="I53" s="154" t="s">
        <v>133</v>
      </c>
      <c r="J53" s="155" t="s">
        <v>139</v>
      </c>
      <c r="K53" s="156"/>
      <c r="L53" s="153" t="s">
        <v>91</v>
      </c>
      <c r="M53" s="154" t="s">
        <v>133</v>
      </c>
      <c r="N53" s="155" t="s">
        <v>139</v>
      </c>
      <c r="O53" s="156"/>
      <c r="P53" s="153" t="s">
        <v>91</v>
      </c>
      <c r="Q53" s="154" t="s">
        <v>133</v>
      </c>
      <c r="R53" s="155" t="s">
        <v>139</v>
      </c>
    </row>
    <row r="54" spans="2:18" ht="128.25" x14ac:dyDescent="0.25">
      <c r="B54" s="203" t="s">
        <v>601</v>
      </c>
      <c r="C54" s="203" t="s">
        <v>466</v>
      </c>
      <c r="D54" s="203" t="s">
        <v>565</v>
      </c>
      <c r="E54" s="203" t="s">
        <v>600</v>
      </c>
      <c r="F54" s="203"/>
      <c r="G54" s="156"/>
      <c r="H54" s="203" t="s">
        <v>565</v>
      </c>
      <c r="I54" s="203" t="s">
        <v>600</v>
      </c>
      <c r="J54" s="203"/>
      <c r="K54" s="156"/>
      <c r="L54" s="203" t="s">
        <v>565</v>
      </c>
      <c r="M54" s="203" t="s">
        <v>600</v>
      </c>
      <c r="N54" s="203"/>
      <c r="O54" s="156"/>
      <c r="P54" s="203" t="s">
        <v>565</v>
      </c>
      <c r="Q54" s="203" t="s">
        <v>600</v>
      </c>
      <c r="R54" s="489"/>
    </row>
    <row r="55" spans="2:18" x14ac:dyDescent="0.25">
      <c r="B55" s="252" t="s">
        <v>178</v>
      </c>
      <c r="C55" s="284" t="s">
        <v>195</v>
      </c>
      <c r="D55" s="157">
        <v>0</v>
      </c>
      <c r="E55" s="462">
        <v>0</v>
      </c>
      <c r="F55" s="158">
        <f>ROUND(D55*E55,0)</f>
        <v>0</v>
      </c>
      <c r="G55" s="159"/>
      <c r="H55" s="157">
        <v>0</v>
      </c>
      <c r="I55" s="462">
        <v>0</v>
      </c>
      <c r="J55" s="158">
        <f>ROUND(H55*I55,0)</f>
        <v>0</v>
      </c>
      <c r="K55" s="159"/>
      <c r="L55" s="157">
        <v>0</v>
      </c>
      <c r="M55" s="462">
        <v>0</v>
      </c>
      <c r="N55" s="158">
        <f>ROUND(L55*M55,0)</f>
        <v>0</v>
      </c>
      <c r="O55" s="159"/>
      <c r="P55" s="157">
        <v>0</v>
      </c>
      <c r="Q55" s="462">
        <v>0</v>
      </c>
      <c r="R55" s="158">
        <f>ROUND(P55*Q55,0)</f>
        <v>0</v>
      </c>
    </row>
    <row r="56" spans="2:18" x14ac:dyDescent="0.25">
      <c r="B56" s="252" t="s">
        <v>178</v>
      </c>
      <c r="C56" s="275" t="s">
        <v>5</v>
      </c>
      <c r="D56" s="157">
        <v>0</v>
      </c>
      <c r="E56" s="462">
        <v>0</v>
      </c>
      <c r="F56" s="158">
        <f t="shared" ref="F56:F69" si="8">ROUND(D56*E56,0)</f>
        <v>0</v>
      </c>
      <c r="G56" s="159"/>
      <c r="H56" s="157">
        <v>0</v>
      </c>
      <c r="I56" s="462">
        <v>0</v>
      </c>
      <c r="J56" s="158">
        <f t="shared" ref="J56:J69" si="9">ROUND(H56*I56,0)</f>
        <v>0</v>
      </c>
      <c r="K56" s="159"/>
      <c r="L56" s="157">
        <v>0</v>
      </c>
      <c r="M56" s="462">
        <v>0</v>
      </c>
      <c r="N56" s="158">
        <f t="shared" ref="N56:N69" si="10">ROUND(L56*M56,0)</f>
        <v>0</v>
      </c>
      <c r="O56" s="159"/>
      <c r="P56" s="157">
        <v>0</v>
      </c>
      <c r="Q56" s="462">
        <v>0</v>
      </c>
      <c r="R56" s="158">
        <f t="shared" ref="R56:R69" si="11">ROUND(P56*Q56,0)</f>
        <v>0</v>
      </c>
    </row>
    <row r="57" spans="2:18" x14ac:dyDescent="0.25">
      <c r="B57" s="252" t="s">
        <v>178</v>
      </c>
      <c r="C57" s="275"/>
      <c r="D57" s="157">
        <v>0</v>
      </c>
      <c r="E57" s="462">
        <v>0</v>
      </c>
      <c r="F57" s="158">
        <f t="shared" si="8"/>
        <v>0</v>
      </c>
      <c r="G57" s="159"/>
      <c r="H57" s="157">
        <v>0</v>
      </c>
      <c r="I57" s="462">
        <v>0</v>
      </c>
      <c r="J57" s="158">
        <f t="shared" si="9"/>
        <v>0</v>
      </c>
      <c r="K57" s="159"/>
      <c r="L57" s="157">
        <v>0</v>
      </c>
      <c r="M57" s="462">
        <v>0</v>
      </c>
      <c r="N57" s="158">
        <f t="shared" si="10"/>
        <v>0</v>
      </c>
      <c r="O57" s="159"/>
      <c r="P57" s="157">
        <v>0</v>
      </c>
      <c r="Q57" s="462">
        <v>0</v>
      </c>
      <c r="R57" s="158">
        <f t="shared" si="11"/>
        <v>0</v>
      </c>
    </row>
    <row r="58" spans="2:18" x14ac:dyDescent="0.25">
      <c r="B58" s="252" t="s">
        <v>178</v>
      </c>
      <c r="C58" s="275"/>
      <c r="D58" s="157">
        <v>0</v>
      </c>
      <c r="E58" s="462">
        <v>0</v>
      </c>
      <c r="F58" s="158">
        <f t="shared" si="8"/>
        <v>0</v>
      </c>
      <c r="G58" s="159"/>
      <c r="H58" s="157">
        <v>0</v>
      </c>
      <c r="I58" s="462">
        <v>0</v>
      </c>
      <c r="J58" s="158">
        <f t="shared" si="9"/>
        <v>0</v>
      </c>
      <c r="K58" s="159"/>
      <c r="L58" s="157">
        <v>0</v>
      </c>
      <c r="M58" s="462">
        <v>0</v>
      </c>
      <c r="N58" s="158">
        <f t="shared" si="10"/>
        <v>0</v>
      </c>
      <c r="O58" s="159"/>
      <c r="P58" s="157">
        <v>0</v>
      </c>
      <c r="Q58" s="462">
        <v>0</v>
      </c>
      <c r="R58" s="158">
        <f t="shared" si="11"/>
        <v>0</v>
      </c>
    </row>
    <row r="59" spans="2:18" x14ac:dyDescent="0.25">
      <c r="B59" s="252" t="s">
        <v>178</v>
      </c>
      <c r="C59" s="275"/>
      <c r="D59" s="157">
        <v>0</v>
      </c>
      <c r="E59" s="462">
        <v>0</v>
      </c>
      <c r="F59" s="158">
        <f t="shared" si="8"/>
        <v>0</v>
      </c>
      <c r="G59" s="159"/>
      <c r="H59" s="157">
        <v>0</v>
      </c>
      <c r="I59" s="462">
        <v>0</v>
      </c>
      <c r="J59" s="158">
        <f t="shared" si="9"/>
        <v>0</v>
      </c>
      <c r="K59" s="159"/>
      <c r="L59" s="157">
        <v>0</v>
      </c>
      <c r="M59" s="462">
        <v>0</v>
      </c>
      <c r="N59" s="158">
        <f t="shared" si="10"/>
        <v>0</v>
      </c>
      <c r="O59" s="159"/>
      <c r="P59" s="157">
        <v>0</v>
      </c>
      <c r="Q59" s="462">
        <v>0</v>
      </c>
      <c r="R59" s="158">
        <f t="shared" si="11"/>
        <v>0</v>
      </c>
    </row>
    <row r="60" spans="2:18" x14ac:dyDescent="0.25">
      <c r="B60" s="252" t="s">
        <v>178</v>
      </c>
      <c r="C60" s="284" t="s">
        <v>196</v>
      </c>
      <c r="D60" s="157">
        <v>0</v>
      </c>
      <c r="E60" s="462">
        <v>0</v>
      </c>
      <c r="F60" s="158">
        <f t="shared" si="8"/>
        <v>0</v>
      </c>
      <c r="G60" s="159"/>
      <c r="H60" s="157">
        <v>0</v>
      </c>
      <c r="I60" s="462">
        <v>0</v>
      </c>
      <c r="J60" s="158">
        <f t="shared" si="9"/>
        <v>0</v>
      </c>
      <c r="K60" s="159"/>
      <c r="L60" s="157">
        <v>0</v>
      </c>
      <c r="M60" s="462">
        <v>0</v>
      </c>
      <c r="N60" s="158">
        <f t="shared" si="10"/>
        <v>0</v>
      </c>
      <c r="O60" s="159"/>
      <c r="P60" s="157">
        <v>0</v>
      </c>
      <c r="Q60" s="462">
        <v>0</v>
      </c>
      <c r="R60" s="158">
        <f t="shared" si="11"/>
        <v>0</v>
      </c>
    </row>
    <row r="61" spans="2:18" x14ac:dyDescent="0.25">
      <c r="B61" s="252" t="s">
        <v>178</v>
      </c>
      <c r="C61" s="275"/>
      <c r="D61" s="157">
        <v>0</v>
      </c>
      <c r="E61" s="462">
        <v>0</v>
      </c>
      <c r="F61" s="158">
        <f t="shared" si="8"/>
        <v>0</v>
      </c>
      <c r="G61" s="159"/>
      <c r="H61" s="157">
        <v>0</v>
      </c>
      <c r="I61" s="462">
        <v>0</v>
      </c>
      <c r="J61" s="158">
        <f t="shared" si="9"/>
        <v>0</v>
      </c>
      <c r="K61" s="159"/>
      <c r="L61" s="157">
        <v>0</v>
      </c>
      <c r="M61" s="462">
        <v>0</v>
      </c>
      <c r="N61" s="158">
        <f t="shared" si="10"/>
        <v>0</v>
      </c>
      <c r="O61" s="159"/>
      <c r="P61" s="157">
        <v>0</v>
      </c>
      <c r="Q61" s="462">
        <v>0</v>
      </c>
      <c r="R61" s="158">
        <f t="shared" si="11"/>
        <v>0</v>
      </c>
    </row>
    <row r="62" spans="2:18" x14ac:dyDescent="0.25">
      <c r="B62" s="252" t="s">
        <v>178</v>
      </c>
      <c r="C62" s="275"/>
      <c r="D62" s="157">
        <v>0</v>
      </c>
      <c r="E62" s="462">
        <v>0</v>
      </c>
      <c r="F62" s="158">
        <f t="shared" si="8"/>
        <v>0</v>
      </c>
      <c r="G62" s="159"/>
      <c r="H62" s="157">
        <v>0</v>
      </c>
      <c r="I62" s="462">
        <v>0</v>
      </c>
      <c r="J62" s="158">
        <f t="shared" si="9"/>
        <v>0</v>
      </c>
      <c r="K62" s="159"/>
      <c r="L62" s="157">
        <v>0</v>
      </c>
      <c r="M62" s="462">
        <v>0</v>
      </c>
      <c r="N62" s="158">
        <f t="shared" si="10"/>
        <v>0</v>
      </c>
      <c r="O62" s="159"/>
      <c r="P62" s="157">
        <v>0</v>
      </c>
      <c r="Q62" s="462">
        <v>0</v>
      </c>
      <c r="R62" s="158">
        <f t="shared" si="11"/>
        <v>0</v>
      </c>
    </row>
    <row r="63" spans="2:18" x14ac:dyDescent="0.25">
      <c r="B63" s="252" t="s">
        <v>178</v>
      </c>
      <c r="C63" s="275"/>
      <c r="D63" s="157">
        <v>0</v>
      </c>
      <c r="E63" s="462">
        <v>0</v>
      </c>
      <c r="F63" s="158">
        <f t="shared" si="8"/>
        <v>0</v>
      </c>
      <c r="G63" s="159"/>
      <c r="H63" s="157">
        <v>0</v>
      </c>
      <c r="I63" s="462">
        <v>0</v>
      </c>
      <c r="J63" s="158">
        <f t="shared" si="9"/>
        <v>0</v>
      </c>
      <c r="K63" s="159"/>
      <c r="L63" s="157">
        <v>0</v>
      </c>
      <c r="M63" s="462">
        <v>0</v>
      </c>
      <c r="N63" s="158">
        <f t="shared" si="10"/>
        <v>0</v>
      </c>
      <c r="O63" s="159"/>
      <c r="P63" s="157">
        <v>0</v>
      </c>
      <c r="Q63" s="462">
        <v>0</v>
      </c>
      <c r="R63" s="158">
        <f t="shared" si="11"/>
        <v>0</v>
      </c>
    </row>
    <row r="64" spans="2:18" x14ac:dyDescent="0.25">
      <c r="B64" s="252" t="s">
        <v>178</v>
      </c>
      <c r="C64" s="275"/>
      <c r="D64" s="157">
        <v>0</v>
      </c>
      <c r="E64" s="462">
        <v>0</v>
      </c>
      <c r="F64" s="158">
        <f t="shared" si="8"/>
        <v>0</v>
      </c>
      <c r="G64" s="159"/>
      <c r="H64" s="157">
        <v>0</v>
      </c>
      <c r="I64" s="462">
        <v>0</v>
      </c>
      <c r="J64" s="158">
        <f t="shared" si="9"/>
        <v>0</v>
      </c>
      <c r="K64" s="159"/>
      <c r="L64" s="157">
        <v>0</v>
      </c>
      <c r="M64" s="462">
        <v>0</v>
      </c>
      <c r="N64" s="158">
        <f t="shared" si="10"/>
        <v>0</v>
      </c>
      <c r="O64" s="159"/>
      <c r="P64" s="157">
        <v>0</v>
      </c>
      <c r="Q64" s="462">
        <v>0</v>
      </c>
      <c r="R64" s="158">
        <f t="shared" si="11"/>
        <v>0</v>
      </c>
    </row>
    <row r="65" spans="2:18" x14ac:dyDescent="0.25">
      <c r="B65" s="252" t="s">
        <v>178</v>
      </c>
      <c r="C65" s="284" t="s">
        <v>197</v>
      </c>
      <c r="D65" s="157">
        <v>0</v>
      </c>
      <c r="E65" s="462">
        <v>0</v>
      </c>
      <c r="F65" s="158">
        <f t="shared" si="8"/>
        <v>0</v>
      </c>
      <c r="G65" s="159"/>
      <c r="H65" s="157">
        <v>0</v>
      </c>
      <c r="I65" s="462">
        <v>0</v>
      </c>
      <c r="J65" s="158">
        <f t="shared" si="9"/>
        <v>0</v>
      </c>
      <c r="K65" s="159"/>
      <c r="L65" s="157">
        <v>0</v>
      </c>
      <c r="M65" s="462">
        <v>0</v>
      </c>
      <c r="N65" s="158">
        <f t="shared" si="10"/>
        <v>0</v>
      </c>
      <c r="O65" s="159"/>
      <c r="P65" s="157">
        <v>0</v>
      </c>
      <c r="Q65" s="462">
        <v>0</v>
      </c>
      <c r="R65" s="158">
        <f t="shared" si="11"/>
        <v>0</v>
      </c>
    </row>
    <row r="66" spans="2:18" x14ac:dyDescent="0.25">
      <c r="B66" s="252" t="s">
        <v>178</v>
      </c>
      <c r="C66" s="275"/>
      <c r="D66" s="157">
        <v>0</v>
      </c>
      <c r="E66" s="462">
        <v>0</v>
      </c>
      <c r="F66" s="158">
        <f t="shared" si="8"/>
        <v>0</v>
      </c>
      <c r="G66" s="159"/>
      <c r="H66" s="157">
        <v>0</v>
      </c>
      <c r="I66" s="462">
        <v>0</v>
      </c>
      <c r="J66" s="158">
        <f t="shared" si="9"/>
        <v>0</v>
      </c>
      <c r="K66" s="159"/>
      <c r="L66" s="157">
        <v>0</v>
      </c>
      <c r="M66" s="462">
        <v>0</v>
      </c>
      <c r="N66" s="158">
        <f t="shared" si="10"/>
        <v>0</v>
      </c>
      <c r="O66" s="159"/>
      <c r="P66" s="157">
        <v>0</v>
      </c>
      <c r="Q66" s="462">
        <v>0</v>
      </c>
      <c r="R66" s="158">
        <f t="shared" si="11"/>
        <v>0</v>
      </c>
    </row>
    <row r="67" spans="2:18" x14ac:dyDescent="0.25">
      <c r="B67" s="252" t="s">
        <v>178</v>
      </c>
      <c r="C67" s="275"/>
      <c r="D67" s="157">
        <v>0</v>
      </c>
      <c r="E67" s="462">
        <v>0</v>
      </c>
      <c r="F67" s="158">
        <f t="shared" si="8"/>
        <v>0</v>
      </c>
      <c r="G67" s="159"/>
      <c r="H67" s="157">
        <v>0</v>
      </c>
      <c r="I67" s="462">
        <v>0</v>
      </c>
      <c r="J67" s="158">
        <f t="shared" si="9"/>
        <v>0</v>
      </c>
      <c r="K67" s="159"/>
      <c r="L67" s="157">
        <v>0</v>
      </c>
      <c r="M67" s="462">
        <v>0</v>
      </c>
      <c r="N67" s="158">
        <f t="shared" si="10"/>
        <v>0</v>
      </c>
      <c r="O67" s="159"/>
      <c r="P67" s="157">
        <v>0</v>
      </c>
      <c r="Q67" s="462">
        <v>0</v>
      </c>
      <c r="R67" s="158">
        <f t="shared" si="11"/>
        <v>0</v>
      </c>
    </row>
    <row r="68" spans="2:18" x14ac:dyDescent="0.25">
      <c r="B68" s="252" t="s">
        <v>178</v>
      </c>
      <c r="C68" s="275"/>
      <c r="D68" s="157">
        <v>0</v>
      </c>
      <c r="E68" s="462">
        <v>0</v>
      </c>
      <c r="F68" s="158">
        <f t="shared" si="8"/>
        <v>0</v>
      </c>
      <c r="G68" s="159"/>
      <c r="H68" s="157">
        <v>0</v>
      </c>
      <c r="I68" s="462">
        <v>0</v>
      </c>
      <c r="J68" s="158">
        <f t="shared" si="9"/>
        <v>0</v>
      </c>
      <c r="K68" s="159"/>
      <c r="L68" s="157">
        <v>0</v>
      </c>
      <c r="M68" s="462">
        <v>0</v>
      </c>
      <c r="N68" s="158">
        <f t="shared" si="10"/>
        <v>0</v>
      </c>
      <c r="O68" s="159"/>
      <c r="P68" s="157">
        <v>0</v>
      </c>
      <c r="Q68" s="462">
        <v>0</v>
      </c>
      <c r="R68" s="158">
        <f t="shared" si="11"/>
        <v>0</v>
      </c>
    </row>
    <row r="69" spans="2:18" ht="15.75" thickBot="1" x14ac:dyDescent="0.3">
      <c r="B69" s="294" t="s">
        <v>178</v>
      </c>
      <c r="C69" s="295"/>
      <c r="D69" s="157">
        <v>0</v>
      </c>
      <c r="E69" s="462">
        <v>0</v>
      </c>
      <c r="F69" s="158">
        <f t="shared" si="8"/>
        <v>0</v>
      </c>
      <c r="G69" s="159"/>
      <c r="H69" s="157">
        <v>0</v>
      </c>
      <c r="I69" s="462">
        <v>0</v>
      </c>
      <c r="J69" s="158">
        <f t="shared" si="9"/>
        <v>0</v>
      </c>
      <c r="K69" s="159"/>
      <c r="L69" s="157">
        <v>0</v>
      </c>
      <c r="M69" s="462">
        <v>0</v>
      </c>
      <c r="N69" s="158">
        <f t="shared" si="10"/>
        <v>0</v>
      </c>
      <c r="O69" s="159"/>
      <c r="P69" s="157">
        <v>0</v>
      </c>
      <c r="Q69" s="462">
        <v>0</v>
      </c>
      <c r="R69" s="158">
        <f t="shared" si="11"/>
        <v>0</v>
      </c>
    </row>
    <row r="70" spans="2:18" ht="15.75" thickBot="1" x14ac:dyDescent="0.3">
      <c r="B70" s="298" t="s">
        <v>151</v>
      </c>
      <c r="C70" s="296"/>
      <c r="D70" s="257">
        <f>SUM(D55:D69)</f>
        <v>0</v>
      </c>
      <c r="E70" s="205"/>
      <c r="F70" s="164">
        <f>ROUND(SUM(F55:F69),0)</f>
        <v>0</v>
      </c>
      <c r="G70" s="165"/>
      <c r="H70" s="257">
        <f>SUM(H55:H69)</f>
        <v>0</v>
      </c>
      <c r="I70" s="205" t="s">
        <v>5</v>
      </c>
      <c r="J70" s="164">
        <f>ROUND(SUM(J55:J69),0)</f>
        <v>0</v>
      </c>
      <c r="K70" s="165"/>
      <c r="L70" s="257">
        <f>SUM(L55:L69)</f>
        <v>0</v>
      </c>
      <c r="M70" s="205"/>
      <c r="N70" s="164">
        <f>ROUND(SUM(N55:N69),0)</f>
        <v>0</v>
      </c>
      <c r="O70" s="165"/>
      <c r="P70" s="257">
        <f>SUM(P55:P69)</f>
        <v>0</v>
      </c>
      <c r="Q70" s="205"/>
      <c r="R70" s="164">
        <f>ROUND(SUM(R55:R69),0)</f>
        <v>0</v>
      </c>
    </row>
    <row r="71" spans="2:18" ht="15.75" thickBot="1" x14ac:dyDescent="0.3"/>
    <row r="72" spans="2:18" ht="16.5" thickBot="1" x14ac:dyDescent="0.3">
      <c r="B72" s="597" t="s">
        <v>458</v>
      </c>
      <c r="C72" s="598"/>
      <c r="D72" s="594" t="s">
        <v>134</v>
      </c>
      <c r="E72" s="595"/>
      <c r="F72" s="596"/>
      <c r="G72" s="151"/>
      <c r="H72" s="594" t="s">
        <v>134</v>
      </c>
      <c r="I72" s="595"/>
      <c r="J72" s="596"/>
      <c r="K72" s="151"/>
      <c r="L72" s="594" t="s">
        <v>134</v>
      </c>
      <c r="M72" s="595"/>
      <c r="N72" s="596"/>
      <c r="O72" s="151"/>
      <c r="P72" s="594" t="s">
        <v>134</v>
      </c>
      <c r="Q72" s="595"/>
      <c r="R72" s="596"/>
    </row>
    <row r="73" spans="2:18" ht="16.5" thickBot="1" x14ac:dyDescent="0.3">
      <c r="B73" s="599"/>
      <c r="C73" s="600"/>
      <c r="D73" s="591" t="str">
        <f>D10</f>
        <v>Basic Period (Year 1)</v>
      </c>
      <c r="E73" s="592"/>
      <c r="F73" s="593"/>
      <c r="G73" s="152"/>
      <c r="H73" s="591" t="str">
        <f>H10</f>
        <v>Basic Period (Year 2)</v>
      </c>
      <c r="I73" s="592"/>
      <c r="J73" s="593"/>
      <c r="K73" s="152"/>
      <c r="L73" s="591" t="str">
        <f>L10</f>
        <v>Basic Period (Year 3)</v>
      </c>
      <c r="M73" s="592"/>
      <c r="N73" s="593"/>
      <c r="O73" s="152"/>
      <c r="P73" s="591" t="str">
        <f>P10</f>
        <v>Basic Period (Year 4)</v>
      </c>
      <c r="Q73" s="592"/>
      <c r="R73" s="593"/>
    </row>
    <row r="74" spans="2:18" ht="16.5" thickBot="1" x14ac:dyDescent="0.3">
      <c r="B74" s="153" t="s">
        <v>110</v>
      </c>
      <c r="C74" s="153" t="s">
        <v>256</v>
      </c>
      <c r="D74" s="153" t="s">
        <v>91</v>
      </c>
      <c r="E74" s="154" t="s">
        <v>133</v>
      </c>
      <c r="F74" s="155" t="s">
        <v>139</v>
      </c>
      <c r="G74" s="156"/>
      <c r="H74" s="153" t="s">
        <v>91</v>
      </c>
      <c r="I74" s="154" t="s">
        <v>133</v>
      </c>
      <c r="J74" s="155" t="s">
        <v>139</v>
      </c>
      <c r="K74" s="156"/>
      <c r="L74" s="153" t="s">
        <v>91</v>
      </c>
      <c r="M74" s="154" t="s">
        <v>133</v>
      </c>
      <c r="N74" s="155" t="s">
        <v>139</v>
      </c>
      <c r="O74" s="156"/>
      <c r="P74" s="153" t="s">
        <v>91</v>
      </c>
      <c r="Q74" s="154" t="s">
        <v>133</v>
      </c>
      <c r="R74" s="155" t="s">
        <v>139</v>
      </c>
    </row>
    <row r="75" spans="2:18" ht="128.25" x14ac:dyDescent="0.25">
      <c r="B75" s="203" t="s">
        <v>601</v>
      </c>
      <c r="C75" s="203" t="s">
        <v>466</v>
      </c>
      <c r="D75" s="203" t="s">
        <v>565</v>
      </c>
      <c r="E75" s="203" t="s">
        <v>600</v>
      </c>
      <c r="F75" s="203"/>
      <c r="G75" s="156"/>
      <c r="H75" s="203" t="s">
        <v>565</v>
      </c>
      <c r="I75" s="203" t="s">
        <v>600</v>
      </c>
      <c r="J75" s="203"/>
      <c r="K75" s="156"/>
      <c r="L75" s="203" t="s">
        <v>565</v>
      </c>
      <c r="M75" s="203" t="s">
        <v>600</v>
      </c>
      <c r="N75" s="203"/>
      <c r="O75" s="156"/>
      <c r="P75" s="203" t="s">
        <v>565</v>
      </c>
      <c r="Q75" s="203" t="s">
        <v>600</v>
      </c>
      <c r="R75" s="489"/>
    </row>
    <row r="76" spans="2:18" x14ac:dyDescent="0.25">
      <c r="B76" s="252">
        <f>'PRIME CPIF RATES (ALL)'!B20</f>
        <v>0</v>
      </c>
      <c r="C76" s="284" t="s">
        <v>198</v>
      </c>
      <c r="D76" s="157">
        <v>0</v>
      </c>
      <c r="E76" s="462">
        <v>0</v>
      </c>
      <c r="F76" s="158">
        <f>ROUND(D76*E76,0)</f>
        <v>0</v>
      </c>
      <c r="G76" s="159"/>
      <c r="H76" s="157">
        <v>0</v>
      </c>
      <c r="I76" s="462">
        <v>0</v>
      </c>
      <c r="J76" s="158">
        <f>ROUND(H76*I76,0)</f>
        <v>0</v>
      </c>
      <c r="K76" s="159"/>
      <c r="L76" s="157">
        <v>0</v>
      </c>
      <c r="M76" s="462">
        <v>0</v>
      </c>
      <c r="N76" s="158">
        <f>ROUND(L76*M76,0)</f>
        <v>0</v>
      </c>
      <c r="O76" s="159"/>
      <c r="P76" s="157">
        <v>0</v>
      </c>
      <c r="Q76" s="462">
        <v>0</v>
      </c>
      <c r="R76" s="158">
        <f>ROUND(P76*Q76,0)</f>
        <v>0</v>
      </c>
    </row>
    <row r="77" spans="2:18" x14ac:dyDescent="0.25">
      <c r="B77" s="252" t="s">
        <v>178</v>
      </c>
      <c r="C77" s="275" t="s">
        <v>5</v>
      </c>
      <c r="D77" s="157">
        <v>0</v>
      </c>
      <c r="E77" s="462">
        <v>0</v>
      </c>
      <c r="F77" s="158">
        <f t="shared" ref="F77:F90" si="12">ROUND(D77*E77,0)</f>
        <v>0</v>
      </c>
      <c r="G77" s="159"/>
      <c r="H77" s="157">
        <v>0</v>
      </c>
      <c r="I77" s="462">
        <v>0</v>
      </c>
      <c r="J77" s="158">
        <f t="shared" ref="J77:J90" si="13">ROUND(H77*I77,0)</f>
        <v>0</v>
      </c>
      <c r="K77" s="159"/>
      <c r="L77" s="157">
        <v>0</v>
      </c>
      <c r="M77" s="462">
        <v>0</v>
      </c>
      <c r="N77" s="158">
        <f t="shared" ref="N77:N90" si="14">ROUND(L77*M77,0)</f>
        <v>0</v>
      </c>
      <c r="O77" s="159"/>
      <c r="P77" s="157">
        <v>0</v>
      </c>
      <c r="Q77" s="462">
        <v>0</v>
      </c>
      <c r="R77" s="158">
        <f t="shared" ref="R77:R90" si="15">ROUND(P77*Q77,0)</f>
        <v>0</v>
      </c>
    </row>
    <row r="78" spans="2:18" x14ac:dyDescent="0.25">
      <c r="B78" s="252" t="s">
        <v>178</v>
      </c>
      <c r="C78" s="275"/>
      <c r="D78" s="157">
        <v>0</v>
      </c>
      <c r="E78" s="462">
        <v>0</v>
      </c>
      <c r="F78" s="158">
        <f t="shared" si="12"/>
        <v>0</v>
      </c>
      <c r="G78" s="159"/>
      <c r="H78" s="157">
        <v>0</v>
      </c>
      <c r="I78" s="462">
        <v>0</v>
      </c>
      <c r="J78" s="158">
        <f t="shared" si="13"/>
        <v>0</v>
      </c>
      <c r="K78" s="159"/>
      <c r="L78" s="157">
        <v>0</v>
      </c>
      <c r="M78" s="462">
        <v>0</v>
      </c>
      <c r="N78" s="158">
        <f t="shared" si="14"/>
        <v>0</v>
      </c>
      <c r="O78" s="159"/>
      <c r="P78" s="157">
        <v>0</v>
      </c>
      <c r="Q78" s="462">
        <v>0</v>
      </c>
      <c r="R78" s="158">
        <f t="shared" si="15"/>
        <v>0</v>
      </c>
    </row>
    <row r="79" spans="2:18" x14ac:dyDescent="0.25">
      <c r="B79" s="252" t="s">
        <v>178</v>
      </c>
      <c r="C79" s="275"/>
      <c r="D79" s="157">
        <v>0</v>
      </c>
      <c r="E79" s="462">
        <v>0</v>
      </c>
      <c r="F79" s="158">
        <f t="shared" si="12"/>
        <v>0</v>
      </c>
      <c r="G79" s="159"/>
      <c r="H79" s="157">
        <v>0</v>
      </c>
      <c r="I79" s="462">
        <v>0</v>
      </c>
      <c r="J79" s="158">
        <f t="shared" si="13"/>
        <v>0</v>
      </c>
      <c r="K79" s="159"/>
      <c r="L79" s="157">
        <v>0</v>
      </c>
      <c r="M79" s="462">
        <v>0</v>
      </c>
      <c r="N79" s="158">
        <f t="shared" si="14"/>
        <v>0</v>
      </c>
      <c r="O79" s="159"/>
      <c r="P79" s="157">
        <v>0</v>
      </c>
      <c r="Q79" s="462">
        <v>0</v>
      </c>
      <c r="R79" s="158">
        <f t="shared" si="15"/>
        <v>0</v>
      </c>
    </row>
    <row r="80" spans="2:18" x14ac:dyDescent="0.25">
      <c r="B80" s="252" t="s">
        <v>178</v>
      </c>
      <c r="C80" s="275"/>
      <c r="D80" s="157">
        <v>0</v>
      </c>
      <c r="E80" s="462">
        <v>0</v>
      </c>
      <c r="F80" s="158">
        <f t="shared" si="12"/>
        <v>0</v>
      </c>
      <c r="G80" s="159"/>
      <c r="H80" s="157">
        <v>0</v>
      </c>
      <c r="I80" s="462">
        <v>0</v>
      </c>
      <c r="J80" s="158">
        <f t="shared" si="13"/>
        <v>0</v>
      </c>
      <c r="K80" s="159"/>
      <c r="L80" s="157">
        <v>0</v>
      </c>
      <c r="M80" s="462">
        <v>0</v>
      </c>
      <c r="N80" s="158">
        <f t="shared" si="14"/>
        <v>0</v>
      </c>
      <c r="O80" s="159"/>
      <c r="P80" s="157">
        <v>0</v>
      </c>
      <c r="Q80" s="462">
        <v>0</v>
      </c>
      <c r="R80" s="158">
        <f t="shared" si="15"/>
        <v>0</v>
      </c>
    </row>
    <row r="81" spans="2:18" x14ac:dyDescent="0.25">
      <c r="B81" s="252" t="s">
        <v>178</v>
      </c>
      <c r="C81" s="284" t="s">
        <v>199</v>
      </c>
      <c r="D81" s="157">
        <v>0</v>
      </c>
      <c r="E81" s="462">
        <v>0</v>
      </c>
      <c r="F81" s="158">
        <f t="shared" si="12"/>
        <v>0</v>
      </c>
      <c r="G81" s="159"/>
      <c r="H81" s="157">
        <v>0</v>
      </c>
      <c r="I81" s="462">
        <v>0</v>
      </c>
      <c r="J81" s="158">
        <f t="shared" si="13"/>
        <v>0</v>
      </c>
      <c r="K81" s="159"/>
      <c r="L81" s="157">
        <v>0</v>
      </c>
      <c r="M81" s="462">
        <v>0</v>
      </c>
      <c r="N81" s="158">
        <f t="shared" si="14"/>
        <v>0</v>
      </c>
      <c r="O81" s="159"/>
      <c r="P81" s="157">
        <v>0</v>
      </c>
      <c r="Q81" s="462">
        <v>0</v>
      </c>
      <c r="R81" s="158">
        <f t="shared" si="15"/>
        <v>0</v>
      </c>
    </row>
    <row r="82" spans="2:18" x14ac:dyDescent="0.25">
      <c r="B82" s="252" t="s">
        <v>178</v>
      </c>
      <c r="C82" s="275"/>
      <c r="D82" s="157">
        <v>0</v>
      </c>
      <c r="E82" s="462">
        <v>0</v>
      </c>
      <c r="F82" s="158">
        <f t="shared" si="12"/>
        <v>0</v>
      </c>
      <c r="G82" s="159"/>
      <c r="H82" s="157">
        <v>0</v>
      </c>
      <c r="I82" s="462">
        <v>0</v>
      </c>
      <c r="J82" s="158">
        <f t="shared" si="13"/>
        <v>0</v>
      </c>
      <c r="K82" s="159"/>
      <c r="L82" s="157">
        <v>0</v>
      </c>
      <c r="M82" s="462">
        <v>0</v>
      </c>
      <c r="N82" s="158">
        <f t="shared" si="14"/>
        <v>0</v>
      </c>
      <c r="O82" s="159"/>
      <c r="P82" s="157">
        <v>0</v>
      </c>
      <c r="Q82" s="462">
        <v>0</v>
      </c>
      <c r="R82" s="158">
        <f t="shared" si="15"/>
        <v>0</v>
      </c>
    </row>
    <row r="83" spans="2:18" x14ac:dyDescent="0.25">
      <c r="B83" s="252" t="s">
        <v>178</v>
      </c>
      <c r="C83" s="275"/>
      <c r="D83" s="157">
        <v>0</v>
      </c>
      <c r="E83" s="462">
        <v>0</v>
      </c>
      <c r="F83" s="158">
        <f t="shared" si="12"/>
        <v>0</v>
      </c>
      <c r="G83" s="159"/>
      <c r="H83" s="157">
        <v>0</v>
      </c>
      <c r="I83" s="462">
        <v>0</v>
      </c>
      <c r="J83" s="158">
        <f t="shared" si="13"/>
        <v>0</v>
      </c>
      <c r="K83" s="159"/>
      <c r="L83" s="157">
        <v>0</v>
      </c>
      <c r="M83" s="462">
        <v>0</v>
      </c>
      <c r="N83" s="158">
        <f t="shared" si="14"/>
        <v>0</v>
      </c>
      <c r="O83" s="159"/>
      <c r="P83" s="157">
        <v>0</v>
      </c>
      <c r="Q83" s="462">
        <v>0</v>
      </c>
      <c r="R83" s="158">
        <f t="shared" si="15"/>
        <v>0</v>
      </c>
    </row>
    <row r="84" spans="2:18" x14ac:dyDescent="0.25">
      <c r="B84" s="252" t="s">
        <v>178</v>
      </c>
      <c r="C84" s="275"/>
      <c r="D84" s="157">
        <v>0</v>
      </c>
      <c r="E84" s="462">
        <v>0</v>
      </c>
      <c r="F84" s="158">
        <f t="shared" si="12"/>
        <v>0</v>
      </c>
      <c r="G84" s="159"/>
      <c r="H84" s="157">
        <v>0</v>
      </c>
      <c r="I84" s="462">
        <v>0</v>
      </c>
      <c r="J84" s="158">
        <f t="shared" si="13"/>
        <v>0</v>
      </c>
      <c r="K84" s="159"/>
      <c r="L84" s="157">
        <v>0</v>
      </c>
      <c r="M84" s="462">
        <v>0</v>
      </c>
      <c r="N84" s="158">
        <f t="shared" si="14"/>
        <v>0</v>
      </c>
      <c r="O84" s="159"/>
      <c r="P84" s="157">
        <v>0</v>
      </c>
      <c r="Q84" s="462">
        <v>0</v>
      </c>
      <c r="R84" s="158">
        <f t="shared" si="15"/>
        <v>0</v>
      </c>
    </row>
    <row r="85" spans="2:18" x14ac:dyDescent="0.25">
      <c r="B85" s="252" t="s">
        <v>178</v>
      </c>
      <c r="C85" s="275"/>
      <c r="D85" s="157">
        <v>0</v>
      </c>
      <c r="E85" s="462">
        <v>0</v>
      </c>
      <c r="F85" s="158">
        <f t="shared" si="12"/>
        <v>0</v>
      </c>
      <c r="G85" s="159"/>
      <c r="H85" s="157">
        <v>0</v>
      </c>
      <c r="I85" s="462">
        <v>0</v>
      </c>
      <c r="J85" s="158">
        <f t="shared" si="13"/>
        <v>0</v>
      </c>
      <c r="K85" s="159"/>
      <c r="L85" s="157">
        <v>0</v>
      </c>
      <c r="M85" s="462">
        <v>0</v>
      </c>
      <c r="N85" s="158">
        <f t="shared" si="14"/>
        <v>0</v>
      </c>
      <c r="O85" s="159"/>
      <c r="P85" s="157">
        <v>0</v>
      </c>
      <c r="Q85" s="462">
        <v>0</v>
      </c>
      <c r="R85" s="158">
        <f t="shared" si="15"/>
        <v>0</v>
      </c>
    </row>
    <row r="86" spans="2:18" x14ac:dyDescent="0.25">
      <c r="B86" s="252" t="s">
        <v>178</v>
      </c>
      <c r="C86" s="284" t="s">
        <v>200</v>
      </c>
      <c r="D86" s="157">
        <v>0</v>
      </c>
      <c r="E86" s="462">
        <v>0</v>
      </c>
      <c r="F86" s="158">
        <f t="shared" si="12"/>
        <v>0</v>
      </c>
      <c r="G86" s="159"/>
      <c r="H86" s="157">
        <v>0</v>
      </c>
      <c r="I86" s="462">
        <v>0</v>
      </c>
      <c r="J86" s="158">
        <f t="shared" si="13"/>
        <v>0</v>
      </c>
      <c r="K86" s="159"/>
      <c r="L86" s="157">
        <v>0</v>
      </c>
      <c r="M86" s="462">
        <v>0</v>
      </c>
      <c r="N86" s="158">
        <f t="shared" si="14"/>
        <v>0</v>
      </c>
      <c r="O86" s="159"/>
      <c r="P86" s="157">
        <v>0</v>
      </c>
      <c r="Q86" s="462">
        <v>0</v>
      </c>
      <c r="R86" s="158">
        <f t="shared" si="15"/>
        <v>0</v>
      </c>
    </row>
    <row r="87" spans="2:18" x14ac:dyDescent="0.25">
      <c r="B87" s="252" t="s">
        <v>178</v>
      </c>
      <c r="C87" s="275"/>
      <c r="D87" s="157">
        <v>0</v>
      </c>
      <c r="E87" s="462">
        <v>0</v>
      </c>
      <c r="F87" s="158">
        <f t="shared" si="12"/>
        <v>0</v>
      </c>
      <c r="G87" s="159"/>
      <c r="H87" s="157">
        <v>0</v>
      </c>
      <c r="I87" s="462">
        <v>0</v>
      </c>
      <c r="J87" s="158">
        <f t="shared" si="13"/>
        <v>0</v>
      </c>
      <c r="K87" s="159"/>
      <c r="L87" s="157">
        <v>0</v>
      </c>
      <c r="M87" s="462">
        <v>0</v>
      </c>
      <c r="N87" s="158">
        <f t="shared" si="14"/>
        <v>0</v>
      </c>
      <c r="O87" s="159"/>
      <c r="P87" s="157">
        <v>0</v>
      </c>
      <c r="Q87" s="462">
        <v>0</v>
      </c>
      <c r="R87" s="158">
        <f t="shared" si="15"/>
        <v>0</v>
      </c>
    </row>
    <row r="88" spans="2:18" x14ac:dyDescent="0.25">
      <c r="B88" s="252" t="s">
        <v>178</v>
      </c>
      <c r="C88" s="275"/>
      <c r="D88" s="157">
        <v>0</v>
      </c>
      <c r="E88" s="462">
        <v>0</v>
      </c>
      <c r="F88" s="158">
        <f t="shared" si="12"/>
        <v>0</v>
      </c>
      <c r="G88" s="159"/>
      <c r="H88" s="157">
        <v>0</v>
      </c>
      <c r="I88" s="462">
        <v>0</v>
      </c>
      <c r="J88" s="158">
        <f t="shared" si="13"/>
        <v>0</v>
      </c>
      <c r="K88" s="159"/>
      <c r="L88" s="157">
        <v>0</v>
      </c>
      <c r="M88" s="462">
        <v>0</v>
      </c>
      <c r="N88" s="158">
        <f t="shared" si="14"/>
        <v>0</v>
      </c>
      <c r="O88" s="159"/>
      <c r="P88" s="157">
        <v>0</v>
      </c>
      <c r="Q88" s="462">
        <v>0</v>
      </c>
      <c r="R88" s="158">
        <f t="shared" si="15"/>
        <v>0</v>
      </c>
    </row>
    <row r="89" spans="2:18" x14ac:dyDescent="0.25">
      <c r="B89" s="252" t="s">
        <v>178</v>
      </c>
      <c r="C89" s="275"/>
      <c r="D89" s="157">
        <v>0</v>
      </c>
      <c r="E89" s="462">
        <v>0</v>
      </c>
      <c r="F89" s="158">
        <f t="shared" si="12"/>
        <v>0</v>
      </c>
      <c r="G89" s="159"/>
      <c r="H89" s="157">
        <v>0</v>
      </c>
      <c r="I89" s="462">
        <v>0</v>
      </c>
      <c r="J89" s="158">
        <f t="shared" si="13"/>
        <v>0</v>
      </c>
      <c r="K89" s="159"/>
      <c r="L89" s="157">
        <v>0</v>
      </c>
      <c r="M89" s="462">
        <v>0</v>
      </c>
      <c r="N89" s="158">
        <f t="shared" si="14"/>
        <v>0</v>
      </c>
      <c r="O89" s="159"/>
      <c r="P89" s="157">
        <v>0</v>
      </c>
      <c r="Q89" s="462">
        <v>0</v>
      </c>
      <c r="R89" s="158">
        <f t="shared" si="15"/>
        <v>0</v>
      </c>
    </row>
    <row r="90" spans="2:18" ht="15.75" thickBot="1" x14ac:dyDescent="0.3">
      <c r="B90" s="294" t="s">
        <v>178</v>
      </c>
      <c r="C90" s="295"/>
      <c r="D90" s="157">
        <v>0</v>
      </c>
      <c r="E90" s="462">
        <v>0</v>
      </c>
      <c r="F90" s="158">
        <f t="shared" si="12"/>
        <v>0</v>
      </c>
      <c r="G90" s="159"/>
      <c r="H90" s="157">
        <v>0</v>
      </c>
      <c r="I90" s="462">
        <v>0</v>
      </c>
      <c r="J90" s="158">
        <f t="shared" si="13"/>
        <v>0</v>
      </c>
      <c r="K90" s="159"/>
      <c r="L90" s="157">
        <v>0</v>
      </c>
      <c r="M90" s="462">
        <v>0</v>
      </c>
      <c r="N90" s="158">
        <f t="shared" si="14"/>
        <v>0</v>
      </c>
      <c r="O90" s="159"/>
      <c r="P90" s="157">
        <v>0</v>
      </c>
      <c r="Q90" s="462">
        <v>0</v>
      </c>
      <c r="R90" s="158">
        <f t="shared" si="15"/>
        <v>0</v>
      </c>
    </row>
    <row r="91" spans="2:18" ht="15.75" thickBot="1" x14ac:dyDescent="0.3">
      <c r="B91" s="298" t="s">
        <v>151</v>
      </c>
      <c r="C91" s="296"/>
      <c r="D91" s="257">
        <f>SUM(D76:D90)</f>
        <v>0</v>
      </c>
      <c r="E91" s="205"/>
      <c r="F91" s="164">
        <f>ROUND(SUM(F76:F90),0)</f>
        <v>0</v>
      </c>
      <c r="G91" s="165"/>
      <c r="H91" s="257">
        <f>SUM(H76:H90)</f>
        <v>0</v>
      </c>
      <c r="I91" s="205" t="s">
        <v>5</v>
      </c>
      <c r="J91" s="164">
        <f>ROUND(SUM(J76:J90),0)</f>
        <v>0</v>
      </c>
      <c r="K91" s="165"/>
      <c r="L91" s="257">
        <f>SUM(L76:L90)</f>
        <v>0</v>
      </c>
      <c r="M91" s="205"/>
      <c r="N91" s="164">
        <f>ROUND(SUM(N76:N90),0)</f>
        <v>0</v>
      </c>
      <c r="O91" s="165"/>
      <c r="P91" s="257">
        <f>SUM(P76:P90)</f>
        <v>0</v>
      </c>
      <c r="Q91" s="205"/>
      <c r="R91" s="164">
        <f>ROUND(SUM(R76:R90),0)</f>
        <v>0</v>
      </c>
    </row>
    <row r="92" spans="2:18" ht="15.75" thickBot="1" x14ac:dyDescent="0.3"/>
    <row r="93" spans="2:18" ht="16.5" thickBot="1" x14ac:dyDescent="0.3">
      <c r="B93" s="601" t="s">
        <v>459</v>
      </c>
      <c r="C93" s="602"/>
      <c r="D93" s="594" t="s">
        <v>134</v>
      </c>
      <c r="E93" s="595"/>
      <c r="F93" s="596"/>
      <c r="G93" s="151"/>
      <c r="H93" s="594" t="s">
        <v>134</v>
      </c>
      <c r="I93" s="595"/>
      <c r="J93" s="596"/>
      <c r="K93" s="151"/>
      <c r="L93" s="594" t="s">
        <v>134</v>
      </c>
      <c r="M93" s="595"/>
      <c r="N93" s="596"/>
      <c r="O93" s="151"/>
      <c r="P93" s="594" t="s">
        <v>134</v>
      </c>
      <c r="Q93" s="595"/>
      <c r="R93" s="596"/>
    </row>
    <row r="94" spans="2:18" ht="16.5" thickBot="1" x14ac:dyDescent="0.3">
      <c r="B94" s="603"/>
      <c r="C94" s="604"/>
      <c r="D94" s="591" t="str">
        <f>D10</f>
        <v>Basic Period (Year 1)</v>
      </c>
      <c r="E94" s="592"/>
      <c r="F94" s="593"/>
      <c r="G94" s="152"/>
      <c r="H94" s="591" t="str">
        <f>H10</f>
        <v>Basic Period (Year 2)</v>
      </c>
      <c r="I94" s="592"/>
      <c r="J94" s="593"/>
      <c r="K94" s="152"/>
      <c r="L94" s="591" t="str">
        <f>L10</f>
        <v>Basic Period (Year 3)</v>
      </c>
      <c r="M94" s="592"/>
      <c r="N94" s="593"/>
      <c r="O94" s="152"/>
      <c r="P94" s="591" t="str">
        <f>P10</f>
        <v>Basic Period (Year 4)</v>
      </c>
      <c r="Q94" s="592"/>
      <c r="R94" s="593"/>
    </row>
    <row r="95" spans="2:18" ht="16.5" thickBot="1" x14ac:dyDescent="0.3">
      <c r="B95" s="153" t="s">
        <v>110</v>
      </c>
      <c r="C95" s="153" t="s">
        <v>256</v>
      </c>
      <c r="D95" s="153" t="s">
        <v>91</v>
      </c>
      <c r="E95" s="154" t="s">
        <v>133</v>
      </c>
      <c r="F95" s="155" t="s">
        <v>139</v>
      </c>
      <c r="G95" s="156"/>
      <c r="H95" s="153" t="s">
        <v>91</v>
      </c>
      <c r="I95" s="154" t="s">
        <v>133</v>
      </c>
      <c r="J95" s="155" t="s">
        <v>139</v>
      </c>
      <c r="K95" s="156"/>
      <c r="L95" s="153" t="s">
        <v>91</v>
      </c>
      <c r="M95" s="154" t="s">
        <v>133</v>
      </c>
      <c r="N95" s="155" t="s">
        <v>139</v>
      </c>
      <c r="O95" s="156"/>
      <c r="P95" s="153" t="s">
        <v>91</v>
      </c>
      <c r="Q95" s="154" t="s">
        <v>133</v>
      </c>
      <c r="R95" s="155" t="s">
        <v>139</v>
      </c>
    </row>
    <row r="96" spans="2:18" ht="128.25" x14ac:dyDescent="0.25">
      <c r="B96" s="203" t="s">
        <v>601</v>
      </c>
      <c r="C96" s="203" t="s">
        <v>466</v>
      </c>
      <c r="D96" s="203" t="s">
        <v>565</v>
      </c>
      <c r="E96" s="203" t="s">
        <v>600</v>
      </c>
      <c r="F96" s="203"/>
      <c r="G96" s="156"/>
      <c r="H96" s="203" t="s">
        <v>565</v>
      </c>
      <c r="I96" s="203" t="s">
        <v>600</v>
      </c>
      <c r="J96" s="203"/>
      <c r="K96" s="156"/>
      <c r="L96" s="203" t="s">
        <v>565</v>
      </c>
      <c r="M96" s="203" t="s">
        <v>600</v>
      </c>
      <c r="N96" s="203"/>
      <c r="O96" s="156"/>
      <c r="P96" s="203" t="s">
        <v>565</v>
      </c>
      <c r="Q96" s="203" t="s">
        <v>600</v>
      </c>
      <c r="R96" s="489"/>
    </row>
    <row r="97" spans="2:18" x14ac:dyDescent="0.25">
      <c r="B97" s="252" t="s">
        <v>178</v>
      </c>
      <c r="C97" s="284" t="s">
        <v>201</v>
      </c>
      <c r="D97" s="157">
        <v>0</v>
      </c>
      <c r="E97" s="462">
        <v>0</v>
      </c>
      <c r="F97" s="158">
        <f>ROUND(D97*E97,0)</f>
        <v>0</v>
      </c>
      <c r="G97" s="159"/>
      <c r="H97" s="157">
        <v>0</v>
      </c>
      <c r="I97" s="462">
        <v>0</v>
      </c>
      <c r="J97" s="158">
        <f>ROUND(H97*I97,0)</f>
        <v>0</v>
      </c>
      <c r="K97" s="159"/>
      <c r="L97" s="157">
        <v>0</v>
      </c>
      <c r="M97" s="462">
        <v>0</v>
      </c>
      <c r="N97" s="158">
        <f>ROUND(L97*M97,0)</f>
        <v>0</v>
      </c>
      <c r="O97" s="159"/>
      <c r="P97" s="157">
        <v>0</v>
      </c>
      <c r="Q97" s="462">
        <v>0</v>
      </c>
      <c r="R97" s="158">
        <f>ROUND(P97*Q97,0)</f>
        <v>0</v>
      </c>
    </row>
    <row r="98" spans="2:18" x14ac:dyDescent="0.25">
      <c r="B98" s="252" t="s">
        <v>178</v>
      </c>
      <c r="C98" s="275" t="s">
        <v>5</v>
      </c>
      <c r="D98" s="157">
        <v>0</v>
      </c>
      <c r="E98" s="462">
        <v>0</v>
      </c>
      <c r="F98" s="158">
        <f t="shared" ref="F98:F111" si="16">ROUND(D98*E98,0)</f>
        <v>0</v>
      </c>
      <c r="G98" s="159"/>
      <c r="H98" s="157">
        <v>0</v>
      </c>
      <c r="I98" s="462">
        <v>0</v>
      </c>
      <c r="J98" s="158">
        <f t="shared" ref="J98:J111" si="17">ROUND(H98*I98,0)</f>
        <v>0</v>
      </c>
      <c r="K98" s="159"/>
      <c r="L98" s="157">
        <v>0</v>
      </c>
      <c r="M98" s="462">
        <v>0</v>
      </c>
      <c r="N98" s="158">
        <f t="shared" ref="N98:N111" si="18">ROUND(L98*M98,0)</f>
        <v>0</v>
      </c>
      <c r="O98" s="159"/>
      <c r="P98" s="157">
        <v>0</v>
      </c>
      <c r="Q98" s="462">
        <v>0</v>
      </c>
      <c r="R98" s="158">
        <f t="shared" ref="R98:R111" si="19">ROUND(P98*Q98,0)</f>
        <v>0</v>
      </c>
    </row>
    <row r="99" spans="2:18" x14ac:dyDescent="0.25">
      <c r="B99" s="252" t="s">
        <v>178</v>
      </c>
      <c r="C99" s="275"/>
      <c r="D99" s="157">
        <v>0</v>
      </c>
      <c r="E99" s="462">
        <v>0</v>
      </c>
      <c r="F99" s="158">
        <f t="shared" si="16"/>
        <v>0</v>
      </c>
      <c r="G99" s="159"/>
      <c r="H99" s="157">
        <v>0</v>
      </c>
      <c r="I99" s="462">
        <v>0</v>
      </c>
      <c r="J99" s="158">
        <f t="shared" si="17"/>
        <v>0</v>
      </c>
      <c r="K99" s="159"/>
      <c r="L99" s="157">
        <v>0</v>
      </c>
      <c r="M99" s="462">
        <v>0</v>
      </c>
      <c r="N99" s="158">
        <f t="shared" si="18"/>
        <v>0</v>
      </c>
      <c r="O99" s="159"/>
      <c r="P99" s="157">
        <v>0</v>
      </c>
      <c r="Q99" s="462">
        <v>0</v>
      </c>
      <c r="R99" s="158">
        <f t="shared" si="19"/>
        <v>0</v>
      </c>
    </row>
    <row r="100" spans="2:18" x14ac:dyDescent="0.25">
      <c r="B100" s="252" t="s">
        <v>178</v>
      </c>
      <c r="C100" s="275"/>
      <c r="D100" s="157">
        <v>0</v>
      </c>
      <c r="E100" s="462">
        <v>0</v>
      </c>
      <c r="F100" s="158">
        <f t="shared" si="16"/>
        <v>0</v>
      </c>
      <c r="G100" s="159"/>
      <c r="H100" s="157">
        <v>0</v>
      </c>
      <c r="I100" s="462">
        <v>0</v>
      </c>
      <c r="J100" s="158">
        <f t="shared" si="17"/>
        <v>0</v>
      </c>
      <c r="K100" s="159"/>
      <c r="L100" s="157">
        <v>0</v>
      </c>
      <c r="M100" s="462">
        <v>0</v>
      </c>
      <c r="N100" s="158">
        <f t="shared" si="18"/>
        <v>0</v>
      </c>
      <c r="O100" s="159"/>
      <c r="P100" s="157">
        <v>0</v>
      </c>
      <c r="Q100" s="462">
        <v>0</v>
      </c>
      <c r="R100" s="158">
        <f t="shared" si="19"/>
        <v>0</v>
      </c>
    </row>
    <row r="101" spans="2:18" x14ac:dyDescent="0.25">
      <c r="B101" s="252" t="s">
        <v>178</v>
      </c>
      <c r="C101" s="275"/>
      <c r="D101" s="157">
        <v>0</v>
      </c>
      <c r="E101" s="462">
        <v>0</v>
      </c>
      <c r="F101" s="158">
        <f t="shared" si="16"/>
        <v>0</v>
      </c>
      <c r="G101" s="159"/>
      <c r="H101" s="157">
        <v>0</v>
      </c>
      <c r="I101" s="462">
        <v>0</v>
      </c>
      <c r="J101" s="158">
        <f t="shared" si="17"/>
        <v>0</v>
      </c>
      <c r="K101" s="159"/>
      <c r="L101" s="157">
        <v>0</v>
      </c>
      <c r="M101" s="462">
        <v>0</v>
      </c>
      <c r="N101" s="158">
        <f t="shared" si="18"/>
        <v>0</v>
      </c>
      <c r="O101" s="159"/>
      <c r="P101" s="157">
        <v>0</v>
      </c>
      <c r="Q101" s="462">
        <v>0</v>
      </c>
      <c r="R101" s="158">
        <f t="shared" si="19"/>
        <v>0</v>
      </c>
    </row>
    <row r="102" spans="2:18" x14ac:dyDescent="0.25">
      <c r="B102" s="252" t="s">
        <v>178</v>
      </c>
      <c r="C102" s="284" t="s">
        <v>202</v>
      </c>
      <c r="D102" s="157">
        <v>0</v>
      </c>
      <c r="E102" s="462">
        <v>0</v>
      </c>
      <c r="F102" s="158">
        <f t="shared" si="16"/>
        <v>0</v>
      </c>
      <c r="G102" s="159"/>
      <c r="H102" s="157">
        <v>0</v>
      </c>
      <c r="I102" s="462">
        <v>0</v>
      </c>
      <c r="J102" s="158">
        <f t="shared" si="17"/>
        <v>0</v>
      </c>
      <c r="K102" s="159"/>
      <c r="L102" s="157">
        <v>0</v>
      </c>
      <c r="M102" s="462">
        <v>0</v>
      </c>
      <c r="N102" s="158">
        <f t="shared" si="18"/>
        <v>0</v>
      </c>
      <c r="O102" s="159"/>
      <c r="P102" s="157">
        <v>0</v>
      </c>
      <c r="Q102" s="462">
        <v>0</v>
      </c>
      <c r="R102" s="158">
        <f t="shared" si="19"/>
        <v>0</v>
      </c>
    </row>
    <row r="103" spans="2:18" x14ac:dyDescent="0.25">
      <c r="B103" s="252" t="s">
        <v>178</v>
      </c>
      <c r="C103" s="275"/>
      <c r="D103" s="157">
        <v>0</v>
      </c>
      <c r="E103" s="462">
        <v>0</v>
      </c>
      <c r="F103" s="158">
        <f t="shared" si="16"/>
        <v>0</v>
      </c>
      <c r="G103" s="159"/>
      <c r="H103" s="157">
        <v>0</v>
      </c>
      <c r="I103" s="462">
        <v>0</v>
      </c>
      <c r="J103" s="158">
        <f t="shared" si="17"/>
        <v>0</v>
      </c>
      <c r="K103" s="159"/>
      <c r="L103" s="157">
        <v>0</v>
      </c>
      <c r="M103" s="462">
        <v>0</v>
      </c>
      <c r="N103" s="158">
        <f t="shared" si="18"/>
        <v>0</v>
      </c>
      <c r="O103" s="159"/>
      <c r="P103" s="157">
        <v>0</v>
      </c>
      <c r="Q103" s="462">
        <v>0</v>
      </c>
      <c r="R103" s="158">
        <f t="shared" si="19"/>
        <v>0</v>
      </c>
    </row>
    <row r="104" spans="2:18" x14ac:dyDescent="0.25">
      <c r="B104" s="252" t="s">
        <v>178</v>
      </c>
      <c r="C104" s="275"/>
      <c r="D104" s="157">
        <v>0</v>
      </c>
      <c r="E104" s="462">
        <v>0</v>
      </c>
      <c r="F104" s="158">
        <f t="shared" si="16"/>
        <v>0</v>
      </c>
      <c r="G104" s="159"/>
      <c r="H104" s="157">
        <v>0</v>
      </c>
      <c r="I104" s="462">
        <v>0</v>
      </c>
      <c r="J104" s="158">
        <f t="shared" si="17"/>
        <v>0</v>
      </c>
      <c r="K104" s="159"/>
      <c r="L104" s="157">
        <v>0</v>
      </c>
      <c r="M104" s="462">
        <v>0</v>
      </c>
      <c r="N104" s="158">
        <f t="shared" si="18"/>
        <v>0</v>
      </c>
      <c r="O104" s="159"/>
      <c r="P104" s="157">
        <v>0</v>
      </c>
      <c r="Q104" s="462">
        <v>0</v>
      </c>
      <c r="R104" s="158">
        <f t="shared" si="19"/>
        <v>0</v>
      </c>
    </row>
    <row r="105" spans="2:18" x14ac:dyDescent="0.25">
      <c r="B105" s="252" t="s">
        <v>178</v>
      </c>
      <c r="C105" s="275"/>
      <c r="D105" s="157">
        <v>0</v>
      </c>
      <c r="E105" s="462">
        <v>0</v>
      </c>
      <c r="F105" s="158">
        <f t="shared" si="16"/>
        <v>0</v>
      </c>
      <c r="G105" s="159"/>
      <c r="H105" s="157">
        <v>0</v>
      </c>
      <c r="I105" s="462">
        <v>0</v>
      </c>
      <c r="J105" s="158">
        <f t="shared" si="17"/>
        <v>0</v>
      </c>
      <c r="K105" s="159"/>
      <c r="L105" s="157">
        <v>0</v>
      </c>
      <c r="M105" s="462">
        <v>0</v>
      </c>
      <c r="N105" s="158">
        <f t="shared" si="18"/>
        <v>0</v>
      </c>
      <c r="O105" s="159"/>
      <c r="P105" s="157">
        <v>0</v>
      </c>
      <c r="Q105" s="462">
        <v>0</v>
      </c>
      <c r="R105" s="158">
        <f t="shared" si="19"/>
        <v>0</v>
      </c>
    </row>
    <row r="106" spans="2:18" x14ac:dyDescent="0.25">
      <c r="B106" s="252" t="s">
        <v>178</v>
      </c>
      <c r="C106" s="275"/>
      <c r="D106" s="157">
        <v>0</v>
      </c>
      <c r="E106" s="462">
        <v>0</v>
      </c>
      <c r="F106" s="158">
        <f t="shared" si="16"/>
        <v>0</v>
      </c>
      <c r="G106" s="159"/>
      <c r="H106" s="157">
        <v>0</v>
      </c>
      <c r="I106" s="462">
        <v>0</v>
      </c>
      <c r="J106" s="158">
        <f t="shared" si="17"/>
        <v>0</v>
      </c>
      <c r="K106" s="159"/>
      <c r="L106" s="157">
        <v>0</v>
      </c>
      <c r="M106" s="462">
        <v>0</v>
      </c>
      <c r="N106" s="158">
        <f t="shared" si="18"/>
        <v>0</v>
      </c>
      <c r="O106" s="159"/>
      <c r="P106" s="157">
        <v>0</v>
      </c>
      <c r="Q106" s="462">
        <v>0</v>
      </c>
      <c r="R106" s="158">
        <f t="shared" si="19"/>
        <v>0</v>
      </c>
    </row>
    <row r="107" spans="2:18" x14ac:dyDescent="0.25">
      <c r="B107" s="252" t="s">
        <v>178</v>
      </c>
      <c r="C107" s="284" t="s">
        <v>203</v>
      </c>
      <c r="D107" s="157">
        <v>0</v>
      </c>
      <c r="E107" s="462">
        <v>0</v>
      </c>
      <c r="F107" s="158">
        <f t="shared" si="16"/>
        <v>0</v>
      </c>
      <c r="G107" s="159"/>
      <c r="H107" s="157">
        <v>0</v>
      </c>
      <c r="I107" s="462">
        <v>0</v>
      </c>
      <c r="J107" s="158">
        <f t="shared" si="17"/>
        <v>0</v>
      </c>
      <c r="K107" s="159"/>
      <c r="L107" s="157">
        <v>0</v>
      </c>
      <c r="M107" s="462">
        <v>0</v>
      </c>
      <c r="N107" s="158">
        <f t="shared" si="18"/>
        <v>0</v>
      </c>
      <c r="O107" s="159"/>
      <c r="P107" s="157">
        <v>0</v>
      </c>
      <c r="Q107" s="462">
        <v>0</v>
      </c>
      <c r="R107" s="158">
        <f t="shared" si="19"/>
        <v>0</v>
      </c>
    </row>
    <row r="108" spans="2:18" x14ac:dyDescent="0.25">
      <c r="B108" s="252" t="s">
        <v>178</v>
      </c>
      <c r="C108" s="275"/>
      <c r="D108" s="157">
        <v>0</v>
      </c>
      <c r="E108" s="462">
        <v>0</v>
      </c>
      <c r="F108" s="158">
        <f t="shared" si="16"/>
        <v>0</v>
      </c>
      <c r="G108" s="159"/>
      <c r="H108" s="157">
        <v>0</v>
      </c>
      <c r="I108" s="462">
        <v>0</v>
      </c>
      <c r="J108" s="158">
        <f t="shared" si="17"/>
        <v>0</v>
      </c>
      <c r="K108" s="159"/>
      <c r="L108" s="157">
        <v>0</v>
      </c>
      <c r="M108" s="462">
        <v>0</v>
      </c>
      <c r="N108" s="158">
        <f t="shared" si="18"/>
        <v>0</v>
      </c>
      <c r="O108" s="159"/>
      <c r="P108" s="157">
        <v>0</v>
      </c>
      <c r="Q108" s="462">
        <v>0</v>
      </c>
      <c r="R108" s="158">
        <f t="shared" si="19"/>
        <v>0</v>
      </c>
    </row>
    <row r="109" spans="2:18" x14ac:dyDescent="0.25">
      <c r="B109" s="252" t="s">
        <v>178</v>
      </c>
      <c r="C109" s="275"/>
      <c r="D109" s="157">
        <v>0</v>
      </c>
      <c r="E109" s="462">
        <v>0</v>
      </c>
      <c r="F109" s="158">
        <f t="shared" si="16"/>
        <v>0</v>
      </c>
      <c r="G109" s="159"/>
      <c r="H109" s="157">
        <v>0</v>
      </c>
      <c r="I109" s="462">
        <v>0</v>
      </c>
      <c r="J109" s="158">
        <f t="shared" si="17"/>
        <v>0</v>
      </c>
      <c r="K109" s="159"/>
      <c r="L109" s="157">
        <v>0</v>
      </c>
      <c r="M109" s="462">
        <v>0</v>
      </c>
      <c r="N109" s="158">
        <f t="shared" si="18"/>
        <v>0</v>
      </c>
      <c r="O109" s="159"/>
      <c r="P109" s="157">
        <v>0</v>
      </c>
      <c r="Q109" s="462">
        <v>0</v>
      </c>
      <c r="R109" s="158">
        <f t="shared" si="19"/>
        <v>0</v>
      </c>
    </row>
    <row r="110" spans="2:18" x14ac:dyDescent="0.25">
      <c r="B110" s="252" t="s">
        <v>178</v>
      </c>
      <c r="C110" s="275"/>
      <c r="D110" s="157">
        <v>0</v>
      </c>
      <c r="E110" s="462">
        <v>0</v>
      </c>
      <c r="F110" s="158">
        <f t="shared" si="16"/>
        <v>0</v>
      </c>
      <c r="G110" s="159"/>
      <c r="H110" s="157">
        <v>0</v>
      </c>
      <c r="I110" s="462">
        <v>0</v>
      </c>
      <c r="J110" s="158">
        <f t="shared" si="17"/>
        <v>0</v>
      </c>
      <c r="K110" s="159"/>
      <c r="L110" s="157">
        <v>0</v>
      </c>
      <c r="M110" s="462">
        <v>0</v>
      </c>
      <c r="N110" s="158">
        <f t="shared" si="18"/>
        <v>0</v>
      </c>
      <c r="O110" s="159"/>
      <c r="P110" s="157">
        <v>0</v>
      </c>
      <c r="Q110" s="462">
        <v>0</v>
      </c>
      <c r="R110" s="158">
        <f t="shared" si="19"/>
        <v>0</v>
      </c>
    </row>
    <row r="111" spans="2:18" ht="15.75" thickBot="1" x14ac:dyDescent="0.3">
      <c r="B111" s="294" t="s">
        <v>178</v>
      </c>
      <c r="C111" s="295"/>
      <c r="D111" s="157">
        <v>0</v>
      </c>
      <c r="E111" s="462">
        <v>0</v>
      </c>
      <c r="F111" s="158">
        <f t="shared" si="16"/>
        <v>0</v>
      </c>
      <c r="G111" s="159"/>
      <c r="H111" s="157">
        <v>0</v>
      </c>
      <c r="I111" s="462">
        <v>0</v>
      </c>
      <c r="J111" s="158">
        <f t="shared" si="17"/>
        <v>0</v>
      </c>
      <c r="K111" s="159"/>
      <c r="L111" s="157">
        <v>0</v>
      </c>
      <c r="M111" s="462">
        <v>0</v>
      </c>
      <c r="N111" s="158">
        <f t="shared" si="18"/>
        <v>0</v>
      </c>
      <c r="O111" s="159"/>
      <c r="P111" s="157">
        <v>0</v>
      </c>
      <c r="Q111" s="462">
        <v>0</v>
      </c>
      <c r="R111" s="158">
        <f t="shared" si="19"/>
        <v>0</v>
      </c>
    </row>
    <row r="112" spans="2:18" ht="15.75" thickBot="1" x14ac:dyDescent="0.3">
      <c r="B112" s="298" t="s">
        <v>151</v>
      </c>
      <c r="C112" s="296"/>
      <c r="D112" s="257">
        <f>SUM(D97:D111)</f>
        <v>0</v>
      </c>
      <c r="E112" s="205"/>
      <c r="F112" s="164">
        <f>ROUND(SUM(F97:F111),0)</f>
        <v>0</v>
      </c>
      <c r="G112" s="165"/>
      <c r="H112" s="257">
        <f>SUM(H97:H111)</f>
        <v>0</v>
      </c>
      <c r="I112" s="205" t="s">
        <v>5</v>
      </c>
      <c r="J112" s="164">
        <f>ROUND(SUM(J97:J111),0)</f>
        <v>0</v>
      </c>
      <c r="K112" s="165"/>
      <c r="L112" s="257">
        <f>SUM(L97:L111)</f>
        <v>0</v>
      </c>
      <c r="M112" s="205"/>
      <c r="N112" s="164">
        <f>ROUND(SUM(N97:N111),0)</f>
        <v>0</v>
      </c>
      <c r="O112" s="165"/>
      <c r="P112" s="257">
        <f>SUM(P97:P111)</f>
        <v>0</v>
      </c>
      <c r="Q112" s="205"/>
      <c r="R112" s="164">
        <f>ROUND(SUM(R97:R111),0)</f>
        <v>0</v>
      </c>
    </row>
    <row r="113" spans="2:18" ht="15.75" thickBot="1" x14ac:dyDescent="0.3"/>
    <row r="114" spans="2:18" ht="16.5" thickBot="1" x14ac:dyDescent="0.3">
      <c r="B114" s="601" t="s">
        <v>460</v>
      </c>
      <c r="C114" s="602"/>
      <c r="D114" s="594" t="s">
        <v>134</v>
      </c>
      <c r="E114" s="595"/>
      <c r="F114" s="596"/>
      <c r="G114" s="151"/>
      <c r="H114" s="594" t="s">
        <v>134</v>
      </c>
      <c r="I114" s="595"/>
      <c r="J114" s="596"/>
      <c r="K114" s="151"/>
      <c r="L114" s="594" t="s">
        <v>134</v>
      </c>
      <c r="M114" s="595"/>
      <c r="N114" s="596"/>
      <c r="O114" s="151"/>
      <c r="P114" s="594" t="s">
        <v>134</v>
      </c>
      <c r="Q114" s="595"/>
      <c r="R114" s="596"/>
    </row>
    <row r="115" spans="2:18" ht="16.5" thickBot="1" x14ac:dyDescent="0.3">
      <c r="B115" s="603"/>
      <c r="C115" s="604"/>
      <c r="D115" s="591" t="str">
        <f>D10</f>
        <v>Basic Period (Year 1)</v>
      </c>
      <c r="E115" s="592"/>
      <c r="F115" s="593"/>
      <c r="G115" s="152"/>
      <c r="H115" s="591" t="str">
        <f>H10</f>
        <v>Basic Period (Year 2)</v>
      </c>
      <c r="I115" s="592"/>
      <c r="J115" s="593"/>
      <c r="K115" s="152"/>
      <c r="L115" s="591" t="str">
        <f>L10</f>
        <v>Basic Period (Year 3)</v>
      </c>
      <c r="M115" s="592"/>
      <c r="N115" s="593"/>
      <c r="O115" s="152"/>
      <c r="P115" s="591" t="str">
        <f>P10</f>
        <v>Basic Period (Year 4)</v>
      </c>
      <c r="Q115" s="592"/>
      <c r="R115" s="593"/>
    </row>
    <row r="116" spans="2:18" ht="16.5" thickBot="1" x14ac:dyDescent="0.3">
      <c r="B116" s="153" t="s">
        <v>110</v>
      </c>
      <c r="C116" s="153" t="s">
        <v>256</v>
      </c>
      <c r="D116" s="153" t="s">
        <v>91</v>
      </c>
      <c r="E116" s="154" t="s">
        <v>133</v>
      </c>
      <c r="F116" s="155" t="s">
        <v>139</v>
      </c>
      <c r="G116" s="156"/>
      <c r="H116" s="153" t="s">
        <v>91</v>
      </c>
      <c r="I116" s="154" t="s">
        <v>133</v>
      </c>
      <c r="J116" s="155" t="s">
        <v>139</v>
      </c>
      <c r="K116" s="156"/>
      <c r="L116" s="153" t="s">
        <v>91</v>
      </c>
      <c r="M116" s="154" t="s">
        <v>133</v>
      </c>
      <c r="N116" s="155" t="s">
        <v>139</v>
      </c>
      <c r="O116" s="156"/>
      <c r="P116" s="153" t="s">
        <v>91</v>
      </c>
      <c r="Q116" s="154" t="s">
        <v>133</v>
      </c>
      <c r="R116" s="155" t="s">
        <v>139</v>
      </c>
    </row>
    <row r="117" spans="2:18" ht="128.25" x14ac:dyDescent="0.25">
      <c r="B117" s="203" t="s">
        <v>601</v>
      </c>
      <c r="C117" s="203" t="s">
        <v>466</v>
      </c>
      <c r="D117" s="203" t="s">
        <v>565</v>
      </c>
      <c r="E117" s="203" t="s">
        <v>600</v>
      </c>
      <c r="F117" s="203"/>
      <c r="G117" s="156"/>
      <c r="H117" s="203" t="s">
        <v>565</v>
      </c>
      <c r="I117" s="203" t="s">
        <v>600</v>
      </c>
      <c r="J117" s="203"/>
      <c r="K117" s="156"/>
      <c r="L117" s="203" t="s">
        <v>565</v>
      </c>
      <c r="M117" s="203" t="s">
        <v>600</v>
      </c>
      <c r="N117" s="203"/>
      <c r="O117" s="156"/>
      <c r="P117" s="203" t="s">
        <v>565</v>
      </c>
      <c r="Q117" s="203" t="s">
        <v>600</v>
      </c>
      <c r="R117" s="489"/>
    </row>
    <row r="118" spans="2:18" x14ac:dyDescent="0.25">
      <c r="B118" s="252" t="s">
        <v>178</v>
      </c>
      <c r="C118" s="284" t="s">
        <v>204</v>
      </c>
      <c r="D118" s="157">
        <v>0</v>
      </c>
      <c r="E118" s="462">
        <v>0</v>
      </c>
      <c r="F118" s="158">
        <f>ROUND(D118*E118,0)</f>
        <v>0</v>
      </c>
      <c r="G118" s="159"/>
      <c r="H118" s="157">
        <v>0</v>
      </c>
      <c r="I118" s="462">
        <v>0</v>
      </c>
      <c r="J118" s="158">
        <f>ROUND(H118*I118,0)</f>
        <v>0</v>
      </c>
      <c r="K118" s="159"/>
      <c r="L118" s="157">
        <v>0</v>
      </c>
      <c r="M118" s="462">
        <v>0</v>
      </c>
      <c r="N118" s="158">
        <f>ROUND(L118*M118,0)</f>
        <v>0</v>
      </c>
      <c r="O118" s="159"/>
      <c r="P118" s="157">
        <v>0</v>
      </c>
      <c r="Q118" s="462">
        <v>0</v>
      </c>
      <c r="R118" s="158">
        <f>ROUND(P118*Q118,0)</f>
        <v>0</v>
      </c>
    </row>
    <row r="119" spans="2:18" x14ac:dyDescent="0.25">
      <c r="B119" s="252" t="s">
        <v>178</v>
      </c>
      <c r="C119" s="275" t="s">
        <v>5</v>
      </c>
      <c r="D119" s="157">
        <v>0</v>
      </c>
      <c r="E119" s="462">
        <v>0</v>
      </c>
      <c r="F119" s="158">
        <f t="shared" ref="F119:F132" si="20">ROUND(D119*E119,0)</f>
        <v>0</v>
      </c>
      <c r="G119" s="159"/>
      <c r="H119" s="157">
        <v>0</v>
      </c>
      <c r="I119" s="462">
        <v>0</v>
      </c>
      <c r="J119" s="158">
        <f t="shared" ref="J119:J132" si="21">ROUND(H119*I119,0)</f>
        <v>0</v>
      </c>
      <c r="K119" s="159"/>
      <c r="L119" s="157">
        <v>0</v>
      </c>
      <c r="M119" s="462">
        <v>0</v>
      </c>
      <c r="N119" s="158">
        <f t="shared" ref="N119:N132" si="22">ROUND(L119*M119,0)</f>
        <v>0</v>
      </c>
      <c r="O119" s="159"/>
      <c r="P119" s="157">
        <v>0</v>
      </c>
      <c r="Q119" s="462">
        <v>0</v>
      </c>
      <c r="R119" s="158">
        <f t="shared" ref="R119:R132" si="23">ROUND(P119*Q119,0)</f>
        <v>0</v>
      </c>
    </row>
    <row r="120" spans="2:18" x14ac:dyDescent="0.25">
      <c r="B120" s="252" t="s">
        <v>178</v>
      </c>
      <c r="C120" s="275"/>
      <c r="D120" s="157">
        <v>0</v>
      </c>
      <c r="E120" s="462">
        <v>0</v>
      </c>
      <c r="F120" s="158">
        <f t="shared" si="20"/>
        <v>0</v>
      </c>
      <c r="G120" s="159"/>
      <c r="H120" s="157">
        <v>0</v>
      </c>
      <c r="I120" s="462">
        <v>0</v>
      </c>
      <c r="J120" s="158">
        <f t="shared" si="21"/>
        <v>0</v>
      </c>
      <c r="K120" s="159"/>
      <c r="L120" s="157">
        <v>0</v>
      </c>
      <c r="M120" s="462">
        <v>0</v>
      </c>
      <c r="N120" s="158">
        <f t="shared" si="22"/>
        <v>0</v>
      </c>
      <c r="O120" s="159"/>
      <c r="P120" s="157">
        <v>0</v>
      </c>
      <c r="Q120" s="462">
        <v>0</v>
      </c>
      <c r="R120" s="158">
        <f t="shared" si="23"/>
        <v>0</v>
      </c>
    </row>
    <row r="121" spans="2:18" x14ac:dyDescent="0.25">
      <c r="B121" s="252" t="s">
        <v>178</v>
      </c>
      <c r="C121" s="275"/>
      <c r="D121" s="157">
        <v>0</v>
      </c>
      <c r="E121" s="462">
        <v>0</v>
      </c>
      <c r="F121" s="158">
        <f t="shared" si="20"/>
        <v>0</v>
      </c>
      <c r="G121" s="159"/>
      <c r="H121" s="157">
        <v>0</v>
      </c>
      <c r="I121" s="462">
        <v>0</v>
      </c>
      <c r="J121" s="158">
        <f t="shared" si="21"/>
        <v>0</v>
      </c>
      <c r="K121" s="159"/>
      <c r="L121" s="157">
        <v>0</v>
      </c>
      <c r="M121" s="462">
        <v>0</v>
      </c>
      <c r="N121" s="158">
        <f t="shared" si="22"/>
        <v>0</v>
      </c>
      <c r="O121" s="159"/>
      <c r="P121" s="157">
        <v>0</v>
      </c>
      <c r="Q121" s="462">
        <v>0</v>
      </c>
      <c r="R121" s="158">
        <f t="shared" si="23"/>
        <v>0</v>
      </c>
    </row>
    <row r="122" spans="2:18" x14ac:dyDescent="0.25">
      <c r="B122" s="252" t="s">
        <v>178</v>
      </c>
      <c r="C122" s="275"/>
      <c r="D122" s="157">
        <v>0</v>
      </c>
      <c r="E122" s="462">
        <v>0</v>
      </c>
      <c r="F122" s="158">
        <f t="shared" si="20"/>
        <v>0</v>
      </c>
      <c r="G122" s="159"/>
      <c r="H122" s="157">
        <v>0</v>
      </c>
      <c r="I122" s="462">
        <v>0</v>
      </c>
      <c r="J122" s="158">
        <f t="shared" si="21"/>
        <v>0</v>
      </c>
      <c r="K122" s="159"/>
      <c r="L122" s="157">
        <v>0</v>
      </c>
      <c r="M122" s="462">
        <v>0</v>
      </c>
      <c r="N122" s="158">
        <f t="shared" si="22"/>
        <v>0</v>
      </c>
      <c r="O122" s="159"/>
      <c r="P122" s="157">
        <v>0</v>
      </c>
      <c r="Q122" s="462">
        <v>0</v>
      </c>
      <c r="R122" s="158">
        <f t="shared" si="23"/>
        <v>0</v>
      </c>
    </row>
    <row r="123" spans="2:18" x14ac:dyDescent="0.25">
      <c r="B123" s="252" t="s">
        <v>178</v>
      </c>
      <c r="C123" s="284" t="s">
        <v>205</v>
      </c>
      <c r="D123" s="157">
        <v>0</v>
      </c>
      <c r="E123" s="462">
        <v>0</v>
      </c>
      <c r="F123" s="158">
        <f t="shared" si="20"/>
        <v>0</v>
      </c>
      <c r="G123" s="159"/>
      <c r="H123" s="157">
        <v>0</v>
      </c>
      <c r="I123" s="462">
        <v>0</v>
      </c>
      <c r="J123" s="158">
        <f t="shared" si="21"/>
        <v>0</v>
      </c>
      <c r="K123" s="159"/>
      <c r="L123" s="157">
        <v>0</v>
      </c>
      <c r="M123" s="462">
        <v>0</v>
      </c>
      <c r="N123" s="158">
        <f t="shared" si="22"/>
        <v>0</v>
      </c>
      <c r="O123" s="159"/>
      <c r="P123" s="157">
        <v>0</v>
      </c>
      <c r="Q123" s="462">
        <v>0</v>
      </c>
      <c r="R123" s="158">
        <f t="shared" si="23"/>
        <v>0</v>
      </c>
    </row>
    <row r="124" spans="2:18" x14ac:dyDescent="0.25">
      <c r="B124" s="252" t="s">
        <v>178</v>
      </c>
      <c r="C124" s="275"/>
      <c r="D124" s="157">
        <v>0</v>
      </c>
      <c r="E124" s="462">
        <v>0</v>
      </c>
      <c r="F124" s="158">
        <f t="shared" si="20"/>
        <v>0</v>
      </c>
      <c r="G124" s="159"/>
      <c r="H124" s="157">
        <v>0</v>
      </c>
      <c r="I124" s="462">
        <v>0</v>
      </c>
      <c r="J124" s="158">
        <f t="shared" si="21"/>
        <v>0</v>
      </c>
      <c r="K124" s="159"/>
      <c r="L124" s="157">
        <v>0</v>
      </c>
      <c r="M124" s="462">
        <v>0</v>
      </c>
      <c r="N124" s="158">
        <f t="shared" si="22"/>
        <v>0</v>
      </c>
      <c r="O124" s="159"/>
      <c r="P124" s="157">
        <v>0</v>
      </c>
      <c r="Q124" s="462">
        <v>0</v>
      </c>
      <c r="R124" s="158">
        <f t="shared" si="23"/>
        <v>0</v>
      </c>
    </row>
    <row r="125" spans="2:18" x14ac:dyDescent="0.25">
      <c r="B125" s="252" t="s">
        <v>178</v>
      </c>
      <c r="C125" s="275"/>
      <c r="D125" s="157">
        <v>0</v>
      </c>
      <c r="E125" s="462">
        <v>0</v>
      </c>
      <c r="F125" s="158">
        <f t="shared" si="20"/>
        <v>0</v>
      </c>
      <c r="G125" s="159"/>
      <c r="H125" s="157">
        <v>0</v>
      </c>
      <c r="I125" s="462">
        <v>0</v>
      </c>
      <c r="J125" s="158">
        <f t="shared" si="21"/>
        <v>0</v>
      </c>
      <c r="K125" s="159"/>
      <c r="L125" s="157">
        <v>0</v>
      </c>
      <c r="M125" s="462">
        <v>0</v>
      </c>
      <c r="N125" s="158">
        <f t="shared" si="22"/>
        <v>0</v>
      </c>
      <c r="O125" s="159"/>
      <c r="P125" s="157">
        <v>0</v>
      </c>
      <c r="Q125" s="462">
        <v>0</v>
      </c>
      <c r="R125" s="158">
        <f t="shared" si="23"/>
        <v>0</v>
      </c>
    </row>
    <row r="126" spans="2:18" x14ac:dyDescent="0.25">
      <c r="B126" s="252" t="s">
        <v>178</v>
      </c>
      <c r="C126" s="275"/>
      <c r="D126" s="157">
        <v>0</v>
      </c>
      <c r="E126" s="462">
        <v>0</v>
      </c>
      <c r="F126" s="158">
        <f t="shared" si="20"/>
        <v>0</v>
      </c>
      <c r="G126" s="159"/>
      <c r="H126" s="157">
        <v>0</v>
      </c>
      <c r="I126" s="462">
        <v>0</v>
      </c>
      <c r="J126" s="158">
        <f t="shared" si="21"/>
        <v>0</v>
      </c>
      <c r="K126" s="159"/>
      <c r="L126" s="157">
        <v>0</v>
      </c>
      <c r="M126" s="462">
        <v>0</v>
      </c>
      <c r="N126" s="158">
        <f t="shared" si="22"/>
        <v>0</v>
      </c>
      <c r="O126" s="159"/>
      <c r="P126" s="157">
        <v>0</v>
      </c>
      <c r="Q126" s="462">
        <v>0</v>
      </c>
      <c r="R126" s="158">
        <f t="shared" si="23"/>
        <v>0</v>
      </c>
    </row>
    <row r="127" spans="2:18" x14ac:dyDescent="0.25">
      <c r="B127" s="252" t="s">
        <v>178</v>
      </c>
      <c r="C127" s="275"/>
      <c r="D127" s="157">
        <v>0</v>
      </c>
      <c r="E127" s="462">
        <v>0</v>
      </c>
      <c r="F127" s="158">
        <f t="shared" si="20"/>
        <v>0</v>
      </c>
      <c r="G127" s="159"/>
      <c r="H127" s="157">
        <v>0</v>
      </c>
      <c r="I127" s="462">
        <v>0</v>
      </c>
      <c r="J127" s="158">
        <f t="shared" si="21"/>
        <v>0</v>
      </c>
      <c r="K127" s="159"/>
      <c r="L127" s="157">
        <v>0</v>
      </c>
      <c r="M127" s="462">
        <v>0</v>
      </c>
      <c r="N127" s="158">
        <f t="shared" si="22"/>
        <v>0</v>
      </c>
      <c r="O127" s="159"/>
      <c r="P127" s="157">
        <v>0</v>
      </c>
      <c r="Q127" s="462">
        <v>0</v>
      </c>
      <c r="R127" s="158">
        <f t="shared" si="23"/>
        <v>0</v>
      </c>
    </row>
    <row r="128" spans="2:18" x14ac:dyDescent="0.25">
      <c r="B128" s="252" t="s">
        <v>178</v>
      </c>
      <c r="C128" s="284" t="s">
        <v>206</v>
      </c>
      <c r="D128" s="157">
        <v>0</v>
      </c>
      <c r="E128" s="462">
        <v>0</v>
      </c>
      <c r="F128" s="158">
        <f t="shared" si="20"/>
        <v>0</v>
      </c>
      <c r="G128" s="159"/>
      <c r="H128" s="157">
        <v>0</v>
      </c>
      <c r="I128" s="462">
        <v>0</v>
      </c>
      <c r="J128" s="158">
        <f t="shared" si="21"/>
        <v>0</v>
      </c>
      <c r="K128" s="159"/>
      <c r="L128" s="157">
        <v>0</v>
      </c>
      <c r="M128" s="462">
        <v>0</v>
      </c>
      <c r="N128" s="158">
        <f t="shared" si="22"/>
        <v>0</v>
      </c>
      <c r="O128" s="159"/>
      <c r="P128" s="157">
        <v>0</v>
      </c>
      <c r="Q128" s="462">
        <v>0</v>
      </c>
      <c r="R128" s="158">
        <f t="shared" si="23"/>
        <v>0</v>
      </c>
    </row>
    <row r="129" spans="2:18" x14ac:dyDescent="0.25">
      <c r="B129" s="252" t="s">
        <v>178</v>
      </c>
      <c r="C129" s="275"/>
      <c r="D129" s="157">
        <v>0</v>
      </c>
      <c r="E129" s="462">
        <v>0</v>
      </c>
      <c r="F129" s="158">
        <f t="shared" si="20"/>
        <v>0</v>
      </c>
      <c r="G129" s="159"/>
      <c r="H129" s="157">
        <v>0</v>
      </c>
      <c r="I129" s="462">
        <v>0</v>
      </c>
      <c r="J129" s="158">
        <f t="shared" si="21"/>
        <v>0</v>
      </c>
      <c r="K129" s="159"/>
      <c r="L129" s="157">
        <v>0</v>
      </c>
      <c r="M129" s="462">
        <v>0</v>
      </c>
      <c r="N129" s="158">
        <f t="shared" si="22"/>
        <v>0</v>
      </c>
      <c r="O129" s="159"/>
      <c r="P129" s="157">
        <v>0</v>
      </c>
      <c r="Q129" s="462">
        <v>0</v>
      </c>
      <c r="R129" s="158">
        <f t="shared" si="23"/>
        <v>0</v>
      </c>
    </row>
    <row r="130" spans="2:18" x14ac:dyDescent="0.25">
      <c r="B130" s="252" t="s">
        <v>178</v>
      </c>
      <c r="C130" s="275"/>
      <c r="D130" s="157">
        <v>0</v>
      </c>
      <c r="E130" s="462">
        <v>0</v>
      </c>
      <c r="F130" s="158">
        <f t="shared" si="20"/>
        <v>0</v>
      </c>
      <c r="G130" s="159"/>
      <c r="H130" s="157">
        <v>0</v>
      </c>
      <c r="I130" s="462">
        <v>0</v>
      </c>
      <c r="J130" s="158">
        <f t="shared" si="21"/>
        <v>0</v>
      </c>
      <c r="K130" s="159"/>
      <c r="L130" s="157">
        <v>0</v>
      </c>
      <c r="M130" s="462">
        <v>0</v>
      </c>
      <c r="N130" s="158">
        <f t="shared" si="22"/>
        <v>0</v>
      </c>
      <c r="O130" s="159"/>
      <c r="P130" s="157">
        <v>0</v>
      </c>
      <c r="Q130" s="462">
        <v>0</v>
      </c>
      <c r="R130" s="158">
        <f t="shared" si="23"/>
        <v>0</v>
      </c>
    </row>
    <row r="131" spans="2:18" x14ac:dyDescent="0.25">
      <c r="B131" s="252" t="s">
        <v>178</v>
      </c>
      <c r="C131" s="275"/>
      <c r="D131" s="157">
        <v>0</v>
      </c>
      <c r="E131" s="462">
        <v>0</v>
      </c>
      <c r="F131" s="158">
        <f t="shared" si="20"/>
        <v>0</v>
      </c>
      <c r="G131" s="159"/>
      <c r="H131" s="157">
        <v>0</v>
      </c>
      <c r="I131" s="462">
        <v>0</v>
      </c>
      <c r="J131" s="158">
        <f t="shared" si="21"/>
        <v>0</v>
      </c>
      <c r="K131" s="159"/>
      <c r="L131" s="157">
        <v>0</v>
      </c>
      <c r="M131" s="462">
        <v>0</v>
      </c>
      <c r="N131" s="158">
        <f t="shared" si="22"/>
        <v>0</v>
      </c>
      <c r="O131" s="159"/>
      <c r="P131" s="157">
        <v>0</v>
      </c>
      <c r="Q131" s="462">
        <v>0</v>
      </c>
      <c r="R131" s="158">
        <f t="shared" si="23"/>
        <v>0</v>
      </c>
    </row>
    <row r="132" spans="2:18" ht="15.75" thickBot="1" x14ac:dyDescent="0.3">
      <c r="B132" s="294" t="s">
        <v>178</v>
      </c>
      <c r="C132" s="295"/>
      <c r="D132" s="157">
        <v>0</v>
      </c>
      <c r="E132" s="462">
        <v>0</v>
      </c>
      <c r="F132" s="158">
        <f t="shared" si="20"/>
        <v>0</v>
      </c>
      <c r="G132" s="159"/>
      <c r="H132" s="157">
        <v>0</v>
      </c>
      <c r="I132" s="462">
        <v>0</v>
      </c>
      <c r="J132" s="158">
        <f t="shared" si="21"/>
        <v>0</v>
      </c>
      <c r="K132" s="159"/>
      <c r="L132" s="157">
        <v>0</v>
      </c>
      <c r="M132" s="462">
        <v>0</v>
      </c>
      <c r="N132" s="158">
        <f t="shared" si="22"/>
        <v>0</v>
      </c>
      <c r="O132" s="159"/>
      <c r="P132" s="157">
        <v>0</v>
      </c>
      <c r="Q132" s="462">
        <v>0</v>
      </c>
      <c r="R132" s="158">
        <f t="shared" si="23"/>
        <v>0</v>
      </c>
    </row>
    <row r="133" spans="2:18" ht="15.75" thickBot="1" x14ac:dyDescent="0.3">
      <c r="B133" s="298" t="s">
        <v>151</v>
      </c>
      <c r="C133" s="296"/>
      <c r="D133" s="257">
        <f>SUM(D118:D132)</f>
        <v>0</v>
      </c>
      <c r="E133" s="205"/>
      <c r="F133" s="164">
        <f>ROUND(SUM(F118:F132),0)</f>
        <v>0</v>
      </c>
      <c r="G133" s="165"/>
      <c r="H133" s="257">
        <f>SUM(H118:H132)</f>
        <v>0</v>
      </c>
      <c r="I133" s="205" t="s">
        <v>5</v>
      </c>
      <c r="J133" s="164">
        <f>ROUND(SUM(J118:J132),0)</f>
        <v>0</v>
      </c>
      <c r="K133" s="165"/>
      <c r="L133" s="257">
        <f>SUM(L118:L132)</f>
        <v>0</v>
      </c>
      <c r="M133" s="205"/>
      <c r="N133" s="164">
        <f>ROUND(SUM(N118:N132),0)</f>
        <v>0</v>
      </c>
      <c r="O133" s="165"/>
      <c r="P133" s="257">
        <f>SUM(P118:P132)</f>
        <v>0</v>
      </c>
      <c r="Q133" s="205"/>
      <c r="R133" s="164">
        <f>ROUND(SUM(R118:R132),0)</f>
        <v>0</v>
      </c>
    </row>
    <row r="134" spans="2:18" ht="15.75" thickBot="1" x14ac:dyDescent="0.3">
      <c r="B134" s="63"/>
      <c r="C134" s="63"/>
      <c r="D134" s="63"/>
      <c r="E134" s="63"/>
      <c r="F134" s="63"/>
      <c r="G134" s="63"/>
      <c r="H134" s="63"/>
      <c r="I134" s="63"/>
      <c r="J134" s="63"/>
      <c r="K134" s="63"/>
      <c r="L134" s="63"/>
      <c r="M134" s="63"/>
      <c r="N134" s="63"/>
    </row>
    <row r="135" spans="2:18" ht="16.5" thickBot="1" x14ac:dyDescent="0.3">
      <c r="B135" s="597" t="s">
        <v>461</v>
      </c>
      <c r="C135" s="598"/>
      <c r="D135" s="594" t="s">
        <v>134</v>
      </c>
      <c r="E135" s="595"/>
      <c r="F135" s="596"/>
      <c r="G135" s="151"/>
      <c r="H135" s="594" t="s">
        <v>134</v>
      </c>
      <c r="I135" s="595"/>
      <c r="J135" s="596"/>
      <c r="K135" s="151"/>
      <c r="L135" s="594" t="s">
        <v>134</v>
      </c>
      <c r="M135" s="595"/>
      <c r="N135" s="596"/>
      <c r="O135" s="151"/>
      <c r="P135" s="594" t="s">
        <v>134</v>
      </c>
      <c r="Q135" s="595"/>
      <c r="R135" s="596"/>
    </row>
    <row r="136" spans="2:18" ht="16.5" thickBot="1" x14ac:dyDescent="0.3">
      <c r="B136" s="599"/>
      <c r="C136" s="600"/>
      <c r="D136" s="591" t="str">
        <f>D10</f>
        <v>Basic Period (Year 1)</v>
      </c>
      <c r="E136" s="592"/>
      <c r="F136" s="593"/>
      <c r="G136" s="152"/>
      <c r="H136" s="591" t="str">
        <f>H10</f>
        <v>Basic Period (Year 2)</v>
      </c>
      <c r="I136" s="592"/>
      <c r="J136" s="593"/>
      <c r="K136" s="152"/>
      <c r="L136" s="591" t="str">
        <f>L10</f>
        <v>Basic Period (Year 3)</v>
      </c>
      <c r="M136" s="592"/>
      <c r="N136" s="593"/>
      <c r="O136" s="152"/>
      <c r="P136" s="591" t="str">
        <f>P10</f>
        <v>Basic Period (Year 4)</v>
      </c>
      <c r="Q136" s="592"/>
      <c r="R136" s="593"/>
    </row>
    <row r="137" spans="2:18" ht="16.5" thickBot="1" x14ac:dyDescent="0.3">
      <c r="B137" s="153" t="s">
        <v>110</v>
      </c>
      <c r="C137" s="153" t="s">
        <v>256</v>
      </c>
      <c r="D137" s="153" t="s">
        <v>91</v>
      </c>
      <c r="E137" s="154" t="s">
        <v>133</v>
      </c>
      <c r="F137" s="155" t="s">
        <v>139</v>
      </c>
      <c r="G137" s="156"/>
      <c r="H137" s="153" t="s">
        <v>91</v>
      </c>
      <c r="I137" s="154" t="s">
        <v>133</v>
      </c>
      <c r="J137" s="155" t="s">
        <v>139</v>
      </c>
      <c r="K137" s="156"/>
      <c r="L137" s="153" t="s">
        <v>91</v>
      </c>
      <c r="M137" s="154" t="s">
        <v>133</v>
      </c>
      <c r="N137" s="155" t="s">
        <v>139</v>
      </c>
      <c r="O137" s="156"/>
      <c r="P137" s="153" t="s">
        <v>91</v>
      </c>
      <c r="Q137" s="154" t="s">
        <v>133</v>
      </c>
      <c r="R137" s="155" t="s">
        <v>139</v>
      </c>
    </row>
    <row r="138" spans="2:18" ht="128.25" x14ac:dyDescent="0.25">
      <c r="B138" s="203" t="s">
        <v>601</v>
      </c>
      <c r="C138" s="203" t="s">
        <v>466</v>
      </c>
      <c r="D138" s="203" t="s">
        <v>565</v>
      </c>
      <c r="E138" s="203" t="s">
        <v>600</v>
      </c>
      <c r="F138" s="203"/>
      <c r="G138" s="156"/>
      <c r="H138" s="203" t="s">
        <v>565</v>
      </c>
      <c r="I138" s="203" t="s">
        <v>600</v>
      </c>
      <c r="J138" s="203"/>
      <c r="K138" s="156"/>
      <c r="L138" s="203" t="s">
        <v>565</v>
      </c>
      <c r="M138" s="203" t="s">
        <v>600</v>
      </c>
      <c r="N138" s="203"/>
      <c r="O138" s="156"/>
      <c r="P138" s="203" t="s">
        <v>565</v>
      </c>
      <c r="Q138" s="203" t="s">
        <v>600</v>
      </c>
      <c r="R138" s="489"/>
    </row>
    <row r="139" spans="2:18" x14ac:dyDescent="0.25">
      <c r="B139" s="252" t="s">
        <v>178</v>
      </c>
      <c r="C139" s="284" t="s">
        <v>207</v>
      </c>
      <c r="D139" s="157">
        <v>0</v>
      </c>
      <c r="E139" s="462">
        <v>0</v>
      </c>
      <c r="F139" s="158">
        <f>ROUND(D139*E139,0)</f>
        <v>0</v>
      </c>
      <c r="G139" s="159"/>
      <c r="H139" s="157">
        <v>0</v>
      </c>
      <c r="I139" s="462">
        <v>0</v>
      </c>
      <c r="J139" s="158">
        <f>ROUND(H139*I139,0)</f>
        <v>0</v>
      </c>
      <c r="K139" s="159"/>
      <c r="L139" s="157">
        <v>0</v>
      </c>
      <c r="M139" s="462">
        <v>0</v>
      </c>
      <c r="N139" s="158">
        <f>ROUND(L139*M139,0)</f>
        <v>0</v>
      </c>
      <c r="O139" s="159"/>
      <c r="P139" s="157">
        <v>0</v>
      </c>
      <c r="Q139" s="462">
        <v>0</v>
      </c>
      <c r="R139" s="158">
        <f>ROUND(P139*Q139,0)</f>
        <v>0</v>
      </c>
    </row>
    <row r="140" spans="2:18" x14ac:dyDescent="0.25">
      <c r="B140" s="252" t="s">
        <v>178</v>
      </c>
      <c r="C140" s="275" t="s">
        <v>5</v>
      </c>
      <c r="D140" s="157">
        <v>0</v>
      </c>
      <c r="E140" s="462">
        <v>0</v>
      </c>
      <c r="F140" s="158">
        <f t="shared" ref="F140:F153" si="24">ROUND(D140*E140,0)</f>
        <v>0</v>
      </c>
      <c r="G140" s="159"/>
      <c r="H140" s="157">
        <v>0</v>
      </c>
      <c r="I140" s="462">
        <v>0</v>
      </c>
      <c r="J140" s="158">
        <f t="shared" ref="J140:J153" si="25">ROUND(H140*I140,0)</f>
        <v>0</v>
      </c>
      <c r="K140" s="159"/>
      <c r="L140" s="157">
        <v>0</v>
      </c>
      <c r="M140" s="462">
        <v>0</v>
      </c>
      <c r="N140" s="158">
        <f t="shared" ref="N140:N153" si="26">ROUND(L140*M140,0)</f>
        <v>0</v>
      </c>
      <c r="O140" s="159"/>
      <c r="P140" s="157">
        <v>0</v>
      </c>
      <c r="Q140" s="462">
        <v>0</v>
      </c>
      <c r="R140" s="158">
        <f t="shared" ref="R140:R153" si="27">ROUND(P140*Q140,0)</f>
        <v>0</v>
      </c>
    </row>
    <row r="141" spans="2:18" x14ac:dyDescent="0.25">
      <c r="B141" s="252" t="s">
        <v>178</v>
      </c>
      <c r="C141" s="275"/>
      <c r="D141" s="157">
        <v>0</v>
      </c>
      <c r="E141" s="462">
        <v>0</v>
      </c>
      <c r="F141" s="158">
        <f t="shared" si="24"/>
        <v>0</v>
      </c>
      <c r="G141" s="159"/>
      <c r="H141" s="157">
        <v>0</v>
      </c>
      <c r="I141" s="462">
        <v>0</v>
      </c>
      <c r="J141" s="158">
        <f t="shared" si="25"/>
        <v>0</v>
      </c>
      <c r="K141" s="159"/>
      <c r="L141" s="157">
        <v>0</v>
      </c>
      <c r="M141" s="462">
        <v>0</v>
      </c>
      <c r="N141" s="158">
        <f t="shared" si="26"/>
        <v>0</v>
      </c>
      <c r="O141" s="159"/>
      <c r="P141" s="157">
        <v>0</v>
      </c>
      <c r="Q141" s="462">
        <v>0</v>
      </c>
      <c r="R141" s="158">
        <f t="shared" si="27"/>
        <v>0</v>
      </c>
    </row>
    <row r="142" spans="2:18" x14ac:dyDescent="0.25">
      <c r="B142" s="252" t="s">
        <v>178</v>
      </c>
      <c r="C142" s="275"/>
      <c r="D142" s="157">
        <v>0</v>
      </c>
      <c r="E142" s="462">
        <v>0</v>
      </c>
      <c r="F142" s="158">
        <f t="shared" si="24"/>
        <v>0</v>
      </c>
      <c r="G142" s="159"/>
      <c r="H142" s="157">
        <v>0</v>
      </c>
      <c r="I142" s="462">
        <v>0</v>
      </c>
      <c r="J142" s="158">
        <f t="shared" si="25"/>
        <v>0</v>
      </c>
      <c r="K142" s="159"/>
      <c r="L142" s="157">
        <v>0</v>
      </c>
      <c r="M142" s="462">
        <v>0</v>
      </c>
      <c r="N142" s="158">
        <f t="shared" si="26"/>
        <v>0</v>
      </c>
      <c r="O142" s="159"/>
      <c r="P142" s="157">
        <v>0</v>
      </c>
      <c r="Q142" s="462">
        <v>0</v>
      </c>
      <c r="R142" s="158">
        <f t="shared" si="27"/>
        <v>0</v>
      </c>
    </row>
    <row r="143" spans="2:18" x14ac:dyDescent="0.25">
      <c r="B143" s="252" t="s">
        <v>178</v>
      </c>
      <c r="C143" s="275"/>
      <c r="D143" s="157">
        <v>0</v>
      </c>
      <c r="E143" s="462">
        <v>0</v>
      </c>
      <c r="F143" s="158">
        <f t="shared" si="24"/>
        <v>0</v>
      </c>
      <c r="G143" s="159"/>
      <c r="H143" s="157">
        <v>0</v>
      </c>
      <c r="I143" s="462">
        <v>0</v>
      </c>
      <c r="J143" s="158">
        <f t="shared" si="25"/>
        <v>0</v>
      </c>
      <c r="K143" s="159"/>
      <c r="L143" s="157">
        <v>0</v>
      </c>
      <c r="M143" s="462">
        <v>0</v>
      </c>
      <c r="N143" s="158">
        <f t="shared" si="26"/>
        <v>0</v>
      </c>
      <c r="O143" s="159"/>
      <c r="P143" s="157">
        <v>0</v>
      </c>
      <c r="Q143" s="462">
        <v>0</v>
      </c>
      <c r="R143" s="158">
        <f t="shared" si="27"/>
        <v>0</v>
      </c>
    </row>
    <row r="144" spans="2:18" x14ac:dyDescent="0.25">
      <c r="B144" s="252" t="s">
        <v>178</v>
      </c>
      <c r="C144" s="284" t="s">
        <v>208</v>
      </c>
      <c r="D144" s="157">
        <v>0</v>
      </c>
      <c r="E144" s="462">
        <v>0</v>
      </c>
      <c r="F144" s="158">
        <f t="shared" si="24"/>
        <v>0</v>
      </c>
      <c r="G144" s="159"/>
      <c r="H144" s="157">
        <v>0</v>
      </c>
      <c r="I144" s="462">
        <v>0</v>
      </c>
      <c r="J144" s="158">
        <f t="shared" si="25"/>
        <v>0</v>
      </c>
      <c r="K144" s="159"/>
      <c r="L144" s="157">
        <v>0</v>
      </c>
      <c r="M144" s="462">
        <v>0</v>
      </c>
      <c r="N144" s="158">
        <f t="shared" si="26"/>
        <v>0</v>
      </c>
      <c r="O144" s="159"/>
      <c r="P144" s="157">
        <v>0</v>
      </c>
      <c r="Q144" s="462">
        <v>0</v>
      </c>
      <c r="R144" s="158">
        <f t="shared" si="27"/>
        <v>0</v>
      </c>
    </row>
    <row r="145" spans="2:18" x14ac:dyDescent="0.25">
      <c r="B145" s="252" t="s">
        <v>178</v>
      </c>
      <c r="C145" s="275"/>
      <c r="D145" s="157">
        <v>0</v>
      </c>
      <c r="E145" s="462">
        <v>0</v>
      </c>
      <c r="F145" s="158">
        <f t="shared" si="24"/>
        <v>0</v>
      </c>
      <c r="G145" s="159"/>
      <c r="H145" s="157">
        <v>0</v>
      </c>
      <c r="I145" s="462">
        <v>0</v>
      </c>
      <c r="J145" s="158">
        <f t="shared" si="25"/>
        <v>0</v>
      </c>
      <c r="K145" s="159"/>
      <c r="L145" s="157">
        <v>0</v>
      </c>
      <c r="M145" s="462">
        <v>0</v>
      </c>
      <c r="N145" s="158">
        <f t="shared" si="26"/>
        <v>0</v>
      </c>
      <c r="O145" s="159"/>
      <c r="P145" s="157">
        <v>0</v>
      </c>
      <c r="Q145" s="462">
        <v>0</v>
      </c>
      <c r="R145" s="158">
        <f t="shared" si="27"/>
        <v>0</v>
      </c>
    </row>
    <row r="146" spans="2:18" x14ac:dyDescent="0.25">
      <c r="B146" s="252" t="s">
        <v>178</v>
      </c>
      <c r="C146" s="275"/>
      <c r="D146" s="157">
        <v>0</v>
      </c>
      <c r="E146" s="462">
        <v>0</v>
      </c>
      <c r="F146" s="158">
        <f t="shared" si="24"/>
        <v>0</v>
      </c>
      <c r="G146" s="159"/>
      <c r="H146" s="157">
        <v>0</v>
      </c>
      <c r="I146" s="462">
        <v>0</v>
      </c>
      <c r="J146" s="158">
        <f t="shared" si="25"/>
        <v>0</v>
      </c>
      <c r="K146" s="159"/>
      <c r="L146" s="157">
        <v>0</v>
      </c>
      <c r="M146" s="462">
        <v>0</v>
      </c>
      <c r="N146" s="158">
        <f t="shared" si="26"/>
        <v>0</v>
      </c>
      <c r="O146" s="159"/>
      <c r="P146" s="157">
        <v>0</v>
      </c>
      <c r="Q146" s="462">
        <v>0</v>
      </c>
      <c r="R146" s="158">
        <f t="shared" si="27"/>
        <v>0</v>
      </c>
    </row>
    <row r="147" spans="2:18" x14ac:dyDescent="0.25">
      <c r="B147" s="252" t="s">
        <v>178</v>
      </c>
      <c r="C147" s="275"/>
      <c r="D147" s="157">
        <v>0</v>
      </c>
      <c r="E147" s="462">
        <v>0</v>
      </c>
      <c r="F147" s="158">
        <f t="shared" si="24"/>
        <v>0</v>
      </c>
      <c r="G147" s="159"/>
      <c r="H147" s="157">
        <v>0</v>
      </c>
      <c r="I147" s="462">
        <v>0</v>
      </c>
      <c r="J147" s="158">
        <f t="shared" si="25"/>
        <v>0</v>
      </c>
      <c r="K147" s="159"/>
      <c r="L147" s="157">
        <v>0</v>
      </c>
      <c r="M147" s="462">
        <v>0</v>
      </c>
      <c r="N147" s="158">
        <f t="shared" si="26"/>
        <v>0</v>
      </c>
      <c r="O147" s="159"/>
      <c r="P147" s="157">
        <v>0</v>
      </c>
      <c r="Q147" s="462">
        <v>0</v>
      </c>
      <c r="R147" s="158">
        <f t="shared" si="27"/>
        <v>0</v>
      </c>
    </row>
    <row r="148" spans="2:18" x14ac:dyDescent="0.25">
      <c r="B148" s="252" t="s">
        <v>178</v>
      </c>
      <c r="C148" s="275"/>
      <c r="D148" s="157">
        <v>0</v>
      </c>
      <c r="E148" s="462">
        <v>0</v>
      </c>
      <c r="F148" s="158">
        <f t="shared" si="24"/>
        <v>0</v>
      </c>
      <c r="G148" s="159"/>
      <c r="H148" s="157">
        <v>0</v>
      </c>
      <c r="I148" s="462">
        <v>0</v>
      </c>
      <c r="J148" s="158">
        <f t="shared" si="25"/>
        <v>0</v>
      </c>
      <c r="K148" s="159"/>
      <c r="L148" s="157">
        <v>0</v>
      </c>
      <c r="M148" s="462">
        <v>0</v>
      </c>
      <c r="N148" s="158">
        <f t="shared" si="26"/>
        <v>0</v>
      </c>
      <c r="O148" s="159"/>
      <c r="P148" s="157">
        <v>0</v>
      </c>
      <c r="Q148" s="462">
        <v>0</v>
      </c>
      <c r="R148" s="158">
        <f t="shared" si="27"/>
        <v>0</v>
      </c>
    </row>
    <row r="149" spans="2:18" x14ac:dyDescent="0.25">
      <c r="B149" s="252" t="s">
        <v>178</v>
      </c>
      <c r="C149" s="284" t="s">
        <v>209</v>
      </c>
      <c r="D149" s="157">
        <v>0</v>
      </c>
      <c r="E149" s="462">
        <v>0</v>
      </c>
      <c r="F149" s="158">
        <f t="shared" si="24"/>
        <v>0</v>
      </c>
      <c r="G149" s="159"/>
      <c r="H149" s="157">
        <v>0</v>
      </c>
      <c r="I149" s="462">
        <v>0</v>
      </c>
      <c r="J149" s="158">
        <f t="shared" si="25"/>
        <v>0</v>
      </c>
      <c r="K149" s="159"/>
      <c r="L149" s="157">
        <v>0</v>
      </c>
      <c r="M149" s="462">
        <v>0</v>
      </c>
      <c r="N149" s="158">
        <f t="shared" si="26"/>
        <v>0</v>
      </c>
      <c r="O149" s="159"/>
      <c r="P149" s="157">
        <v>0</v>
      </c>
      <c r="Q149" s="462">
        <v>0</v>
      </c>
      <c r="R149" s="158">
        <f t="shared" si="27"/>
        <v>0</v>
      </c>
    </row>
    <row r="150" spans="2:18" x14ac:dyDescent="0.25">
      <c r="B150" s="252" t="s">
        <v>178</v>
      </c>
      <c r="C150" s="275"/>
      <c r="D150" s="157">
        <v>0</v>
      </c>
      <c r="E150" s="462">
        <v>0</v>
      </c>
      <c r="F150" s="158">
        <f t="shared" si="24"/>
        <v>0</v>
      </c>
      <c r="G150" s="159"/>
      <c r="H150" s="157">
        <v>0</v>
      </c>
      <c r="I150" s="462">
        <v>0</v>
      </c>
      <c r="J150" s="158">
        <f t="shared" si="25"/>
        <v>0</v>
      </c>
      <c r="K150" s="159"/>
      <c r="L150" s="157">
        <v>0</v>
      </c>
      <c r="M150" s="462">
        <v>0</v>
      </c>
      <c r="N150" s="158">
        <f t="shared" si="26"/>
        <v>0</v>
      </c>
      <c r="O150" s="159"/>
      <c r="P150" s="157">
        <v>0</v>
      </c>
      <c r="Q150" s="462">
        <v>0</v>
      </c>
      <c r="R150" s="158">
        <f t="shared" si="27"/>
        <v>0</v>
      </c>
    </row>
    <row r="151" spans="2:18" x14ac:dyDescent="0.25">
      <c r="B151" s="252" t="s">
        <v>178</v>
      </c>
      <c r="C151" s="275"/>
      <c r="D151" s="157">
        <v>0</v>
      </c>
      <c r="E151" s="462">
        <v>0</v>
      </c>
      <c r="F151" s="158">
        <f t="shared" si="24"/>
        <v>0</v>
      </c>
      <c r="G151" s="159"/>
      <c r="H151" s="157">
        <v>0</v>
      </c>
      <c r="I151" s="462">
        <v>0</v>
      </c>
      <c r="J151" s="158">
        <f t="shared" si="25"/>
        <v>0</v>
      </c>
      <c r="K151" s="159"/>
      <c r="L151" s="157">
        <v>0</v>
      </c>
      <c r="M151" s="462">
        <v>0</v>
      </c>
      <c r="N151" s="158">
        <f t="shared" si="26"/>
        <v>0</v>
      </c>
      <c r="O151" s="159"/>
      <c r="P151" s="157">
        <v>0</v>
      </c>
      <c r="Q151" s="462">
        <v>0</v>
      </c>
      <c r="R151" s="158">
        <f t="shared" si="27"/>
        <v>0</v>
      </c>
    </row>
    <row r="152" spans="2:18" x14ac:dyDescent="0.25">
      <c r="B152" s="252" t="s">
        <v>178</v>
      </c>
      <c r="C152" s="275"/>
      <c r="D152" s="157">
        <v>0</v>
      </c>
      <c r="E152" s="462">
        <v>0</v>
      </c>
      <c r="F152" s="158">
        <f t="shared" si="24"/>
        <v>0</v>
      </c>
      <c r="G152" s="159"/>
      <c r="H152" s="157">
        <v>0</v>
      </c>
      <c r="I152" s="462">
        <v>0</v>
      </c>
      <c r="J152" s="158">
        <f t="shared" si="25"/>
        <v>0</v>
      </c>
      <c r="K152" s="159"/>
      <c r="L152" s="157">
        <v>0</v>
      </c>
      <c r="M152" s="462">
        <v>0</v>
      </c>
      <c r="N152" s="158">
        <f t="shared" si="26"/>
        <v>0</v>
      </c>
      <c r="O152" s="159"/>
      <c r="P152" s="157">
        <v>0</v>
      </c>
      <c r="Q152" s="462">
        <v>0</v>
      </c>
      <c r="R152" s="158">
        <f t="shared" si="27"/>
        <v>0</v>
      </c>
    </row>
    <row r="153" spans="2:18" ht="15.75" thickBot="1" x14ac:dyDescent="0.3">
      <c r="B153" s="294" t="s">
        <v>178</v>
      </c>
      <c r="C153" s="295"/>
      <c r="D153" s="157">
        <v>0</v>
      </c>
      <c r="E153" s="462">
        <v>0</v>
      </c>
      <c r="F153" s="158">
        <f t="shared" si="24"/>
        <v>0</v>
      </c>
      <c r="G153" s="159"/>
      <c r="H153" s="157">
        <v>0</v>
      </c>
      <c r="I153" s="462">
        <v>0</v>
      </c>
      <c r="J153" s="158">
        <f t="shared" si="25"/>
        <v>0</v>
      </c>
      <c r="K153" s="159"/>
      <c r="L153" s="157">
        <v>0</v>
      </c>
      <c r="M153" s="462">
        <v>0</v>
      </c>
      <c r="N153" s="158">
        <f t="shared" si="26"/>
        <v>0</v>
      </c>
      <c r="O153" s="159"/>
      <c r="P153" s="157">
        <v>0</v>
      </c>
      <c r="Q153" s="462">
        <v>0</v>
      </c>
      <c r="R153" s="158">
        <f t="shared" si="27"/>
        <v>0</v>
      </c>
    </row>
    <row r="154" spans="2:18" ht="15.75" thickBot="1" x14ac:dyDescent="0.3">
      <c r="B154" s="298" t="s">
        <v>151</v>
      </c>
      <c r="C154" s="296"/>
      <c r="D154" s="257">
        <f>SUM(D139:D153)</f>
        <v>0</v>
      </c>
      <c r="E154" s="205"/>
      <c r="F154" s="164">
        <f>ROUND(SUM(F139:F153),0)</f>
        <v>0</v>
      </c>
      <c r="G154" s="165"/>
      <c r="H154" s="257">
        <f>SUM(H139:H153)</f>
        <v>0</v>
      </c>
      <c r="I154" s="205" t="s">
        <v>5</v>
      </c>
      <c r="J154" s="164">
        <f>ROUND(SUM(J139:J153),0)</f>
        <v>0</v>
      </c>
      <c r="K154" s="165"/>
      <c r="L154" s="257">
        <f>SUM(L139:L153)</f>
        <v>0</v>
      </c>
      <c r="M154" s="205"/>
      <c r="N154" s="164">
        <f>ROUND(SUM(N139:N153),0)</f>
        <v>0</v>
      </c>
      <c r="O154" s="165"/>
      <c r="P154" s="257">
        <f>SUM(P139:P153)</f>
        <v>0</v>
      </c>
      <c r="Q154" s="205"/>
      <c r="R154" s="164">
        <f>ROUND(SUM(R139:R153),0)</f>
        <v>0</v>
      </c>
    </row>
    <row r="155" spans="2:18" ht="15.75" thickBot="1" x14ac:dyDescent="0.3">
      <c r="B155" s="63"/>
      <c r="C155" s="63"/>
      <c r="D155" s="63"/>
      <c r="E155" s="63"/>
      <c r="F155" s="63"/>
      <c r="G155" s="63"/>
      <c r="H155" s="63"/>
      <c r="I155" s="63"/>
      <c r="J155" s="63"/>
      <c r="K155" s="63"/>
      <c r="L155" s="63"/>
      <c r="M155" s="63"/>
      <c r="N155" s="63"/>
    </row>
    <row r="156" spans="2:18" ht="16.5" thickBot="1" x14ac:dyDescent="0.3">
      <c r="B156" s="601" t="s">
        <v>462</v>
      </c>
      <c r="C156" s="602"/>
      <c r="D156" s="594" t="s">
        <v>134</v>
      </c>
      <c r="E156" s="595"/>
      <c r="F156" s="596"/>
      <c r="G156" s="151"/>
      <c r="H156" s="594" t="s">
        <v>134</v>
      </c>
      <c r="I156" s="595"/>
      <c r="J156" s="596"/>
      <c r="K156" s="151"/>
      <c r="L156" s="594" t="s">
        <v>134</v>
      </c>
      <c r="M156" s="595"/>
      <c r="N156" s="596"/>
      <c r="O156" s="151"/>
      <c r="P156" s="594" t="s">
        <v>134</v>
      </c>
      <c r="Q156" s="595"/>
      <c r="R156" s="596"/>
    </row>
    <row r="157" spans="2:18" ht="16.5" thickBot="1" x14ac:dyDescent="0.3">
      <c r="B157" s="603"/>
      <c r="C157" s="604"/>
      <c r="D157" s="591" t="str">
        <f>D10</f>
        <v>Basic Period (Year 1)</v>
      </c>
      <c r="E157" s="592"/>
      <c r="F157" s="593"/>
      <c r="G157" s="152"/>
      <c r="H157" s="591" t="str">
        <f>H10</f>
        <v>Basic Period (Year 2)</v>
      </c>
      <c r="I157" s="592"/>
      <c r="J157" s="593"/>
      <c r="K157" s="152"/>
      <c r="L157" s="591" t="str">
        <f>L10</f>
        <v>Basic Period (Year 3)</v>
      </c>
      <c r="M157" s="592"/>
      <c r="N157" s="593"/>
      <c r="O157" s="152"/>
      <c r="P157" s="591" t="str">
        <f>P10</f>
        <v>Basic Period (Year 4)</v>
      </c>
      <c r="Q157" s="592"/>
      <c r="R157" s="593"/>
    </row>
    <row r="158" spans="2:18" ht="16.5" thickBot="1" x14ac:dyDescent="0.3">
      <c r="B158" s="153" t="s">
        <v>110</v>
      </c>
      <c r="C158" s="153" t="s">
        <v>256</v>
      </c>
      <c r="D158" s="153" t="s">
        <v>91</v>
      </c>
      <c r="E158" s="154" t="s">
        <v>133</v>
      </c>
      <c r="F158" s="155" t="s">
        <v>139</v>
      </c>
      <c r="G158" s="156"/>
      <c r="H158" s="153" t="s">
        <v>91</v>
      </c>
      <c r="I158" s="154" t="s">
        <v>133</v>
      </c>
      <c r="J158" s="155" t="s">
        <v>139</v>
      </c>
      <c r="K158" s="156"/>
      <c r="L158" s="153" t="s">
        <v>91</v>
      </c>
      <c r="M158" s="154" t="s">
        <v>133</v>
      </c>
      <c r="N158" s="155" t="s">
        <v>139</v>
      </c>
      <c r="O158" s="156"/>
      <c r="P158" s="153" t="s">
        <v>91</v>
      </c>
      <c r="Q158" s="154" t="s">
        <v>133</v>
      </c>
      <c r="R158" s="155" t="s">
        <v>139</v>
      </c>
    </row>
    <row r="159" spans="2:18" ht="128.25" x14ac:dyDescent="0.25">
      <c r="B159" s="203" t="s">
        <v>601</v>
      </c>
      <c r="C159" s="203" t="s">
        <v>466</v>
      </c>
      <c r="D159" s="203" t="s">
        <v>565</v>
      </c>
      <c r="E159" s="203" t="s">
        <v>600</v>
      </c>
      <c r="F159" s="203"/>
      <c r="G159" s="156"/>
      <c r="H159" s="203" t="s">
        <v>565</v>
      </c>
      <c r="I159" s="203" t="s">
        <v>600</v>
      </c>
      <c r="J159" s="203"/>
      <c r="K159" s="156"/>
      <c r="L159" s="203" t="s">
        <v>565</v>
      </c>
      <c r="M159" s="203" t="s">
        <v>600</v>
      </c>
      <c r="N159" s="203"/>
      <c r="O159" s="156"/>
      <c r="P159" s="203" t="s">
        <v>565</v>
      </c>
      <c r="Q159" s="203" t="s">
        <v>600</v>
      </c>
      <c r="R159" s="489"/>
    </row>
    <row r="160" spans="2:18" x14ac:dyDescent="0.25">
      <c r="B160" s="252" t="s">
        <v>178</v>
      </c>
      <c r="C160" s="284" t="s">
        <v>210</v>
      </c>
      <c r="D160" s="157">
        <v>0</v>
      </c>
      <c r="E160" s="462">
        <v>0</v>
      </c>
      <c r="F160" s="158">
        <f>ROUND(D160*E160,0)</f>
        <v>0</v>
      </c>
      <c r="G160" s="159"/>
      <c r="H160" s="157">
        <v>0</v>
      </c>
      <c r="I160" s="462">
        <v>0</v>
      </c>
      <c r="J160" s="158">
        <f>ROUND(H160*I160,0)</f>
        <v>0</v>
      </c>
      <c r="K160" s="159"/>
      <c r="L160" s="157">
        <v>0</v>
      </c>
      <c r="M160" s="462">
        <v>0</v>
      </c>
      <c r="N160" s="158">
        <f>ROUND(L160*M160,0)</f>
        <v>0</v>
      </c>
      <c r="O160" s="159"/>
      <c r="P160" s="157">
        <v>0</v>
      </c>
      <c r="Q160" s="462">
        <v>0</v>
      </c>
      <c r="R160" s="158">
        <f>ROUND(P160*Q160,0)</f>
        <v>0</v>
      </c>
    </row>
    <row r="161" spans="2:18" x14ac:dyDescent="0.25">
      <c r="B161" s="252" t="s">
        <v>178</v>
      </c>
      <c r="C161" s="275" t="s">
        <v>5</v>
      </c>
      <c r="D161" s="157">
        <v>0</v>
      </c>
      <c r="E161" s="462">
        <v>0</v>
      </c>
      <c r="F161" s="158">
        <f t="shared" ref="F161:F174" si="28">ROUND(D161*E161,0)</f>
        <v>0</v>
      </c>
      <c r="G161" s="159"/>
      <c r="H161" s="157">
        <v>0</v>
      </c>
      <c r="I161" s="462">
        <v>0</v>
      </c>
      <c r="J161" s="158">
        <f t="shared" ref="J161:J174" si="29">ROUND(H161*I161,0)</f>
        <v>0</v>
      </c>
      <c r="K161" s="159"/>
      <c r="L161" s="157">
        <v>0</v>
      </c>
      <c r="M161" s="462">
        <v>0</v>
      </c>
      <c r="N161" s="158">
        <f t="shared" ref="N161:N174" si="30">ROUND(L161*M161,0)</f>
        <v>0</v>
      </c>
      <c r="O161" s="159"/>
      <c r="P161" s="157">
        <v>0</v>
      </c>
      <c r="Q161" s="462">
        <v>0</v>
      </c>
      <c r="R161" s="158">
        <f t="shared" ref="R161:R174" si="31">ROUND(P161*Q161,0)</f>
        <v>0</v>
      </c>
    </row>
    <row r="162" spans="2:18" x14ac:dyDescent="0.25">
      <c r="B162" s="252" t="s">
        <v>178</v>
      </c>
      <c r="C162" s="275"/>
      <c r="D162" s="157">
        <v>0</v>
      </c>
      <c r="E162" s="462">
        <v>0</v>
      </c>
      <c r="F162" s="158">
        <f t="shared" si="28"/>
        <v>0</v>
      </c>
      <c r="G162" s="159"/>
      <c r="H162" s="157">
        <v>0</v>
      </c>
      <c r="I162" s="462">
        <v>0</v>
      </c>
      <c r="J162" s="158">
        <f t="shared" si="29"/>
        <v>0</v>
      </c>
      <c r="K162" s="159"/>
      <c r="L162" s="157">
        <v>0</v>
      </c>
      <c r="M162" s="462">
        <v>0</v>
      </c>
      <c r="N162" s="158">
        <f t="shared" si="30"/>
        <v>0</v>
      </c>
      <c r="O162" s="159"/>
      <c r="P162" s="157">
        <v>0</v>
      </c>
      <c r="Q162" s="462">
        <v>0</v>
      </c>
      <c r="R162" s="158">
        <f t="shared" si="31"/>
        <v>0</v>
      </c>
    </row>
    <row r="163" spans="2:18" x14ac:dyDescent="0.25">
      <c r="B163" s="252" t="s">
        <v>178</v>
      </c>
      <c r="C163" s="275"/>
      <c r="D163" s="157">
        <v>0</v>
      </c>
      <c r="E163" s="462">
        <v>0</v>
      </c>
      <c r="F163" s="158">
        <f t="shared" si="28"/>
        <v>0</v>
      </c>
      <c r="G163" s="159"/>
      <c r="H163" s="157">
        <v>0</v>
      </c>
      <c r="I163" s="462">
        <v>0</v>
      </c>
      <c r="J163" s="158">
        <f t="shared" si="29"/>
        <v>0</v>
      </c>
      <c r="K163" s="159"/>
      <c r="L163" s="157">
        <v>0</v>
      </c>
      <c r="M163" s="462">
        <v>0</v>
      </c>
      <c r="N163" s="158">
        <f t="shared" si="30"/>
        <v>0</v>
      </c>
      <c r="O163" s="159"/>
      <c r="P163" s="157">
        <v>0</v>
      </c>
      <c r="Q163" s="462">
        <v>0</v>
      </c>
      <c r="R163" s="158">
        <f t="shared" si="31"/>
        <v>0</v>
      </c>
    </row>
    <row r="164" spans="2:18" x14ac:dyDescent="0.25">
      <c r="B164" s="252" t="s">
        <v>178</v>
      </c>
      <c r="C164" s="275"/>
      <c r="D164" s="157">
        <v>0</v>
      </c>
      <c r="E164" s="462">
        <v>0</v>
      </c>
      <c r="F164" s="158">
        <f t="shared" si="28"/>
        <v>0</v>
      </c>
      <c r="G164" s="159"/>
      <c r="H164" s="157">
        <v>0</v>
      </c>
      <c r="I164" s="462">
        <v>0</v>
      </c>
      <c r="J164" s="158">
        <f t="shared" si="29"/>
        <v>0</v>
      </c>
      <c r="K164" s="159"/>
      <c r="L164" s="157">
        <v>0</v>
      </c>
      <c r="M164" s="462">
        <v>0</v>
      </c>
      <c r="N164" s="158">
        <f t="shared" si="30"/>
        <v>0</v>
      </c>
      <c r="O164" s="159"/>
      <c r="P164" s="157">
        <v>0</v>
      </c>
      <c r="Q164" s="462">
        <v>0</v>
      </c>
      <c r="R164" s="158">
        <f t="shared" si="31"/>
        <v>0</v>
      </c>
    </row>
    <row r="165" spans="2:18" x14ac:dyDescent="0.25">
      <c r="B165" s="252" t="s">
        <v>178</v>
      </c>
      <c r="C165" s="284" t="s">
        <v>211</v>
      </c>
      <c r="D165" s="157">
        <v>0</v>
      </c>
      <c r="E165" s="462">
        <v>0</v>
      </c>
      <c r="F165" s="158">
        <f t="shared" si="28"/>
        <v>0</v>
      </c>
      <c r="G165" s="159"/>
      <c r="H165" s="157">
        <v>0</v>
      </c>
      <c r="I165" s="462">
        <v>0</v>
      </c>
      <c r="J165" s="158">
        <f t="shared" si="29"/>
        <v>0</v>
      </c>
      <c r="K165" s="159"/>
      <c r="L165" s="157">
        <v>0</v>
      </c>
      <c r="M165" s="462">
        <v>0</v>
      </c>
      <c r="N165" s="158">
        <f t="shared" si="30"/>
        <v>0</v>
      </c>
      <c r="O165" s="159"/>
      <c r="P165" s="157">
        <v>0</v>
      </c>
      <c r="Q165" s="462">
        <v>0</v>
      </c>
      <c r="R165" s="158">
        <f t="shared" si="31"/>
        <v>0</v>
      </c>
    </row>
    <row r="166" spans="2:18" x14ac:dyDescent="0.25">
      <c r="B166" s="252" t="s">
        <v>178</v>
      </c>
      <c r="C166" s="275"/>
      <c r="D166" s="157">
        <v>0</v>
      </c>
      <c r="E166" s="462">
        <v>0</v>
      </c>
      <c r="F166" s="158">
        <f t="shared" si="28"/>
        <v>0</v>
      </c>
      <c r="G166" s="159"/>
      <c r="H166" s="157">
        <v>0</v>
      </c>
      <c r="I166" s="462">
        <v>0</v>
      </c>
      <c r="J166" s="158">
        <f t="shared" si="29"/>
        <v>0</v>
      </c>
      <c r="K166" s="159"/>
      <c r="L166" s="157">
        <v>0</v>
      </c>
      <c r="M166" s="462">
        <v>0</v>
      </c>
      <c r="N166" s="158">
        <f t="shared" si="30"/>
        <v>0</v>
      </c>
      <c r="O166" s="159"/>
      <c r="P166" s="157">
        <v>0</v>
      </c>
      <c r="Q166" s="462">
        <v>0</v>
      </c>
      <c r="R166" s="158">
        <f t="shared" si="31"/>
        <v>0</v>
      </c>
    </row>
    <row r="167" spans="2:18" x14ac:dyDescent="0.25">
      <c r="B167" s="252" t="s">
        <v>178</v>
      </c>
      <c r="C167" s="275"/>
      <c r="D167" s="157">
        <v>0</v>
      </c>
      <c r="E167" s="462">
        <v>0</v>
      </c>
      <c r="F167" s="158">
        <f t="shared" si="28"/>
        <v>0</v>
      </c>
      <c r="G167" s="159"/>
      <c r="H167" s="157">
        <v>0</v>
      </c>
      <c r="I167" s="462">
        <v>0</v>
      </c>
      <c r="J167" s="158">
        <f t="shared" si="29"/>
        <v>0</v>
      </c>
      <c r="K167" s="159"/>
      <c r="L167" s="157">
        <v>0</v>
      </c>
      <c r="M167" s="462">
        <v>0</v>
      </c>
      <c r="N167" s="158">
        <f t="shared" si="30"/>
        <v>0</v>
      </c>
      <c r="O167" s="159"/>
      <c r="P167" s="157">
        <v>0</v>
      </c>
      <c r="Q167" s="462">
        <v>0</v>
      </c>
      <c r="R167" s="158">
        <f t="shared" si="31"/>
        <v>0</v>
      </c>
    </row>
    <row r="168" spans="2:18" x14ac:dyDescent="0.25">
      <c r="B168" s="252" t="s">
        <v>178</v>
      </c>
      <c r="C168" s="275"/>
      <c r="D168" s="157">
        <v>0</v>
      </c>
      <c r="E168" s="462">
        <v>0</v>
      </c>
      <c r="F168" s="158">
        <f t="shared" si="28"/>
        <v>0</v>
      </c>
      <c r="G168" s="159"/>
      <c r="H168" s="157">
        <v>0</v>
      </c>
      <c r="I168" s="462">
        <v>0</v>
      </c>
      <c r="J168" s="158">
        <f t="shared" si="29"/>
        <v>0</v>
      </c>
      <c r="K168" s="159"/>
      <c r="L168" s="157">
        <v>0</v>
      </c>
      <c r="M168" s="462">
        <v>0</v>
      </c>
      <c r="N168" s="158">
        <f t="shared" si="30"/>
        <v>0</v>
      </c>
      <c r="O168" s="159"/>
      <c r="P168" s="157">
        <v>0</v>
      </c>
      <c r="Q168" s="462">
        <v>0</v>
      </c>
      <c r="R168" s="158">
        <f t="shared" si="31"/>
        <v>0</v>
      </c>
    </row>
    <row r="169" spans="2:18" x14ac:dyDescent="0.25">
      <c r="B169" s="252" t="s">
        <v>178</v>
      </c>
      <c r="C169" s="275"/>
      <c r="D169" s="157">
        <v>0</v>
      </c>
      <c r="E169" s="462">
        <v>0</v>
      </c>
      <c r="F169" s="158">
        <f t="shared" si="28"/>
        <v>0</v>
      </c>
      <c r="G169" s="159"/>
      <c r="H169" s="157">
        <v>0</v>
      </c>
      <c r="I169" s="462">
        <v>0</v>
      </c>
      <c r="J169" s="158">
        <f t="shared" si="29"/>
        <v>0</v>
      </c>
      <c r="K169" s="159"/>
      <c r="L169" s="157">
        <v>0</v>
      </c>
      <c r="M169" s="462">
        <v>0</v>
      </c>
      <c r="N169" s="158">
        <f t="shared" si="30"/>
        <v>0</v>
      </c>
      <c r="O169" s="159"/>
      <c r="P169" s="157">
        <v>0</v>
      </c>
      <c r="Q169" s="462">
        <v>0</v>
      </c>
      <c r="R169" s="158">
        <f t="shared" si="31"/>
        <v>0</v>
      </c>
    </row>
    <row r="170" spans="2:18" x14ac:dyDescent="0.25">
      <c r="B170" s="252" t="s">
        <v>178</v>
      </c>
      <c r="C170" s="284" t="s">
        <v>212</v>
      </c>
      <c r="D170" s="157">
        <v>0</v>
      </c>
      <c r="E170" s="462">
        <v>0</v>
      </c>
      <c r="F170" s="158">
        <f t="shared" si="28"/>
        <v>0</v>
      </c>
      <c r="G170" s="159"/>
      <c r="H170" s="157">
        <v>0</v>
      </c>
      <c r="I170" s="462">
        <v>0</v>
      </c>
      <c r="J170" s="158">
        <f t="shared" si="29"/>
        <v>0</v>
      </c>
      <c r="K170" s="159"/>
      <c r="L170" s="157">
        <v>0</v>
      </c>
      <c r="M170" s="462">
        <v>0</v>
      </c>
      <c r="N170" s="158">
        <f t="shared" si="30"/>
        <v>0</v>
      </c>
      <c r="O170" s="159"/>
      <c r="P170" s="157">
        <v>0</v>
      </c>
      <c r="Q170" s="462">
        <v>0</v>
      </c>
      <c r="R170" s="158">
        <f t="shared" si="31"/>
        <v>0</v>
      </c>
    </row>
    <row r="171" spans="2:18" x14ac:dyDescent="0.25">
      <c r="B171" s="252" t="s">
        <v>178</v>
      </c>
      <c r="C171" s="275"/>
      <c r="D171" s="157">
        <v>0</v>
      </c>
      <c r="E171" s="462">
        <v>0</v>
      </c>
      <c r="F171" s="158">
        <f t="shared" si="28"/>
        <v>0</v>
      </c>
      <c r="G171" s="159"/>
      <c r="H171" s="157">
        <v>0</v>
      </c>
      <c r="I171" s="462">
        <v>0</v>
      </c>
      <c r="J171" s="158">
        <f t="shared" si="29"/>
        <v>0</v>
      </c>
      <c r="K171" s="159"/>
      <c r="L171" s="157">
        <v>0</v>
      </c>
      <c r="M171" s="462">
        <v>0</v>
      </c>
      <c r="N171" s="158">
        <f t="shared" si="30"/>
        <v>0</v>
      </c>
      <c r="O171" s="159"/>
      <c r="P171" s="157">
        <v>0</v>
      </c>
      <c r="Q171" s="462">
        <v>0</v>
      </c>
      <c r="R171" s="158">
        <f t="shared" si="31"/>
        <v>0</v>
      </c>
    </row>
    <row r="172" spans="2:18" x14ac:dyDescent="0.25">
      <c r="B172" s="252" t="s">
        <v>178</v>
      </c>
      <c r="C172" s="275"/>
      <c r="D172" s="157">
        <v>0</v>
      </c>
      <c r="E172" s="462">
        <v>0</v>
      </c>
      <c r="F172" s="158">
        <f t="shared" si="28"/>
        <v>0</v>
      </c>
      <c r="G172" s="159"/>
      <c r="H172" s="157">
        <v>0</v>
      </c>
      <c r="I172" s="462">
        <v>0</v>
      </c>
      <c r="J172" s="158">
        <f t="shared" si="29"/>
        <v>0</v>
      </c>
      <c r="K172" s="159"/>
      <c r="L172" s="157">
        <v>0</v>
      </c>
      <c r="M172" s="462">
        <v>0</v>
      </c>
      <c r="N172" s="158">
        <f t="shared" si="30"/>
        <v>0</v>
      </c>
      <c r="O172" s="159"/>
      <c r="P172" s="157">
        <v>0</v>
      </c>
      <c r="Q172" s="462">
        <v>0</v>
      </c>
      <c r="R172" s="158">
        <f t="shared" si="31"/>
        <v>0</v>
      </c>
    </row>
    <row r="173" spans="2:18" x14ac:dyDescent="0.25">
      <c r="B173" s="252" t="s">
        <v>178</v>
      </c>
      <c r="C173" s="275"/>
      <c r="D173" s="157">
        <v>0</v>
      </c>
      <c r="E173" s="462">
        <v>0</v>
      </c>
      <c r="F173" s="158">
        <f t="shared" si="28"/>
        <v>0</v>
      </c>
      <c r="G173" s="159"/>
      <c r="H173" s="157">
        <v>0</v>
      </c>
      <c r="I173" s="462">
        <v>0</v>
      </c>
      <c r="J173" s="158">
        <f t="shared" si="29"/>
        <v>0</v>
      </c>
      <c r="K173" s="159"/>
      <c r="L173" s="157">
        <v>0</v>
      </c>
      <c r="M173" s="462">
        <v>0</v>
      </c>
      <c r="N173" s="158">
        <f t="shared" si="30"/>
        <v>0</v>
      </c>
      <c r="O173" s="159"/>
      <c r="P173" s="157">
        <v>0</v>
      </c>
      <c r="Q173" s="462">
        <v>0</v>
      </c>
      <c r="R173" s="158">
        <f t="shared" si="31"/>
        <v>0</v>
      </c>
    </row>
    <row r="174" spans="2:18" ht="15.75" thickBot="1" x14ac:dyDescent="0.3">
      <c r="B174" s="294" t="s">
        <v>178</v>
      </c>
      <c r="C174" s="295"/>
      <c r="D174" s="157">
        <v>0</v>
      </c>
      <c r="E174" s="462">
        <v>0</v>
      </c>
      <c r="F174" s="158">
        <f t="shared" si="28"/>
        <v>0</v>
      </c>
      <c r="G174" s="159"/>
      <c r="H174" s="157">
        <v>0</v>
      </c>
      <c r="I174" s="462">
        <v>0</v>
      </c>
      <c r="J174" s="158">
        <f t="shared" si="29"/>
        <v>0</v>
      </c>
      <c r="K174" s="159"/>
      <c r="L174" s="157">
        <v>0</v>
      </c>
      <c r="M174" s="462">
        <v>0</v>
      </c>
      <c r="N174" s="158">
        <f t="shared" si="30"/>
        <v>0</v>
      </c>
      <c r="O174" s="159"/>
      <c r="P174" s="157">
        <v>0</v>
      </c>
      <c r="Q174" s="462">
        <v>0</v>
      </c>
      <c r="R174" s="158">
        <f t="shared" si="31"/>
        <v>0</v>
      </c>
    </row>
    <row r="175" spans="2:18" ht="15.75" thickBot="1" x14ac:dyDescent="0.3">
      <c r="B175" s="298" t="s">
        <v>151</v>
      </c>
      <c r="C175" s="296"/>
      <c r="D175" s="257">
        <f>SUM(D160:D174)</f>
        <v>0</v>
      </c>
      <c r="E175" s="205"/>
      <c r="F175" s="164">
        <f>ROUND(SUM(F160:F174),0)</f>
        <v>0</v>
      </c>
      <c r="G175" s="165"/>
      <c r="H175" s="257">
        <f>SUM(H160:H174)</f>
        <v>0</v>
      </c>
      <c r="I175" s="205" t="s">
        <v>5</v>
      </c>
      <c r="J175" s="164">
        <f>ROUND(SUM(J160:J174),0)</f>
        <v>0</v>
      </c>
      <c r="K175" s="165"/>
      <c r="L175" s="257">
        <f>SUM(L160:L174)</f>
        <v>0</v>
      </c>
      <c r="M175" s="205"/>
      <c r="N175" s="164">
        <f>ROUND(SUM(N160:N174),0)</f>
        <v>0</v>
      </c>
      <c r="O175" s="165"/>
      <c r="P175" s="257">
        <f>SUM(P160:P174)</f>
        <v>0</v>
      </c>
      <c r="Q175" s="205"/>
      <c r="R175" s="164">
        <f>ROUND(SUM(R160:R174),0)</f>
        <v>0</v>
      </c>
    </row>
    <row r="176" spans="2:18" ht="15.75" thickBot="1" x14ac:dyDescent="0.3">
      <c r="B176" s="63"/>
      <c r="C176" s="63"/>
      <c r="D176" s="63"/>
      <c r="E176" s="63"/>
      <c r="F176" s="63"/>
      <c r="G176" s="63"/>
      <c r="H176" s="63"/>
      <c r="I176" s="63"/>
      <c r="J176" s="63"/>
      <c r="K176" s="63"/>
      <c r="L176" s="63"/>
      <c r="M176" s="63"/>
      <c r="N176" s="63"/>
    </row>
    <row r="177" spans="2:18" ht="16.5" thickBot="1" x14ac:dyDescent="0.3">
      <c r="B177" s="601" t="s">
        <v>463</v>
      </c>
      <c r="C177" s="602"/>
      <c r="D177" s="594" t="s">
        <v>134</v>
      </c>
      <c r="E177" s="595"/>
      <c r="F177" s="596"/>
      <c r="G177" s="151"/>
      <c r="H177" s="594" t="s">
        <v>134</v>
      </c>
      <c r="I177" s="595"/>
      <c r="J177" s="596"/>
      <c r="K177" s="151"/>
      <c r="L177" s="594" t="s">
        <v>134</v>
      </c>
      <c r="M177" s="595"/>
      <c r="N177" s="596"/>
      <c r="O177" s="151"/>
      <c r="P177" s="594" t="s">
        <v>134</v>
      </c>
      <c r="Q177" s="595"/>
      <c r="R177" s="596"/>
    </row>
    <row r="178" spans="2:18" ht="16.5" thickBot="1" x14ac:dyDescent="0.3">
      <c r="B178" s="603"/>
      <c r="C178" s="604"/>
      <c r="D178" s="591" t="str">
        <f>D10</f>
        <v>Basic Period (Year 1)</v>
      </c>
      <c r="E178" s="592"/>
      <c r="F178" s="593"/>
      <c r="G178" s="152"/>
      <c r="H178" s="591" t="str">
        <f>H10</f>
        <v>Basic Period (Year 2)</v>
      </c>
      <c r="I178" s="592"/>
      <c r="J178" s="593"/>
      <c r="K178" s="152"/>
      <c r="L178" s="591" t="str">
        <f>L10</f>
        <v>Basic Period (Year 3)</v>
      </c>
      <c r="M178" s="592"/>
      <c r="N178" s="593"/>
      <c r="O178" s="152"/>
      <c r="P178" s="591" t="str">
        <f>P10</f>
        <v>Basic Period (Year 4)</v>
      </c>
      <c r="Q178" s="592"/>
      <c r="R178" s="593"/>
    </row>
    <row r="179" spans="2:18" ht="16.5" thickBot="1" x14ac:dyDescent="0.3">
      <c r="B179" s="153" t="s">
        <v>110</v>
      </c>
      <c r="C179" s="153" t="s">
        <v>256</v>
      </c>
      <c r="D179" s="153" t="s">
        <v>91</v>
      </c>
      <c r="E179" s="154" t="s">
        <v>133</v>
      </c>
      <c r="F179" s="155" t="s">
        <v>139</v>
      </c>
      <c r="G179" s="156"/>
      <c r="H179" s="153" t="s">
        <v>91</v>
      </c>
      <c r="I179" s="154" t="s">
        <v>133</v>
      </c>
      <c r="J179" s="155" t="s">
        <v>139</v>
      </c>
      <c r="K179" s="156"/>
      <c r="L179" s="153" t="s">
        <v>91</v>
      </c>
      <c r="M179" s="154" t="s">
        <v>133</v>
      </c>
      <c r="N179" s="155" t="s">
        <v>139</v>
      </c>
      <c r="O179" s="156"/>
      <c r="P179" s="153" t="s">
        <v>91</v>
      </c>
      <c r="Q179" s="154" t="s">
        <v>133</v>
      </c>
      <c r="R179" s="155" t="s">
        <v>139</v>
      </c>
    </row>
    <row r="180" spans="2:18" ht="128.25" x14ac:dyDescent="0.25">
      <c r="B180" s="203" t="s">
        <v>601</v>
      </c>
      <c r="C180" s="203" t="s">
        <v>466</v>
      </c>
      <c r="D180" s="203" t="s">
        <v>565</v>
      </c>
      <c r="E180" s="203" t="s">
        <v>600</v>
      </c>
      <c r="F180" s="203"/>
      <c r="G180" s="156"/>
      <c r="H180" s="203" t="s">
        <v>565</v>
      </c>
      <c r="I180" s="203" t="s">
        <v>600</v>
      </c>
      <c r="J180" s="203"/>
      <c r="K180" s="156"/>
      <c r="L180" s="203" t="s">
        <v>565</v>
      </c>
      <c r="M180" s="203" t="s">
        <v>600</v>
      </c>
      <c r="N180" s="203"/>
      <c r="O180" s="156"/>
      <c r="P180" s="203" t="s">
        <v>565</v>
      </c>
      <c r="Q180" s="203" t="s">
        <v>600</v>
      </c>
      <c r="R180" s="489"/>
    </row>
    <row r="181" spans="2:18" x14ac:dyDescent="0.25">
      <c r="B181" s="252" t="s">
        <v>178</v>
      </c>
      <c r="C181" s="284" t="s">
        <v>213</v>
      </c>
      <c r="D181" s="157">
        <v>0</v>
      </c>
      <c r="E181" s="462">
        <v>0</v>
      </c>
      <c r="F181" s="158">
        <f>ROUND(D181*E181,0)</f>
        <v>0</v>
      </c>
      <c r="G181" s="159"/>
      <c r="H181" s="157">
        <v>0</v>
      </c>
      <c r="I181" s="462">
        <v>0</v>
      </c>
      <c r="J181" s="158">
        <f>ROUND(H181*I181,0)</f>
        <v>0</v>
      </c>
      <c r="K181" s="159"/>
      <c r="L181" s="157">
        <v>0</v>
      </c>
      <c r="M181" s="462">
        <v>0</v>
      </c>
      <c r="N181" s="158">
        <f>ROUND(L181*M181,0)</f>
        <v>0</v>
      </c>
      <c r="O181" s="159"/>
      <c r="P181" s="157">
        <v>0</v>
      </c>
      <c r="Q181" s="462">
        <v>0</v>
      </c>
      <c r="R181" s="158">
        <f>ROUND(P181*Q181,0)</f>
        <v>0</v>
      </c>
    </row>
    <row r="182" spans="2:18" x14ac:dyDescent="0.25">
      <c r="B182" s="252" t="s">
        <v>178</v>
      </c>
      <c r="C182" s="275" t="s">
        <v>5</v>
      </c>
      <c r="D182" s="157">
        <v>0</v>
      </c>
      <c r="E182" s="462">
        <v>0</v>
      </c>
      <c r="F182" s="158">
        <f t="shared" ref="F182:F195" si="32">ROUND(D182*E182,0)</f>
        <v>0</v>
      </c>
      <c r="G182" s="159"/>
      <c r="H182" s="157">
        <v>0</v>
      </c>
      <c r="I182" s="462">
        <v>0</v>
      </c>
      <c r="J182" s="158">
        <f t="shared" ref="J182:J195" si="33">ROUND(H182*I182,0)</f>
        <v>0</v>
      </c>
      <c r="K182" s="159"/>
      <c r="L182" s="157">
        <v>0</v>
      </c>
      <c r="M182" s="462">
        <v>0</v>
      </c>
      <c r="N182" s="158">
        <f t="shared" ref="N182:N195" si="34">ROUND(L182*M182,0)</f>
        <v>0</v>
      </c>
      <c r="O182" s="159"/>
      <c r="P182" s="157">
        <v>0</v>
      </c>
      <c r="Q182" s="462">
        <v>0</v>
      </c>
      <c r="R182" s="158">
        <f t="shared" ref="R182:R195" si="35">ROUND(P182*Q182,0)</f>
        <v>0</v>
      </c>
    </row>
    <row r="183" spans="2:18" x14ac:dyDescent="0.25">
      <c r="B183" s="252" t="s">
        <v>178</v>
      </c>
      <c r="C183" s="275"/>
      <c r="D183" s="157">
        <v>0</v>
      </c>
      <c r="E183" s="462">
        <v>0</v>
      </c>
      <c r="F183" s="158">
        <f t="shared" si="32"/>
        <v>0</v>
      </c>
      <c r="G183" s="159"/>
      <c r="H183" s="157">
        <v>0</v>
      </c>
      <c r="I183" s="462">
        <v>0</v>
      </c>
      <c r="J183" s="158">
        <f t="shared" si="33"/>
        <v>0</v>
      </c>
      <c r="K183" s="159"/>
      <c r="L183" s="157">
        <v>0</v>
      </c>
      <c r="M183" s="462">
        <v>0</v>
      </c>
      <c r="N183" s="158">
        <f t="shared" si="34"/>
        <v>0</v>
      </c>
      <c r="O183" s="159"/>
      <c r="P183" s="157">
        <v>0</v>
      </c>
      <c r="Q183" s="462">
        <v>0</v>
      </c>
      <c r="R183" s="158">
        <f t="shared" si="35"/>
        <v>0</v>
      </c>
    </row>
    <row r="184" spans="2:18" x14ac:dyDescent="0.25">
      <c r="B184" s="252" t="s">
        <v>178</v>
      </c>
      <c r="C184" s="275"/>
      <c r="D184" s="157">
        <v>0</v>
      </c>
      <c r="E184" s="462">
        <v>0</v>
      </c>
      <c r="F184" s="158">
        <f t="shared" si="32"/>
        <v>0</v>
      </c>
      <c r="G184" s="159"/>
      <c r="H184" s="157">
        <v>0</v>
      </c>
      <c r="I184" s="462">
        <v>0</v>
      </c>
      <c r="J184" s="158">
        <f t="shared" si="33"/>
        <v>0</v>
      </c>
      <c r="K184" s="159"/>
      <c r="L184" s="157">
        <v>0</v>
      </c>
      <c r="M184" s="462">
        <v>0</v>
      </c>
      <c r="N184" s="158">
        <f t="shared" si="34"/>
        <v>0</v>
      </c>
      <c r="O184" s="159"/>
      <c r="P184" s="157">
        <v>0</v>
      </c>
      <c r="Q184" s="462">
        <v>0</v>
      </c>
      <c r="R184" s="158">
        <f t="shared" si="35"/>
        <v>0</v>
      </c>
    </row>
    <row r="185" spans="2:18" x14ac:dyDescent="0.25">
      <c r="B185" s="252" t="s">
        <v>178</v>
      </c>
      <c r="C185" s="275"/>
      <c r="D185" s="157">
        <v>0</v>
      </c>
      <c r="E185" s="462">
        <v>0</v>
      </c>
      <c r="F185" s="158">
        <f t="shared" si="32"/>
        <v>0</v>
      </c>
      <c r="G185" s="159"/>
      <c r="H185" s="157">
        <v>0</v>
      </c>
      <c r="I185" s="462">
        <v>0</v>
      </c>
      <c r="J185" s="158">
        <f t="shared" si="33"/>
        <v>0</v>
      </c>
      <c r="K185" s="159"/>
      <c r="L185" s="157">
        <v>0</v>
      </c>
      <c r="M185" s="462">
        <v>0</v>
      </c>
      <c r="N185" s="158">
        <f t="shared" si="34"/>
        <v>0</v>
      </c>
      <c r="O185" s="159"/>
      <c r="P185" s="157">
        <v>0</v>
      </c>
      <c r="Q185" s="462">
        <v>0</v>
      </c>
      <c r="R185" s="158">
        <f t="shared" si="35"/>
        <v>0</v>
      </c>
    </row>
    <row r="186" spans="2:18" x14ac:dyDescent="0.25">
      <c r="B186" s="252" t="s">
        <v>178</v>
      </c>
      <c r="C186" s="284" t="s">
        <v>214</v>
      </c>
      <c r="D186" s="157">
        <v>0</v>
      </c>
      <c r="E186" s="462">
        <v>0</v>
      </c>
      <c r="F186" s="158">
        <f t="shared" si="32"/>
        <v>0</v>
      </c>
      <c r="G186" s="159"/>
      <c r="H186" s="157">
        <v>0</v>
      </c>
      <c r="I186" s="462">
        <v>0</v>
      </c>
      <c r="J186" s="158">
        <f t="shared" si="33"/>
        <v>0</v>
      </c>
      <c r="K186" s="159"/>
      <c r="L186" s="157">
        <v>0</v>
      </c>
      <c r="M186" s="462">
        <v>0</v>
      </c>
      <c r="N186" s="158">
        <f t="shared" si="34"/>
        <v>0</v>
      </c>
      <c r="O186" s="159"/>
      <c r="P186" s="157">
        <v>0</v>
      </c>
      <c r="Q186" s="462">
        <v>0</v>
      </c>
      <c r="R186" s="158">
        <f t="shared" si="35"/>
        <v>0</v>
      </c>
    </row>
    <row r="187" spans="2:18" x14ac:dyDescent="0.25">
      <c r="B187" s="252" t="s">
        <v>178</v>
      </c>
      <c r="C187" s="275"/>
      <c r="D187" s="157">
        <v>0</v>
      </c>
      <c r="E187" s="462">
        <v>0</v>
      </c>
      <c r="F187" s="158">
        <f t="shared" si="32"/>
        <v>0</v>
      </c>
      <c r="G187" s="159"/>
      <c r="H187" s="157">
        <v>0</v>
      </c>
      <c r="I187" s="462">
        <v>0</v>
      </c>
      <c r="J187" s="158">
        <f t="shared" si="33"/>
        <v>0</v>
      </c>
      <c r="K187" s="159"/>
      <c r="L187" s="157">
        <v>0</v>
      </c>
      <c r="M187" s="462">
        <v>0</v>
      </c>
      <c r="N187" s="158">
        <f t="shared" si="34"/>
        <v>0</v>
      </c>
      <c r="O187" s="159"/>
      <c r="P187" s="157">
        <v>0</v>
      </c>
      <c r="Q187" s="462">
        <v>0</v>
      </c>
      <c r="R187" s="158">
        <f t="shared" si="35"/>
        <v>0</v>
      </c>
    </row>
    <row r="188" spans="2:18" x14ac:dyDescent="0.25">
      <c r="B188" s="252" t="s">
        <v>178</v>
      </c>
      <c r="C188" s="275"/>
      <c r="D188" s="157">
        <v>0</v>
      </c>
      <c r="E188" s="462">
        <v>0</v>
      </c>
      <c r="F188" s="158">
        <f t="shared" si="32"/>
        <v>0</v>
      </c>
      <c r="G188" s="159"/>
      <c r="H188" s="157">
        <v>0</v>
      </c>
      <c r="I188" s="462">
        <v>0</v>
      </c>
      <c r="J188" s="158">
        <f t="shared" si="33"/>
        <v>0</v>
      </c>
      <c r="K188" s="159"/>
      <c r="L188" s="157">
        <v>0</v>
      </c>
      <c r="M188" s="462">
        <v>0</v>
      </c>
      <c r="N188" s="158">
        <f t="shared" si="34"/>
        <v>0</v>
      </c>
      <c r="O188" s="159"/>
      <c r="P188" s="157">
        <v>0</v>
      </c>
      <c r="Q188" s="462">
        <v>0</v>
      </c>
      <c r="R188" s="158">
        <f t="shared" si="35"/>
        <v>0</v>
      </c>
    </row>
    <row r="189" spans="2:18" x14ac:dyDescent="0.25">
      <c r="B189" s="252" t="s">
        <v>178</v>
      </c>
      <c r="C189" s="275"/>
      <c r="D189" s="157">
        <v>0</v>
      </c>
      <c r="E189" s="462">
        <v>0</v>
      </c>
      <c r="F189" s="158">
        <f t="shared" si="32"/>
        <v>0</v>
      </c>
      <c r="G189" s="159"/>
      <c r="H189" s="157">
        <v>0</v>
      </c>
      <c r="I189" s="462">
        <v>0</v>
      </c>
      <c r="J189" s="158">
        <f t="shared" si="33"/>
        <v>0</v>
      </c>
      <c r="K189" s="159"/>
      <c r="L189" s="157">
        <v>0</v>
      </c>
      <c r="M189" s="462">
        <v>0</v>
      </c>
      <c r="N189" s="158">
        <f t="shared" si="34"/>
        <v>0</v>
      </c>
      <c r="O189" s="159"/>
      <c r="P189" s="157">
        <v>0</v>
      </c>
      <c r="Q189" s="462">
        <v>0</v>
      </c>
      <c r="R189" s="158">
        <f t="shared" si="35"/>
        <v>0</v>
      </c>
    </row>
    <row r="190" spans="2:18" x14ac:dyDescent="0.25">
      <c r="B190" s="252" t="s">
        <v>178</v>
      </c>
      <c r="C190" s="275"/>
      <c r="D190" s="157">
        <v>0</v>
      </c>
      <c r="E190" s="462">
        <v>0</v>
      </c>
      <c r="F190" s="158">
        <f t="shared" si="32"/>
        <v>0</v>
      </c>
      <c r="G190" s="159"/>
      <c r="H190" s="157">
        <v>0</v>
      </c>
      <c r="I190" s="462">
        <v>0</v>
      </c>
      <c r="J190" s="158">
        <f t="shared" si="33"/>
        <v>0</v>
      </c>
      <c r="K190" s="159"/>
      <c r="L190" s="157">
        <v>0</v>
      </c>
      <c r="M190" s="462">
        <v>0</v>
      </c>
      <c r="N190" s="158">
        <f t="shared" si="34"/>
        <v>0</v>
      </c>
      <c r="O190" s="159"/>
      <c r="P190" s="157">
        <v>0</v>
      </c>
      <c r="Q190" s="462">
        <v>0</v>
      </c>
      <c r="R190" s="158">
        <f t="shared" si="35"/>
        <v>0</v>
      </c>
    </row>
    <row r="191" spans="2:18" x14ac:dyDescent="0.25">
      <c r="B191" s="252" t="s">
        <v>178</v>
      </c>
      <c r="C191" s="284" t="s">
        <v>215</v>
      </c>
      <c r="D191" s="157">
        <v>0</v>
      </c>
      <c r="E191" s="462">
        <v>0</v>
      </c>
      <c r="F191" s="158">
        <f t="shared" si="32"/>
        <v>0</v>
      </c>
      <c r="G191" s="159"/>
      <c r="H191" s="157">
        <v>0</v>
      </c>
      <c r="I191" s="462">
        <v>0</v>
      </c>
      <c r="J191" s="158">
        <f t="shared" si="33"/>
        <v>0</v>
      </c>
      <c r="K191" s="159"/>
      <c r="L191" s="157">
        <v>0</v>
      </c>
      <c r="M191" s="462">
        <v>0</v>
      </c>
      <c r="N191" s="158">
        <f t="shared" si="34"/>
        <v>0</v>
      </c>
      <c r="O191" s="159"/>
      <c r="P191" s="157">
        <v>0</v>
      </c>
      <c r="Q191" s="462">
        <v>0</v>
      </c>
      <c r="R191" s="158">
        <f t="shared" si="35"/>
        <v>0</v>
      </c>
    </row>
    <row r="192" spans="2:18" x14ac:dyDescent="0.25">
      <c r="B192" s="252" t="s">
        <v>178</v>
      </c>
      <c r="C192" s="275"/>
      <c r="D192" s="157">
        <v>0</v>
      </c>
      <c r="E192" s="462">
        <v>0</v>
      </c>
      <c r="F192" s="158">
        <f t="shared" si="32"/>
        <v>0</v>
      </c>
      <c r="G192" s="159"/>
      <c r="H192" s="157">
        <v>0</v>
      </c>
      <c r="I192" s="462">
        <v>0</v>
      </c>
      <c r="J192" s="158">
        <f t="shared" si="33"/>
        <v>0</v>
      </c>
      <c r="K192" s="159"/>
      <c r="L192" s="157">
        <v>0</v>
      </c>
      <c r="M192" s="462">
        <v>0</v>
      </c>
      <c r="N192" s="158">
        <f t="shared" si="34"/>
        <v>0</v>
      </c>
      <c r="O192" s="159"/>
      <c r="P192" s="157">
        <v>0</v>
      </c>
      <c r="Q192" s="462">
        <v>0</v>
      </c>
      <c r="R192" s="158">
        <f t="shared" si="35"/>
        <v>0</v>
      </c>
    </row>
    <row r="193" spans="2:18" x14ac:dyDescent="0.25">
      <c r="B193" s="252" t="s">
        <v>178</v>
      </c>
      <c r="C193" s="275"/>
      <c r="D193" s="157">
        <v>0</v>
      </c>
      <c r="E193" s="462">
        <v>0</v>
      </c>
      <c r="F193" s="158">
        <f t="shared" si="32"/>
        <v>0</v>
      </c>
      <c r="G193" s="159"/>
      <c r="H193" s="157">
        <v>0</v>
      </c>
      <c r="I193" s="462">
        <v>0</v>
      </c>
      <c r="J193" s="158">
        <f t="shared" si="33"/>
        <v>0</v>
      </c>
      <c r="K193" s="159"/>
      <c r="L193" s="157">
        <v>0</v>
      </c>
      <c r="M193" s="462">
        <v>0</v>
      </c>
      <c r="N193" s="158">
        <f t="shared" si="34"/>
        <v>0</v>
      </c>
      <c r="O193" s="159"/>
      <c r="P193" s="157">
        <v>0</v>
      </c>
      <c r="Q193" s="462">
        <v>0</v>
      </c>
      <c r="R193" s="158">
        <f t="shared" si="35"/>
        <v>0</v>
      </c>
    </row>
    <row r="194" spans="2:18" x14ac:dyDescent="0.25">
      <c r="B194" s="252" t="s">
        <v>178</v>
      </c>
      <c r="C194" s="275"/>
      <c r="D194" s="157">
        <v>0</v>
      </c>
      <c r="E194" s="462">
        <v>0</v>
      </c>
      <c r="F194" s="158">
        <f t="shared" si="32"/>
        <v>0</v>
      </c>
      <c r="G194" s="159"/>
      <c r="H194" s="157">
        <v>0</v>
      </c>
      <c r="I194" s="462">
        <v>0</v>
      </c>
      <c r="J194" s="158">
        <f t="shared" si="33"/>
        <v>0</v>
      </c>
      <c r="K194" s="159"/>
      <c r="L194" s="157">
        <v>0</v>
      </c>
      <c r="M194" s="462">
        <v>0</v>
      </c>
      <c r="N194" s="158">
        <f t="shared" si="34"/>
        <v>0</v>
      </c>
      <c r="O194" s="159"/>
      <c r="P194" s="157">
        <v>0</v>
      </c>
      <c r="Q194" s="462">
        <v>0</v>
      </c>
      <c r="R194" s="158">
        <f t="shared" si="35"/>
        <v>0</v>
      </c>
    </row>
    <row r="195" spans="2:18" ht="15.75" thickBot="1" x14ac:dyDescent="0.3">
      <c r="B195" s="294" t="s">
        <v>178</v>
      </c>
      <c r="C195" s="295"/>
      <c r="D195" s="157">
        <v>0</v>
      </c>
      <c r="E195" s="462">
        <v>0</v>
      </c>
      <c r="F195" s="158">
        <f t="shared" si="32"/>
        <v>0</v>
      </c>
      <c r="G195" s="159"/>
      <c r="H195" s="157">
        <v>0</v>
      </c>
      <c r="I195" s="462">
        <v>0</v>
      </c>
      <c r="J195" s="158">
        <f t="shared" si="33"/>
        <v>0</v>
      </c>
      <c r="K195" s="159"/>
      <c r="L195" s="157">
        <v>0</v>
      </c>
      <c r="M195" s="462">
        <v>0</v>
      </c>
      <c r="N195" s="158">
        <f t="shared" si="34"/>
        <v>0</v>
      </c>
      <c r="O195" s="159"/>
      <c r="P195" s="157">
        <v>0</v>
      </c>
      <c r="Q195" s="462">
        <v>0</v>
      </c>
      <c r="R195" s="158">
        <f t="shared" si="35"/>
        <v>0</v>
      </c>
    </row>
    <row r="196" spans="2:18" ht="15.75" thickBot="1" x14ac:dyDescent="0.3">
      <c r="B196" s="298" t="s">
        <v>151</v>
      </c>
      <c r="C196" s="296"/>
      <c r="D196" s="257">
        <f>SUM(D181:D195)</f>
        <v>0</v>
      </c>
      <c r="E196" s="205"/>
      <c r="F196" s="164">
        <f>ROUND(SUM(F181:F195),0)</f>
        <v>0</v>
      </c>
      <c r="G196" s="165"/>
      <c r="H196" s="257">
        <f>SUM(H181:H195)</f>
        <v>0</v>
      </c>
      <c r="I196" s="205" t="s">
        <v>5</v>
      </c>
      <c r="J196" s="164">
        <f>ROUND(SUM(J181:J195),0)</f>
        <v>0</v>
      </c>
      <c r="K196" s="165"/>
      <c r="L196" s="257">
        <f>SUM(L181:L195)</f>
        <v>0</v>
      </c>
      <c r="M196" s="205"/>
      <c r="N196" s="164">
        <f>ROUND(SUM(N181:N195),0)</f>
        <v>0</v>
      </c>
      <c r="O196" s="165"/>
      <c r="P196" s="257">
        <f>SUM(P181:P195)</f>
        <v>0</v>
      </c>
      <c r="Q196" s="205"/>
      <c r="R196" s="164">
        <f>ROUND(SUM(R181:R195),0)</f>
        <v>0</v>
      </c>
    </row>
    <row r="197" spans="2:18" ht="15.75" thickBot="1" x14ac:dyDescent="0.3">
      <c r="B197" s="63"/>
      <c r="C197" s="63"/>
      <c r="D197" s="63"/>
      <c r="E197" s="63"/>
      <c r="F197" s="63"/>
      <c r="G197" s="63"/>
      <c r="H197" s="63"/>
      <c r="I197" s="63"/>
      <c r="J197" s="63"/>
      <c r="K197" s="63"/>
      <c r="L197" s="63"/>
      <c r="M197" s="63"/>
      <c r="N197" s="63"/>
    </row>
    <row r="198" spans="2:18" ht="16.5" thickBot="1" x14ac:dyDescent="0.3">
      <c r="B198" s="601" t="s">
        <v>464</v>
      </c>
      <c r="C198" s="602"/>
      <c r="D198" s="594" t="s">
        <v>134</v>
      </c>
      <c r="E198" s="595"/>
      <c r="F198" s="596"/>
      <c r="G198" s="151"/>
      <c r="H198" s="594" t="s">
        <v>134</v>
      </c>
      <c r="I198" s="595"/>
      <c r="J198" s="596"/>
      <c r="K198" s="151"/>
      <c r="L198" s="594" t="s">
        <v>134</v>
      </c>
      <c r="M198" s="595"/>
      <c r="N198" s="596"/>
      <c r="O198" s="151"/>
      <c r="P198" s="594" t="s">
        <v>134</v>
      </c>
      <c r="Q198" s="595"/>
      <c r="R198" s="596"/>
    </row>
    <row r="199" spans="2:18" ht="16.5" thickBot="1" x14ac:dyDescent="0.3">
      <c r="B199" s="603"/>
      <c r="C199" s="604"/>
      <c r="D199" s="591" t="str">
        <f>D10</f>
        <v>Basic Period (Year 1)</v>
      </c>
      <c r="E199" s="592"/>
      <c r="F199" s="593"/>
      <c r="G199" s="152"/>
      <c r="H199" s="591" t="str">
        <f>H10</f>
        <v>Basic Period (Year 2)</v>
      </c>
      <c r="I199" s="592"/>
      <c r="J199" s="593"/>
      <c r="K199" s="152"/>
      <c r="L199" s="591" t="str">
        <f>L10</f>
        <v>Basic Period (Year 3)</v>
      </c>
      <c r="M199" s="592"/>
      <c r="N199" s="593"/>
      <c r="O199" s="152"/>
      <c r="P199" s="591" t="str">
        <f>P10</f>
        <v>Basic Period (Year 4)</v>
      </c>
      <c r="Q199" s="592"/>
      <c r="R199" s="593"/>
    </row>
    <row r="200" spans="2:18" ht="16.5" thickBot="1" x14ac:dyDescent="0.3">
      <c r="B200" s="153" t="s">
        <v>110</v>
      </c>
      <c r="C200" s="153" t="s">
        <v>256</v>
      </c>
      <c r="D200" s="153" t="s">
        <v>91</v>
      </c>
      <c r="E200" s="154" t="s">
        <v>133</v>
      </c>
      <c r="F200" s="155" t="s">
        <v>139</v>
      </c>
      <c r="G200" s="156"/>
      <c r="H200" s="153" t="s">
        <v>91</v>
      </c>
      <c r="I200" s="154" t="s">
        <v>133</v>
      </c>
      <c r="J200" s="155" t="s">
        <v>139</v>
      </c>
      <c r="K200" s="156"/>
      <c r="L200" s="153" t="s">
        <v>91</v>
      </c>
      <c r="M200" s="154" t="s">
        <v>133</v>
      </c>
      <c r="N200" s="155" t="s">
        <v>139</v>
      </c>
      <c r="O200" s="156"/>
      <c r="P200" s="153" t="s">
        <v>91</v>
      </c>
      <c r="Q200" s="154" t="s">
        <v>133</v>
      </c>
      <c r="R200" s="155" t="s">
        <v>139</v>
      </c>
    </row>
    <row r="201" spans="2:18" ht="128.25" x14ac:dyDescent="0.25">
      <c r="B201" s="203" t="s">
        <v>601</v>
      </c>
      <c r="C201" s="203" t="s">
        <v>466</v>
      </c>
      <c r="D201" s="203" t="s">
        <v>565</v>
      </c>
      <c r="E201" s="203" t="s">
        <v>600</v>
      </c>
      <c r="F201" s="203"/>
      <c r="G201" s="156"/>
      <c r="H201" s="203" t="s">
        <v>565</v>
      </c>
      <c r="I201" s="203" t="s">
        <v>600</v>
      </c>
      <c r="J201" s="203"/>
      <c r="K201" s="156"/>
      <c r="L201" s="203" t="s">
        <v>565</v>
      </c>
      <c r="M201" s="203" t="s">
        <v>600</v>
      </c>
      <c r="N201" s="203"/>
      <c r="O201" s="156"/>
      <c r="P201" s="203" t="s">
        <v>565</v>
      </c>
      <c r="Q201" s="203" t="s">
        <v>600</v>
      </c>
      <c r="R201" s="489"/>
    </row>
    <row r="202" spans="2:18" x14ac:dyDescent="0.25">
      <c r="B202" s="252" t="s">
        <v>178</v>
      </c>
      <c r="C202" s="284" t="s">
        <v>216</v>
      </c>
      <c r="D202" s="157">
        <v>0</v>
      </c>
      <c r="E202" s="462">
        <f>'PRIME CPIF RATES (ALL)'!C26</f>
        <v>0</v>
      </c>
      <c r="F202" s="158">
        <f>ROUND(D202*E202,0)</f>
        <v>0</v>
      </c>
      <c r="G202" s="159"/>
      <c r="H202" s="157">
        <v>0</v>
      </c>
      <c r="I202" s="462">
        <f>'PRIME CPIF RATES (ALL)'!D26</f>
        <v>0</v>
      </c>
      <c r="J202" s="158">
        <f>ROUND(H202*I202,0)</f>
        <v>0</v>
      </c>
      <c r="K202" s="159"/>
      <c r="L202" s="157">
        <v>0</v>
      </c>
      <c r="M202" s="462">
        <f>'PRIME CPIF RATES (ALL)'!E26</f>
        <v>0</v>
      </c>
      <c r="N202" s="158">
        <f>ROUND(L202*M202,0)</f>
        <v>0</v>
      </c>
      <c r="O202" s="159"/>
      <c r="P202" s="157">
        <v>0</v>
      </c>
      <c r="Q202" s="462">
        <f>'PRIME CPIF RATES (ALL)'!F26</f>
        <v>0</v>
      </c>
      <c r="R202" s="158">
        <f>ROUND(P202*Q202,0)</f>
        <v>0</v>
      </c>
    </row>
    <row r="203" spans="2:18" x14ac:dyDescent="0.25">
      <c r="B203" s="252" t="s">
        <v>178</v>
      </c>
      <c r="C203" s="275" t="s">
        <v>5</v>
      </c>
      <c r="D203" s="157">
        <v>0</v>
      </c>
      <c r="E203" s="462">
        <v>0</v>
      </c>
      <c r="F203" s="158">
        <f t="shared" ref="F203:F216" si="36">ROUND(D203*E203,0)</f>
        <v>0</v>
      </c>
      <c r="G203" s="159"/>
      <c r="H203" s="157">
        <v>0</v>
      </c>
      <c r="I203" s="462">
        <v>0</v>
      </c>
      <c r="J203" s="158">
        <f t="shared" ref="J203:J216" si="37">ROUND(H203*I203,0)</f>
        <v>0</v>
      </c>
      <c r="K203" s="159"/>
      <c r="L203" s="157">
        <v>0</v>
      </c>
      <c r="M203" s="462">
        <v>0</v>
      </c>
      <c r="N203" s="158">
        <f t="shared" ref="N203:N216" si="38">ROUND(L203*M203,0)</f>
        <v>0</v>
      </c>
      <c r="O203" s="159"/>
      <c r="P203" s="157">
        <v>0</v>
      </c>
      <c r="Q203" s="462">
        <v>0</v>
      </c>
      <c r="R203" s="158">
        <f t="shared" ref="R203:R216" si="39">ROUND(P203*Q203,0)</f>
        <v>0</v>
      </c>
    </row>
    <row r="204" spans="2:18" x14ac:dyDescent="0.25">
      <c r="B204" s="252" t="s">
        <v>178</v>
      </c>
      <c r="C204" s="275"/>
      <c r="D204" s="157">
        <v>0</v>
      </c>
      <c r="E204" s="462">
        <v>0</v>
      </c>
      <c r="F204" s="158">
        <f t="shared" si="36"/>
        <v>0</v>
      </c>
      <c r="G204" s="159"/>
      <c r="H204" s="157">
        <v>0</v>
      </c>
      <c r="I204" s="462">
        <v>0</v>
      </c>
      <c r="J204" s="158">
        <f t="shared" si="37"/>
        <v>0</v>
      </c>
      <c r="K204" s="159"/>
      <c r="L204" s="157">
        <v>0</v>
      </c>
      <c r="M204" s="462">
        <v>0</v>
      </c>
      <c r="N204" s="158">
        <f t="shared" si="38"/>
        <v>0</v>
      </c>
      <c r="O204" s="159"/>
      <c r="P204" s="157">
        <v>0</v>
      </c>
      <c r="Q204" s="462">
        <v>0</v>
      </c>
      <c r="R204" s="158">
        <f t="shared" si="39"/>
        <v>0</v>
      </c>
    </row>
    <row r="205" spans="2:18" x14ac:dyDescent="0.25">
      <c r="B205" s="252" t="s">
        <v>178</v>
      </c>
      <c r="C205" s="275"/>
      <c r="D205" s="157">
        <v>0</v>
      </c>
      <c r="E205" s="462">
        <v>0</v>
      </c>
      <c r="F205" s="158">
        <f t="shared" si="36"/>
        <v>0</v>
      </c>
      <c r="G205" s="159"/>
      <c r="H205" s="157">
        <v>0</v>
      </c>
      <c r="I205" s="462">
        <v>0</v>
      </c>
      <c r="J205" s="158">
        <f t="shared" si="37"/>
        <v>0</v>
      </c>
      <c r="K205" s="159"/>
      <c r="L205" s="157">
        <v>0</v>
      </c>
      <c r="M205" s="462">
        <v>0</v>
      </c>
      <c r="N205" s="158">
        <f t="shared" si="38"/>
        <v>0</v>
      </c>
      <c r="O205" s="159"/>
      <c r="P205" s="157">
        <v>0</v>
      </c>
      <c r="Q205" s="462">
        <v>0</v>
      </c>
      <c r="R205" s="158">
        <f t="shared" si="39"/>
        <v>0</v>
      </c>
    </row>
    <row r="206" spans="2:18" x14ac:dyDescent="0.25">
      <c r="B206" s="252" t="s">
        <v>178</v>
      </c>
      <c r="C206" s="275"/>
      <c r="D206" s="157">
        <v>0</v>
      </c>
      <c r="E206" s="462">
        <v>0</v>
      </c>
      <c r="F206" s="158">
        <f t="shared" si="36"/>
        <v>0</v>
      </c>
      <c r="G206" s="159"/>
      <c r="H206" s="157">
        <v>0</v>
      </c>
      <c r="I206" s="462">
        <v>0</v>
      </c>
      <c r="J206" s="158">
        <f t="shared" si="37"/>
        <v>0</v>
      </c>
      <c r="K206" s="159"/>
      <c r="L206" s="157">
        <v>0</v>
      </c>
      <c r="M206" s="462">
        <v>0</v>
      </c>
      <c r="N206" s="158">
        <f t="shared" si="38"/>
        <v>0</v>
      </c>
      <c r="O206" s="159"/>
      <c r="P206" s="157">
        <v>0</v>
      </c>
      <c r="Q206" s="462">
        <v>0</v>
      </c>
      <c r="R206" s="158">
        <f t="shared" si="39"/>
        <v>0</v>
      </c>
    </row>
    <row r="207" spans="2:18" x14ac:dyDescent="0.25">
      <c r="B207" s="252" t="s">
        <v>178</v>
      </c>
      <c r="C207" s="284" t="s">
        <v>217</v>
      </c>
      <c r="D207" s="157">
        <v>0</v>
      </c>
      <c r="E207" s="462">
        <v>0</v>
      </c>
      <c r="F207" s="158">
        <f t="shared" si="36"/>
        <v>0</v>
      </c>
      <c r="G207" s="159"/>
      <c r="H207" s="157">
        <v>0</v>
      </c>
      <c r="I207" s="462">
        <v>0</v>
      </c>
      <c r="J207" s="158">
        <f t="shared" si="37"/>
        <v>0</v>
      </c>
      <c r="K207" s="159"/>
      <c r="L207" s="157">
        <v>0</v>
      </c>
      <c r="M207" s="462">
        <v>0</v>
      </c>
      <c r="N207" s="158">
        <f t="shared" si="38"/>
        <v>0</v>
      </c>
      <c r="O207" s="159"/>
      <c r="P207" s="157">
        <v>0</v>
      </c>
      <c r="Q207" s="462">
        <v>0</v>
      </c>
      <c r="R207" s="158">
        <f t="shared" si="39"/>
        <v>0</v>
      </c>
    </row>
    <row r="208" spans="2:18" x14ac:dyDescent="0.25">
      <c r="B208" s="252" t="s">
        <v>178</v>
      </c>
      <c r="C208" s="275"/>
      <c r="D208" s="157">
        <v>0</v>
      </c>
      <c r="E208" s="462">
        <v>0</v>
      </c>
      <c r="F208" s="158">
        <f t="shared" si="36"/>
        <v>0</v>
      </c>
      <c r="G208" s="159"/>
      <c r="H208" s="157">
        <v>0</v>
      </c>
      <c r="I208" s="462">
        <v>0</v>
      </c>
      <c r="J208" s="158">
        <f t="shared" si="37"/>
        <v>0</v>
      </c>
      <c r="K208" s="159"/>
      <c r="L208" s="157">
        <v>0</v>
      </c>
      <c r="M208" s="462">
        <v>0</v>
      </c>
      <c r="N208" s="158">
        <f t="shared" si="38"/>
        <v>0</v>
      </c>
      <c r="O208" s="159"/>
      <c r="P208" s="157">
        <v>0</v>
      </c>
      <c r="Q208" s="462">
        <v>0</v>
      </c>
      <c r="R208" s="158">
        <f t="shared" si="39"/>
        <v>0</v>
      </c>
    </row>
    <row r="209" spans="2:18" x14ac:dyDescent="0.25">
      <c r="B209" s="252" t="s">
        <v>178</v>
      </c>
      <c r="C209" s="275"/>
      <c r="D209" s="157">
        <v>0</v>
      </c>
      <c r="E209" s="462">
        <v>0</v>
      </c>
      <c r="F209" s="158">
        <f t="shared" si="36"/>
        <v>0</v>
      </c>
      <c r="G209" s="159"/>
      <c r="H209" s="157">
        <v>0</v>
      </c>
      <c r="I209" s="462">
        <v>0</v>
      </c>
      <c r="J209" s="158">
        <f t="shared" si="37"/>
        <v>0</v>
      </c>
      <c r="K209" s="159"/>
      <c r="L209" s="157">
        <v>0</v>
      </c>
      <c r="M209" s="462">
        <v>0</v>
      </c>
      <c r="N209" s="158">
        <f t="shared" si="38"/>
        <v>0</v>
      </c>
      <c r="O209" s="159"/>
      <c r="P209" s="157">
        <v>0</v>
      </c>
      <c r="Q209" s="462">
        <v>0</v>
      </c>
      <c r="R209" s="158">
        <f t="shared" si="39"/>
        <v>0</v>
      </c>
    </row>
    <row r="210" spans="2:18" x14ac:dyDescent="0.25">
      <c r="B210" s="252" t="s">
        <v>178</v>
      </c>
      <c r="C210" s="275"/>
      <c r="D210" s="157">
        <v>0</v>
      </c>
      <c r="E210" s="462">
        <v>0</v>
      </c>
      <c r="F210" s="158">
        <f t="shared" si="36"/>
        <v>0</v>
      </c>
      <c r="G210" s="159"/>
      <c r="H210" s="157">
        <v>0</v>
      </c>
      <c r="I210" s="462">
        <v>0</v>
      </c>
      <c r="J210" s="158">
        <f t="shared" si="37"/>
        <v>0</v>
      </c>
      <c r="K210" s="159"/>
      <c r="L210" s="157">
        <v>0</v>
      </c>
      <c r="M210" s="462">
        <v>0</v>
      </c>
      <c r="N210" s="158">
        <f t="shared" si="38"/>
        <v>0</v>
      </c>
      <c r="O210" s="159"/>
      <c r="P210" s="157">
        <v>0</v>
      </c>
      <c r="Q210" s="462">
        <v>0</v>
      </c>
      <c r="R210" s="158">
        <f t="shared" si="39"/>
        <v>0</v>
      </c>
    </row>
    <row r="211" spans="2:18" x14ac:dyDescent="0.25">
      <c r="B211" s="252" t="s">
        <v>178</v>
      </c>
      <c r="C211" s="275"/>
      <c r="D211" s="157">
        <v>0</v>
      </c>
      <c r="E211" s="462">
        <v>0</v>
      </c>
      <c r="F211" s="158">
        <f t="shared" si="36"/>
        <v>0</v>
      </c>
      <c r="G211" s="159"/>
      <c r="H211" s="157">
        <v>0</v>
      </c>
      <c r="I211" s="462">
        <v>0</v>
      </c>
      <c r="J211" s="158">
        <f t="shared" si="37"/>
        <v>0</v>
      </c>
      <c r="K211" s="159"/>
      <c r="L211" s="157">
        <v>0</v>
      </c>
      <c r="M211" s="462">
        <v>0</v>
      </c>
      <c r="N211" s="158">
        <f t="shared" si="38"/>
        <v>0</v>
      </c>
      <c r="O211" s="159"/>
      <c r="P211" s="157">
        <v>0</v>
      </c>
      <c r="Q211" s="462">
        <v>0</v>
      </c>
      <c r="R211" s="158">
        <f t="shared" si="39"/>
        <v>0</v>
      </c>
    </row>
    <row r="212" spans="2:18" x14ac:dyDescent="0.25">
      <c r="B212" s="252" t="s">
        <v>178</v>
      </c>
      <c r="C212" s="284" t="s">
        <v>218</v>
      </c>
      <c r="D212" s="157">
        <v>0</v>
      </c>
      <c r="E212" s="462">
        <v>0</v>
      </c>
      <c r="F212" s="158">
        <f t="shared" si="36"/>
        <v>0</v>
      </c>
      <c r="G212" s="159"/>
      <c r="H212" s="157">
        <v>0</v>
      </c>
      <c r="I212" s="462">
        <v>0</v>
      </c>
      <c r="J212" s="158">
        <f t="shared" si="37"/>
        <v>0</v>
      </c>
      <c r="K212" s="159"/>
      <c r="L212" s="157">
        <v>0</v>
      </c>
      <c r="M212" s="462">
        <v>0</v>
      </c>
      <c r="N212" s="158">
        <f t="shared" si="38"/>
        <v>0</v>
      </c>
      <c r="O212" s="159"/>
      <c r="P212" s="157">
        <v>0</v>
      </c>
      <c r="Q212" s="462">
        <v>0</v>
      </c>
      <c r="R212" s="158">
        <f t="shared" si="39"/>
        <v>0</v>
      </c>
    </row>
    <row r="213" spans="2:18" x14ac:dyDescent="0.25">
      <c r="B213" s="252" t="s">
        <v>178</v>
      </c>
      <c r="C213" s="275"/>
      <c r="D213" s="157">
        <v>0</v>
      </c>
      <c r="E213" s="462">
        <v>0</v>
      </c>
      <c r="F213" s="158">
        <f t="shared" si="36"/>
        <v>0</v>
      </c>
      <c r="G213" s="159"/>
      <c r="H213" s="157">
        <v>0</v>
      </c>
      <c r="I213" s="462">
        <v>0</v>
      </c>
      <c r="J213" s="158">
        <f t="shared" si="37"/>
        <v>0</v>
      </c>
      <c r="K213" s="159"/>
      <c r="L213" s="157">
        <v>0</v>
      </c>
      <c r="M213" s="462">
        <v>0</v>
      </c>
      <c r="N213" s="158">
        <f t="shared" si="38"/>
        <v>0</v>
      </c>
      <c r="O213" s="159"/>
      <c r="P213" s="157">
        <v>0</v>
      </c>
      <c r="Q213" s="462">
        <v>0</v>
      </c>
      <c r="R213" s="158">
        <f t="shared" si="39"/>
        <v>0</v>
      </c>
    </row>
    <row r="214" spans="2:18" x14ac:dyDescent="0.25">
      <c r="B214" s="252" t="s">
        <v>178</v>
      </c>
      <c r="C214" s="275"/>
      <c r="D214" s="157">
        <v>0</v>
      </c>
      <c r="E214" s="462">
        <v>0</v>
      </c>
      <c r="F214" s="158">
        <f t="shared" si="36"/>
        <v>0</v>
      </c>
      <c r="G214" s="159"/>
      <c r="H214" s="157">
        <v>0</v>
      </c>
      <c r="I214" s="462">
        <v>0</v>
      </c>
      <c r="J214" s="158">
        <f t="shared" si="37"/>
        <v>0</v>
      </c>
      <c r="K214" s="159"/>
      <c r="L214" s="157">
        <v>0</v>
      </c>
      <c r="M214" s="462">
        <v>0</v>
      </c>
      <c r="N214" s="158">
        <f t="shared" si="38"/>
        <v>0</v>
      </c>
      <c r="O214" s="159"/>
      <c r="P214" s="157">
        <v>0</v>
      </c>
      <c r="Q214" s="462">
        <v>0</v>
      </c>
      <c r="R214" s="158">
        <f t="shared" si="39"/>
        <v>0</v>
      </c>
    </row>
    <row r="215" spans="2:18" x14ac:dyDescent="0.25">
      <c r="B215" s="252" t="s">
        <v>178</v>
      </c>
      <c r="C215" s="275"/>
      <c r="D215" s="157">
        <v>0</v>
      </c>
      <c r="E215" s="462">
        <v>0</v>
      </c>
      <c r="F215" s="158">
        <f t="shared" si="36"/>
        <v>0</v>
      </c>
      <c r="G215" s="159"/>
      <c r="H215" s="157">
        <v>0</v>
      </c>
      <c r="I215" s="462">
        <v>0</v>
      </c>
      <c r="J215" s="158">
        <f t="shared" si="37"/>
        <v>0</v>
      </c>
      <c r="K215" s="159"/>
      <c r="L215" s="157">
        <v>0</v>
      </c>
      <c r="M215" s="462">
        <v>0</v>
      </c>
      <c r="N215" s="158">
        <f t="shared" si="38"/>
        <v>0</v>
      </c>
      <c r="O215" s="159"/>
      <c r="P215" s="157">
        <v>0</v>
      </c>
      <c r="Q215" s="462">
        <v>0</v>
      </c>
      <c r="R215" s="158">
        <f t="shared" si="39"/>
        <v>0</v>
      </c>
    </row>
    <row r="216" spans="2:18" ht="15.75" thickBot="1" x14ac:dyDescent="0.3">
      <c r="B216" s="294" t="s">
        <v>178</v>
      </c>
      <c r="C216" s="295"/>
      <c r="D216" s="157">
        <v>0</v>
      </c>
      <c r="E216" s="462">
        <v>0</v>
      </c>
      <c r="F216" s="158">
        <f t="shared" si="36"/>
        <v>0</v>
      </c>
      <c r="G216" s="159"/>
      <c r="H216" s="157">
        <v>0</v>
      </c>
      <c r="I216" s="462">
        <v>0</v>
      </c>
      <c r="J216" s="158">
        <f t="shared" si="37"/>
        <v>0</v>
      </c>
      <c r="K216" s="159"/>
      <c r="L216" s="157">
        <v>0</v>
      </c>
      <c r="M216" s="462">
        <v>0</v>
      </c>
      <c r="N216" s="158">
        <f t="shared" si="38"/>
        <v>0</v>
      </c>
      <c r="O216" s="159"/>
      <c r="P216" s="157">
        <v>0</v>
      </c>
      <c r="Q216" s="462">
        <v>0</v>
      </c>
      <c r="R216" s="158">
        <f t="shared" si="39"/>
        <v>0</v>
      </c>
    </row>
    <row r="217" spans="2:18" ht="15.75" thickBot="1" x14ac:dyDescent="0.3">
      <c r="B217" s="298" t="s">
        <v>151</v>
      </c>
      <c r="C217" s="296"/>
      <c r="D217" s="257">
        <f>SUM(D202:D216)</f>
        <v>0</v>
      </c>
      <c r="E217" s="205"/>
      <c r="F217" s="164">
        <f>ROUND(SUM(F202:F216),0)</f>
        <v>0</v>
      </c>
      <c r="G217" s="165"/>
      <c r="H217" s="257">
        <f>SUM(H202:H216)</f>
        <v>0</v>
      </c>
      <c r="I217" s="205" t="s">
        <v>5</v>
      </c>
      <c r="J217" s="164">
        <f>ROUND(SUM(J202:J216),0)</f>
        <v>0</v>
      </c>
      <c r="K217" s="165"/>
      <c r="L217" s="257">
        <f>SUM(L202:L216)</f>
        <v>0</v>
      </c>
      <c r="M217" s="205"/>
      <c r="N217" s="164">
        <f>ROUND(SUM(N202:N216),0)</f>
        <v>0</v>
      </c>
      <c r="O217" s="165"/>
      <c r="P217" s="257">
        <f>SUM(P202:P216)</f>
        <v>0</v>
      </c>
      <c r="Q217" s="205"/>
      <c r="R217" s="164">
        <f>ROUND(SUM(R202:R216),0)</f>
        <v>0</v>
      </c>
    </row>
    <row r="218" spans="2:18" ht="15.75" thickBot="1" x14ac:dyDescent="0.3"/>
    <row r="219" spans="2:18" ht="16.5" thickBot="1" x14ac:dyDescent="0.3">
      <c r="B219" s="601" t="s">
        <v>465</v>
      </c>
      <c r="C219" s="602"/>
      <c r="D219" s="594" t="s">
        <v>134</v>
      </c>
      <c r="E219" s="595"/>
      <c r="F219" s="596"/>
      <c r="G219" s="151"/>
      <c r="H219" s="594" t="s">
        <v>134</v>
      </c>
      <c r="I219" s="595"/>
      <c r="J219" s="596"/>
      <c r="K219" s="151"/>
      <c r="L219" s="594" t="s">
        <v>134</v>
      </c>
      <c r="M219" s="595"/>
      <c r="N219" s="596"/>
      <c r="O219" s="151"/>
      <c r="P219" s="594" t="s">
        <v>134</v>
      </c>
      <c r="Q219" s="595"/>
      <c r="R219" s="596"/>
    </row>
    <row r="220" spans="2:18" ht="16.5" thickBot="1" x14ac:dyDescent="0.3">
      <c r="B220" s="603"/>
      <c r="C220" s="604"/>
      <c r="D220" s="591" t="str">
        <f>D10</f>
        <v>Basic Period (Year 1)</v>
      </c>
      <c r="E220" s="592"/>
      <c r="F220" s="593"/>
      <c r="G220" s="152"/>
      <c r="H220" s="591" t="str">
        <f>H10</f>
        <v>Basic Period (Year 2)</v>
      </c>
      <c r="I220" s="592"/>
      <c r="J220" s="593"/>
      <c r="K220" s="152"/>
      <c r="L220" s="591" t="str">
        <f>L10</f>
        <v>Basic Period (Year 3)</v>
      </c>
      <c r="M220" s="592"/>
      <c r="N220" s="593"/>
      <c r="O220" s="152"/>
      <c r="P220" s="591" t="str">
        <f>P10</f>
        <v>Basic Period (Year 4)</v>
      </c>
      <c r="Q220" s="592"/>
      <c r="R220" s="593"/>
    </row>
    <row r="221" spans="2:18" ht="16.5" thickBot="1" x14ac:dyDescent="0.3">
      <c r="B221" s="153" t="s">
        <v>110</v>
      </c>
      <c r="C221" s="153" t="s">
        <v>256</v>
      </c>
      <c r="D221" s="153" t="s">
        <v>91</v>
      </c>
      <c r="E221" s="154" t="s">
        <v>133</v>
      </c>
      <c r="F221" s="155" t="s">
        <v>139</v>
      </c>
      <c r="G221" s="156"/>
      <c r="H221" s="153" t="s">
        <v>91</v>
      </c>
      <c r="I221" s="154" t="s">
        <v>133</v>
      </c>
      <c r="J221" s="155" t="s">
        <v>139</v>
      </c>
      <c r="K221" s="156"/>
      <c r="L221" s="153" t="s">
        <v>91</v>
      </c>
      <c r="M221" s="154" t="s">
        <v>133</v>
      </c>
      <c r="N221" s="155" t="s">
        <v>139</v>
      </c>
      <c r="O221" s="156"/>
      <c r="P221" s="153" t="s">
        <v>91</v>
      </c>
      <c r="Q221" s="154" t="s">
        <v>133</v>
      </c>
      <c r="R221" s="155" t="s">
        <v>139</v>
      </c>
    </row>
    <row r="222" spans="2:18" ht="128.25" x14ac:dyDescent="0.25">
      <c r="B222" s="203" t="s">
        <v>601</v>
      </c>
      <c r="C222" s="203" t="s">
        <v>466</v>
      </c>
      <c r="D222" s="203" t="s">
        <v>565</v>
      </c>
      <c r="E222" s="203" t="s">
        <v>600</v>
      </c>
      <c r="F222" s="203"/>
      <c r="G222" s="156"/>
      <c r="H222" s="203" t="s">
        <v>565</v>
      </c>
      <c r="I222" s="203" t="s">
        <v>600</v>
      </c>
      <c r="J222" s="203"/>
      <c r="K222" s="156"/>
      <c r="L222" s="203" t="s">
        <v>565</v>
      </c>
      <c r="M222" s="203" t="s">
        <v>600</v>
      </c>
      <c r="N222" s="203"/>
      <c r="O222" s="156"/>
      <c r="P222" s="203" t="s">
        <v>565</v>
      </c>
      <c r="Q222" s="203" t="s">
        <v>600</v>
      </c>
      <c r="R222" s="489"/>
    </row>
    <row r="223" spans="2:18" x14ac:dyDescent="0.25">
      <c r="B223" s="252" t="s">
        <v>178</v>
      </c>
      <c r="C223" s="284" t="s">
        <v>219</v>
      </c>
      <c r="D223" s="157">
        <v>0</v>
      </c>
      <c r="E223" s="462">
        <v>0</v>
      </c>
      <c r="F223" s="158">
        <f>ROUND(D223*E223,0)</f>
        <v>0</v>
      </c>
      <c r="G223" s="159"/>
      <c r="H223" s="157">
        <v>0</v>
      </c>
      <c r="I223" s="462">
        <v>0</v>
      </c>
      <c r="J223" s="158">
        <f>ROUND(H223*I223,0)</f>
        <v>0</v>
      </c>
      <c r="K223" s="159"/>
      <c r="L223" s="157">
        <v>0</v>
      </c>
      <c r="M223" s="462">
        <v>0</v>
      </c>
      <c r="N223" s="158">
        <f>ROUND(L223*M223,0)</f>
        <v>0</v>
      </c>
      <c r="O223" s="159"/>
      <c r="P223" s="157">
        <v>0</v>
      </c>
      <c r="Q223" s="462">
        <v>0</v>
      </c>
      <c r="R223" s="158">
        <f>ROUND(P223*Q223,0)</f>
        <v>0</v>
      </c>
    </row>
    <row r="224" spans="2:18" x14ac:dyDescent="0.25">
      <c r="B224" s="252" t="s">
        <v>178</v>
      </c>
      <c r="C224" s="275" t="s">
        <v>5</v>
      </c>
      <c r="D224" s="157">
        <v>0</v>
      </c>
      <c r="E224" s="462">
        <v>0</v>
      </c>
      <c r="F224" s="158">
        <f t="shared" ref="F224:F237" si="40">ROUND(D224*E224,0)</f>
        <v>0</v>
      </c>
      <c r="G224" s="159"/>
      <c r="H224" s="157">
        <v>0</v>
      </c>
      <c r="I224" s="462">
        <v>0</v>
      </c>
      <c r="J224" s="158">
        <f t="shared" ref="J224:J237" si="41">ROUND(H224*I224,0)</f>
        <v>0</v>
      </c>
      <c r="K224" s="159"/>
      <c r="L224" s="157">
        <v>0</v>
      </c>
      <c r="M224" s="462">
        <v>0</v>
      </c>
      <c r="N224" s="158">
        <f t="shared" ref="N224:N237" si="42">ROUND(L224*M224,0)</f>
        <v>0</v>
      </c>
      <c r="O224" s="159"/>
      <c r="P224" s="157">
        <v>0</v>
      </c>
      <c r="Q224" s="462">
        <v>0</v>
      </c>
      <c r="R224" s="158">
        <f t="shared" ref="R224:R237" si="43">ROUND(P224*Q224,0)</f>
        <v>0</v>
      </c>
    </row>
    <row r="225" spans="2:18" x14ac:dyDescent="0.25">
      <c r="B225" s="252" t="s">
        <v>178</v>
      </c>
      <c r="C225" s="275"/>
      <c r="D225" s="157">
        <v>0</v>
      </c>
      <c r="E225" s="462">
        <v>0</v>
      </c>
      <c r="F225" s="158">
        <f t="shared" si="40"/>
        <v>0</v>
      </c>
      <c r="G225" s="159"/>
      <c r="H225" s="157">
        <v>0</v>
      </c>
      <c r="I225" s="462">
        <v>0</v>
      </c>
      <c r="J225" s="158">
        <f t="shared" si="41"/>
        <v>0</v>
      </c>
      <c r="K225" s="159"/>
      <c r="L225" s="157">
        <v>0</v>
      </c>
      <c r="M225" s="462">
        <v>0</v>
      </c>
      <c r="N225" s="158">
        <f t="shared" si="42"/>
        <v>0</v>
      </c>
      <c r="O225" s="159"/>
      <c r="P225" s="157">
        <v>0</v>
      </c>
      <c r="Q225" s="462">
        <v>0</v>
      </c>
      <c r="R225" s="158">
        <f t="shared" si="43"/>
        <v>0</v>
      </c>
    </row>
    <row r="226" spans="2:18" x14ac:dyDescent="0.25">
      <c r="B226" s="252" t="s">
        <v>178</v>
      </c>
      <c r="C226" s="275"/>
      <c r="D226" s="157">
        <v>0</v>
      </c>
      <c r="E226" s="462">
        <v>0</v>
      </c>
      <c r="F226" s="158">
        <f t="shared" si="40"/>
        <v>0</v>
      </c>
      <c r="G226" s="159"/>
      <c r="H226" s="157">
        <v>0</v>
      </c>
      <c r="I226" s="462">
        <v>0</v>
      </c>
      <c r="J226" s="158">
        <f t="shared" si="41"/>
        <v>0</v>
      </c>
      <c r="K226" s="159"/>
      <c r="L226" s="157">
        <v>0</v>
      </c>
      <c r="M226" s="462">
        <v>0</v>
      </c>
      <c r="N226" s="158">
        <f t="shared" si="42"/>
        <v>0</v>
      </c>
      <c r="O226" s="159"/>
      <c r="P226" s="157">
        <v>0</v>
      </c>
      <c r="Q226" s="462">
        <v>0</v>
      </c>
      <c r="R226" s="158">
        <f t="shared" si="43"/>
        <v>0</v>
      </c>
    </row>
    <row r="227" spans="2:18" x14ac:dyDescent="0.25">
      <c r="B227" s="252" t="s">
        <v>178</v>
      </c>
      <c r="C227" s="275"/>
      <c r="D227" s="157">
        <v>0</v>
      </c>
      <c r="E227" s="462">
        <v>0</v>
      </c>
      <c r="F227" s="158">
        <f t="shared" si="40"/>
        <v>0</v>
      </c>
      <c r="G227" s="159"/>
      <c r="H227" s="157">
        <v>0</v>
      </c>
      <c r="I227" s="462">
        <v>0</v>
      </c>
      <c r="J227" s="158">
        <f t="shared" si="41"/>
        <v>0</v>
      </c>
      <c r="K227" s="159"/>
      <c r="L227" s="157">
        <v>0</v>
      </c>
      <c r="M227" s="462">
        <v>0</v>
      </c>
      <c r="N227" s="158">
        <f t="shared" si="42"/>
        <v>0</v>
      </c>
      <c r="O227" s="159"/>
      <c r="P227" s="157">
        <v>0</v>
      </c>
      <c r="Q227" s="462">
        <v>0</v>
      </c>
      <c r="R227" s="158">
        <f t="shared" si="43"/>
        <v>0</v>
      </c>
    </row>
    <row r="228" spans="2:18" x14ac:dyDescent="0.25">
      <c r="B228" s="252" t="s">
        <v>178</v>
      </c>
      <c r="C228" s="284" t="s">
        <v>220</v>
      </c>
      <c r="D228" s="157">
        <v>0</v>
      </c>
      <c r="E228" s="462">
        <v>0</v>
      </c>
      <c r="F228" s="158">
        <f t="shared" si="40"/>
        <v>0</v>
      </c>
      <c r="G228" s="159"/>
      <c r="H228" s="157">
        <v>0</v>
      </c>
      <c r="I228" s="462">
        <v>0</v>
      </c>
      <c r="J228" s="158">
        <f t="shared" si="41"/>
        <v>0</v>
      </c>
      <c r="K228" s="159"/>
      <c r="L228" s="157">
        <v>0</v>
      </c>
      <c r="M228" s="462">
        <v>0</v>
      </c>
      <c r="N228" s="158">
        <f t="shared" si="42"/>
        <v>0</v>
      </c>
      <c r="O228" s="159"/>
      <c r="P228" s="157">
        <v>0</v>
      </c>
      <c r="Q228" s="462">
        <v>0</v>
      </c>
      <c r="R228" s="158">
        <f t="shared" si="43"/>
        <v>0</v>
      </c>
    </row>
    <row r="229" spans="2:18" x14ac:dyDescent="0.25">
      <c r="B229" s="252" t="s">
        <v>178</v>
      </c>
      <c r="C229" s="275"/>
      <c r="D229" s="157">
        <v>0</v>
      </c>
      <c r="E229" s="462">
        <v>0</v>
      </c>
      <c r="F229" s="158">
        <f t="shared" si="40"/>
        <v>0</v>
      </c>
      <c r="G229" s="159"/>
      <c r="H229" s="157">
        <v>0</v>
      </c>
      <c r="I229" s="462">
        <v>0</v>
      </c>
      <c r="J229" s="158">
        <f t="shared" si="41"/>
        <v>0</v>
      </c>
      <c r="K229" s="159"/>
      <c r="L229" s="157">
        <v>0</v>
      </c>
      <c r="M229" s="462">
        <v>0</v>
      </c>
      <c r="N229" s="158">
        <f t="shared" si="42"/>
        <v>0</v>
      </c>
      <c r="O229" s="159"/>
      <c r="P229" s="157">
        <v>0</v>
      </c>
      <c r="Q229" s="462">
        <v>0</v>
      </c>
      <c r="R229" s="158">
        <f t="shared" si="43"/>
        <v>0</v>
      </c>
    </row>
    <row r="230" spans="2:18" x14ac:dyDescent="0.25">
      <c r="B230" s="252" t="s">
        <v>178</v>
      </c>
      <c r="C230" s="275"/>
      <c r="D230" s="157">
        <v>0</v>
      </c>
      <c r="E230" s="462">
        <v>0</v>
      </c>
      <c r="F230" s="158">
        <f t="shared" si="40"/>
        <v>0</v>
      </c>
      <c r="G230" s="159"/>
      <c r="H230" s="157">
        <v>0</v>
      </c>
      <c r="I230" s="462">
        <v>0</v>
      </c>
      <c r="J230" s="158">
        <f t="shared" si="41"/>
        <v>0</v>
      </c>
      <c r="K230" s="159"/>
      <c r="L230" s="157">
        <v>0</v>
      </c>
      <c r="M230" s="462">
        <v>0</v>
      </c>
      <c r="N230" s="158">
        <f t="shared" si="42"/>
        <v>0</v>
      </c>
      <c r="O230" s="159"/>
      <c r="P230" s="157">
        <v>0</v>
      </c>
      <c r="Q230" s="462">
        <v>0</v>
      </c>
      <c r="R230" s="158">
        <f t="shared" si="43"/>
        <v>0</v>
      </c>
    </row>
    <row r="231" spans="2:18" x14ac:dyDescent="0.25">
      <c r="B231" s="252" t="s">
        <v>178</v>
      </c>
      <c r="C231" s="275"/>
      <c r="D231" s="157">
        <v>0</v>
      </c>
      <c r="E231" s="462">
        <v>0</v>
      </c>
      <c r="F231" s="158">
        <f t="shared" si="40"/>
        <v>0</v>
      </c>
      <c r="G231" s="159"/>
      <c r="H231" s="157">
        <v>0</v>
      </c>
      <c r="I231" s="462">
        <v>0</v>
      </c>
      <c r="J231" s="158">
        <f t="shared" si="41"/>
        <v>0</v>
      </c>
      <c r="K231" s="159"/>
      <c r="L231" s="157">
        <v>0</v>
      </c>
      <c r="M231" s="462">
        <v>0</v>
      </c>
      <c r="N231" s="158">
        <f t="shared" si="42"/>
        <v>0</v>
      </c>
      <c r="O231" s="159"/>
      <c r="P231" s="157">
        <v>0</v>
      </c>
      <c r="Q231" s="462">
        <v>0</v>
      </c>
      <c r="R231" s="158">
        <f t="shared" si="43"/>
        <v>0</v>
      </c>
    </row>
    <row r="232" spans="2:18" x14ac:dyDescent="0.25">
      <c r="B232" s="252" t="s">
        <v>178</v>
      </c>
      <c r="C232" s="275"/>
      <c r="D232" s="157">
        <v>0</v>
      </c>
      <c r="E232" s="462">
        <v>0</v>
      </c>
      <c r="F232" s="158">
        <f t="shared" si="40"/>
        <v>0</v>
      </c>
      <c r="G232" s="159"/>
      <c r="H232" s="157">
        <v>0</v>
      </c>
      <c r="I232" s="462">
        <v>0</v>
      </c>
      <c r="J232" s="158">
        <f t="shared" si="41"/>
        <v>0</v>
      </c>
      <c r="K232" s="159"/>
      <c r="L232" s="157">
        <v>0</v>
      </c>
      <c r="M232" s="462">
        <v>0</v>
      </c>
      <c r="N232" s="158">
        <f t="shared" si="42"/>
        <v>0</v>
      </c>
      <c r="O232" s="159"/>
      <c r="P232" s="157">
        <v>0</v>
      </c>
      <c r="Q232" s="462">
        <v>0</v>
      </c>
      <c r="R232" s="158">
        <f t="shared" si="43"/>
        <v>0</v>
      </c>
    </row>
    <row r="233" spans="2:18" x14ac:dyDescent="0.25">
      <c r="B233" s="252" t="s">
        <v>178</v>
      </c>
      <c r="C233" s="284" t="s">
        <v>221</v>
      </c>
      <c r="D233" s="157">
        <v>0</v>
      </c>
      <c r="E233" s="462">
        <v>0</v>
      </c>
      <c r="F233" s="158">
        <f t="shared" si="40"/>
        <v>0</v>
      </c>
      <c r="G233" s="159"/>
      <c r="H233" s="157">
        <v>0</v>
      </c>
      <c r="I233" s="462">
        <v>0</v>
      </c>
      <c r="J233" s="158">
        <f t="shared" si="41"/>
        <v>0</v>
      </c>
      <c r="K233" s="159"/>
      <c r="L233" s="157">
        <v>0</v>
      </c>
      <c r="M233" s="462">
        <v>0</v>
      </c>
      <c r="N233" s="158">
        <f t="shared" si="42"/>
        <v>0</v>
      </c>
      <c r="O233" s="159"/>
      <c r="P233" s="157">
        <v>0</v>
      </c>
      <c r="Q233" s="462">
        <v>0</v>
      </c>
      <c r="R233" s="158">
        <f t="shared" si="43"/>
        <v>0</v>
      </c>
    </row>
    <row r="234" spans="2:18" x14ac:dyDescent="0.25">
      <c r="B234" s="252" t="s">
        <v>178</v>
      </c>
      <c r="C234" s="275"/>
      <c r="D234" s="157">
        <v>0</v>
      </c>
      <c r="E234" s="462">
        <v>0</v>
      </c>
      <c r="F234" s="158">
        <f t="shared" si="40"/>
        <v>0</v>
      </c>
      <c r="G234" s="159"/>
      <c r="H234" s="157">
        <v>0</v>
      </c>
      <c r="I234" s="462">
        <v>0</v>
      </c>
      <c r="J234" s="158">
        <f t="shared" si="41"/>
        <v>0</v>
      </c>
      <c r="K234" s="159"/>
      <c r="L234" s="157">
        <v>0</v>
      </c>
      <c r="M234" s="462">
        <v>0</v>
      </c>
      <c r="N234" s="158">
        <f t="shared" si="42"/>
        <v>0</v>
      </c>
      <c r="O234" s="159"/>
      <c r="P234" s="157">
        <v>0</v>
      </c>
      <c r="Q234" s="462">
        <v>0</v>
      </c>
      <c r="R234" s="158">
        <f t="shared" si="43"/>
        <v>0</v>
      </c>
    </row>
    <row r="235" spans="2:18" x14ac:dyDescent="0.25">
      <c r="B235" s="252" t="s">
        <v>178</v>
      </c>
      <c r="C235" s="275"/>
      <c r="D235" s="157">
        <v>0</v>
      </c>
      <c r="E235" s="462">
        <v>0</v>
      </c>
      <c r="F235" s="158">
        <f t="shared" si="40"/>
        <v>0</v>
      </c>
      <c r="G235" s="159"/>
      <c r="H235" s="157">
        <v>0</v>
      </c>
      <c r="I235" s="462">
        <v>0</v>
      </c>
      <c r="J235" s="158">
        <f t="shared" si="41"/>
        <v>0</v>
      </c>
      <c r="K235" s="159"/>
      <c r="L235" s="157">
        <v>0</v>
      </c>
      <c r="M235" s="462">
        <v>0</v>
      </c>
      <c r="N235" s="158">
        <f t="shared" si="42"/>
        <v>0</v>
      </c>
      <c r="O235" s="159"/>
      <c r="P235" s="157">
        <v>0</v>
      </c>
      <c r="Q235" s="462">
        <v>0</v>
      </c>
      <c r="R235" s="158">
        <f t="shared" si="43"/>
        <v>0</v>
      </c>
    </row>
    <row r="236" spans="2:18" x14ac:dyDescent="0.25">
      <c r="B236" s="252" t="s">
        <v>178</v>
      </c>
      <c r="C236" s="275"/>
      <c r="D236" s="157">
        <v>0</v>
      </c>
      <c r="E236" s="462">
        <v>0</v>
      </c>
      <c r="F236" s="158">
        <f t="shared" si="40"/>
        <v>0</v>
      </c>
      <c r="G236" s="159"/>
      <c r="H236" s="157">
        <v>0</v>
      </c>
      <c r="I236" s="462">
        <v>0</v>
      </c>
      <c r="J236" s="158">
        <f t="shared" si="41"/>
        <v>0</v>
      </c>
      <c r="K236" s="159"/>
      <c r="L236" s="157">
        <v>0</v>
      </c>
      <c r="M236" s="462">
        <v>0</v>
      </c>
      <c r="N236" s="158">
        <f t="shared" si="42"/>
        <v>0</v>
      </c>
      <c r="O236" s="159"/>
      <c r="P236" s="157">
        <v>0</v>
      </c>
      <c r="Q236" s="462">
        <v>0</v>
      </c>
      <c r="R236" s="158">
        <f t="shared" si="43"/>
        <v>0</v>
      </c>
    </row>
    <row r="237" spans="2:18" ht="15.75" thickBot="1" x14ac:dyDescent="0.3">
      <c r="B237" s="294" t="s">
        <v>178</v>
      </c>
      <c r="C237" s="295"/>
      <c r="D237" s="157">
        <v>0</v>
      </c>
      <c r="E237" s="462">
        <v>0</v>
      </c>
      <c r="F237" s="158">
        <f t="shared" si="40"/>
        <v>0</v>
      </c>
      <c r="G237" s="159"/>
      <c r="H237" s="157">
        <v>0</v>
      </c>
      <c r="I237" s="462">
        <v>0</v>
      </c>
      <c r="J237" s="158">
        <f t="shared" si="41"/>
        <v>0</v>
      </c>
      <c r="K237" s="159"/>
      <c r="L237" s="157">
        <v>0</v>
      </c>
      <c r="M237" s="462">
        <v>0</v>
      </c>
      <c r="N237" s="158">
        <f t="shared" si="42"/>
        <v>0</v>
      </c>
      <c r="O237" s="159"/>
      <c r="P237" s="157">
        <v>0</v>
      </c>
      <c r="Q237" s="462">
        <v>0</v>
      </c>
      <c r="R237" s="158">
        <f t="shared" si="43"/>
        <v>0</v>
      </c>
    </row>
    <row r="238" spans="2:18" ht="15.75" thickBot="1" x14ac:dyDescent="0.3">
      <c r="B238" s="298" t="s">
        <v>151</v>
      </c>
      <c r="C238" s="296"/>
      <c r="D238" s="257">
        <f>SUM(D223:D237)</f>
        <v>0</v>
      </c>
      <c r="E238" s="205"/>
      <c r="F238" s="164">
        <f>ROUND(SUM(F223:F237),0)</f>
        <v>0</v>
      </c>
      <c r="G238" s="165"/>
      <c r="H238" s="257">
        <f>SUM(H223:H237)</f>
        <v>0</v>
      </c>
      <c r="I238" s="205" t="s">
        <v>5</v>
      </c>
      <c r="J238" s="164">
        <f>ROUND(SUM(J223:J237),0)</f>
        <v>0</v>
      </c>
      <c r="K238" s="165"/>
      <c r="L238" s="257">
        <f>SUM(L223:L237)</f>
        <v>0</v>
      </c>
      <c r="M238" s="205"/>
      <c r="N238" s="164">
        <f>ROUND(SUM(N223:N237),0)</f>
        <v>0</v>
      </c>
      <c r="O238" s="165"/>
      <c r="P238" s="257">
        <f>SUM(P223:P237)</f>
        <v>0</v>
      </c>
      <c r="Q238" s="205"/>
      <c r="R238" s="164">
        <f>ROUND(SUM(R223:R237),0)</f>
        <v>0</v>
      </c>
    </row>
    <row r="239" spans="2:18" ht="15.75" thickBot="1" x14ac:dyDescent="0.3"/>
    <row r="240" spans="2:18" ht="16.5" thickBot="1" x14ac:dyDescent="0.3">
      <c r="B240" s="605" t="s">
        <v>567</v>
      </c>
      <c r="C240" s="606"/>
      <c r="D240" s="594" t="s">
        <v>134</v>
      </c>
      <c r="E240" s="595"/>
      <c r="F240" s="596"/>
      <c r="G240" s="151"/>
      <c r="H240" s="594" t="s">
        <v>134</v>
      </c>
      <c r="I240" s="595"/>
      <c r="J240" s="596"/>
      <c r="K240" s="151"/>
      <c r="L240" s="594" t="s">
        <v>134</v>
      </c>
      <c r="M240" s="595"/>
      <c r="N240" s="596"/>
      <c r="O240" s="151"/>
      <c r="P240" s="594" t="s">
        <v>134</v>
      </c>
      <c r="Q240" s="595"/>
      <c r="R240" s="596"/>
    </row>
    <row r="241" spans="2:18" ht="16.5" thickBot="1" x14ac:dyDescent="0.3">
      <c r="B241" s="607"/>
      <c r="C241" s="608"/>
      <c r="D241" s="591" t="str">
        <f>D10</f>
        <v>Basic Period (Year 1)</v>
      </c>
      <c r="E241" s="592"/>
      <c r="F241" s="593"/>
      <c r="G241" s="152"/>
      <c r="H241" s="591" t="str">
        <f>H10</f>
        <v>Basic Period (Year 2)</v>
      </c>
      <c r="I241" s="592"/>
      <c r="J241" s="593"/>
      <c r="K241" s="152"/>
      <c r="L241" s="591" t="str">
        <f>L10</f>
        <v>Basic Period (Year 3)</v>
      </c>
      <c r="M241" s="592"/>
      <c r="N241" s="593"/>
      <c r="O241" s="152"/>
      <c r="P241" s="591" t="str">
        <f>P10</f>
        <v>Basic Period (Year 4)</v>
      </c>
      <c r="Q241" s="592"/>
      <c r="R241" s="593"/>
    </row>
    <row r="242" spans="2:18" ht="16.5" thickBot="1" x14ac:dyDescent="0.3">
      <c r="B242" s="153" t="s">
        <v>110</v>
      </c>
      <c r="C242" s="153" t="s">
        <v>256</v>
      </c>
      <c r="D242" s="153" t="s">
        <v>91</v>
      </c>
      <c r="E242" s="154" t="s">
        <v>133</v>
      </c>
      <c r="F242" s="155" t="s">
        <v>139</v>
      </c>
      <c r="G242" s="156"/>
      <c r="H242" s="153" t="s">
        <v>91</v>
      </c>
      <c r="I242" s="154" t="s">
        <v>133</v>
      </c>
      <c r="J242" s="155" t="s">
        <v>139</v>
      </c>
      <c r="K242" s="156"/>
      <c r="L242" s="153" t="s">
        <v>91</v>
      </c>
      <c r="M242" s="154" t="s">
        <v>133</v>
      </c>
      <c r="N242" s="155" t="s">
        <v>139</v>
      </c>
      <c r="O242" s="156"/>
      <c r="P242" s="153" t="s">
        <v>91</v>
      </c>
      <c r="Q242" s="154" t="s">
        <v>133</v>
      </c>
      <c r="R242" s="155" t="s">
        <v>139</v>
      </c>
    </row>
    <row r="243" spans="2:18" ht="128.25" x14ac:dyDescent="0.25">
      <c r="B243" s="203" t="s">
        <v>601</v>
      </c>
      <c r="C243" s="203" t="s">
        <v>466</v>
      </c>
      <c r="D243" s="203" t="s">
        <v>565</v>
      </c>
      <c r="E243" s="203" t="s">
        <v>600</v>
      </c>
      <c r="F243" s="203"/>
      <c r="G243" s="156"/>
      <c r="H243" s="203" t="s">
        <v>565</v>
      </c>
      <c r="I243" s="203" t="s">
        <v>600</v>
      </c>
      <c r="J243" s="203"/>
      <c r="K243" s="156"/>
      <c r="L243" s="203" t="s">
        <v>565</v>
      </c>
      <c r="M243" s="203" t="s">
        <v>600</v>
      </c>
      <c r="N243" s="203"/>
      <c r="O243" s="156"/>
      <c r="P243" s="203" t="s">
        <v>565</v>
      </c>
      <c r="Q243" s="203" t="s">
        <v>600</v>
      </c>
      <c r="R243" s="489"/>
    </row>
    <row r="244" spans="2:18" x14ac:dyDescent="0.25">
      <c r="B244" s="252" t="s">
        <v>178</v>
      </c>
      <c r="C244" s="284" t="s">
        <v>222</v>
      </c>
      <c r="D244" s="157">
        <v>0</v>
      </c>
      <c r="E244" s="462">
        <v>0</v>
      </c>
      <c r="F244" s="158">
        <f>ROUND(D244*E244,0)</f>
        <v>0</v>
      </c>
      <c r="G244" s="159"/>
      <c r="H244" s="157">
        <v>0</v>
      </c>
      <c r="I244" s="462">
        <v>0</v>
      </c>
      <c r="J244" s="158">
        <f>ROUND(H244*I244,0)</f>
        <v>0</v>
      </c>
      <c r="K244" s="159"/>
      <c r="L244" s="157">
        <v>0</v>
      </c>
      <c r="M244" s="462">
        <v>0</v>
      </c>
      <c r="N244" s="158">
        <f>ROUND(L244*M244,0)</f>
        <v>0</v>
      </c>
      <c r="O244" s="159"/>
      <c r="P244" s="157">
        <v>0</v>
      </c>
      <c r="Q244" s="462">
        <v>0</v>
      </c>
      <c r="R244" s="158">
        <f>ROUND(P244*Q244,0)</f>
        <v>0</v>
      </c>
    </row>
    <row r="245" spans="2:18" x14ac:dyDescent="0.25">
      <c r="B245" s="252" t="s">
        <v>178</v>
      </c>
      <c r="C245" s="275" t="s">
        <v>5</v>
      </c>
      <c r="D245" s="157">
        <v>0</v>
      </c>
      <c r="E245" s="462">
        <v>0</v>
      </c>
      <c r="F245" s="158">
        <f t="shared" ref="F245:F258" si="44">ROUND(D245*E245,0)</f>
        <v>0</v>
      </c>
      <c r="G245" s="159"/>
      <c r="H245" s="157">
        <v>0</v>
      </c>
      <c r="I245" s="462">
        <v>0</v>
      </c>
      <c r="J245" s="158">
        <f t="shared" ref="J245:J258" si="45">ROUND(H245*I245,0)</f>
        <v>0</v>
      </c>
      <c r="K245" s="159"/>
      <c r="L245" s="157">
        <v>0</v>
      </c>
      <c r="M245" s="462">
        <v>0</v>
      </c>
      <c r="N245" s="158">
        <f t="shared" ref="N245:N258" si="46">ROUND(L245*M245,0)</f>
        <v>0</v>
      </c>
      <c r="O245" s="159"/>
      <c r="P245" s="157">
        <v>0</v>
      </c>
      <c r="Q245" s="462">
        <v>0</v>
      </c>
      <c r="R245" s="158">
        <f t="shared" ref="R245:R258" si="47">ROUND(P245*Q245,0)</f>
        <v>0</v>
      </c>
    </row>
    <row r="246" spans="2:18" x14ac:dyDescent="0.25">
      <c r="B246" s="252" t="s">
        <v>178</v>
      </c>
      <c r="C246" s="275"/>
      <c r="D246" s="157">
        <v>0</v>
      </c>
      <c r="E246" s="462">
        <v>0</v>
      </c>
      <c r="F246" s="158">
        <f t="shared" si="44"/>
        <v>0</v>
      </c>
      <c r="G246" s="159"/>
      <c r="H246" s="157">
        <v>0</v>
      </c>
      <c r="I246" s="462">
        <v>0</v>
      </c>
      <c r="J246" s="158">
        <f t="shared" si="45"/>
        <v>0</v>
      </c>
      <c r="K246" s="159"/>
      <c r="L246" s="157">
        <v>0</v>
      </c>
      <c r="M246" s="462">
        <v>0</v>
      </c>
      <c r="N246" s="158">
        <f t="shared" si="46"/>
        <v>0</v>
      </c>
      <c r="O246" s="159"/>
      <c r="P246" s="157">
        <v>0</v>
      </c>
      <c r="Q246" s="462">
        <v>0</v>
      </c>
      <c r="R246" s="158">
        <f t="shared" si="47"/>
        <v>0</v>
      </c>
    </row>
    <row r="247" spans="2:18" x14ac:dyDescent="0.25">
      <c r="B247" s="252" t="s">
        <v>178</v>
      </c>
      <c r="C247" s="275"/>
      <c r="D247" s="157">
        <v>0</v>
      </c>
      <c r="E247" s="462">
        <v>0</v>
      </c>
      <c r="F247" s="158">
        <f t="shared" si="44"/>
        <v>0</v>
      </c>
      <c r="G247" s="159"/>
      <c r="H247" s="157">
        <v>0</v>
      </c>
      <c r="I247" s="462">
        <v>0</v>
      </c>
      <c r="J247" s="158">
        <f t="shared" si="45"/>
        <v>0</v>
      </c>
      <c r="K247" s="159"/>
      <c r="L247" s="157">
        <v>0</v>
      </c>
      <c r="M247" s="462">
        <v>0</v>
      </c>
      <c r="N247" s="158">
        <f t="shared" si="46"/>
        <v>0</v>
      </c>
      <c r="O247" s="159"/>
      <c r="P247" s="157">
        <v>0</v>
      </c>
      <c r="Q247" s="462">
        <v>0</v>
      </c>
      <c r="R247" s="158">
        <f t="shared" si="47"/>
        <v>0</v>
      </c>
    </row>
    <row r="248" spans="2:18" x14ac:dyDescent="0.25">
      <c r="B248" s="252" t="s">
        <v>178</v>
      </c>
      <c r="C248" s="275"/>
      <c r="D248" s="157">
        <v>0</v>
      </c>
      <c r="E248" s="462">
        <v>0</v>
      </c>
      <c r="F248" s="158">
        <f t="shared" si="44"/>
        <v>0</v>
      </c>
      <c r="G248" s="159"/>
      <c r="H248" s="157">
        <v>0</v>
      </c>
      <c r="I248" s="462">
        <v>0</v>
      </c>
      <c r="J248" s="158">
        <f t="shared" si="45"/>
        <v>0</v>
      </c>
      <c r="K248" s="159"/>
      <c r="L248" s="157">
        <v>0</v>
      </c>
      <c r="M248" s="462">
        <v>0</v>
      </c>
      <c r="N248" s="158">
        <f t="shared" si="46"/>
        <v>0</v>
      </c>
      <c r="O248" s="159"/>
      <c r="P248" s="157">
        <v>0</v>
      </c>
      <c r="Q248" s="462">
        <v>0</v>
      </c>
      <c r="R248" s="158">
        <f t="shared" si="47"/>
        <v>0</v>
      </c>
    </row>
    <row r="249" spans="2:18" x14ac:dyDescent="0.25">
      <c r="B249" s="252" t="s">
        <v>178</v>
      </c>
      <c r="C249" s="284" t="s">
        <v>223</v>
      </c>
      <c r="D249" s="157">
        <v>0</v>
      </c>
      <c r="E249" s="462">
        <v>0</v>
      </c>
      <c r="F249" s="158">
        <f t="shared" si="44"/>
        <v>0</v>
      </c>
      <c r="G249" s="159"/>
      <c r="H249" s="157">
        <v>0</v>
      </c>
      <c r="I249" s="462">
        <v>0</v>
      </c>
      <c r="J249" s="158">
        <f t="shared" si="45"/>
        <v>0</v>
      </c>
      <c r="K249" s="159"/>
      <c r="L249" s="157">
        <v>0</v>
      </c>
      <c r="M249" s="462">
        <v>0</v>
      </c>
      <c r="N249" s="158">
        <f t="shared" si="46"/>
        <v>0</v>
      </c>
      <c r="O249" s="159"/>
      <c r="P249" s="157">
        <v>0</v>
      </c>
      <c r="Q249" s="462">
        <v>0</v>
      </c>
      <c r="R249" s="158">
        <f t="shared" si="47"/>
        <v>0</v>
      </c>
    </row>
    <row r="250" spans="2:18" x14ac:dyDescent="0.25">
      <c r="B250" s="252" t="s">
        <v>178</v>
      </c>
      <c r="C250" s="275"/>
      <c r="D250" s="157">
        <v>0</v>
      </c>
      <c r="E250" s="462">
        <v>0</v>
      </c>
      <c r="F250" s="158">
        <f t="shared" si="44"/>
        <v>0</v>
      </c>
      <c r="G250" s="159"/>
      <c r="H250" s="157">
        <v>0</v>
      </c>
      <c r="I250" s="462">
        <v>0</v>
      </c>
      <c r="J250" s="158">
        <f t="shared" si="45"/>
        <v>0</v>
      </c>
      <c r="K250" s="159"/>
      <c r="L250" s="157">
        <v>0</v>
      </c>
      <c r="M250" s="462">
        <v>0</v>
      </c>
      <c r="N250" s="158">
        <f t="shared" si="46"/>
        <v>0</v>
      </c>
      <c r="O250" s="159"/>
      <c r="P250" s="157">
        <v>0</v>
      </c>
      <c r="Q250" s="462">
        <v>0</v>
      </c>
      <c r="R250" s="158">
        <f t="shared" si="47"/>
        <v>0</v>
      </c>
    </row>
    <row r="251" spans="2:18" x14ac:dyDescent="0.25">
      <c r="B251" s="252" t="s">
        <v>178</v>
      </c>
      <c r="C251" s="275"/>
      <c r="D251" s="157">
        <v>0</v>
      </c>
      <c r="E251" s="462">
        <v>0</v>
      </c>
      <c r="F251" s="158">
        <f t="shared" si="44"/>
        <v>0</v>
      </c>
      <c r="G251" s="159"/>
      <c r="H251" s="157">
        <v>0</v>
      </c>
      <c r="I251" s="462">
        <v>0</v>
      </c>
      <c r="J251" s="158">
        <f t="shared" si="45"/>
        <v>0</v>
      </c>
      <c r="K251" s="159"/>
      <c r="L251" s="157">
        <v>0</v>
      </c>
      <c r="M251" s="462">
        <v>0</v>
      </c>
      <c r="N251" s="158">
        <f t="shared" si="46"/>
        <v>0</v>
      </c>
      <c r="O251" s="159"/>
      <c r="P251" s="157">
        <v>0</v>
      </c>
      <c r="Q251" s="462">
        <v>0</v>
      </c>
      <c r="R251" s="158">
        <f t="shared" si="47"/>
        <v>0</v>
      </c>
    </row>
    <row r="252" spans="2:18" x14ac:dyDescent="0.25">
      <c r="B252" s="252" t="s">
        <v>178</v>
      </c>
      <c r="C252" s="275"/>
      <c r="D252" s="157">
        <v>0</v>
      </c>
      <c r="E252" s="462">
        <v>0</v>
      </c>
      <c r="F252" s="158">
        <f t="shared" si="44"/>
        <v>0</v>
      </c>
      <c r="G252" s="159"/>
      <c r="H252" s="157">
        <v>0</v>
      </c>
      <c r="I252" s="462">
        <v>0</v>
      </c>
      <c r="J252" s="158">
        <f t="shared" si="45"/>
        <v>0</v>
      </c>
      <c r="K252" s="159"/>
      <c r="L252" s="157">
        <v>0</v>
      </c>
      <c r="M252" s="462">
        <v>0</v>
      </c>
      <c r="N252" s="158">
        <f t="shared" si="46"/>
        <v>0</v>
      </c>
      <c r="O252" s="159"/>
      <c r="P252" s="157">
        <v>0</v>
      </c>
      <c r="Q252" s="462">
        <v>0</v>
      </c>
      <c r="R252" s="158">
        <f t="shared" si="47"/>
        <v>0</v>
      </c>
    </row>
    <row r="253" spans="2:18" x14ac:dyDescent="0.25">
      <c r="B253" s="252" t="s">
        <v>178</v>
      </c>
      <c r="C253" s="275"/>
      <c r="D253" s="157">
        <v>0</v>
      </c>
      <c r="E253" s="462">
        <v>0</v>
      </c>
      <c r="F253" s="158">
        <f t="shared" si="44"/>
        <v>0</v>
      </c>
      <c r="G253" s="159"/>
      <c r="H253" s="157">
        <v>0</v>
      </c>
      <c r="I253" s="462">
        <v>0</v>
      </c>
      <c r="J253" s="158">
        <f t="shared" si="45"/>
        <v>0</v>
      </c>
      <c r="K253" s="159"/>
      <c r="L253" s="157">
        <v>0</v>
      </c>
      <c r="M253" s="462">
        <v>0</v>
      </c>
      <c r="N253" s="158">
        <f t="shared" si="46"/>
        <v>0</v>
      </c>
      <c r="O253" s="159"/>
      <c r="P253" s="157">
        <v>0</v>
      </c>
      <c r="Q253" s="462">
        <v>0</v>
      </c>
      <c r="R253" s="158">
        <f t="shared" si="47"/>
        <v>0</v>
      </c>
    </row>
    <row r="254" spans="2:18" x14ac:dyDescent="0.25">
      <c r="B254" s="252" t="s">
        <v>178</v>
      </c>
      <c r="C254" s="284" t="s">
        <v>224</v>
      </c>
      <c r="D254" s="157">
        <v>0</v>
      </c>
      <c r="E254" s="462">
        <v>0</v>
      </c>
      <c r="F254" s="158">
        <f t="shared" si="44"/>
        <v>0</v>
      </c>
      <c r="G254" s="159"/>
      <c r="H254" s="157">
        <v>0</v>
      </c>
      <c r="I254" s="462">
        <v>0</v>
      </c>
      <c r="J254" s="158">
        <f t="shared" si="45"/>
        <v>0</v>
      </c>
      <c r="K254" s="159"/>
      <c r="L254" s="157">
        <v>0</v>
      </c>
      <c r="M254" s="462">
        <v>0</v>
      </c>
      <c r="N254" s="158">
        <f t="shared" si="46"/>
        <v>0</v>
      </c>
      <c r="O254" s="159"/>
      <c r="P254" s="157">
        <v>0</v>
      </c>
      <c r="Q254" s="462">
        <v>0</v>
      </c>
      <c r="R254" s="158">
        <f t="shared" si="47"/>
        <v>0</v>
      </c>
    </row>
    <row r="255" spans="2:18" x14ac:dyDescent="0.25">
      <c r="B255" s="252" t="s">
        <v>178</v>
      </c>
      <c r="C255" s="275"/>
      <c r="D255" s="157">
        <v>0</v>
      </c>
      <c r="E255" s="462">
        <v>0</v>
      </c>
      <c r="F255" s="158">
        <f t="shared" si="44"/>
        <v>0</v>
      </c>
      <c r="G255" s="159"/>
      <c r="H255" s="157">
        <v>0</v>
      </c>
      <c r="I255" s="462">
        <v>0</v>
      </c>
      <c r="J255" s="158">
        <f t="shared" si="45"/>
        <v>0</v>
      </c>
      <c r="K255" s="159"/>
      <c r="L255" s="157">
        <v>0</v>
      </c>
      <c r="M255" s="462">
        <v>0</v>
      </c>
      <c r="N255" s="158">
        <f t="shared" si="46"/>
        <v>0</v>
      </c>
      <c r="O255" s="159"/>
      <c r="P255" s="157">
        <v>0</v>
      </c>
      <c r="Q255" s="462">
        <v>0</v>
      </c>
      <c r="R255" s="158">
        <f t="shared" si="47"/>
        <v>0</v>
      </c>
    </row>
    <row r="256" spans="2:18" x14ac:dyDescent="0.25">
      <c r="B256" s="252" t="s">
        <v>178</v>
      </c>
      <c r="C256" s="275"/>
      <c r="D256" s="157">
        <v>0</v>
      </c>
      <c r="E256" s="462">
        <v>0</v>
      </c>
      <c r="F256" s="158">
        <f t="shared" si="44"/>
        <v>0</v>
      </c>
      <c r="G256" s="159"/>
      <c r="H256" s="157">
        <v>0</v>
      </c>
      <c r="I256" s="462">
        <v>0</v>
      </c>
      <c r="J256" s="158">
        <f t="shared" si="45"/>
        <v>0</v>
      </c>
      <c r="K256" s="159"/>
      <c r="L256" s="157">
        <v>0</v>
      </c>
      <c r="M256" s="462">
        <v>0</v>
      </c>
      <c r="N256" s="158">
        <f t="shared" si="46"/>
        <v>0</v>
      </c>
      <c r="O256" s="159"/>
      <c r="P256" s="157">
        <v>0</v>
      </c>
      <c r="Q256" s="462">
        <v>0</v>
      </c>
      <c r="R256" s="158">
        <f t="shared" si="47"/>
        <v>0</v>
      </c>
    </row>
    <row r="257" spans="2:18" x14ac:dyDescent="0.25">
      <c r="B257" s="252" t="s">
        <v>178</v>
      </c>
      <c r="C257" s="275"/>
      <c r="D257" s="157">
        <v>0</v>
      </c>
      <c r="E257" s="462">
        <v>0</v>
      </c>
      <c r="F257" s="158">
        <f t="shared" si="44"/>
        <v>0</v>
      </c>
      <c r="G257" s="159"/>
      <c r="H257" s="157">
        <v>0</v>
      </c>
      <c r="I257" s="462">
        <v>0</v>
      </c>
      <c r="J257" s="158">
        <f t="shared" si="45"/>
        <v>0</v>
      </c>
      <c r="K257" s="159"/>
      <c r="L257" s="157">
        <v>0</v>
      </c>
      <c r="M257" s="462">
        <v>0</v>
      </c>
      <c r="N257" s="158">
        <f t="shared" si="46"/>
        <v>0</v>
      </c>
      <c r="O257" s="159"/>
      <c r="P257" s="157">
        <v>0</v>
      </c>
      <c r="Q257" s="462">
        <v>0</v>
      </c>
      <c r="R257" s="158">
        <f t="shared" si="47"/>
        <v>0</v>
      </c>
    </row>
    <row r="258" spans="2:18" ht="15.75" thickBot="1" x14ac:dyDescent="0.3">
      <c r="B258" s="294" t="s">
        <v>178</v>
      </c>
      <c r="C258" s="295"/>
      <c r="D258" s="157">
        <v>0</v>
      </c>
      <c r="E258" s="462">
        <v>0</v>
      </c>
      <c r="F258" s="158">
        <f t="shared" si="44"/>
        <v>0</v>
      </c>
      <c r="G258" s="159"/>
      <c r="H258" s="157">
        <v>0</v>
      </c>
      <c r="I258" s="462">
        <v>0</v>
      </c>
      <c r="J258" s="158">
        <f t="shared" si="45"/>
        <v>0</v>
      </c>
      <c r="K258" s="159"/>
      <c r="L258" s="157">
        <v>0</v>
      </c>
      <c r="M258" s="462">
        <v>0</v>
      </c>
      <c r="N258" s="158">
        <f t="shared" si="46"/>
        <v>0</v>
      </c>
      <c r="O258" s="159"/>
      <c r="P258" s="157">
        <v>0</v>
      </c>
      <c r="Q258" s="462">
        <v>0</v>
      </c>
      <c r="R258" s="158">
        <f t="shared" si="47"/>
        <v>0</v>
      </c>
    </row>
    <row r="259" spans="2:18" ht="15.75" thickBot="1" x14ac:dyDescent="0.3">
      <c r="B259" s="298" t="s">
        <v>151</v>
      </c>
      <c r="C259" s="296"/>
      <c r="D259" s="257">
        <f>SUM(D244:D258)</f>
        <v>0</v>
      </c>
      <c r="E259" s="205"/>
      <c r="F259" s="164">
        <f>ROUND(SUM(F244:F258),0)</f>
        <v>0</v>
      </c>
      <c r="G259" s="165"/>
      <c r="H259" s="257">
        <f>SUM(H244:H258)</f>
        <v>0</v>
      </c>
      <c r="I259" s="205"/>
      <c r="J259" s="164">
        <f>ROUND(SUM(J244:J258),0)</f>
        <v>0</v>
      </c>
      <c r="K259" s="165"/>
      <c r="L259" s="257">
        <f>SUM(L244:L258)</f>
        <v>0</v>
      </c>
      <c r="M259" s="205"/>
      <c r="N259" s="164">
        <f>ROUND(SUM(N244:N258),0)</f>
        <v>0</v>
      </c>
      <c r="O259" s="165"/>
      <c r="P259" s="257">
        <f>SUM(P244:P258)</f>
        <v>0</v>
      </c>
      <c r="Q259" s="205"/>
      <c r="R259" s="164">
        <f>ROUND(SUM(R244:R258),0)</f>
        <v>0</v>
      </c>
    </row>
    <row r="260" spans="2:18" ht="15.75" thickBot="1" x14ac:dyDescent="0.3"/>
    <row r="261" spans="2:18" ht="16.5" thickBot="1" x14ac:dyDescent="0.3">
      <c r="B261" s="605" t="s">
        <v>568</v>
      </c>
      <c r="C261" s="606"/>
      <c r="D261" s="594" t="s">
        <v>134</v>
      </c>
      <c r="E261" s="595"/>
      <c r="F261" s="596"/>
      <c r="G261" s="151"/>
      <c r="H261" s="594" t="s">
        <v>134</v>
      </c>
      <c r="I261" s="595"/>
      <c r="J261" s="596"/>
      <c r="K261" s="151"/>
      <c r="L261" s="594" t="s">
        <v>134</v>
      </c>
      <c r="M261" s="595"/>
      <c r="N261" s="596"/>
      <c r="O261" s="151"/>
      <c r="P261" s="594" t="s">
        <v>134</v>
      </c>
      <c r="Q261" s="595"/>
      <c r="R261" s="596"/>
    </row>
    <row r="262" spans="2:18" ht="16.5" thickBot="1" x14ac:dyDescent="0.3">
      <c r="B262" s="607"/>
      <c r="C262" s="608"/>
      <c r="D262" s="591" t="str">
        <f>D10</f>
        <v>Basic Period (Year 1)</v>
      </c>
      <c r="E262" s="592"/>
      <c r="F262" s="593"/>
      <c r="G262" s="152"/>
      <c r="H262" s="591" t="str">
        <f>H10</f>
        <v>Basic Period (Year 2)</v>
      </c>
      <c r="I262" s="592"/>
      <c r="J262" s="593"/>
      <c r="K262" s="152"/>
      <c r="L262" s="591" t="str">
        <f>L10</f>
        <v>Basic Period (Year 3)</v>
      </c>
      <c r="M262" s="592"/>
      <c r="N262" s="593"/>
      <c r="O262" s="152"/>
      <c r="P262" s="591" t="str">
        <f>P10</f>
        <v>Basic Period (Year 4)</v>
      </c>
      <c r="Q262" s="592"/>
      <c r="R262" s="593"/>
    </row>
    <row r="263" spans="2:18" ht="16.5" thickBot="1" x14ac:dyDescent="0.3">
      <c r="B263" s="153" t="s">
        <v>110</v>
      </c>
      <c r="C263" s="153" t="s">
        <v>256</v>
      </c>
      <c r="D263" s="153" t="s">
        <v>91</v>
      </c>
      <c r="E263" s="154" t="s">
        <v>133</v>
      </c>
      <c r="F263" s="155" t="s">
        <v>139</v>
      </c>
      <c r="G263" s="156"/>
      <c r="H263" s="153" t="s">
        <v>91</v>
      </c>
      <c r="I263" s="154" t="s">
        <v>133</v>
      </c>
      <c r="J263" s="155" t="s">
        <v>139</v>
      </c>
      <c r="K263" s="156"/>
      <c r="L263" s="153" t="s">
        <v>91</v>
      </c>
      <c r="M263" s="154" t="s">
        <v>133</v>
      </c>
      <c r="N263" s="155" t="s">
        <v>139</v>
      </c>
      <c r="O263" s="156"/>
      <c r="P263" s="153" t="s">
        <v>91</v>
      </c>
      <c r="Q263" s="154" t="s">
        <v>133</v>
      </c>
      <c r="R263" s="155" t="s">
        <v>139</v>
      </c>
    </row>
    <row r="264" spans="2:18" ht="128.25" x14ac:dyDescent="0.25">
      <c r="B264" s="203" t="s">
        <v>601</v>
      </c>
      <c r="C264" s="203" t="s">
        <v>466</v>
      </c>
      <c r="D264" s="203" t="s">
        <v>565</v>
      </c>
      <c r="E264" s="203" t="s">
        <v>600</v>
      </c>
      <c r="F264" s="203"/>
      <c r="G264" s="156"/>
      <c r="H264" s="203" t="s">
        <v>565</v>
      </c>
      <c r="I264" s="203" t="s">
        <v>600</v>
      </c>
      <c r="J264" s="203"/>
      <c r="K264" s="156"/>
      <c r="L264" s="203" t="s">
        <v>565</v>
      </c>
      <c r="M264" s="203" t="s">
        <v>600</v>
      </c>
      <c r="N264" s="203"/>
      <c r="O264" s="156"/>
      <c r="P264" s="203" t="s">
        <v>565</v>
      </c>
      <c r="Q264" s="203" t="s">
        <v>600</v>
      </c>
      <c r="R264" s="489"/>
    </row>
    <row r="265" spans="2:18" x14ac:dyDescent="0.25">
      <c r="B265" s="252" t="s">
        <v>178</v>
      </c>
      <c r="C265" s="284" t="s">
        <v>225</v>
      </c>
      <c r="D265" s="157">
        <v>0</v>
      </c>
      <c r="E265" s="462">
        <v>0</v>
      </c>
      <c r="F265" s="158">
        <f>ROUND(D265*E265,0)</f>
        <v>0</v>
      </c>
      <c r="G265" s="159"/>
      <c r="H265" s="157">
        <v>0</v>
      </c>
      <c r="I265" s="462">
        <v>0</v>
      </c>
      <c r="J265" s="158">
        <f>ROUND(H265*I265,0)</f>
        <v>0</v>
      </c>
      <c r="K265" s="159"/>
      <c r="L265" s="157">
        <v>0</v>
      </c>
      <c r="M265" s="462">
        <v>0</v>
      </c>
      <c r="N265" s="158">
        <f>ROUND(L265*M265,0)</f>
        <v>0</v>
      </c>
      <c r="O265" s="159"/>
      <c r="P265" s="157">
        <v>0</v>
      </c>
      <c r="Q265" s="462">
        <v>0</v>
      </c>
      <c r="R265" s="158">
        <f>ROUND(P265*Q265,0)</f>
        <v>0</v>
      </c>
    </row>
    <row r="266" spans="2:18" x14ac:dyDescent="0.25">
      <c r="B266" s="252" t="s">
        <v>178</v>
      </c>
      <c r="C266" s="275" t="s">
        <v>5</v>
      </c>
      <c r="D266" s="157">
        <v>0</v>
      </c>
      <c r="E266" s="462">
        <v>0</v>
      </c>
      <c r="F266" s="158">
        <f t="shared" ref="F266:F279" si="48">ROUND(D266*E266,0)</f>
        <v>0</v>
      </c>
      <c r="G266" s="159"/>
      <c r="H266" s="157">
        <v>0</v>
      </c>
      <c r="I266" s="462">
        <v>0</v>
      </c>
      <c r="J266" s="158">
        <f t="shared" ref="J266:J279" si="49">ROUND(H266*I266,0)</f>
        <v>0</v>
      </c>
      <c r="K266" s="159"/>
      <c r="L266" s="157">
        <v>0</v>
      </c>
      <c r="M266" s="462">
        <v>0</v>
      </c>
      <c r="N266" s="158">
        <f t="shared" ref="N266:N279" si="50">ROUND(L266*M266,0)</f>
        <v>0</v>
      </c>
      <c r="O266" s="159"/>
      <c r="P266" s="157">
        <v>0</v>
      </c>
      <c r="Q266" s="462">
        <v>0</v>
      </c>
      <c r="R266" s="158">
        <f t="shared" ref="R266:R279" si="51">ROUND(P266*Q266,0)</f>
        <v>0</v>
      </c>
    </row>
    <row r="267" spans="2:18" x14ac:dyDescent="0.25">
      <c r="B267" s="252" t="s">
        <v>178</v>
      </c>
      <c r="C267" s="275"/>
      <c r="D267" s="157">
        <v>0</v>
      </c>
      <c r="E267" s="462">
        <v>0</v>
      </c>
      <c r="F267" s="158">
        <f t="shared" si="48"/>
        <v>0</v>
      </c>
      <c r="G267" s="159"/>
      <c r="H267" s="157">
        <v>0</v>
      </c>
      <c r="I267" s="462">
        <v>0</v>
      </c>
      <c r="J267" s="158">
        <f t="shared" si="49"/>
        <v>0</v>
      </c>
      <c r="K267" s="159"/>
      <c r="L267" s="157">
        <v>0</v>
      </c>
      <c r="M267" s="462">
        <v>0</v>
      </c>
      <c r="N267" s="158">
        <f t="shared" si="50"/>
        <v>0</v>
      </c>
      <c r="O267" s="159"/>
      <c r="P267" s="157">
        <v>0</v>
      </c>
      <c r="Q267" s="462">
        <v>0</v>
      </c>
      <c r="R267" s="158">
        <f t="shared" si="51"/>
        <v>0</v>
      </c>
    </row>
    <row r="268" spans="2:18" x14ac:dyDescent="0.25">
      <c r="B268" s="252" t="s">
        <v>178</v>
      </c>
      <c r="C268" s="275"/>
      <c r="D268" s="157">
        <v>0</v>
      </c>
      <c r="E268" s="462">
        <v>0</v>
      </c>
      <c r="F268" s="158">
        <f t="shared" si="48"/>
        <v>0</v>
      </c>
      <c r="G268" s="159"/>
      <c r="H268" s="157">
        <v>0</v>
      </c>
      <c r="I268" s="462">
        <v>0</v>
      </c>
      <c r="J268" s="158">
        <f t="shared" si="49"/>
        <v>0</v>
      </c>
      <c r="K268" s="159"/>
      <c r="L268" s="157">
        <v>0</v>
      </c>
      <c r="M268" s="462">
        <v>0</v>
      </c>
      <c r="N268" s="158">
        <f t="shared" si="50"/>
        <v>0</v>
      </c>
      <c r="O268" s="159"/>
      <c r="P268" s="157">
        <v>0</v>
      </c>
      <c r="Q268" s="462">
        <v>0</v>
      </c>
      <c r="R268" s="158">
        <f t="shared" si="51"/>
        <v>0</v>
      </c>
    </row>
    <row r="269" spans="2:18" x14ac:dyDescent="0.25">
      <c r="B269" s="252" t="s">
        <v>178</v>
      </c>
      <c r="C269" s="275"/>
      <c r="D269" s="157">
        <v>0</v>
      </c>
      <c r="E269" s="462">
        <v>0</v>
      </c>
      <c r="F269" s="158">
        <f t="shared" si="48"/>
        <v>0</v>
      </c>
      <c r="G269" s="159"/>
      <c r="H269" s="157">
        <v>0</v>
      </c>
      <c r="I269" s="462">
        <v>0</v>
      </c>
      <c r="J269" s="158">
        <f t="shared" si="49"/>
        <v>0</v>
      </c>
      <c r="K269" s="159"/>
      <c r="L269" s="157">
        <v>0</v>
      </c>
      <c r="M269" s="462">
        <v>0</v>
      </c>
      <c r="N269" s="158">
        <f t="shared" si="50"/>
        <v>0</v>
      </c>
      <c r="O269" s="159"/>
      <c r="P269" s="157">
        <v>0</v>
      </c>
      <c r="Q269" s="462">
        <v>0</v>
      </c>
      <c r="R269" s="158">
        <f t="shared" si="51"/>
        <v>0</v>
      </c>
    </row>
    <row r="270" spans="2:18" x14ac:dyDescent="0.25">
      <c r="B270" s="252" t="s">
        <v>178</v>
      </c>
      <c r="C270" s="284" t="s">
        <v>226</v>
      </c>
      <c r="D270" s="157">
        <v>0</v>
      </c>
      <c r="E270" s="462">
        <v>0</v>
      </c>
      <c r="F270" s="158">
        <f t="shared" si="48"/>
        <v>0</v>
      </c>
      <c r="G270" s="159"/>
      <c r="H270" s="157">
        <v>0</v>
      </c>
      <c r="I270" s="462">
        <v>0</v>
      </c>
      <c r="J270" s="158">
        <f t="shared" si="49"/>
        <v>0</v>
      </c>
      <c r="K270" s="159"/>
      <c r="L270" s="157">
        <v>0</v>
      </c>
      <c r="M270" s="462">
        <v>0</v>
      </c>
      <c r="N270" s="158">
        <f t="shared" si="50"/>
        <v>0</v>
      </c>
      <c r="O270" s="159"/>
      <c r="P270" s="157">
        <v>0</v>
      </c>
      <c r="Q270" s="462">
        <v>0</v>
      </c>
      <c r="R270" s="158">
        <f t="shared" si="51"/>
        <v>0</v>
      </c>
    </row>
    <row r="271" spans="2:18" x14ac:dyDescent="0.25">
      <c r="B271" s="252" t="s">
        <v>178</v>
      </c>
      <c r="C271" s="275"/>
      <c r="D271" s="157">
        <v>0</v>
      </c>
      <c r="E271" s="462">
        <v>0</v>
      </c>
      <c r="F271" s="158">
        <f t="shared" si="48"/>
        <v>0</v>
      </c>
      <c r="G271" s="159"/>
      <c r="H271" s="157">
        <v>0</v>
      </c>
      <c r="I271" s="462">
        <v>0</v>
      </c>
      <c r="J271" s="158">
        <f t="shared" si="49"/>
        <v>0</v>
      </c>
      <c r="K271" s="159"/>
      <c r="L271" s="157">
        <v>0</v>
      </c>
      <c r="M271" s="462">
        <v>0</v>
      </c>
      <c r="N271" s="158">
        <f t="shared" si="50"/>
        <v>0</v>
      </c>
      <c r="O271" s="159"/>
      <c r="P271" s="157">
        <v>0</v>
      </c>
      <c r="Q271" s="462">
        <v>0</v>
      </c>
      <c r="R271" s="158">
        <f t="shared" si="51"/>
        <v>0</v>
      </c>
    </row>
    <row r="272" spans="2:18" x14ac:dyDescent="0.25">
      <c r="B272" s="252" t="s">
        <v>178</v>
      </c>
      <c r="C272" s="275"/>
      <c r="D272" s="157">
        <v>0</v>
      </c>
      <c r="E272" s="462">
        <v>0</v>
      </c>
      <c r="F272" s="158">
        <f t="shared" si="48"/>
        <v>0</v>
      </c>
      <c r="G272" s="159"/>
      <c r="H272" s="157">
        <v>0</v>
      </c>
      <c r="I272" s="462">
        <v>0</v>
      </c>
      <c r="J272" s="158">
        <f t="shared" si="49"/>
        <v>0</v>
      </c>
      <c r="K272" s="159"/>
      <c r="L272" s="157">
        <v>0</v>
      </c>
      <c r="M272" s="462">
        <v>0</v>
      </c>
      <c r="N272" s="158">
        <f t="shared" si="50"/>
        <v>0</v>
      </c>
      <c r="O272" s="159"/>
      <c r="P272" s="157">
        <v>0</v>
      </c>
      <c r="Q272" s="462">
        <v>0</v>
      </c>
      <c r="R272" s="158">
        <f t="shared" si="51"/>
        <v>0</v>
      </c>
    </row>
    <row r="273" spans="2:18" x14ac:dyDescent="0.25">
      <c r="B273" s="252" t="s">
        <v>178</v>
      </c>
      <c r="C273" s="275"/>
      <c r="D273" s="157">
        <v>0</v>
      </c>
      <c r="E273" s="462">
        <v>0</v>
      </c>
      <c r="F273" s="158">
        <f t="shared" si="48"/>
        <v>0</v>
      </c>
      <c r="G273" s="159"/>
      <c r="H273" s="157">
        <v>0</v>
      </c>
      <c r="I273" s="462">
        <v>0</v>
      </c>
      <c r="J273" s="158">
        <f t="shared" si="49"/>
        <v>0</v>
      </c>
      <c r="K273" s="159"/>
      <c r="L273" s="157">
        <v>0</v>
      </c>
      <c r="M273" s="462">
        <v>0</v>
      </c>
      <c r="N273" s="158">
        <f t="shared" si="50"/>
        <v>0</v>
      </c>
      <c r="O273" s="159"/>
      <c r="P273" s="157">
        <v>0</v>
      </c>
      <c r="Q273" s="462">
        <v>0</v>
      </c>
      <c r="R273" s="158">
        <f t="shared" si="51"/>
        <v>0</v>
      </c>
    </row>
    <row r="274" spans="2:18" x14ac:dyDescent="0.25">
      <c r="B274" s="252" t="s">
        <v>178</v>
      </c>
      <c r="C274" s="275"/>
      <c r="D274" s="157">
        <v>0</v>
      </c>
      <c r="E274" s="462">
        <v>0</v>
      </c>
      <c r="F274" s="158">
        <f t="shared" si="48"/>
        <v>0</v>
      </c>
      <c r="G274" s="159"/>
      <c r="H274" s="157">
        <v>0</v>
      </c>
      <c r="I274" s="462">
        <v>0</v>
      </c>
      <c r="J274" s="158">
        <f t="shared" si="49"/>
        <v>0</v>
      </c>
      <c r="K274" s="159"/>
      <c r="L274" s="157">
        <v>0</v>
      </c>
      <c r="M274" s="462">
        <v>0</v>
      </c>
      <c r="N274" s="158">
        <f t="shared" si="50"/>
        <v>0</v>
      </c>
      <c r="O274" s="159"/>
      <c r="P274" s="157">
        <v>0</v>
      </c>
      <c r="Q274" s="462">
        <v>0</v>
      </c>
      <c r="R274" s="158">
        <f t="shared" si="51"/>
        <v>0</v>
      </c>
    </row>
    <row r="275" spans="2:18" x14ac:dyDescent="0.25">
      <c r="B275" s="252" t="s">
        <v>178</v>
      </c>
      <c r="C275" s="284" t="s">
        <v>227</v>
      </c>
      <c r="D275" s="157">
        <v>0</v>
      </c>
      <c r="E275" s="462">
        <v>0</v>
      </c>
      <c r="F275" s="158">
        <f t="shared" si="48"/>
        <v>0</v>
      </c>
      <c r="G275" s="159"/>
      <c r="H275" s="157">
        <v>0</v>
      </c>
      <c r="I275" s="462">
        <v>0</v>
      </c>
      <c r="J275" s="158">
        <f t="shared" si="49"/>
        <v>0</v>
      </c>
      <c r="K275" s="159"/>
      <c r="L275" s="157">
        <v>0</v>
      </c>
      <c r="M275" s="462">
        <v>0</v>
      </c>
      <c r="N275" s="158">
        <f t="shared" si="50"/>
        <v>0</v>
      </c>
      <c r="O275" s="159"/>
      <c r="P275" s="157">
        <v>0</v>
      </c>
      <c r="Q275" s="462">
        <v>0</v>
      </c>
      <c r="R275" s="158">
        <f t="shared" si="51"/>
        <v>0</v>
      </c>
    </row>
    <row r="276" spans="2:18" x14ac:dyDescent="0.25">
      <c r="B276" s="252" t="s">
        <v>178</v>
      </c>
      <c r="C276" s="275"/>
      <c r="D276" s="157">
        <v>0</v>
      </c>
      <c r="E276" s="462">
        <v>0</v>
      </c>
      <c r="F276" s="158">
        <f t="shared" si="48"/>
        <v>0</v>
      </c>
      <c r="G276" s="159"/>
      <c r="H276" s="157">
        <v>0</v>
      </c>
      <c r="I276" s="462">
        <v>0</v>
      </c>
      <c r="J276" s="158">
        <f t="shared" si="49"/>
        <v>0</v>
      </c>
      <c r="K276" s="159"/>
      <c r="L276" s="157">
        <v>0</v>
      </c>
      <c r="M276" s="462">
        <v>0</v>
      </c>
      <c r="N276" s="158">
        <f t="shared" si="50"/>
        <v>0</v>
      </c>
      <c r="O276" s="159"/>
      <c r="P276" s="157">
        <v>0</v>
      </c>
      <c r="Q276" s="462">
        <v>0</v>
      </c>
      <c r="R276" s="158">
        <f t="shared" si="51"/>
        <v>0</v>
      </c>
    </row>
    <row r="277" spans="2:18" x14ac:dyDescent="0.25">
      <c r="B277" s="252" t="s">
        <v>178</v>
      </c>
      <c r="C277" s="275"/>
      <c r="D277" s="157">
        <v>0</v>
      </c>
      <c r="E277" s="462">
        <v>0</v>
      </c>
      <c r="F277" s="158">
        <f t="shared" si="48"/>
        <v>0</v>
      </c>
      <c r="G277" s="159"/>
      <c r="H277" s="157">
        <v>0</v>
      </c>
      <c r="I277" s="462">
        <v>0</v>
      </c>
      <c r="J277" s="158">
        <f t="shared" si="49"/>
        <v>0</v>
      </c>
      <c r="K277" s="159"/>
      <c r="L277" s="157">
        <v>0</v>
      </c>
      <c r="M277" s="462">
        <v>0</v>
      </c>
      <c r="N277" s="158">
        <f t="shared" si="50"/>
        <v>0</v>
      </c>
      <c r="O277" s="159"/>
      <c r="P277" s="157">
        <v>0</v>
      </c>
      <c r="Q277" s="462">
        <v>0</v>
      </c>
      <c r="R277" s="158">
        <f t="shared" si="51"/>
        <v>0</v>
      </c>
    </row>
    <row r="278" spans="2:18" x14ac:dyDescent="0.25">
      <c r="B278" s="252" t="s">
        <v>178</v>
      </c>
      <c r="C278" s="275"/>
      <c r="D278" s="157">
        <v>0</v>
      </c>
      <c r="E278" s="462">
        <v>0</v>
      </c>
      <c r="F278" s="158">
        <f t="shared" si="48"/>
        <v>0</v>
      </c>
      <c r="G278" s="159"/>
      <c r="H278" s="157">
        <v>0</v>
      </c>
      <c r="I278" s="462">
        <v>0</v>
      </c>
      <c r="J278" s="158">
        <f t="shared" si="49"/>
        <v>0</v>
      </c>
      <c r="K278" s="159"/>
      <c r="L278" s="157">
        <v>0</v>
      </c>
      <c r="M278" s="462">
        <v>0</v>
      </c>
      <c r="N278" s="158">
        <f t="shared" si="50"/>
        <v>0</v>
      </c>
      <c r="O278" s="159"/>
      <c r="P278" s="157">
        <v>0</v>
      </c>
      <c r="Q278" s="462">
        <v>0</v>
      </c>
      <c r="R278" s="158">
        <f t="shared" si="51"/>
        <v>0</v>
      </c>
    </row>
    <row r="279" spans="2:18" ht="15.75" thickBot="1" x14ac:dyDescent="0.3">
      <c r="B279" s="294" t="s">
        <v>178</v>
      </c>
      <c r="C279" s="295"/>
      <c r="D279" s="157">
        <v>0</v>
      </c>
      <c r="E279" s="462">
        <v>0</v>
      </c>
      <c r="F279" s="158">
        <f t="shared" si="48"/>
        <v>0</v>
      </c>
      <c r="G279" s="159"/>
      <c r="H279" s="157">
        <v>0</v>
      </c>
      <c r="I279" s="462">
        <v>0</v>
      </c>
      <c r="J279" s="158">
        <f t="shared" si="49"/>
        <v>0</v>
      </c>
      <c r="K279" s="159"/>
      <c r="L279" s="157">
        <v>0</v>
      </c>
      <c r="M279" s="462">
        <v>0</v>
      </c>
      <c r="N279" s="158">
        <f t="shared" si="50"/>
        <v>0</v>
      </c>
      <c r="O279" s="159"/>
      <c r="P279" s="157">
        <v>0</v>
      </c>
      <c r="Q279" s="462">
        <v>0</v>
      </c>
      <c r="R279" s="158">
        <f t="shared" si="51"/>
        <v>0</v>
      </c>
    </row>
    <row r="280" spans="2:18" ht="15.75" thickBot="1" x14ac:dyDescent="0.3">
      <c r="B280" s="298" t="s">
        <v>151</v>
      </c>
      <c r="C280" s="296"/>
      <c r="D280" s="257">
        <f>SUM(D265:D279)</f>
        <v>0</v>
      </c>
      <c r="E280" s="205"/>
      <c r="F280" s="164">
        <f>ROUND(SUM(F265:F279),0)</f>
        <v>0</v>
      </c>
      <c r="G280" s="165"/>
      <c r="H280" s="257">
        <f>SUM(H265:H279)</f>
        <v>0</v>
      </c>
      <c r="I280" s="205" t="s">
        <v>5</v>
      </c>
      <c r="J280" s="164">
        <f>ROUND(SUM(J265:J279),0)</f>
        <v>0</v>
      </c>
      <c r="K280" s="165"/>
      <c r="L280" s="257">
        <f>SUM(L265:L279)</f>
        <v>0</v>
      </c>
      <c r="M280" s="205"/>
      <c r="N280" s="164">
        <f>ROUND(SUM(N265:N279),0)</f>
        <v>0</v>
      </c>
      <c r="O280" s="165"/>
      <c r="P280" s="257">
        <f>SUM(P265:P279)</f>
        <v>0</v>
      </c>
      <c r="Q280" s="205"/>
      <c r="R280" s="164">
        <f>ROUND(SUM(R265:R279),0)</f>
        <v>0</v>
      </c>
    </row>
    <row r="281" spans="2:18" ht="15.75" thickBot="1" x14ac:dyDescent="0.3"/>
    <row r="282" spans="2:18" ht="16.5" thickBot="1" x14ac:dyDescent="0.3">
      <c r="B282" s="605" t="s">
        <v>569</v>
      </c>
      <c r="C282" s="606"/>
      <c r="D282" s="594" t="s">
        <v>134</v>
      </c>
      <c r="E282" s="595"/>
      <c r="F282" s="596"/>
      <c r="G282" s="151"/>
      <c r="H282" s="594" t="s">
        <v>134</v>
      </c>
      <c r="I282" s="595"/>
      <c r="J282" s="596"/>
      <c r="K282" s="151"/>
      <c r="L282" s="594" t="s">
        <v>134</v>
      </c>
      <c r="M282" s="595"/>
      <c r="N282" s="596"/>
      <c r="O282" s="151"/>
      <c r="P282" s="594" t="s">
        <v>134</v>
      </c>
      <c r="Q282" s="595"/>
      <c r="R282" s="596"/>
    </row>
    <row r="283" spans="2:18" ht="16.5" thickBot="1" x14ac:dyDescent="0.3">
      <c r="B283" s="607"/>
      <c r="C283" s="608"/>
      <c r="D283" s="591" t="str">
        <f>D10</f>
        <v>Basic Period (Year 1)</v>
      </c>
      <c r="E283" s="592"/>
      <c r="F283" s="593"/>
      <c r="G283" s="152"/>
      <c r="H283" s="591" t="str">
        <f>H10</f>
        <v>Basic Period (Year 2)</v>
      </c>
      <c r="I283" s="592"/>
      <c r="J283" s="593"/>
      <c r="K283" s="152"/>
      <c r="L283" s="591" t="str">
        <f>L10</f>
        <v>Basic Period (Year 3)</v>
      </c>
      <c r="M283" s="592"/>
      <c r="N283" s="593"/>
      <c r="O283" s="152"/>
      <c r="P283" s="591" t="str">
        <f>P10</f>
        <v>Basic Period (Year 4)</v>
      </c>
      <c r="Q283" s="592"/>
      <c r="R283" s="593"/>
    </row>
    <row r="284" spans="2:18" ht="16.5" thickBot="1" x14ac:dyDescent="0.3">
      <c r="B284" s="153" t="s">
        <v>110</v>
      </c>
      <c r="C284" s="153" t="s">
        <v>256</v>
      </c>
      <c r="D284" s="153" t="s">
        <v>91</v>
      </c>
      <c r="E284" s="154" t="s">
        <v>133</v>
      </c>
      <c r="F284" s="155" t="s">
        <v>139</v>
      </c>
      <c r="G284" s="156"/>
      <c r="H284" s="153" t="s">
        <v>91</v>
      </c>
      <c r="I284" s="154" t="s">
        <v>133</v>
      </c>
      <c r="J284" s="155" t="s">
        <v>139</v>
      </c>
      <c r="K284" s="156"/>
      <c r="L284" s="153" t="s">
        <v>91</v>
      </c>
      <c r="M284" s="154" t="s">
        <v>133</v>
      </c>
      <c r="N284" s="155" t="s">
        <v>139</v>
      </c>
      <c r="O284" s="156"/>
      <c r="P284" s="153" t="s">
        <v>91</v>
      </c>
      <c r="Q284" s="154" t="s">
        <v>133</v>
      </c>
      <c r="R284" s="155" t="s">
        <v>139</v>
      </c>
    </row>
    <row r="285" spans="2:18" ht="128.25" x14ac:dyDescent="0.25">
      <c r="B285" s="203" t="s">
        <v>601</v>
      </c>
      <c r="C285" s="203" t="s">
        <v>466</v>
      </c>
      <c r="D285" s="203" t="s">
        <v>565</v>
      </c>
      <c r="E285" s="203" t="s">
        <v>600</v>
      </c>
      <c r="F285" s="203"/>
      <c r="G285" s="156"/>
      <c r="H285" s="203" t="s">
        <v>565</v>
      </c>
      <c r="I285" s="203" t="s">
        <v>600</v>
      </c>
      <c r="J285" s="203"/>
      <c r="K285" s="156"/>
      <c r="L285" s="203" t="s">
        <v>565</v>
      </c>
      <c r="M285" s="203" t="s">
        <v>600</v>
      </c>
      <c r="N285" s="203"/>
      <c r="O285" s="156"/>
      <c r="P285" s="203" t="s">
        <v>565</v>
      </c>
      <c r="Q285" s="203" t="s">
        <v>600</v>
      </c>
      <c r="R285" s="489"/>
    </row>
    <row r="286" spans="2:18" x14ac:dyDescent="0.25">
      <c r="B286" s="252" t="s">
        <v>178</v>
      </c>
      <c r="C286" s="284" t="s">
        <v>228</v>
      </c>
      <c r="D286" s="157">
        <v>0</v>
      </c>
      <c r="E286" s="462">
        <v>0</v>
      </c>
      <c r="F286" s="158">
        <f>ROUND(D286*E286,0)</f>
        <v>0</v>
      </c>
      <c r="G286" s="159"/>
      <c r="H286" s="157">
        <v>0</v>
      </c>
      <c r="I286" s="462">
        <v>0</v>
      </c>
      <c r="J286" s="158">
        <f>ROUND(H286*I286,0)</f>
        <v>0</v>
      </c>
      <c r="K286" s="159"/>
      <c r="L286" s="157">
        <v>0</v>
      </c>
      <c r="M286" s="462">
        <v>0</v>
      </c>
      <c r="N286" s="158">
        <f>ROUND(L286*M286,0)</f>
        <v>0</v>
      </c>
      <c r="O286" s="159"/>
      <c r="P286" s="157">
        <v>0</v>
      </c>
      <c r="Q286" s="462">
        <v>0</v>
      </c>
      <c r="R286" s="158">
        <f>ROUND(P286*Q286,0)</f>
        <v>0</v>
      </c>
    </row>
    <row r="287" spans="2:18" x14ac:dyDescent="0.25">
      <c r="B287" s="252" t="s">
        <v>178</v>
      </c>
      <c r="C287" s="275" t="s">
        <v>5</v>
      </c>
      <c r="D287" s="157">
        <v>0</v>
      </c>
      <c r="E287" s="462">
        <v>0</v>
      </c>
      <c r="F287" s="158">
        <f t="shared" ref="F287:F300" si="52">ROUND(D287*E287,0)</f>
        <v>0</v>
      </c>
      <c r="G287" s="159"/>
      <c r="H287" s="157">
        <v>0</v>
      </c>
      <c r="I287" s="462">
        <v>0</v>
      </c>
      <c r="J287" s="158">
        <f t="shared" ref="J287:J300" si="53">ROUND(H287*I287,0)</f>
        <v>0</v>
      </c>
      <c r="K287" s="159"/>
      <c r="L287" s="157">
        <v>0</v>
      </c>
      <c r="M287" s="462">
        <v>0</v>
      </c>
      <c r="N287" s="158">
        <f t="shared" ref="N287:N300" si="54">ROUND(L287*M287,0)</f>
        <v>0</v>
      </c>
      <c r="O287" s="159"/>
      <c r="P287" s="157">
        <v>0</v>
      </c>
      <c r="Q287" s="462">
        <v>0</v>
      </c>
      <c r="R287" s="158">
        <f t="shared" ref="R287:R300" si="55">ROUND(P287*Q287,0)</f>
        <v>0</v>
      </c>
    </row>
    <row r="288" spans="2:18" x14ac:dyDescent="0.25">
      <c r="B288" s="252" t="s">
        <v>178</v>
      </c>
      <c r="C288" s="275"/>
      <c r="D288" s="157">
        <v>0</v>
      </c>
      <c r="E288" s="462">
        <v>0</v>
      </c>
      <c r="F288" s="158">
        <f t="shared" si="52"/>
        <v>0</v>
      </c>
      <c r="G288" s="159"/>
      <c r="H288" s="157">
        <v>0</v>
      </c>
      <c r="I288" s="462">
        <v>0</v>
      </c>
      <c r="J288" s="158">
        <f t="shared" si="53"/>
        <v>0</v>
      </c>
      <c r="K288" s="159"/>
      <c r="L288" s="157">
        <v>0</v>
      </c>
      <c r="M288" s="462">
        <v>0</v>
      </c>
      <c r="N288" s="158">
        <f t="shared" si="54"/>
        <v>0</v>
      </c>
      <c r="O288" s="159"/>
      <c r="P288" s="157">
        <v>0</v>
      </c>
      <c r="Q288" s="462">
        <v>0</v>
      </c>
      <c r="R288" s="158">
        <f t="shared" si="55"/>
        <v>0</v>
      </c>
    </row>
    <row r="289" spans="2:18" x14ac:dyDescent="0.25">
      <c r="B289" s="252" t="s">
        <v>178</v>
      </c>
      <c r="C289" s="275"/>
      <c r="D289" s="157">
        <v>0</v>
      </c>
      <c r="E289" s="462">
        <v>0</v>
      </c>
      <c r="F289" s="158">
        <f t="shared" si="52"/>
        <v>0</v>
      </c>
      <c r="G289" s="159"/>
      <c r="H289" s="157">
        <v>0</v>
      </c>
      <c r="I289" s="462">
        <v>0</v>
      </c>
      <c r="J289" s="158">
        <f t="shared" si="53"/>
        <v>0</v>
      </c>
      <c r="K289" s="159"/>
      <c r="L289" s="157">
        <v>0</v>
      </c>
      <c r="M289" s="462">
        <v>0</v>
      </c>
      <c r="N289" s="158">
        <f t="shared" si="54"/>
        <v>0</v>
      </c>
      <c r="O289" s="159"/>
      <c r="P289" s="157">
        <v>0</v>
      </c>
      <c r="Q289" s="462">
        <v>0</v>
      </c>
      <c r="R289" s="158">
        <f t="shared" si="55"/>
        <v>0</v>
      </c>
    </row>
    <row r="290" spans="2:18" x14ac:dyDescent="0.25">
      <c r="B290" s="252" t="s">
        <v>178</v>
      </c>
      <c r="C290" s="275"/>
      <c r="D290" s="157">
        <v>0</v>
      </c>
      <c r="E290" s="462">
        <v>0</v>
      </c>
      <c r="F290" s="158">
        <f t="shared" si="52"/>
        <v>0</v>
      </c>
      <c r="G290" s="159"/>
      <c r="H290" s="157">
        <v>0</v>
      </c>
      <c r="I290" s="462">
        <v>0</v>
      </c>
      <c r="J290" s="158">
        <f t="shared" si="53"/>
        <v>0</v>
      </c>
      <c r="K290" s="159"/>
      <c r="L290" s="157">
        <v>0</v>
      </c>
      <c r="M290" s="462">
        <v>0</v>
      </c>
      <c r="N290" s="158">
        <f t="shared" si="54"/>
        <v>0</v>
      </c>
      <c r="O290" s="159"/>
      <c r="P290" s="157">
        <v>0</v>
      </c>
      <c r="Q290" s="462">
        <v>0</v>
      </c>
      <c r="R290" s="158">
        <f t="shared" si="55"/>
        <v>0</v>
      </c>
    </row>
    <row r="291" spans="2:18" x14ac:dyDescent="0.25">
      <c r="B291" s="252" t="s">
        <v>178</v>
      </c>
      <c r="C291" s="284" t="s">
        <v>229</v>
      </c>
      <c r="D291" s="157">
        <v>0</v>
      </c>
      <c r="E291" s="462">
        <v>0</v>
      </c>
      <c r="F291" s="158">
        <f t="shared" si="52"/>
        <v>0</v>
      </c>
      <c r="G291" s="159"/>
      <c r="H291" s="157">
        <v>0</v>
      </c>
      <c r="I291" s="462">
        <v>0</v>
      </c>
      <c r="J291" s="158">
        <f t="shared" si="53"/>
        <v>0</v>
      </c>
      <c r="K291" s="159"/>
      <c r="L291" s="157">
        <v>0</v>
      </c>
      <c r="M291" s="462">
        <v>0</v>
      </c>
      <c r="N291" s="158">
        <f t="shared" si="54"/>
        <v>0</v>
      </c>
      <c r="O291" s="159"/>
      <c r="P291" s="157">
        <v>0</v>
      </c>
      <c r="Q291" s="462">
        <v>0</v>
      </c>
      <c r="R291" s="158">
        <f t="shared" si="55"/>
        <v>0</v>
      </c>
    </row>
    <row r="292" spans="2:18" x14ac:dyDescent="0.25">
      <c r="B292" s="252" t="s">
        <v>178</v>
      </c>
      <c r="C292" s="275"/>
      <c r="D292" s="157">
        <v>0</v>
      </c>
      <c r="E292" s="462">
        <v>0</v>
      </c>
      <c r="F292" s="158">
        <f t="shared" si="52"/>
        <v>0</v>
      </c>
      <c r="G292" s="159"/>
      <c r="H292" s="157">
        <v>0</v>
      </c>
      <c r="I292" s="462">
        <v>0</v>
      </c>
      <c r="J292" s="158">
        <f t="shared" si="53"/>
        <v>0</v>
      </c>
      <c r="K292" s="159"/>
      <c r="L292" s="157">
        <v>0</v>
      </c>
      <c r="M292" s="462">
        <v>0</v>
      </c>
      <c r="N292" s="158">
        <f t="shared" si="54"/>
        <v>0</v>
      </c>
      <c r="O292" s="159"/>
      <c r="P292" s="157">
        <v>0</v>
      </c>
      <c r="Q292" s="462">
        <v>0</v>
      </c>
      <c r="R292" s="158">
        <f t="shared" si="55"/>
        <v>0</v>
      </c>
    </row>
    <row r="293" spans="2:18" x14ac:dyDescent="0.25">
      <c r="B293" s="252" t="s">
        <v>178</v>
      </c>
      <c r="C293" s="275"/>
      <c r="D293" s="157">
        <v>0</v>
      </c>
      <c r="E293" s="462">
        <v>0</v>
      </c>
      <c r="F293" s="158">
        <f t="shared" si="52"/>
        <v>0</v>
      </c>
      <c r="G293" s="159"/>
      <c r="H293" s="157">
        <v>0</v>
      </c>
      <c r="I293" s="462">
        <v>0</v>
      </c>
      <c r="J293" s="158">
        <f t="shared" si="53"/>
        <v>0</v>
      </c>
      <c r="K293" s="159"/>
      <c r="L293" s="157">
        <v>0</v>
      </c>
      <c r="M293" s="462">
        <v>0</v>
      </c>
      <c r="N293" s="158">
        <f t="shared" si="54"/>
        <v>0</v>
      </c>
      <c r="O293" s="159"/>
      <c r="P293" s="157">
        <v>0</v>
      </c>
      <c r="Q293" s="462">
        <v>0</v>
      </c>
      <c r="R293" s="158">
        <f t="shared" si="55"/>
        <v>0</v>
      </c>
    </row>
    <row r="294" spans="2:18" x14ac:dyDescent="0.25">
      <c r="B294" s="252" t="s">
        <v>178</v>
      </c>
      <c r="C294" s="275"/>
      <c r="D294" s="157">
        <v>0</v>
      </c>
      <c r="E294" s="462">
        <v>0</v>
      </c>
      <c r="F294" s="158">
        <f t="shared" si="52"/>
        <v>0</v>
      </c>
      <c r="G294" s="159"/>
      <c r="H294" s="157">
        <v>0</v>
      </c>
      <c r="I294" s="462">
        <v>0</v>
      </c>
      <c r="J294" s="158">
        <f t="shared" si="53"/>
        <v>0</v>
      </c>
      <c r="K294" s="159"/>
      <c r="L294" s="157">
        <v>0</v>
      </c>
      <c r="M294" s="462">
        <v>0</v>
      </c>
      <c r="N294" s="158">
        <f t="shared" si="54"/>
        <v>0</v>
      </c>
      <c r="O294" s="159"/>
      <c r="P294" s="157">
        <v>0</v>
      </c>
      <c r="Q294" s="462">
        <v>0</v>
      </c>
      <c r="R294" s="158">
        <f t="shared" si="55"/>
        <v>0</v>
      </c>
    </row>
    <row r="295" spans="2:18" x14ac:dyDescent="0.25">
      <c r="B295" s="252" t="s">
        <v>178</v>
      </c>
      <c r="C295" s="275"/>
      <c r="D295" s="157">
        <v>0</v>
      </c>
      <c r="E295" s="462">
        <v>0</v>
      </c>
      <c r="F295" s="158">
        <f t="shared" si="52"/>
        <v>0</v>
      </c>
      <c r="G295" s="159"/>
      <c r="H295" s="157">
        <v>0</v>
      </c>
      <c r="I295" s="462">
        <v>0</v>
      </c>
      <c r="J295" s="158">
        <f t="shared" si="53"/>
        <v>0</v>
      </c>
      <c r="K295" s="159"/>
      <c r="L295" s="157">
        <v>0</v>
      </c>
      <c r="M295" s="462">
        <v>0</v>
      </c>
      <c r="N295" s="158">
        <f t="shared" si="54"/>
        <v>0</v>
      </c>
      <c r="O295" s="159"/>
      <c r="P295" s="157">
        <v>0</v>
      </c>
      <c r="Q295" s="462">
        <v>0</v>
      </c>
      <c r="R295" s="158">
        <f t="shared" si="55"/>
        <v>0</v>
      </c>
    </row>
    <row r="296" spans="2:18" x14ac:dyDescent="0.25">
      <c r="B296" s="252" t="s">
        <v>178</v>
      </c>
      <c r="C296" s="284" t="s">
        <v>230</v>
      </c>
      <c r="D296" s="157">
        <v>0</v>
      </c>
      <c r="E296" s="462">
        <v>0</v>
      </c>
      <c r="F296" s="158">
        <f t="shared" si="52"/>
        <v>0</v>
      </c>
      <c r="G296" s="159"/>
      <c r="H296" s="157">
        <v>0</v>
      </c>
      <c r="I296" s="462">
        <v>0</v>
      </c>
      <c r="J296" s="158">
        <f t="shared" si="53"/>
        <v>0</v>
      </c>
      <c r="K296" s="159"/>
      <c r="L296" s="157">
        <v>0</v>
      </c>
      <c r="M296" s="462">
        <v>0</v>
      </c>
      <c r="N296" s="158">
        <f t="shared" si="54"/>
        <v>0</v>
      </c>
      <c r="O296" s="159"/>
      <c r="P296" s="157">
        <v>0</v>
      </c>
      <c r="Q296" s="462">
        <v>0</v>
      </c>
      <c r="R296" s="158">
        <f t="shared" si="55"/>
        <v>0</v>
      </c>
    </row>
    <row r="297" spans="2:18" x14ac:dyDescent="0.25">
      <c r="B297" s="252" t="s">
        <v>178</v>
      </c>
      <c r="C297" s="275"/>
      <c r="D297" s="157">
        <v>0</v>
      </c>
      <c r="E297" s="462">
        <v>0</v>
      </c>
      <c r="F297" s="158">
        <f t="shared" si="52"/>
        <v>0</v>
      </c>
      <c r="G297" s="159"/>
      <c r="H297" s="157">
        <v>0</v>
      </c>
      <c r="I297" s="462">
        <v>0</v>
      </c>
      <c r="J297" s="158">
        <f t="shared" si="53"/>
        <v>0</v>
      </c>
      <c r="K297" s="159"/>
      <c r="L297" s="157">
        <v>0</v>
      </c>
      <c r="M297" s="462">
        <v>0</v>
      </c>
      <c r="N297" s="158">
        <f t="shared" si="54"/>
        <v>0</v>
      </c>
      <c r="O297" s="159"/>
      <c r="P297" s="157">
        <v>0</v>
      </c>
      <c r="Q297" s="462">
        <v>0</v>
      </c>
      <c r="R297" s="158">
        <f t="shared" si="55"/>
        <v>0</v>
      </c>
    </row>
    <row r="298" spans="2:18" x14ac:dyDescent="0.25">
      <c r="B298" s="252" t="s">
        <v>178</v>
      </c>
      <c r="C298" s="275"/>
      <c r="D298" s="157">
        <v>0</v>
      </c>
      <c r="E298" s="462">
        <v>0</v>
      </c>
      <c r="F298" s="158">
        <f t="shared" si="52"/>
        <v>0</v>
      </c>
      <c r="G298" s="159"/>
      <c r="H298" s="157">
        <v>0</v>
      </c>
      <c r="I298" s="462">
        <v>0</v>
      </c>
      <c r="J298" s="158">
        <f t="shared" si="53"/>
        <v>0</v>
      </c>
      <c r="K298" s="159"/>
      <c r="L298" s="157">
        <v>0</v>
      </c>
      <c r="M298" s="462">
        <v>0</v>
      </c>
      <c r="N298" s="158">
        <f t="shared" si="54"/>
        <v>0</v>
      </c>
      <c r="O298" s="159"/>
      <c r="P298" s="157">
        <v>0</v>
      </c>
      <c r="Q298" s="462">
        <v>0</v>
      </c>
      <c r="R298" s="158">
        <f t="shared" si="55"/>
        <v>0</v>
      </c>
    </row>
    <row r="299" spans="2:18" x14ac:dyDescent="0.25">
      <c r="B299" s="252" t="s">
        <v>178</v>
      </c>
      <c r="C299" s="275"/>
      <c r="D299" s="157">
        <v>0</v>
      </c>
      <c r="E299" s="462">
        <v>0</v>
      </c>
      <c r="F299" s="158">
        <f t="shared" si="52"/>
        <v>0</v>
      </c>
      <c r="G299" s="159"/>
      <c r="H299" s="157">
        <v>0</v>
      </c>
      <c r="I299" s="462">
        <v>0</v>
      </c>
      <c r="J299" s="158">
        <f t="shared" si="53"/>
        <v>0</v>
      </c>
      <c r="K299" s="159"/>
      <c r="L299" s="157">
        <v>0</v>
      </c>
      <c r="M299" s="462">
        <v>0</v>
      </c>
      <c r="N299" s="158">
        <f t="shared" si="54"/>
        <v>0</v>
      </c>
      <c r="O299" s="159"/>
      <c r="P299" s="157">
        <v>0</v>
      </c>
      <c r="Q299" s="462">
        <v>0</v>
      </c>
      <c r="R299" s="158">
        <f t="shared" si="55"/>
        <v>0</v>
      </c>
    </row>
    <row r="300" spans="2:18" ht="15.75" thickBot="1" x14ac:dyDescent="0.3">
      <c r="B300" s="294" t="s">
        <v>178</v>
      </c>
      <c r="C300" s="295"/>
      <c r="D300" s="157">
        <v>0</v>
      </c>
      <c r="E300" s="462">
        <v>0</v>
      </c>
      <c r="F300" s="158">
        <f t="shared" si="52"/>
        <v>0</v>
      </c>
      <c r="G300" s="159"/>
      <c r="H300" s="157">
        <v>0</v>
      </c>
      <c r="I300" s="462">
        <v>0</v>
      </c>
      <c r="J300" s="158">
        <f t="shared" si="53"/>
        <v>0</v>
      </c>
      <c r="K300" s="159"/>
      <c r="L300" s="157">
        <v>0</v>
      </c>
      <c r="M300" s="462">
        <v>0</v>
      </c>
      <c r="N300" s="158">
        <f t="shared" si="54"/>
        <v>0</v>
      </c>
      <c r="O300" s="159"/>
      <c r="P300" s="157">
        <v>0</v>
      </c>
      <c r="Q300" s="462">
        <v>0</v>
      </c>
      <c r="R300" s="158">
        <f t="shared" si="55"/>
        <v>0</v>
      </c>
    </row>
    <row r="301" spans="2:18" ht="15.75" thickBot="1" x14ac:dyDescent="0.3">
      <c r="B301" s="298" t="s">
        <v>151</v>
      </c>
      <c r="C301" s="296"/>
      <c r="D301" s="257">
        <f>SUM(D286:D300)</f>
        <v>0</v>
      </c>
      <c r="E301" s="205"/>
      <c r="F301" s="164">
        <f>ROUND(SUM(F286:F300),0)</f>
        <v>0</v>
      </c>
      <c r="G301" s="165"/>
      <c r="H301" s="257">
        <f>SUM(H286:H300)</f>
        <v>0</v>
      </c>
      <c r="I301" s="205" t="s">
        <v>5</v>
      </c>
      <c r="J301" s="164">
        <f>ROUND(SUM(J286:J300),0)</f>
        <v>0</v>
      </c>
      <c r="K301" s="165"/>
      <c r="L301" s="257">
        <f>SUM(L286:L300)</f>
        <v>0</v>
      </c>
      <c r="M301" s="205"/>
      <c r="N301" s="164">
        <f>ROUND(SUM(N286:N300),0)</f>
        <v>0</v>
      </c>
      <c r="O301" s="165"/>
      <c r="P301" s="257">
        <f>SUM(P286:P300)</f>
        <v>0</v>
      </c>
      <c r="Q301" s="205"/>
      <c r="R301" s="164">
        <f>ROUND(SUM(R286:R300),0)</f>
        <v>0</v>
      </c>
    </row>
    <row r="302" spans="2:18" ht="15.75" thickBot="1" x14ac:dyDescent="0.3"/>
    <row r="303" spans="2:18" ht="16.5" thickBot="1" x14ac:dyDescent="0.3">
      <c r="B303" s="609" t="s">
        <v>570</v>
      </c>
      <c r="C303" s="610"/>
      <c r="D303" s="594" t="s">
        <v>134</v>
      </c>
      <c r="E303" s="595"/>
      <c r="F303" s="596"/>
      <c r="G303" s="151"/>
      <c r="H303" s="594" t="s">
        <v>134</v>
      </c>
      <c r="I303" s="595"/>
      <c r="J303" s="596"/>
      <c r="K303" s="151"/>
      <c r="L303" s="594" t="s">
        <v>134</v>
      </c>
      <c r="M303" s="595"/>
      <c r="N303" s="596"/>
      <c r="O303" s="151"/>
      <c r="P303" s="594" t="s">
        <v>134</v>
      </c>
      <c r="Q303" s="595"/>
      <c r="R303" s="596"/>
    </row>
    <row r="304" spans="2:18" ht="16.5" thickBot="1" x14ac:dyDescent="0.3">
      <c r="B304" s="611"/>
      <c r="C304" s="612"/>
      <c r="D304" s="591" t="str">
        <f>D10</f>
        <v>Basic Period (Year 1)</v>
      </c>
      <c r="E304" s="592"/>
      <c r="F304" s="593"/>
      <c r="G304" s="152"/>
      <c r="H304" s="591" t="str">
        <f>H10</f>
        <v>Basic Period (Year 2)</v>
      </c>
      <c r="I304" s="592"/>
      <c r="J304" s="593"/>
      <c r="K304" s="152"/>
      <c r="L304" s="591" t="str">
        <f>L10</f>
        <v>Basic Period (Year 3)</v>
      </c>
      <c r="M304" s="592"/>
      <c r="N304" s="593"/>
      <c r="O304" s="152"/>
      <c r="P304" s="591" t="str">
        <f>P10</f>
        <v>Basic Period (Year 4)</v>
      </c>
      <c r="Q304" s="592"/>
      <c r="R304" s="593"/>
    </row>
    <row r="305" spans="2:18" ht="16.5" thickBot="1" x14ac:dyDescent="0.3">
      <c r="B305" s="153" t="s">
        <v>110</v>
      </c>
      <c r="C305" s="153" t="s">
        <v>256</v>
      </c>
      <c r="D305" s="153" t="s">
        <v>91</v>
      </c>
      <c r="E305" s="154" t="s">
        <v>133</v>
      </c>
      <c r="F305" s="155" t="s">
        <v>139</v>
      </c>
      <c r="G305" s="156"/>
      <c r="H305" s="153" t="s">
        <v>91</v>
      </c>
      <c r="I305" s="154" t="s">
        <v>133</v>
      </c>
      <c r="J305" s="155" t="s">
        <v>139</v>
      </c>
      <c r="K305" s="156"/>
      <c r="L305" s="153" t="s">
        <v>91</v>
      </c>
      <c r="M305" s="154" t="s">
        <v>133</v>
      </c>
      <c r="N305" s="155" t="s">
        <v>139</v>
      </c>
      <c r="O305" s="156"/>
      <c r="P305" s="153" t="s">
        <v>91</v>
      </c>
      <c r="Q305" s="154" t="s">
        <v>133</v>
      </c>
      <c r="R305" s="155" t="s">
        <v>139</v>
      </c>
    </row>
    <row r="306" spans="2:18" ht="128.25" x14ac:dyDescent="0.25">
      <c r="B306" s="203" t="s">
        <v>601</v>
      </c>
      <c r="C306" s="203" t="s">
        <v>466</v>
      </c>
      <c r="D306" s="203" t="s">
        <v>565</v>
      </c>
      <c r="E306" s="203" t="s">
        <v>600</v>
      </c>
      <c r="F306" s="203"/>
      <c r="G306" s="156"/>
      <c r="H306" s="203" t="s">
        <v>565</v>
      </c>
      <c r="I306" s="203" t="s">
        <v>600</v>
      </c>
      <c r="J306" s="203"/>
      <c r="K306" s="156"/>
      <c r="L306" s="203" t="s">
        <v>565</v>
      </c>
      <c r="M306" s="203" t="s">
        <v>600</v>
      </c>
      <c r="N306" s="203"/>
      <c r="O306" s="156"/>
      <c r="P306" s="203" t="s">
        <v>565</v>
      </c>
      <c r="Q306" s="203" t="s">
        <v>600</v>
      </c>
      <c r="R306" s="489"/>
    </row>
    <row r="307" spans="2:18" x14ac:dyDescent="0.25">
      <c r="B307" s="252" t="s">
        <v>178</v>
      </c>
      <c r="C307" s="284" t="s">
        <v>231</v>
      </c>
      <c r="D307" s="157">
        <v>0</v>
      </c>
      <c r="E307" s="462">
        <v>0</v>
      </c>
      <c r="F307" s="158">
        <f>ROUND(D307*E307,0)</f>
        <v>0</v>
      </c>
      <c r="G307" s="159"/>
      <c r="H307" s="157">
        <v>0</v>
      </c>
      <c r="I307" s="462">
        <v>0</v>
      </c>
      <c r="J307" s="158">
        <f>ROUND(H307*I307,0)</f>
        <v>0</v>
      </c>
      <c r="K307" s="159"/>
      <c r="L307" s="157">
        <v>0</v>
      </c>
      <c r="M307" s="462">
        <v>0</v>
      </c>
      <c r="N307" s="158">
        <f>ROUND(L307*M307,0)</f>
        <v>0</v>
      </c>
      <c r="O307" s="159"/>
      <c r="P307" s="157">
        <v>0</v>
      </c>
      <c r="Q307" s="462">
        <v>0</v>
      </c>
      <c r="R307" s="158">
        <f>ROUND(P307*Q307,0)</f>
        <v>0</v>
      </c>
    </row>
    <row r="308" spans="2:18" x14ac:dyDescent="0.25">
      <c r="B308" s="252" t="s">
        <v>178</v>
      </c>
      <c r="C308" s="275" t="s">
        <v>5</v>
      </c>
      <c r="D308" s="157">
        <v>0</v>
      </c>
      <c r="E308" s="462">
        <v>0</v>
      </c>
      <c r="F308" s="158">
        <f t="shared" ref="F308:F321" si="56">ROUND(D308*E308,0)</f>
        <v>0</v>
      </c>
      <c r="G308" s="159"/>
      <c r="H308" s="157">
        <v>0</v>
      </c>
      <c r="I308" s="462">
        <v>0</v>
      </c>
      <c r="J308" s="158">
        <f t="shared" ref="J308:J321" si="57">ROUND(H308*I308,0)</f>
        <v>0</v>
      </c>
      <c r="K308" s="159"/>
      <c r="L308" s="157">
        <v>0</v>
      </c>
      <c r="M308" s="462">
        <v>0</v>
      </c>
      <c r="N308" s="158">
        <f t="shared" ref="N308:N321" si="58">ROUND(L308*M308,0)</f>
        <v>0</v>
      </c>
      <c r="O308" s="159"/>
      <c r="P308" s="157">
        <v>0</v>
      </c>
      <c r="Q308" s="462">
        <v>0</v>
      </c>
      <c r="R308" s="158">
        <f t="shared" ref="R308:R321" si="59">ROUND(P308*Q308,0)</f>
        <v>0</v>
      </c>
    </row>
    <row r="309" spans="2:18" x14ac:dyDescent="0.25">
      <c r="B309" s="252" t="s">
        <v>178</v>
      </c>
      <c r="C309" s="275"/>
      <c r="D309" s="157">
        <v>0</v>
      </c>
      <c r="E309" s="462">
        <v>0</v>
      </c>
      <c r="F309" s="158">
        <f t="shared" si="56"/>
        <v>0</v>
      </c>
      <c r="G309" s="159"/>
      <c r="H309" s="157">
        <v>0</v>
      </c>
      <c r="I309" s="462">
        <v>0</v>
      </c>
      <c r="J309" s="158">
        <f t="shared" si="57"/>
        <v>0</v>
      </c>
      <c r="K309" s="159"/>
      <c r="L309" s="157">
        <v>0</v>
      </c>
      <c r="M309" s="462">
        <v>0</v>
      </c>
      <c r="N309" s="158">
        <f t="shared" si="58"/>
        <v>0</v>
      </c>
      <c r="O309" s="159"/>
      <c r="P309" s="157">
        <v>0</v>
      </c>
      <c r="Q309" s="462">
        <v>0</v>
      </c>
      <c r="R309" s="158">
        <f t="shared" si="59"/>
        <v>0</v>
      </c>
    </row>
    <row r="310" spans="2:18" x14ac:dyDescent="0.25">
      <c r="B310" s="252" t="s">
        <v>178</v>
      </c>
      <c r="C310" s="275"/>
      <c r="D310" s="157">
        <v>0</v>
      </c>
      <c r="E310" s="462">
        <v>0</v>
      </c>
      <c r="F310" s="158">
        <f t="shared" si="56"/>
        <v>0</v>
      </c>
      <c r="G310" s="159"/>
      <c r="H310" s="157">
        <v>0</v>
      </c>
      <c r="I310" s="462">
        <v>0</v>
      </c>
      <c r="J310" s="158">
        <f t="shared" si="57"/>
        <v>0</v>
      </c>
      <c r="K310" s="159"/>
      <c r="L310" s="157">
        <v>0</v>
      </c>
      <c r="M310" s="462">
        <v>0</v>
      </c>
      <c r="N310" s="158">
        <f t="shared" si="58"/>
        <v>0</v>
      </c>
      <c r="O310" s="159"/>
      <c r="P310" s="157">
        <v>0</v>
      </c>
      <c r="Q310" s="462">
        <v>0</v>
      </c>
      <c r="R310" s="158">
        <f t="shared" si="59"/>
        <v>0</v>
      </c>
    </row>
    <row r="311" spans="2:18" x14ac:dyDescent="0.25">
      <c r="B311" s="252" t="s">
        <v>178</v>
      </c>
      <c r="C311" s="275"/>
      <c r="D311" s="157">
        <v>0</v>
      </c>
      <c r="E311" s="462">
        <v>0</v>
      </c>
      <c r="F311" s="158">
        <f t="shared" si="56"/>
        <v>0</v>
      </c>
      <c r="G311" s="159"/>
      <c r="H311" s="157">
        <v>0</v>
      </c>
      <c r="I311" s="462">
        <v>0</v>
      </c>
      <c r="J311" s="158">
        <f t="shared" si="57"/>
        <v>0</v>
      </c>
      <c r="K311" s="159"/>
      <c r="L311" s="157">
        <v>0</v>
      </c>
      <c r="M311" s="462">
        <v>0</v>
      </c>
      <c r="N311" s="158">
        <f t="shared" si="58"/>
        <v>0</v>
      </c>
      <c r="O311" s="159"/>
      <c r="P311" s="157">
        <v>0</v>
      </c>
      <c r="Q311" s="462">
        <v>0</v>
      </c>
      <c r="R311" s="158">
        <f t="shared" si="59"/>
        <v>0</v>
      </c>
    </row>
    <row r="312" spans="2:18" x14ac:dyDescent="0.25">
      <c r="B312" s="252" t="s">
        <v>178</v>
      </c>
      <c r="C312" s="284" t="s">
        <v>232</v>
      </c>
      <c r="D312" s="157">
        <v>0</v>
      </c>
      <c r="E312" s="462">
        <v>0</v>
      </c>
      <c r="F312" s="158">
        <f t="shared" si="56"/>
        <v>0</v>
      </c>
      <c r="G312" s="159"/>
      <c r="H312" s="157">
        <v>0</v>
      </c>
      <c r="I312" s="462">
        <v>0</v>
      </c>
      <c r="J312" s="158">
        <f t="shared" si="57"/>
        <v>0</v>
      </c>
      <c r="K312" s="159"/>
      <c r="L312" s="157">
        <v>0</v>
      </c>
      <c r="M312" s="462">
        <v>0</v>
      </c>
      <c r="N312" s="158">
        <f t="shared" si="58"/>
        <v>0</v>
      </c>
      <c r="O312" s="159"/>
      <c r="P312" s="157">
        <v>0</v>
      </c>
      <c r="Q312" s="462">
        <v>0</v>
      </c>
      <c r="R312" s="158">
        <f t="shared" si="59"/>
        <v>0</v>
      </c>
    </row>
    <row r="313" spans="2:18" x14ac:dyDescent="0.25">
      <c r="B313" s="252" t="s">
        <v>178</v>
      </c>
      <c r="C313" s="275"/>
      <c r="D313" s="157">
        <v>0</v>
      </c>
      <c r="E313" s="462">
        <v>0</v>
      </c>
      <c r="F313" s="158">
        <f t="shared" si="56"/>
        <v>0</v>
      </c>
      <c r="G313" s="159"/>
      <c r="H313" s="157">
        <v>0</v>
      </c>
      <c r="I313" s="462">
        <v>0</v>
      </c>
      <c r="J313" s="158">
        <f t="shared" si="57"/>
        <v>0</v>
      </c>
      <c r="K313" s="159"/>
      <c r="L313" s="157">
        <v>0</v>
      </c>
      <c r="M313" s="462">
        <v>0</v>
      </c>
      <c r="N313" s="158">
        <f t="shared" si="58"/>
        <v>0</v>
      </c>
      <c r="O313" s="159"/>
      <c r="P313" s="157">
        <v>0</v>
      </c>
      <c r="Q313" s="462">
        <v>0</v>
      </c>
      <c r="R313" s="158">
        <f t="shared" si="59"/>
        <v>0</v>
      </c>
    </row>
    <row r="314" spans="2:18" x14ac:dyDescent="0.25">
      <c r="B314" s="252" t="s">
        <v>178</v>
      </c>
      <c r="C314" s="275"/>
      <c r="D314" s="157">
        <v>0</v>
      </c>
      <c r="E314" s="462">
        <v>0</v>
      </c>
      <c r="F314" s="158">
        <f t="shared" si="56"/>
        <v>0</v>
      </c>
      <c r="G314" s="159"/>
      <c r="H314" s="157">
        <v>0</v>
      </c>
      <c r="I314" s="462">
        <v>0</v>
      </c>
      <c r="J314" s="158">
        <f t="shared" si="57"/>
        <v>0</v>
      </c>
      <c r="K314" s="159"/>
      <c r="L314" s="157">
        <v>0</v>
      </c>
      <c r="M314" s="462">
        <v>0</v>
      </c>
      <c r="N314" s="158">
        <f t="shared" si="58"/>
        <v>0</v>
      </c>
      <c r="O314" s="159"/>
      <c r="P314" s="157">
        <v>0</v>
      </c>
      <c r="Q314" s="462">
        <v>0</v>
      </c>
      <c r="R314" s="158">
        <f t="shared" si="59"/>
        <v>0</v>
      </c>
    </row>
    <row r="315" spans="2:18" x14ac:dyDescent="0.25">
      <c r="B315" s="252" t="s">
        <v>178</v>
      </c>
      <c r="C315" s="275"/>
      <c r="D315" s="157">
        <v>0</v>
      </c>
      <c r="E315" s="462">
        <v>0</v>
      </c>
      <c r="F315" s="158">
        <f t="shared" si="56"/>
        <v>0</v>
      </c>
      <c r="G315" s="159"/>
      <c r="H315" s="157">
        <v>0</v>
      </c>
      <c r="I315" s="462">
        <v>0</v>
      </c>
      <c r="J315" s="158">
        <f t="shared" si="57"/>
        <v>0</v>
      </c>
      <c r="K315" s="159"/>
      <c r="L315" s="157">
        <v>0</v>
      </c>
      <c r="M315" s="462">
        <v>0</v>
      </c>
      <c r="N315" s="158">
        <f t="shared" si="58"/>
        <v>0</v>
      </c>
      <c r="O315" s="159"/>
      <c r="P315" s="157">
        <v>0</v>
      </c>
      <c r="Q315" s="462">
        <v>0</v>
      </c>
      <c r="R315" s="158">
        <f t="shared" si="59"/>
        <v>0</v>
      </c>
    </row>
    <row r="316" spans="2:18" x14ac:dyDescent="0.25">
      <c r="B316" s="252" t="s">
        <v>178</v>
      </c>
      <c r="C316" s="275"/>
      <c r="D316" s="157">
        <v>0</v>
      </c>
      <c r="E316" s="462">
        <v>0</v>
      </c>
      <c r="F316" s="158">
        <f t="shared" si="56"/>
        <v>0</v>
      </c>
      <c r="G316" s="159"/>
      <c r="H316" s="157">
        <v>0</v>
      </c>
      <c r="I316" s="462">
        <v>0</v>
      </c>
      <c r="J316" s="158">
        <f t="shared" si="57"/>
        <v>0</v>
      </c>
      <c r="K316" s="159"/>
      <c r="L316" s="157">
        <v>0</v>
      </c>
      <c r="M316" s="462">
        <v>0</v>
      </c>
      <c r="N316" s="158">
        <f t="shared" si="58"/>
        <v>0</v>
      </c>
      <c r="O316" s="159"/>
      <c r="P316" s="157">
        <v>0</v>
      </c>
      <c r="Q316" s="462">
        <v>0</v>
      </c>
      <c r="R316" s="158">
        <f t="shared" si="59"/>
        <v>0</v>
      </c>
    </row>
    <row r="317" spans="2:18" x14ac:dyDescent="0.25">
      <c r="B317" s="252" t="s">
        <v>178</v>
      </c>
      <c r="C317" s="284" t="s">
        <v>233</v>
      </c>
      <c r="D317" s="157">
        <v>0</v>
      </c>
      <c r="E317" s="462">
        <v>0</v>
      </c>
      <c r="F317" s="158">
        <f t="shared" si="56"/>
        <v>0</v>
      </c>
      <c r="G317" s="159"/>
      <c r="H317" s="157">
        <v>0</v>
      </c>
      <c r="I317" s="462">
        <v>0</v>
      </c>
      <c r="J317" s="158">
        <f t="shared" si="57"/>
        <v>0</v>
      </c>
      <c r="K317" s="159"/>
      <c r="L317" s="157">
        <v>0</v>
      </c>
      <c r="M317" s="462">
        <v>0</v>
      </c>
      <c r="N317" s="158">
        <f t="shared" si="58"/>
        <v>0</v>
      </c>
      <c r="O317" s="159"/>
      <c r="P317" s="157">
        <v>0</v>
      </c>
      <c r="Q317" s="462">
        <v>0</v>
      </c>
      <c r="R317" s="158">
        <f t="shared" si="59"/>
        <v>0</v>
      </c>
    </row>
    <row r="318" spans="2:18" x14ac:dyDescent="0.25">
      <c r="B318" s="252" t="s">
        <v>178</v>
      </c>
      <c r="C318" s="275"/>
      <c r="D318" s="157">
        <v>0</v>
      </c>
      <c r="E318" s="462">
        <v>0</v>
      </c>
      <c r="F318" s="158">
        <f t="shared" si="56"/>
        <v>0</v>
      </c>
      <c r="G318" s="159"/>
      <c r="H318" s="157">
        <v>0</v>
      </c>
      <c r="I318" s="462">
        <v>0</v>
      </c>
      <c r="J318" s="158">
        <f t="shared" si="57"/>
        <v>0</v>
      </c>
      <c r="K318" s="159"/>
      <c r="L318" s="157">
        <v>0</v>
      </c>
      <c r="M318" s="462">
        <v>0</v>
      </c>
      <c r="N318" s="158">
        <f t="shared" si="58"/>
        <v>0</v>
      </c>
      <c r="O318" s="159"/>
      <c r="P318" s="157">
        <v>0</v>
      </c>
      <c r="Q318" s="462">
        <v>0</v>
      </c>
      <c r="R318" s="158">
        <f t="shared" si="59"/>
        <v>0</v>
      </c>
    </row>
    <row r="319" spans="2:18" x14ac:dyDescent="0.25">
      <c r="B319" s="252" t="s">
        <v>178</v>
      </c>
      <c r="C319" s="275"/>
      <c r="D319" s="157">
        <v>0</v>
      </c>
      <c r="E319" s="462">
        <v>0</v>
      </c>
      <c r="F319" s="158">
        <f t="shared" si="56"/>
        <v>0</v>
      </c>
      <c r="G319" s="159"/>
      <c r="H319" s="157">
        <v>0</v>
      </c>
      <c r="I319" s="462">
        <v>0</v>
      </c>
      <c r="J319" s="158">
        <f t="shared" si="57"/>
        <v>0</v>
      </c>
      <c r="K319" s="159"/>
      <c r="L319" s="157">
        <v>0</v>
      </c>
      <c r="M319" s="462">
        <v>0</v>
      </c>
      <c r="N319" s="158">
        <f t="shared" si="58"/>
        <v>0</v>
      </c>
      <c r="O319" s="159"/>
      <c r="P319" s="157">
        <v>0</v>
      </c>
      <c r="Q319" s="462">
        <v>0</v>
      </c>
      <c r="R319" s="158">
        <f t="shared" si="59"/>
        <v>0</v>
      </c>
    </row>
    <row r="320" spans="2:18" x14ac:dyDescent="0.25">
      <c r="B320" s="252" t="s">
        <v>178</v>
      </c>
      <c r="C320" s="275"/>
      <c r="D320" s="157">
        <v>0</v>
      </c>
      <c r="E320" s="462">
        <v>0</v>
      </c>
      <c r="F320" s="158">
        <f t="shared" si="56"/>
        <v>0</v>
      </c>
      <c r="G320" s="159"/>
      <c r="H320" s="157">
        <v>0</v>
      </c>
      <c r="I320" s="462">
        <v>0</v>
      </c>
      <c r="J320" s="158">
        <f t="shared" si="57"/>
        <v>0</v>
      </c>
      <c r="K320" s="159"/>
      <c r="L320" s="157">
        <v>0</v>
      </c>
      <c r="M320" s="462">
        <v>0</v>
      </c>
      <c r="N320" s="158">
        <f t="shared" si="58"/>
        <v>0</v>
      </c>
      <c r="O320" s="159"/>
      <c r="P320" s="157">
        <v>0</v>
      </c>
      <c r="Q320" s="462">
        <v>0</v>
      </c>
      <c r="R320" s="158">
        <f t="shared" si="59"/>
        <v>0</v>
      </c>
    </row>
    <row r="321" spans="2:18" ht="15.75" thickBot="1" x14ac:dyDescent="0.3">
      <c r="B321" s="294" t="s">
        <v>178</v>
      </c>
      <c r="C321" s="295"/>
      <c r="D321" s="157">
        <v>0</v>
      </c>
      <c r="E321" s="462">
        <v>0</v>
      </c>
      <c r="F321" s="158">
        <f t="shared" si="56"/>
        <v>0</v>
      </c>
      <c r="G321" s="159"/>
      <c r="H321" s="157">
        <v>0</v>
      </c>
      <c r="I321" s="462">
        <v>0</v>
      </c>
      <c r="J321" s="158">
        <f t="shared" si="57"/>
        <v>0</v>
      </c>
      <c r="K321" s="159"/>
      <c r="L321" s="157">
        <v>0</v>
      </c>
      <c r="M321" s="462">
        <v>0</v>
      </c>
      <c r="N321" s="158">
        <f t="shared" si="58"/>
        <v>0</v>
      </c>
      <c r="O321" s="159"/>
      <c r="P321" s="157">
        <v>0</v>
      </c>
      <c r="Q321" s="462">
        <v>0</v>
      </c>
      <c r="R321" s="158">
        <f t="shared" si="59"/>
        <v>0</v>
      </c>
    </row>
    <row r="322" spans="2:18" ht="15.75" thickBot="1" x14ac:dyDescent="0.3">
      <c r="B322" s="298" t="s">
        <v>151</v>
      </c>
      <c r="C322" s="296"/>
      <c r="D322" s="257">
        <f>SUM(D307:D321)</f>
        <v>0</v>
      </c>
      <c r="E322" s="205"/>
      <c r="F322" s="164">
        <f>ROUND(SUM(F307:F321),0)</f>
        <v>0</v>
      </c>
      <c r="G322" s="165"/>
      <c r="H322" s="257">
        <f>SUM(H307:H321)</f>
        <v>0</v>
      </c>
      <c r="I322" s="205" t="s">
        <v>5</v>
      </c>
      <c r="J322" s="164">
        <f>ROUND(SUM(J307:J321),0)</f>
        <v>0</v>
      </c>
      <c r="K322" s="165"/>
      <c r="L322" s="257">
        <f>SUM(L307:L321)</f>
        <v>0</v>
      </c>
      <c r="M322" s="205"/>
      <c r="N322" s="164">
        <f>ROUND(SUM(N307:N321),0)</f>
        <v>0</v>
      </c>
      <c r="O322" s="165"/>
      <c r="P322" s="257">
        <f>SUM(P307:P321)</f>
        <v>0</v>
      </c>
      <c r="Q322" s="205"/>
      <c r="R322" s="164">
        <f>ROUND(SUM(R307:R321),0)</f>
        <v>0</v>
      </c>
    </row>
    <row r="323" spans="2:18" ht="15.75" thickBot="1" x14ac:dyDescent="0.3">
      <c r="B323" s="63"/>
      <c r="C323" s="63"/>
      <c r="D323" s="63"/>
      <c r="E323" s="63"/>
      <c r="F323" s="63"/>
      <c r="G323" s="63"/>
      <c r="H323" s="63"/>
      <c r="I323" s="63"/>
      <c r="J323" s="63"/>
      <c r="K323" s="63"/>
      <c r="L323" s="63"/>
      <c r="M323" s="63"/>
      <c r="N323" s="63"/>
    </row>
    <row r="324" spans="2:18" ht="16.5" customHeight="1" thickBot="1" x14ac:dyDescent="0.3">
      <c r="B324" s="609" t="s">
        <v>571</v>
      </c>
      <c r="C324" s="610"/>
      <c r="D324" s="594" t="s">
        <v>134</v>
      </c>
      <c r="E324" s="595"/>
      <c r="F324" s="596"/>
      <c r="G324" s="151"/>
      <c r="H324" s="594" t="s">
        <v>134</v>
      </c>
      <c r="I324" s="595"/>
      <c r="J324" s="596"/>
      <c r="K324" s="151"/>
      <c r="L324" s="594" t="s">
        <v>134</v>
      </c>
      <c r="M324" s="595"/>
      <c r="N324" s="596"/>
      <c r="O324" s="151"/>
      <c r="P324" s="594" t="s">
        <v>134</v>
      </c>
      <c r="Q324" s="595"/>
      <c r="R324" s="596"/>
    </row>
    <row r="325" spans="2:18" ht="16.5" thickBot="1" x14ac:dyDescent="0.3">
      <c r="B325" s="611"/>
      <c r="C325" s="612"/>
      <c r="D325" s="591" t="str">
        <f>D10</f>
        <v>Basic Period (Year 1)</v>
      </c>
      <c r="E325" s="592"/>
      <c r="F325" s="593"/>
      <c r="G325" s="152"/>
      <c r="H325" s="591" t="str">
        <f>H10</f>
        <v>Basic Period (Year 2)</v>
      </c>
      <c r="I325" s="592"/>
      <c r="J325" s="593"/>
      <c r="K325" s="152"/>
      <c r="L325" s="591" t="str">
        <f>L10</f>
        <v>Basic Period (Year 3)</v>
      </c>
      <c r="M325" s="592"/>
      <c r="N325" s="593"/>
      <c r="O325" s="152"/>
      <c r="P325" s="591" t="str">
        <f>P10</f>
        <v>Basic Period (Year 4)</v>
      </c>
      <c r="Q325" s="592"/>
      <c r="R325" s="593"/>
    </row>
    <row r="326" spans="2:18" ht="16.5" thickBot="1" x14ac:dyDescent="0.3">
      <c r="B326" s="153" t="s">
        <v>110</v>
      </c>
      <c r="C326" s="153" t="s">
        <v>256</v>
      </c>
      <c r="D326" s="153" t="s">
        <v>91</v>
      </c>
      <c r="E326" s="154" t="s">
        <v>133</v>
      </c>
      <c r="F326" s="155" t="s">
        <v>139</v>
      </c>
      <c r="G326" s="156"/>
      <c r="H326" s="153" t="s">
        <v>91</v>
      </c>
      <c r="I326" s="154" t="s">
        <v>133</v>
      </c>
      <c r="J326" s="155" t="s">
        <v>139</v>
      </c>
      <c r="K326" s="156"/>
      <c r="L326" s="153" t="s">
        <v>91</v>
      </c>
      <c r="M326" s="154" t="s">
        <v>133</v>
      </c>
      <c r="N326" s="155" t="s">
        <v>139</v>
      </c>
      <c r="O326" s="156"/>
      <c r="P326" s="153" t="s">
        <v>91</v>
      </c>
      <c r="Q326" s="154" t="s">
        <v>133</v>
      </c>
      <c r="R326" s="155" t="s">
        <v>139</v>
      </c>
    </row>
    <row r="327" spans="2:18" ht="128.25" x14ac:dyDescent="0.25">
      <c r="B327" s="203" t="s">
        <v>601</v>
      </c>
      <c r="C327" s="203" t="s">
        <v>466</v>
      </c>
      <c r="D327" s="203" t="s">
        <v>565</v>
      </c>
      <c r="E327" s="203" t="s">
        <v>600</v>
      </c>
      <c r="F327" s="203"/>
      <c r="G327" s="156"/>
      <c r="H327" s="203" t="s">
        <v>565</v>
      </c>
      <c r="I327" s="203" t="s">
        <v>600</v>
      </c>
      <c r="J327" s="203"/>
      <c r="K327" s="156"/>
      <c r="L327" s="203" t="s">
        <v>565</v>
      </c>
      <c r="M327" s="203" t="s">
        <v>600</v>
      </c>
      <c r="N327" s="203"/>
      <c r="O327" s="156"/>
      <c r="P327" s="203" t="s">
        <v>565</v>
      </c>
      <c r="Q327" s="203" t="s">
        <v>600</v>
      </c>
      <c r="R327" s="489"/>
    </row>
    <row r="328" spans="2:18" x14ac:dyDescent="0.25">
      <c r="B328" s="252" t="s">
        <v>178</v>
      </c>
      <c r="C328" s="284" t="s">
        <v>234</v>
      </c>
      <c r="D328" s="157">
        <v>0</v>
      </c>
      <c r="E328" s="462">
        <v>0</v>
      </c>
      <c r="F328" s="158">
        <f>ROUND(D328*E328,0)</f>
        <v>0</v>
      </c>
      <c r="G328" s="159"/>
      <c r="H328" s="157">
        <v>0</v>
      </c>
      <c r="I328" s="462">
        <v>0</v>
      </c>
      <c r="J328" s="158">
        <f>ROUND(H328*I328,0)</f>
        <v>0</v>
      </c>
      <c r="K328" s="159"/>
      <c r="L328" s="157">
        <v>0</v>
      </c>
      <c r="M328" s="462">
        <v>0</v>
      </c>
      <c r="N328" s="158">
        <f>ROUND(L328*M328,0)</f>
        <v>0</v>
      </c>
      <c r="O328" s="159"/>
      <c r="P328" s="157">
        <v>0</v>
      </c>
      <c r="Q328" s="462">
        <v>0</v>
      </c>
      <c r="R328" s="158">
        <f>ROUND(P328*Q328,0)</f>
        <v>0</v>
      </c>
    </row>
    <row r="329" spans="2:18" x14ac:dyDescent="0.25">
      <c r="B329" s="252" t="s">
        <v>178</v>
      </c>
      <c r="C329" s="275" t="s">
        <v>5</v>
      </c>
      <c r="D329" s="157">
        <v>0</v>
      </c>
      <c r="E329" s="462">
        <v>0</v>
      </c>
      <c r="F329" s="158">
        <f t="shared" ref="F329:F342" si="60">ROUND(D329*E329,0)</f>
        <v>0</v>
      </c>
      <c r="G329" s="159"/>
      <c r="H329" s="157">
        <v>0</v>
      </c>
      <c r="I329" s="462">
        <v>0</v>
      </c>
      <c r="J329" s="158">
        <f t="shared" ref="J329:J342" si="61">ROUND(H329*I329,0)</f>
        <v>0</v>
      </c>
      <c r="K329" s="159"/>
      <c r="L329" s="157">
        <v>0</v>
      </c>
      <c r="M329" s="462">
        <v>0</v>
      </c>
      <c r="N329" s="158">
        <f t="shared" ref="N329:N342" si="62">ROUND(L329*M329,0)</f>
        <v>0</v>
      </c>
      <c r="O329" s="159"/>
      <c r="P329" s="157">
        <v>0</v>
      </c>
      <c r="Q329" s="462">
        <v>0</v>
      </c>
      <c r="R329" s="158">
        <f t="shared" ref="R329:R342" si="63">ROUND(P329*Q329,0)</f>
        <v>0</v>
      </c>
    </row>
    <row r="330" spans="2:18" x14ac:dyDescent="0.25">
      <c r="B330" s="252" t="s">
        <v>178</v>
      </c>
      <c r="C330" s="275"/>
      <c r="D330" s="157">
        <v>0</v>
      </c>
      <c r="E330" s="462">
        <v>0</v>
      </c>
      <c r="F330" s="158">
        <f t="shared" si="60"/>
        <v>0</v>
      </c>
      <c r="G330" s="159"/>
      <c r="H330" s="157">
        <v>0</v>
      </c>
      <c r="I330" s="462">
        <v>0</v>
      </c>
      <c r="J330" s="158">
        <f t="shared" si="61"/>
        <v>0</v>
      </c>
      <c r="K330" s="159"/>
      <c r="L330" s="157">
        <v>0</v>
      </c>
      <c r="M330" s="462">
        <v>0</v>
      </c>
      <c r="N330" s="158">
        <f t="shared" si="62"/>
        <v>0</v>
      </c>
      <c r="O330" s="159"/>
      <c r="P330" s="157">
        <v>0</v>
      </c>
      <c r="Q330" s="462">
        <v>0</v>
      </c>
      <c r="R330" s="158">
        <f t="shared" si="63"/>
        <v>0</v>
      </c>
    </row>
    <row r="331" spans="2:18" x14ac:dyDescent="0.25">
      <c r="B331" s="252" t="s">
        <v>178</v>
      </c>
      <c r="C331" s="275"/>
      <c r="D331" s="157">
        <v>0</v>
      </c>
      <c r="E331" s="462">
        <v>0</v>
      </c>
      <c r="F331" s="158">
        <f t="shared" si="60"/>
        <v>0</v>
      </c>
      <c r="G331" s="159"/>
      <c r="H331" s="157">
        <v>0</v>
      </c>
      <c r="I331" s="462">
        <v>0</v>
      </c>
      <c r="J331" s="158">
        <f t="shared" si="61"/>
        <v>0</v>
      </c>
      <c r="K331" s="159"/>
      <c r="L331" s="157">
        <v>0</v>
      </c>
      <c r="M331" s="462">
        <v>0</v>
      </c>
      <c r="N331" s="158">
        <f t="shared" si="62"/>
        <v>0</v>
      </c>
      <c r="O331" s="159"/>
      <c r="P331" s="157">
        <v>0</v>
      </c>
      <c r="Q331" s="462">
        <v>0</v>
      </c>
      <c r="R331" s="158">
        <f t="shared" si="63"/>
        <v>0</v>
      </c>
    </row>
    <row r="332" spans="2:18" x14ac:dyDescent="0.25">
      <c r="B332" s="252" t="s">
        <v>178</v>
      </c>
      <c r="C332" s="275"/>
      <c r="D332" s="157">
        <v>0</v>
      </c>
      <c r="E332" s="462">
        <v>0</v>
      </c>
      <c r="F332" s="158">
        <f t="shared" si="60"/>
        <v>0</v>
      </c>
      <c r="G332" s="159"/>
      <c r="H332" s="157">
        <v>0</v>
      </c>
      <c r="I332" s="462">
        <v>0</v>
      </c>
      <c r="J332" s="158">
        <f t="shared" si="61"/>
        <v>0</v>
      </c>
      <c r="K332" s="159"/>
      <c r="L332" s="157">
        <v>0</v>
      </c>
      <c r="M332" s="462">
        <v>0</v>
      </c>
      <c r="N332" s="158">
        <f t="shared" si="62"/>
        <v>0</v>
      </c>
      <c r="O332" s="159"/>
      <c r="P332" s="157">
        <v>0</v>
      </c>
      <c r="Q332" s="462">
        <v>0</v>
      </c>
      <c r="R332" s="158">
        <f t="shared" si="63"/>
        <v>0</v>
      </c>
    </row>
    <row r="333" spans="2:18" x14ac:dyDescent="0.25">
      <c r="B333" s="252" t="s">
        <v>178</v>
      </c>
      <c r="C333" s="284" t="s">
        <v>235</v>
      </c>
      <c r="D333" s="157">
        <v>0</v>
      </c>
      <c r="E333" s="462">
        <v>0</v>
      </c>
      <c r="F333" s="158">
        <f t="shared" si="60"/>
        <v>0</v>
      </c>
      <c r="G333" s="159"/>
      <c r="H333" s="157">
        <v>0</v>
      </c>
      <c r="I333" s="462">
        <v>0</v>
      </c>
      <c r="J333" s="158">
        <f t="shared" si="61"/>
        <v>0</v>
      </c>
      <c r="K333" s="159"/>
      <c r="L333" s="157">
        <v>0</v>
      </c>
      <c r="M333" s="462">
        <v>0</v>
      </c>
      <c r="N333" s="158">
        <f t="shared" si="62"/>
        <v>0</v>
      </c>
      <c r="O333" s="159"/>
      <c r="P333" s="157">
        <v>0</v>
      </c>
      <c r="Q333" s="462">
        <v>0</v>
      </c>
      <c r="R333" s="158">
        <f t="shared" si="63"/>
        <v>0</v>
      </c>
    </row>
    <row r="334" spans="2:18" x14ac:dyDescent="0.25">
      <c r="B334" s="252" t="s">
        <v>178</v>
      </c>
      <c r="C334" s="275"/>
      <c r="D334" s="157">
        <v>0</v>
      </c>
      <c r="E334" s="462">
        <v>0</v>
      </c>
      <c r="F334" s="158">
        <f t="shared" si="60"/>
        <v>0</v>
      </c>
      <c r="G334" s="159"/>
      <c r="H334" s="157">
        <v>0</v>
      </c>
      <c r="I334" s="462">
        <v>0</v>
      </c>
      <c r="J334" s="158">
        <f t="shared" si="61"/>
        <v>0</v>
      </c>
      <c r="K334" s="159"/>
      <c r="L334" s="157">
        <v>0</v>
      </c>
      <c r="M334" s="462">
        <v>0</v>
      </c>
      <c r="N334" s="158">
        <f t="shared" si="62"/>
        <v>0</v>
      </c>
      <c r="O334" s="159"/>
      <c r="P334" s="157">
        <v>0</v>
      </c>
      <c r="Q334" s="462">
        <v>0</v>
      </c>
      <c r="R334" s="158">
        <f t="shared" si="63"/>
        <v>0</v>
      </c>
    </row>
    <row r="335" spans="2:18" x14ac:dyDescent="0.25">
      <c r="B335" s="252" t="s">
        <v>178</v>
      </c>
      <c r="C335" s="275"/>
      <c r="D335" s="157">
        <v>0</v>
      </c>
      <c r="E335" s="462">
        <v>0</v>
      </c>
      <c r="F335" s="158">
        <f t="shared" si="60"/>
        <v>0</v>
      </c>
      <c r="G335" s="159"/>
      <c r="H335" s="157">
        <v>0</v>
      </c>
      <c r="I335" s="462">
        <v>0</v>
      </c>
      <c r="J335" s="158">
        <f t="shared" si="61"/>
        <v>0</v>
      </c>
      <c r="K335" s="159"/>
      <c r="L335" s="157">
        <v>0</v>
      </c>
      <c r="M335" s="462">
        <v>0</v>
      </c>
      <c r="N335" s="158">
        <f t="shared" si="62"/>
        <v>0</v>
      </c>
      <c r="O335" s="159"/>
      <c r="P335" s="157">
        <v>0</v>
      </c>
      <c r="Q335" s="462">
        <v>0</v>
      </c>
      <c r="R335" s="158">
        <f t="shared" si="63"/>
        <v>0</v>
      </c>
    </row>
    <row r="336" spans="2:18" x14ac:dyDescent="0.25">
      <c r="B336" s="252" t="s">
        <v>178</v>
      </c>
      <c r="C336" s="275"/>
      <c r="D336" s="157">
        <v>0</v>
      </c>
      <c r="E336" s="462">
        <v>0</v>
      </c>
      <c r="F336" s="158">
        <f t="shared" si="60"/>
        <v>0</v>
      </c>
      <c r="G336" s="159"/>
      <c r="H336" s="157">
        <v>0</v>
      </c>
      <c r="I336" s="462">
        <v>0</v>
      </c>
      <c r="J336" s="158">
        <f t="shared" si="61"/>
        <v>0</v>
      </c>
      <c r="K336" s="159"/>
      <c r="L336" s="157">
        <v>0</v>
      </c>
      <c r="M336" s="462">
        <v>0</v>
      </c>
      <c r="N336" s="158">
        <f t="shared" si="62"/>
        <v>0</v>
      </c>
      <c r="O336" s="159"/>
      <c r="P336" s="157">
        <v>0</v>
      </c>
      <c r="Q336" s="462">
        <v>0</v>
      </c>
      <c r="R336" s="158">
        <f t="shared" si="63"/>
        <v>0</v>
      </c>
    </row>
    <row r="337" spans="2:18" x14ac:dyDescent="0.25">
      <c r="B337" s="252" t="s">
        <v>178</v>
      </c>
      <c r="C337" s="275"/>
      <c r="D337" s="157">
        <v>0</v>
      </c>
      <c r="E337" s="462">
        <v>0</v>
      </c>
      <c r="F337" s="158">
        <f t="shared" si="60"/>
        <v>0</v>
      </c>
      <c r="G337" s="159"/>
      <c r="H337" s="157">
        <v>0</v>
      </c>
      <c r="I337" s="462">
        <v>0</v>
      </c>
      <c r="J337" s="158">
        <f t="shared" si="61"/>
        <v>0</v>
      </c>
      <c r="K337" s="159"/>
      <c r="L337" s="157">
        <v>0</v>
      </c>
      <c r="M337" s="462">
        <v>0</v>
      </c>
      <c r="N337" s="158">
        <f t="shared" si="62"/>
        <v>0</v>
      </c>
      <c r="O337" s="159"/>
      <c r="P337" s="157">
        <v>0</v>
      </c>
      <c r="Q337" s="462">
        <v>0</v>
      </c>
      <c r="R337" s="158">
        <f t="shared" si="63"/>
        <v>0</v>
      </c>
    </row>
    <row r="338" spans="2:18" x14ac:dyDescent="0.25">
      <c r="B338" s="252" t="s">
        <v>178</v>
      </c>
      <c r="C338" s="284" t="s">
        <v>236</v>
      </c>
      <c r="D338" s="157">
        <v>0</v>
      </c>
      <c r="E338" s="462">
        <v>0</v>
      </c>
      <c r="F338" s="158">
        <f t="shared" si="60"/>
        <v>0</v>
      </c>
      <c r="G338" s="159"/>
      <c r="H338" s="157">
        <v>0</v>
      </c>
      <c r="I338" s="462">
        <v>0</v>
      </c>
      <c r="J338" s="158">
        <f t="shared" si="61"/>
        <v>0</v>
      </c>
      <c r="K338" s="159"/>
      <c r="L338" s="157">
        <v>0</v>
      </c>
      <c r="M338" s="462">
        <v>0</v>
      </c>
      <c r="N338" s="158">
        <f t="shared" si="62"/>
        <v>0</v>
      </c>
      <c r="O338" s="159"/>
      <c r="P338" s="157">
        <v>0</v>
      </c>
      <c r="Q338" s="462">
        <v>0</v>
      </c>
      <c r="R338" s="158">
        <f t="shared" si="63"/>
        <v>0</v>
      </c>
    </row>
    <row r="339" spans="2:18" x14ac:dyDescent="0.25">
      <c r="B339" s="252" t="s">
        <v>178</v>
      </c>
      <c r="C339" s="275"/>
      <c r="D339" s="157">
        <v>0</v>
      </c>
      <c r="E339" s="462">
        <v>0</v>
      </c>
      <c r="F339" s="158">
        <f t="shared" si="60"/>
        <v>0</v>
      </c>
      <c r="G339" s="159"/>
      <c r="H339" s="157">
        <v>0</v>
      </c>
      <c r="I339" s="462">
        <v>0</v>
      </c>
      <c r="J339" s="158">
        <f t="shared" si="61"/>
        <v>0</v>
      </c>
      <c r="K339" s="159"/>
      <c r="L339" s="157">
        <v>0</v>
      </c>
      <c r="M339" s="462">
        <v>0</v>
      </c>
      <c r="N339" s="158">
        <f t="shared" si="62"/>
        <v>0</v>
      </c>
      <c r="O339" s="159"/>
      <c r="P339" s="157">
        <v>0</v>
      </c>
      <c r="Q339" s="462">
        <v>0</v>
      </c>
      <c r="R339" s="158">
        <f t="shared" si="63"/>
        <v>0</v>
      </c>
    </row>
    <row r="340" spans="2:18" x14ac:dyDescent="0.25">
      <c r="B340" s="252" t="s">
        <v>178</v>
      </c>
      <c r="C340" s="275"/>
      <c r="D340" s="157">
        <v>0</v>
      </c>
      <c r="E340" s="462">
        <v>0</v>
      </c>
      <c r="F340" s="158">
        <f t="shared" si="60"/>
        <v>0</v>
      </c>
      <c r="G340" s="159"/>
      <c r="H340" s="157">
        <v>0</v>
      </c>
      <c r="I340" s="462">
        <v>0</v>
      </c>
      <c r="J340" s="158">
        <f t="shared" si="61"/>
        <v>0</v>
      </c>
      <c r="K340" s="159"/>
      <c r="L340" s="157">
        <v>0</v>
      </c>
      <c r="M340" s="462">
        <v>0</v>
      </c>
      <c r="N340" s="158">
        <f t="shared" si="62"/>
        <v>0</v>
      </c>
      <c r="O340" s="159"/>
      <c r="P340" s="157">
        <v>0</v>
      </c>
      <c r="Q340" s="462">
        <v>0</v>
      </c>
      <c r="R340" s="158">
        <f t="shared" si="63"/>
        <v>0</v>
      </c>
    </row>
    <row r="341" spans="2:18" x14ac:dyDescent="0.25">
      <c r="B341" s="252" t="s">
        <v>178</v>
      </c>
      <c r="C341" s="275"/>
      <c r="D341" s="157">
        <v>0</v>
      </c>
      <c r="E341" s="462">
        <v>0</v>
      </c>
      <c r="F341" s="158">
        <f t="shared" si="60"/>
        <v>0</v>
      </c>
      <c r="G341" s="159"/>
      <c r="H341" s="157">
        <v>0</v>
      </c>
      <c r="I341" s="462">
        <v>0</v>
      </c>
      <c r="J341" s="158">
        <f t="shared" si="61"/>
        <v>0</v>
      </c>
      <c r="K341" s="159"/>
      <c r="L341" s="157">
        <v>0</v>
      </c>
      <c r="M341" s="462">
        <v>0</v>
      </c>
      <c r="N341" s="158">
        <f t="shared" si="62"/>
        <v>0</v>
      </c>
      <c r="O341" s="159"/>
      <c r="P341" s="157">
        <v>0</v>
      </c>
      <c r="Q341" s="462">
        <v>0</v>
      </c>
      <c r="R341" s="158">
        <f t="shared" si="63"/>
        <v>0</v>
      </c>
    </row>
    <row r="342" spans="2:18" ht="15.75" thickBot="1" x14ac:dyDescent="0.3">
      <c r="B342" s="294" t="s">
        <v>178</v>
      </c>
      <c r="C342" s="295"/>
      <c r="D342" s="157">
        <v>0</v>
      </c>
      <c r="E342" s="462">
        <v>0</v>
      </c>
      <c r="F342" s="158">
        <f t="shared" si="60"/>
        <v>0</v>
      </c>
      <c r="G342" s="159"/>
      <c r="H342" s="157">
        <v>0</v>
      </c>
      <c r="I342" s="462">
        <v>0</v>
      </c>
      <c r="J342" s="158">
        <f t="shared" si="61"/>
        <v>0</v>
      </c>
      <c r="K342" s="159"/>
      <c r="L342" s="157">
        <v>0</v>
      </c>
      <c r="M342" s="462">
        <v>0</v>
      </c>
      <c r="N342" s="158">
        <f t="shared" si="62"/>
        <v>0</v>
      </c>
      <c r="O342" s="159"/>
      <c r="P342" s="157">
        <v>0</v>
      </c>
      <c r="Q342" s="462">
        <v>0</v>
      </c>
      <c r="R342" s="158">
        <f t="shared" si="63"/>
        <v>0</v>
      </c>
    </row>
    <row r="343" spans="2:18" ht="15.75" thickBot="1" x14ac:dyDescent="0.3">
      <c r="B343" s="298" t="s">
        <v>151</v>
      </c>
      <c r="C343" s="296"/>
      <c r="D343" s="257">
        <f>SUM(D328:D342)</f>
        <v>0</v>
      </c>
      <c r="E343" s="205"/>
      <c r="F343" s="164">
        <f>ROUND(SUM(F328:F342),0)</f>
        <v>0</v>
      </c>
      <c r="G343" s="165"/>
      <c r="H343" s="257">
        <f>SUM(H328:H342)</f>
        <v>0</v>
      </c>
      <c r="I343" s="205" t="s">
        <v>5</v>
      </c>
      <c r="J343" s="164">
        <f>ROUND(SUM(J328:J342),0)</f>
        <v>0</v>
      </c>
      <c r="K343" s="165"/>
      <c r="L343" s="257">
        <f>SUM(L328:L342)</f>
        <v>0</v>
      </c>
      <c r="M343" s="205"/>
      <c r="N343" s="164">
        <f>ROUND(SUM(N328:N342),0)</f>
        <v>0</v>
      </c>
      <c r="O343" s="165"/>
      <c r="P343" s="257">
        <f>SUM(P328:P342)</f>
        <v>0</v>
      </c>
      <c r="Q343" s="205"/>
      <c r="R343" s="164">
        <f>ROUND(SUM(R328:R342),0)</f>
        <v>0</v>
      </c>
    </row>
    <row r="344" spans="2:18" ht="15.75" thickBot="1" x14ac:dyDescent="0.3">
      <c r="B344" s="63"/>
      <c r="C344" s="63"/>
      <c r="D344" s="63"/>
      <c r="E344" s="63"/>
      <c r="F344" s="63"/>
      <c r="G344" s="63"/>
      <c r="H344" s="63"/>
      <c r="I344" s="63"/>
      <c r="J344" s="63"/>
      <c r="K344" s="63"/>
      <c r="L344" s="63"/>
      <c r="M344" s="63"/>
      <c r="N344" s="63"/>
    </row>
    <row r="345" spans="2:18" ht="16.5" customHeight="1" thickBot="1" x14ac:dyDescent="0.3">
      <c r="B345" s="609" t="s">
        <v>572</v>
      </c>
      <c r="C345" s="610"/>
      <c r="D345" s="594" t="s">
        <v>134</v>
      </c>
      <c r="E345" s="595"/>
      <c r="F345" s="596"/>
      <c r="G345" s="151"/>
      <c r="H345" s="594" t="s">
        <v>134</v>
      </c>
      <c r="I345" s="595"/>
      <c r="J345" s="596"/>
      <c r="K345" s="151"/>
      <c r="L345" s="594" t="s">
        <v>134</v>
      </c>
      <c r="M345" s="595"/>
      <c r="N345" s="596"/>
      <c r="O345" s="151"/>
      <c r="P345" s="594" t="s">
        <v>134</v>
      </c>
      <c r="Q345" s="595"/>
      <c r="R345" s="596"/>
    </row>
    <row r="346" spans="2:18" ht="16.5" thickBot="1" x14ac:dyDescent="0.3">
      <c r="B346" s="611"/>
      <c r="C346" s="612"/>
      <c r="D346" s="591" t="str">
        <f>D10</f>
        <v>Basic Period (Year 1)</v>
      </c>
      <c r="E346" s="592"/>
      <c r="F346" s="593"/>
      <c r="G346" s="152"/>
      <c r="H346" s="591" t="str">
        <f>H10</f>
        <v>Basic Period (Year 2)</v>
      </c>
      <c r="I346" s="592"/>
      <c r="J346" s="593"/>
      <c r="K346" s="152"/>
      <c r="L346" s="591" t="str">
        <f>L10</f>
        <v>Basic Period (Year 3)</v>
      </c>
      <c r="M346" s="592"/>
      <c r="N346" s="593"/>
      <c r="O346" s="152"/>
      <c r="P346" s="591" t="str">
        <f>P10</f>
        <v>Basic Period (Year 4)</v>
      </c>
      <c r="Q346" s="592"/>
      <c r="R346" s="593"/>
    </row>
    <row r="347" spans="2:18" ht="16.5" thickBot="1" x14ac:dyDescent="0.3">
      <c r="B347" s="153" t="s">
        <v>110</v>
      </c>
      <c r="C347" s="153" t="s">
        <v>256</v>
      </c>
      <c r="D347" s="153" t="s">
        <v>91</v>
      </c>
      <c r="E347" s="154" t="s">
        <v>133</v>
      </c>
      <c r="F347" s="155" t="s">
        <v>139</v>
      </c>
      <c r="G347" s="156"/>
      <c r="H347" s="153" t="s">
        <v>91</v>
      </c>
      <c r="I347" s="154" t="s">
        <v>133</v>
      </c>
      <c r="J347" s="155" t="s">
        <v>139</v>
      </c>
      <c r="K347" s="156"/>
      <c r="L347" s="153" t="s">
        <v>91</v>
      </c>
      <c r="M347" s="154" t="s">
        <v>133</v>
      </c>
      <c r="N347" s="155" t="s">
        <v>139</v>
      </c>
      <c r="O347" s="156"/>
      <c r="P347" s="153" t="s">
        <v>91</v>
      </c>
      <c r="Q347" s="154" t="s">
        <v>133</v>
      </c>
      <c r="R347" s="155" t="s">
        <v>139</v>
      </c>
    </row>
    <row r="348" spans="2:18" ht="128.25" x14ac:dyDescent="0.25">
      <c r="B348" s="203" t="s">
        <v>601</v>
      </c>
      <c r="C348" s="203" t="s">
        <v>466</v>
      </c>
      <c r="D348" s="203" t="s">
        <v>565</v>
      </c>
      <c r="E348" s="203" t="s">
        <v>600</v>
      </c>
      <c r="F348" s="203"/>
      <c r="G348" s="156"/>
      <c r="H348" s="203" t="s">
        <v>565</v>
      </c>
      <c r="I348" s="203" t="s">
        <v>600</v>
      </c>
      <c r="J348" s="203"/>
      <c r="K348" s="156"/>
      <c r="L348" s="203" t="s">
        <v>565</v>
      </c>
      <c r="M348" s="203" t="s">
        <v>600</v>
      </c>
      <c r="N348" s="203"/>
      <c r="O348" s="156"/>
      <c r="P348" s="203" t="s">
        <v>565</v>
      </c>
      <c r="Q348" s="203" t="s">
        <v>600</v>
      </c>
      <c r="R348" s="489"/>
    </row>
    <row r="349" spans="2:18" x14ac:dyDescent="0.25">
      <c r="B349" s="252" t="s">
        <v>178</v>
      </c>
      <c r="C349" s="284" t="s">
        <v>237</v>
      </c>
      <c r="D349" s="157">
        <v>0</v>
      </c>
      <c r="E349" s="462">
        <v>0</v>
      </c>
      <c r="F349" s="158">
        <f>ROUND(D349*E349,0)</f>
        <v>0</v>
      </c>
      <c r="G349" s="159"/>
      <c r="H349" s="157">
        <v>0</v>
      </c>
      <c r="I349" s="462">
        <v>0</v>
      </c>
      <c r="J349" s="158">
        <f>ROUND(H349*I349,0)</f>
        <v>0</v>
      </c>
      <c r="K349" s="159"/>
      <c r="L349" s="157">
        <v>0</v>
      </c>
      <c r="M349" s="462">
        <v>0</v>
      </c>
      <c r="N349" s="158">
        <f>ROUND(L349*M349,0)</f>
        <v>0</v>
      </c>
      <c r="O349" s="159"/>
      <c r="P349" s="157">
        <v>0</v>
      </c>
      <c r="Q349" s="462">
        <v>0</v>
      </c>
      <c r="R349" s="158">
        <f>ROUND(P349*Q349,0)</f>
        <v>0</v>
      </c>
    </row>
    <row r="350" spans="2:18" x14ac:dyDescent="0.25">
      <c r="B350" s="252" t="s">
        <v>178</v>
      </c>
      <c r="C350" s="275" t="s">
        <v>5</v>
      </c>
      <c r="D350" s="157">
        <v>0</v>
      </c>
      <c r="E350" s="462">
        <v>0</v>
      </c>
      <c r="F350" s="158">
        <f t="shared" ref="F350:F363" si="64">ROUND(D350*E350,0)</f>
        <v>0</v>
      </c>
      <c r="G350" s="159"/>
      <c r="H350" s="157">
        <v>0</v>
      </c>
      <c r="I350" s="462">
        <v>0</v>
      </c>
      <c r="J350" s="158">
        <f t="shared" ref="J350:J363" si="65">ROUND(H350*I350,0)</f>
        <v>0</v>
      </c>
      <c r="K350" s="159"/>
      <c r="L350" s="157">
        <v>0</v>
      </c>
      <c r="M350" s="462">
        <v>0</v>
      </c>
      <c r="N350" s="158">
        <f t="shared" ref="N350:N363" si="66">ROUND(L350*M350,0)</f>
        <v>0</v>
      </c>
      <c r="O350" s="159"/>
      <c r="P350" s="157">
        <v>0</v>
      </c>
      <c r="Q350" s="462">
        <v>0</v>
      </c>
      <c r="R350" s="158">
        <f t="shared" ref="R350:R363" si="67">ROUND(P350*Q350,0)</f>
        <v>0</v>
      </c>
    </row>
    <row r="351" spans="2:18" x14ac:dyDescent="0.25">
      <c r="B351" s="252" t="s">
        <v>178</v>
      </c>
      <c r="C351" s="275"/>
      <c r="D351" s="157">
        <v>0</v>
      </c>
      <c r="E351" s="462">
        <v>0</v>
      </c>
      <c r="F351" s="158">
        <f t="shared" si="64"/>
        <v>0</v>
      </c>
      <c r="G351" s="159"/>
      <c r="H351" s="157">
        <v>0</v>
      </c>
      <c r="I351" s="462">
        <v>0</v>
      </c>
      <c r="J351" s="158">
        <f t="shared" si="65"/>
        <v>0</v>
      </c>
      <c r="K351" s="159"/>
      <c r="L351" s="157">
        <v>0</v>
      </c>
      <c r="M351" s="462">
        <v>0</v>
      </c>
      <c r="N351" s="158">
        <f t="shared" si="66"/>
        <v>0</v>
      </c>
      <c r="O351" s="159"/>
      <c r="P351" s="157">
        <v>0</v>
      </c>
      <c r="Q351" s="462">
        <v>0</v>
      </c>
      <c r="R351" s="158">
        <f t="shared" si="67"/>
        <v>0</v>
      </c>
    </row>
    <row r="352" spans="2:18" x14ac:dyDescent="0.25">
      <c r="B352" s="252" t="s">
        <v>178</v>
      </c>
      <c r="C352" s="275"/>
      <c r="D352" s="157">
        <v>0</v>
      </c>
      <c r="E352" s="462">
        <v>0</v>
      </c>
      <c r="F352" s="158">
        <f t="shared" si="64"/>
        <v>0</v>
      </c>
      <c r="G352" s="159"/>
      <c r="H352" s="157">
        <v>0</v>
      </c>
      <c r="I352" s="462">
        <v>0</v>
      </c>
      <c r="J352" s="158">
        <f t="shared" si="65"/>
        <v>0</v>
      </c>
      <c r="K352" s="159"/>
      <c r="L352" s="157">
        <v>0</v>
      </c>
      <c r="M352" s="462">
        <v>0</v>
      </c>
      <c r="N352" s="158">
        <f t="shared" si="66"/>
        <v>0</v>
      </c>
      <c r="O352" s="159"/>
      <c r="P352" s="157">
        <v>0</v>
      </c>
      <c r="Q352" s="462">
        <v>0</v>
      </c>
      <c r="R352" s="158">
        <f t="shared" si="67"/>
        <v>0</v>
      </c>
    </row>
    <row r="353" spans="2:18" x14ac:dyDescent="0.25">
      <c r="B353" s="252" t="s">
        <v>178</v>
      </c>
      <c r="C353" s="275"/>
      <c r="D353" s="157">
        <v>0</v>
      </c>
      <c r="E353" s="462">
        <v>0</v>
      </c>
      <c r="F353" s="158">
        <f t="shared" si="64"/>
        <v>0</v>
      </c>
      <c r="G353" s="159"/>
      <c r="H353" s="157">
        <v>0</v>
      </c>
      <c r="I353" s="462">
        <v>0</v>
      </c>
      <c r="J353" s="158">
        <f t="shared" si="65"/>
        <v>0</v>
      </c>
      <c r="K353" s="159"/>
      <c r="L353" s="157">
        <v>0</v>
      </c>
      <c r="M353" s="462">
        <v>0</v>
      </c>
      <c r="N353" s="158">
        <f t="shared" si="66"/>
        <v>0</v>
      </c>
      <c r="O353" s="159"/>
      <c r="P353" s="157">
        <v>0</v>
      </c>
      <c r="Q353" s="462">
        <v>0</v>
      </c>
      <c r="R353" s="158">
        <f t="shared" si="67"/>
        <v>0</v>
      </c>
    </row>
    <row r="354" spans="2:18" x14ac:dyDescent="0.25">
      <c r="B354" s="252" t="s">
        <v>178</v>
      </c>
      <c r="C354" s="284" t="s">
        <v>238</v>
      </c>
      <c r="D354" s="157">
        <v>0</v>
      </c>
      <c r="E354" s="462">
        <v>0</v>
      </c>
      <c r="F354" s="158">
        <f t="shared" si="64"/>
        <v>0</v>
      </c>
      <c r="G354" s="159"/>
      <c r="H354" s="157">
        <v>0</v>
      </c>
      <c r="I354" s="462">
        <v>0</v>
      </c>
      <c r="J354" s="158">
        <f t="shared" si="65"/>
        <v>0</v>
      </c>
      <c r="K354" s="159"/>
      <c r="L354" s="157">
        <v>0</v>
      </c>
      <c r="M354" s="462">
        <v>0</v>
      </c>
      <c r="N354" s="158">
        <f t="shared" si="66"/>
        <v>0</v>
      </c>
      <c r="O354" s="159"/>
      <c r="P354" s="157">
        <v>0</v>
      </c>
      <c r="Q354" s="462">
        <v>0</v>
      </c>
      <c r="R354" s="158">
        <f t="shared" si="67"/>
        <v>0</v>
      </c>
    </row>
    <row r="355" spans="2:18" x14ac:dyDescent="0.25">
      <c r="B355" s="252" t="s">
        <v>178</v>
      </c>
      <c r="C355" s="275"/>
      <c r="D355" s="157">
        <v>0</v>
      </c>
      <c r="E355" s="462">
        <v>0</v>
      </c>
      <c r="F355" s="158">
        <f t="shared" si="64"/>
        <v>0</v>
      </c>
      <c r="G355" s="159"/>
      <c r="H355" s="157">
        <v>0</v>
      </c>
      <c r="I355" s="462">
        <v>0</v>
      </c>
      <c r="J355" s="158">
        <f t="shared" si="65"/>
        <v>0</v>
      </c>
      <c r="K355" s="159"/>
      <c r="L355" s="157">
        <v>0</v>
      </c>
      <c r="M355" s="462">
        <v>0</v>
      </c>
      <c r="N355" s="158">
        <f t="shared" si="66"/>
        <v>0</v>
      </c>
      <c r="O355" s="159"/>
      <c r="P355" s="157">
        <v>0</v>
      </c>
      <c r="Q355" s="462">
        <v>0</v>
      </c>
      <c r="R355" s="158">
        <f t="shared" si="67"/>
        <v>0</v>
      </c>
    </row>
    <row r="356" spans="2:18" x14ac:dyDescent="0.25">
      <c r="B356" s="252" t="s">
        <v>178</v>
      </c>
      <c r="C356" s="275"/>
      <c r="D356" s="157">
        <v>0</v>
      </c>
      <c r="E356" s="462">
        <v>0</v>
      </c>
      <c r="F356" s="158">
        <f t="shared" si="64"/>
        <v>0</v>
      </c>
      <c r="G356" s="159"/>
      <c r="H356" s="157">
        <v>0</v>
      </c>
      <c r="I356" s="462">
        <v>0</v>
      </c>
      <c r="J356" s="158">
        <f t="shared" si="65"/>
        <v>0</v>
      </c>
      <c r="K356" s="159"/>
      <c r="L356" s="157">
        <v>0</v>
      </c>
      <c r="M356" s="462">
        <v>0</v>
      </c>
      <c r="N356" s="158">
        <f t="shared" si="66"/>
        <v>0</v>
      </c>
      <c r="O356" s="159"/>
      <c r="P356" s="157">
        <v>0</v>
      </c>
      <c r="Q356" s="462">
        <v>0</v>
      </c>
      <c r="R356" s="158">
        <f t="shared" si="67"/>
        <v>0</v>
      </c>
    </row>
    <row r="357" spans="2:18" x14ac:dyDescent="0.25">
      <c r="B357" s="252" t="s">
        <v>178</v>
      </c>
      <c r="C357" s="275"/>
      <c r="D357" s="157">
        <v>0</v>
      </c>
      <c r="E357" s="462">
        <v>0</v>
      </c>
      <c r="F357" s="158">
        <f t="shared" si="64"/>
        <v>0</v>
      </c>
      <c r="G357" s="159"/>
      <c r="H357" s="157">
        <v>0</v>
      </c>
      <c r="I357" s="462">
        <v>0</v>
      </c>
      <c r="J357" s="158">
        <f t="shared" si="65"/>
        <v>0</v>
      </c>
      <c r="K357" s="159"/>
      <c r="L357" s="157">
        <v>0</v>
      </c>
      <c r="M357" s="462">
        <v>0</v>
      </c>
      <c r="N357" s="158">
        <f t="shared" si="66"/>
        <v>0</v>
      </c>
      <c r="O357" s="159"/>
      <c r="P357" s="157">
        <v>0</v>
      </c>
      <c r="Q357" s="462">
        <v>0</v>
      </c>
      <c r="R357" s="158">
        <f t="shared" si="67"/>
        <v>0</v>
      </c>
    </row>
    <row r="358" spans="2:18" x14ac:dyDescent="0.25">
      <c r="B358" s="252" t="s">
        <v>178</v>
      </c>
      <c r="C358" s="275"/>
      <c r="D358" s="157">
        <v>0</v>
      </c>
      <c r="E358" s="462">
        <v>0</v>
      </c>
      <c r="F358" s="158">
        <f t="shared" si="64"/>
        <v>0</v>
      </c>
      <c r="G358" s="159"/>
      <c r="H358" s="157">
        <v>0</v>
      </c>
      <c r="I358" s="462">
        <v>0</v>
      </c>
      <c r="J358" s="158">
        <f t="shared" si="65"/>
        <v>0</v>
      </c>
      <c r="K358" s="159"/>
      <c r="L358" s="157">
        <v>0</v>
      </c>
      <c r="M358" s="462">
        <v>0</v>
      </c>
      <c r="N358" s="158">
        <f t="shared" si="66"/>
        <v>0</v>
      </c>
      <c r="O358" s="159"/>
      <c r="P358" s="157">
        <v>0</v>
      </c>
      <c r="Q358" s="462">
        <v>0</v>
      </c>
      <c r="R358" s="158">
        <f t="shared" si="67"/>
        <v>0</v>
      </c>
    </row>
    <row r="359" spans="2:18" x14ac:dyDescent="0.25">
      <c r="B359" s="252" t="s">
        <v>178</v>
      </c>
      <c r="C359" s="284" t="s">
        <v>239</v>
      </c>
      <c r="D359" s="157">
        <v>0</v>
      </c>
      <c r="E359" s="462">
        <v>0</v>
      </c>
      <c r="F359" s="158">
        <f t="shared" si="64"/>
        <v>0</v>
      </c>
      <c r="G359" s="159"/>
      <c r="H359" s="157">
        <v>0</v>
      </c>
      <c r="I359" s="462">
        <v>0</v>
      </c>
      <c r="J359" s="158">
        <f t="shared" si="65"/>
        <v>0</v>
      </c>
      <c r="K359" s="159"/>
      <c r="L359" s="157">
        <v>0</v>
      </c>
      <c r="M359" s="462">
        <v>0</v>
      </c>
      <c r="N359" s="158">
        <f t="shared" si="66"/>
        <v>0</v>
      </c>
      <c r="O359" s="159"/>
      <c r="P359" s="157">
        <v>0</v>
      </c>
      <c r="Q359" s="462">
        <v>0</v>
      </c>
      <c r="R359" s="158">
        <f t="shared" si="67"/>
        <v>0</v>
      </c>
    </row>
    <row r="360" spans="2:18" x14ac:dyDescent="0.25">
      <c r="B360" s="252" t="s">
        <v>178</v>
      </c>
      <c r="C360" s="275"/>
      <c r="D360" s="157">
        <v>0</v>
      </c>
      <c r="E360" s="462">
        <v>0</v>
      </c>
      <c r="F360" s="158">
        <f t="shared" si="64"/>
        <v>0</v>
      </c>
      <c r="G360" s="159"/>
      <c r="H360" s="157">
        <v>0</v>
      </c>
      <c r="I360" s="462">
        <v>0</v>
      </c>
      <c r="J360" s="158">
        <f t="shared" si="65"/>
        <v>0</v>
      </c>
      <c r="K360" s="159"/>
      <c r="L360" s="157">
        <v>0</v>
      </c>
      <c r="M360" s="462">
        <v>0</v>
      </c>
      <c r="N360" s="158">
        <f t="shared" si="66"/>
        <v>0</v>
      </c>
      <c r="O360" s="159"/>
      <c r="P360" s="157">
        <v>0</v>
      </c>
      <c r="Q360" s="462">
        <v>0</v>
      </c>
      <c r="R360" s="158">
        <f t="shared" si="67"/>
        <v>0</v>
      </c>
    </row>
    <row r="361" spans="2:18" x14ac:dyDescent="0.25">
      <c r="B361" s="252" t="s">
        <v>178</v>
      </c>
      <c r="C361" s="275"/>
      <c r="D361" s="157">
        <v>0</v>
      </c>
      <c r="E361" s="462">
        <v>0</v>
      </c>
      <c r="F361" s="158">
        <f t="shared" si="64"/>
        <v>0</v>
      </c>
      <c r="G361" s="159"/>
      <c r="H361" s="157">
        <v>0</v>
      </c>
      <c r="I361" s="462">
        <v>0</v>
      </c>
      <c r="J361" s="158">
        <f t="shared" si="65"/>
        <v>0</v>
      </c>
      <c r="K361" s="159"/>
      <c r="L361" s="157">
        <v>0</v>
      </c>
      <c r="M361" s="462">
        <v>0</v>
      </c>
      <c r="N361" s="158">
        <f t="shared" si="66"/>
        <v>0</v>
      </c>
      <c r="O361" s="159"/>
      <c r="P361" s="157">
        <v>0</v>
      </c>
      <c r="Q361" s="462">
        <v>0</v>
      </c>
      <c r="R361" s="158">
        <f t="shared" si="67"/>
        <v>0</v>
      </c>
    </row>
    <row r="362" spans="2:18" x14ac:dyDescent="0.25">
      <c r="B362" s="252" t="s">
        <v>178</v>
      </c>
      <c r="C362" s="275"/>
      <c r="D362" s="157">
        <v>0</v>
      </c>
      <c r="E362" s="462">
        <v>0</v>
      </c>
      <c r="F362" s="158">
        <f t="shared" si="64"/>
        <v>0</v>
      </c>
      <c r="G362" s="159"/>
      <c r="H362" s="157">
        <v>0</v>
      </c>
      <c r="I362" s="462">
        <v>0</v>
      </c>
      <c r="J362" s="158">
        <f t="shared" si="65"/>
        <v>0</v>
      </c>
      <c r="K362" s="159"/>
      <c r="L362" s="157">
        <v>0</v>
      </c>
      <c r="M362" s="462">
        <v>0</v>
      </c>
      <c r="N362" s="158">
        <f t="shared" si="66"/>
        <v>0</v>
      </c>
      <c r="O362" s="159"/>
      <c r="P362" s="157">
        <v>0</v>
      </c>
      <c r="Q362" s="462">
        <v>0</v>
      </c>
      <c r="R362" s="158">
        <f t="shared" si="67"/>
        <v>0</v>
      </c>
    </row>
    <row r="363" spans="2:18" ht="15.75" thickBot="1" x14ac:dyDescent="0.3">
      <c r="B363" s="294" t="s">
        <v>178</v>
      </c>
      <c r="C363" s="295"/>
      <c r="D363" s="157">
        <v>0</v>
      </c>
      <c r="E363" s="462">
        <v>0</v>
      </c>
      <c r="F363" s="158">
        <f t="shared" si="64"/>
        <v>0</v>
      </c>
      <c r="G363" s="159"/>
      <c r="H363" s="157">
        <v>0</v>
      </c>
      <c r="I363" s="462">
        <v>0</v>
      </c>
      <c r="J363" s="158">
        <f t="shared" si="65"/>
        <v>0</v>
      </c>
      <c r="K363" s="159"/>
      <c r="L363" s="157">
        <v>0</v>
      </c>
      <c r="M363" s="462">
        <v>0</v>
      </c>
      <c r="N363" s="158">
        <f t="shared" si="66"/>
        <v>0</v>
      </c>
      <c r="O363" s="159"/>
      <c r="P363" s="157">
        <v>0</v>
      </c>
      <c r="Q363" s="462">
        <v>0</v>
      </c>
      <c r="R363" s="158">
        <f t="shared" si="67"/>
        <v>0</v>
      </c>
    </row>
    <row r="364" spans="2:18" ht="15.75" thickBot="1" x14ac:dyDescent="0.3">
      <c r="B364" s="298" t="s">
        <v>151</v>
      </c>
      <c r="C364" s="296"/>
      <c r="D364" s="257">
        <f>SUM(D349:D363)</f>
        <v>0</v>
      </c>
      <c r="E364" s="205"/>
      <c r="F364" s="164">
        <f>ROUND(SUM(F349:F363),0)</f>
        <v>0</v>
      </c>
      <c r="G364" s="165"/>
      <c r="H364" s="257">
        <f>SUM(H349:H363)</f>
        <v>0</v>
      </c>
      <c r="I364" s="205" t="s">
        <v>5</v>
      </c>
      <c r="J364" s="164">
        <f>ROUND(SUM(J349:J363),0)</f>
        <v>0</v>
      </c>
      <c r="K364" s="165"/>
      <c r="L364" s="257">
        <f>SUM(L349:L363)</f>
        <v>0</v>
      </c>
      <c r="M364" s="205"/>
      <c r="N364" s="164">
        <f>ROUND(SUM(N349:N363),0)</f>
        <v>0</v>
      </c>
      <c r="O364" s="165"/>
      <c r="P364" s="257">
        <f>SUM(P349:P363)</f>
        <v>0</v>
      </c>
      <c r="Q364" s="205"/>
      <c r="R364" s="164">
        <f>ROUND(SUM(R349:R363),0)</f>
        <v>0</v>
      </c>
    </row>
    <row r="365" spans="2:18" ht="15.75" thickBot="1" x14ac:dyDescent="0.3"/>
    <row r="366" spans="2:18" ht="16.5" thickBot="1" x14ac:dyDescent="0.3">
      <c r="B366" s="609" t="s">
        <v>573</v>
      </c>
      <c r="C366" s="610"/>
      <c r="D366" s="594" t="s">
        <v>134</v>
      </c>
      <c r="E366" s="595"/>
      <c r="F366" s="596"/>
      <c r="G366" s="151"/>
      <c r="H366" s="594" t="s">
        <v>134</v>
      </c>
      <c r="I366" s="595"/>
      <c r="J366" s="596"/>
      <c r="K366" s="151"/>
      <c r="L366" s="594" t="s">
        <v>134</v>
      </c>
      <c r="M366" s="595"/>
      <c r="N366" s="596"/>
      <c r="O366" s="151"/>
      <c r="P366" s="594" t="s">
        <v>134</v>
      </c>
      <c r="Q366" s="595"/>
      <c r="R366" s="596"/>
    </row>
    <row r="367" spans="2:18" ht="16.5" thickBot="1" x14ac:dyDescent="0.3">
      <c r="B367" s="611"/>
      <c r="C367" s="612"/>
      <c r="D367" s="591" t="str">
        <f>D10</f>
        <v>Basic Period (Year 1)</v>
      </c>
      <c r="E367" s="592"/>
      <c r="F367" s="593"/>
      <c r="G367" s="152"/>
      <c r="H367" s="591" t="str">
        <f>H10</f>
        <v>Basic Period (Year 2)</v>
      </c>
      <c r="I367" s="592"/>
      <c r="J367" s="593"/>
      <c r="K367" s="152"/>
      <c r="L367" s="591" t="str">
        <f>L10</f>
        <v>Basic Period (Year 3)</v>
      </c>
      <c r="M367" s="592"/>
      <c r="N367" s="593"/>
      <c r="O367" s="152"/>
      <c r="P367" s="591" t="str">
        <f>P10</f>
        <v>Basic Period (Year 4)</v>
      </c>
      <c r="Q367" s="592"/>
      <c r="R367" s="593"/>
    </row>
    <row r="368" spans="2:18" ht="16.5" thickBot="1" x14ac:dyDescent="0.3">
      <c r="B368" s="153" t="s">
        <v>110</v>
      </c>
      <c r="C368" s="153" t="s">
        <v>256</v>
      </c>
      <c r="D368" s="153" t="s">
        <v>91</v>
      </c>
      <c r="E368" s="154" t="s">
        <v>133</v>
      </c>
      <c r="F368" s="155" t="s">
        <v>139</v>
      </c>
      <c r="G368" s="156"/>
      <c r="H368" s="153" t="s">
        <v>91</v>
      </c>
      <c r="I368" s="154" t="s">
        <v>133</v>
      </c>
      <c r="J368" s="155" t="s">
        <v>139</v>
      </c>
      <c r="K368" s="156"/>
      <c r="L368" s="153" t="s">
        <v>91</v>
      </c>
      <c r="M368" s="154" t="s">
        <v>133</v>
      </c>
      <c r="N368" s="155" t="s">
        <v>139</v>
      </c>
      <c r="O368" s="156"/>
      <c r="P368" s="153" t="s">
        <v>91</v>
      </c>
      <c r="Q368" s="154" t="s">
        <v>133</v>
      </c>
      <c r="R368" s="155" t="s">
        <v>139</v>
      </c>
    </row>
    <row r="369" spans="2:18" ht="128.25" x14ac:dyDescent="0.25">
      <c r="B369" s="203" t="s">
        <v>601</v>
      </c>
      <c r="C369" s="203" t="s">
        <v>466</v>
      </c>
      <c r="D369" s="203" t="s">
        <v>565</v>
      </c>
      <c r="E369" s="203" t="s">
        <v>600</v>
      </c>
      <c r="F369" s="203"/>
      <c r="G369" s="156"/>
      <c r="H369" s="203" t="s">
        <v>565</v>
      </c>
      <c r="I369" s="203" t="s">
        <v>600</v>
      </c>
      <c r="J369" s="203"/>
      <c r="K369" s="156"/>
      <c r="L369" s="203" t="s">
        <v>565</v>
      </c>
      <c r="M369" s="203" t="s">
        <v>600</v>
      </c>
      <c r="N369" s="203"/>
      <c r="O369" s="156"/>
      <c r="P369" s="203" t="s">
        <v>565</v>
      </c>
      <c r="Q369" s="203" t="s">
        <v>600</v>
      </c>
      <c r="R369" s="489"/>
    </row>
    <row r="370" spans="2:18" x14ac:dyDescent="0.25">
      <c r="B370" s="252" t="s">
        <v>178</v>
      </c>
      <c r="C370" s="284" t="s">
        <v>240</v>
      </c>
      <c r="D370" s="157">
        <v>0</v>
      </c>
      <c r="E370" s="462">
        <v>0</v>
      </c>
      <c r="F370" s="158">
        <f>ROUND(D370*E370,0)</f>
        <v>0</v>
      </c>
      <c r="G370" s="159"/>
      <c r="H370" s="157">
        <v>0</v>
      </c>
      <c r="I370" s="462">
        <v>0</v>
      </c>
      <c r="J370" s="158">
        <f>ROUND(H370*I370,0)</f>
        <v>0</v>
      </c>
      <c r="K370" s="159"/>
      <c r="L370" s="157">
        <v>0</v>
      </c>
      <c r="M370" s="462">
        <v>0</v>
      </c>
      <c r="N370" s="158">
        <f>ROUND(L370*M370,0)</f>
        <v>0</v>
      </c>
      <c r="O370" s="159"/>
      <c r="P370" s="157">
        <v>0</v>
      </c>
      <c r="Q370" s="462">
        <v>0</v>
      </c>
      <c r="R370" s="158">
        <f>ROUND(P370*Q370,0)</f>
        <v>0</v>
      </c>
    </row>
    <row r="371" spans="2:18" x14ac:dyDescent="0.25">
      <c r="B371" s="252" t="s">
        <v>178</v>
      </c>
      <c r="C371" s="275" t="s">
        <v>5</v>
      </c>
      <c r="D371" s="157">
        <v>0</v>
      </c>
      <c r="E371" s="462">
        <v>0</v>
      </c>
      <c r="F371" s="158">
        <f t="shared" ref="F371:F384" si="68">ROUND(D371*E371,0)</f>
        <v>0</v>
      </c>
      <c r="G371" s="159"/>
      <c r="H371" s="157">
        <v>0</v>
      </c>
      <c r="I371" s="462">
        <v>0</v>
      </c>
      <c r="J371" s="158">
        <f t="shared" ref="J371:J384" si="69">ROUND(H371*I371,0)</f>
        <v>0</v>
      </c>
      <c r="K371" s="159"/>
      <c r="L371" s="157">
        <v>0</v>
      </c>
      <c r="M371" s="462">
        <v>0</v>
      </c>
      <c r="N371" s="158">
        <f t="shared" ref="N371:N384" si="70">ROUND(L371*M371,0)</f>
        <v>0</v>
      </c>
      <c r="O371" s="159"/>
      <c r="P371" s="157">
        <v>0</v>
      </c>
      <c r="Q371" s="462">
        <v>0</v>
      </c>
      <c r="R371" s="158">
        <f t="shared" ref="R371:R384" si="71">ROUND(P371*Q371,0)</f>
        <v>0</v>
      </c>
    </row>
    <row r="372" spans="2:18" x14ac:dyDescent="0.25">
      <c r="B372" s="252" t="s">
        <v>178</v>
      </c>
      <c r="C372" s="275"/>
      <c r="D372" s="157">
        <v>0</v>
      </c>
      <c r="E372" s="462">
        <v>0</v>
      </c>
      <c r="F372" s="158">
        <f t="shared" si="68"/>
        <v>0</v>
      </c>
      <c r="G372" s="159"/>
      <c r="H372" s="157">
        <v>0</v>
      </c>
      <c r="I372" s="462">
        <v>0</v>
      </c>
      <c r="J372" s="158">
        <f t="shared" si="69"/>
        <v>0</v>
      </c>
      <c r="K372" s="159"/>
      <c r="L372" s="157">
        <v>0</v>
      </c>
      <c r="M372" s="462">
        <v>0</v>
      </c>
      <c r="N372" s="158">
        <f t="shared" si="70"/>
        <v>0</v>
      </c>
      <c r="O372" s="159"/>
      <c r="P372" s="157">
        <v>0</v>
      </c>
      <c r="Q372" s="462">
        <v>0</v>
      </c>
      <c r="R372" s="158">
        <f t="shared" si="71"/>
        <v>0</v>
      </c>
    </row>
    <row r="373" spans="2:18" x14ac:dyDescent="0.25">
      <c r="B373" s="252" t="s">
        <v>178</v>
      </c>
      <c r="C373" s="275"/>
      <c r="D373" s="157">
        <v>0</v>
      </c>
      <c r="E373" s="462">
        <v>0</v>
      </c>
      <c r="F373" s="158">
        <f t="shared" si="68"/>
        <v>0</v>
      </c>
      <c r="G373" s="159"/>
      <c r="H373" s="157">
        <v>0</v>
      </c>
      <c r="I373" s="462">
        <v>0</v>
      </c>
      <c r="J373" s="158">
        <f t="shared" si="69"/>
        <v>0</v>
      </c>
      <c r="K373" s="159"/>
      <c r="L373" s="157">
        <v>0</v>
      </c>
      <c r="M373" s="462">
        <v>0</v>
      </c>
      <c r="N373" s="158">
        <f t="shared" si="70"/>
        <v>0</v>
      </c>
      <c r="O373" s="159"/>
      <c r="P373" s="157">
        <v>0</v>
      </c>
      <c r="Q373" s="462">
        <v>0</v>
      </c>
      <c r="R373" s="158">
        <f t="shared" si="71"/>
        <v>0</v>
      </c>
    </row>
    <row r="374" spans="2:18" x14ac:dyDescent="0.25">
      <c r="B374" s="252" t="s">
        <v>178</v>
      </c>
      <c r="C374" s="275"/>
      <c r="D374" s="157">
        <v>0</v>
      </c>
      <c r="E374" s="462">
        <v>0</v>
      </c>
      <c r="F374" s="158">
        <f t="shared" si="68"/>
        <v>0</v>
      </c>
      <c r="G374" s="159"/>
      <c r="H374" s="157">
        <v>0</v>
      </c>
      <c r="I374" s="462">
        <v>0</v>
      </c>
      <c r="J374" s="158">
        <f t="shared" si="69"/>
        <v>0</v>
      </c>
      <c r="K374" s="159"/>
      <c r="L374" s="157">
        <v>0</v>
      </c>
      <c r="M374" s="462">
        <v>0</v>
      </c>
      <c r="N374" s="158">
        <f t="shared" si="70"/>
        <v>0</v>
      </c>
      <c r="O374" s="159"/>
      <c r="P374" s="157">
        <v>0</v>
      </c>
      <c r="Q374" s="462">
        <v>0</v>
      </c>
      <c r="R374" s="158">
        <f t="shared" si="71"/>
        <v>0</v>
      </c>
    </row>
    <row r="375" spans="2:18" x14ac:dyDescent="0.25">
      <c r="B375" s="252" t="s">
        <v>178</v>
      </c>
      <c r="C375" s="284" t="s">
        <v>241</v>
      </c>
      <c r="D375" s="157">
        <v>0</v>
      </c>
      <c r="E375" s="462">
        <v>0</v>
      </c>
      <c r="F375" s="158">
        <f t="shared" si="68"/>
        <v>0</v>
      </c>
      <c r="G375" s="159"/>
      <c r="H375" s="157">
        <v>0</v>
      </c>
      <c r="I375" s="462">
        <v>0</v>
      </c>
      <c r="J375" s="158">
        <f t="shared" si="69"/>
        <v>0</v>
      </c>
      <c r="K375" s="159"/>
      <c r="L375" s="157">
        <v>0</v>
      </c>
      <c r="M375" s="462">
        <v>0</v>
      </c>
      <c r="N375" s="158">
        <f t="shared" si="70"/>
        <v>0</v>
      </c>
      <c r="O375" s="159"/>
      <c r="P375" s="157">
        <v>0</v>
      </c>
      <c r="Q375" s="462">
        <v>0</v>
      </c>
      <c r="R375" s="158">
        <f t="shared" si="71"/>
        <v>0</v>
      </c>
    </row>
    <row r="376" spans="2:18" x14ac:dyDescent="0.25">
      <c r="B376" s="252" t="s">
        <v>178</v>
      </c>
      <c r="C376" s="275"/>
      <c r="D376" s="157">
        <v>0</v>
      </c>
      <c r="E376" s="462">
        <v>0</v>
      </c>
      <c r="F376" s="158">
        <f t="shared" si="68"/>
        <v>0</v>
      </c>
      <c r="G376" s="159"/>
      <c r="H376" s="157">
        <v>0</v>
      </c>
      <c r="I376" s="462">
        <v>0</v>
      </c>
      <c r="J376" s="158">
        <f t="shared" si="69"/>
        <v>0</v>
      </c>
      <c r="K376" s="159"/>
      <c r="L376" s="157">
        <v>0</v>
      </c>
      <c r="M376" s="462">
        <v>0</v>
      </c>
      <c r="N376" s="158">
        <f t="shared" si="70"/>
        <v>0</v>
      </c>
      <c r="O376" s="159"/>
      <c r="P376" s="157">
        <v>0</v>
      </c>
      <c r="Q376" s="462">
        <v>0</v>
      </c>
      <c r="R376" s="158">
        <f t="shared" si="71"/>
        <v>0</v>
      </c>
    </row>
    <row r="377" spans="2:18" x14ac:dyDescent="0.25">
      <c r="B377" s="252" t="s">
        <v>178</v>
      </c>
      <c r="C377" s="275"/>
      <c r="D377" s="157">
        <v>0</v>
      </c>
      <c r="E377" s="462">
        <v>0</v>
      </c>
      <c r="F377" s="158">
        <f t="shared" si="68"/>
        <v>0</v>
      </c>
      <c r="G377" s="159"/>
      <c r="H377" s="157">
        <v>0</v>
      </c>
      <c r="I377" s="462">
        <v>0</v>
      </c>
      <c r="J377" s="158">
        <f t="shared" si="69"/>
        <v>0</v>
      </c>
      <c r="K377" s="159"/>
      <c r="L377" s="157">
        <v>0</v>
      </c>
      <c r="M377" s="462">
        <v>0</v>
      </c>
      <c r="N377" s="158">
        <f t="shared" si="70"/>
        <v>0</v>
      </c>
      <c r="O377" s="159"/>
      <c r="P377" s="157">
        <v>0</v>
      </c>
      <c r="Q377" s="462">
        <v>0</v>
      </c>
      <c r="R377" s="158">
        <f t="shared" si="71"/>
        <v>0</v>
      </c>
    </row>
    <row r="378" spans="2:18" x14ac:dyDescent="0.25">
      <c r="B378" s="252" t="s">
        <v>178</v>
      </c>
      <c r="C378" s="275"/>
      <c r="D378" s="157">
        <v>0</v>
      </c>
      <c r="E378" s="462">
        <v>0</v>
      </c>
      <c r="F378" s="158">
        <f t="shared" si="68"/>
        <v>0</v>
      </c>
      <c r="G378" s="159"/>
      <c r="H378" s="157">
        <v>0</v>
      </c>
      <c r="I378" s="462">
        <v>0</v>
      </c>
      <c r="J378" s="158">
        <f t="shared" si="69"/>
        <v>0</v>
      </c>
      <c r="K378" s="159"/>
      <c r="L378" s="157">
        <v>0</v>
      </c>
      <c r="M378" s="462">
        <v>0</v>
      </c>
      <c r="N378" s="158">
        <f t="shared" si="70"/>
        <v>0</v>
      </c>
      <c r="O378" s="159"/>
      <c r="P378" s="157">
        <v>0</v>
      </c>
      <c r="Q378" s="462">
        <v>0</v>
      </c>
      <c r="R378" s="158">
        <f t="shared" si="71"/>
        <v>0</v>
      </c>
    </row>
    <row r="379" spans="2:18" x14ac:dyDescent="0.25">
      <c r="B379" s="252" t="s">
        <v>178</v>
      </c>
      <c r="C379" s="275"/>
      <c r="D379" s="157">
        <v>0</v>
      </c>
      <c r="E379" s="462">
        <v>0</v>
      </c>
      <c r="F379" s="158">
        <f t="shared" si="68"/>
        <v>0</v>
      </c>
      <c r="G379" s="159"/>
      <c r="H379" s="157">
        <v>0</v>
      </c>
      <c r="I379" s="462">
        <v>0</v>
      </c>
      <c r="J379" s="158">
        <f t="shared" si="69"/>
        <v>0</v>
      </c>
      <c r="K379" s="159"/>
      <c r="L379" s="157">
        <v>0</v>
      </c>
      <c r="M379" s="462">
        <v>0</v>
      </c>
      <c r="N379" s="158">
        <f t="shared" si="70"/>
        <v>0</v>
      </c>
      <c r="O379" s="159"/>
      <c r="P379" s="157">
        <v>0</v>
      </c>
      <c r="Q379" s="462">
        <v>0</v>
      </c>
      <c r="R379" s="158">
        <f t="shared" si="71"/>
        <v>0</v>
      </c>
    </row>
    <row r="380" spans="2:18" x14ac:dyDescent="0.25">
      <c r="B380" s="252" t="s">
        <v>178</v>
      </c>
      <c r="C380" s="284" t="s">
        <v>242</v>
      </c>
      <c r="D380" s="157">
        <v>0</v>
      </c>
      <c r="E380" s="462">
        <v>0</v>
      </c>
      <c r="F380" s="158">
        <f t="shared" si="68"/>
        <v>0</v>
      </c>
      <c r="G380" s="159"/>
      <c r="H380" s="157">
        <v>0</v>
      </c>
      <c r="I380" s="462">
        <v>0</v>
      </c>
      <c r="J380" s="158">
        <f t="shared" si="69"/>
        <v>0</v>
      </c>
      <c r="K380" s="159"/>
      <c r="L380" s="157">
        <v>0</v>
      </c>
      <c r="M380" s="462">
        <v>0</v>
      </c>
      <c r="N380" s="158">
        <f t="shared" si="70"/>
        <v>0</v>
      </c>
      <c r="O380" s="159"/>
      <c r="P380" s="157">
        <v>0</v>
      </c>
      <c r="Q380" s="462">
        <v>0</v>
      </c>
      <c r="R380" s="158">
        <f t="shared" si="71"/>
        <v>0</v>
      </c>
    </row>
    <row r="381" spans="2:18" x14ac:dyDescent="0.25">
      <c r="B381" s="252" t="s">
        <v>178</v>
      </c>
      <c r="C381" s="275"/>
      <c r="D381" s="157">
        <v>0</v>
      </c>
      <c r="E381" s="462">
        <v>0</v>
      </c>
      <c r="F381" s="158">
        <f t="shared" si="68"/>
        <v>0</v>
      </c>
      <c r="G381" s="159"/>
      <c r="H381" s="157">
        <v>0</v>
      </c>
      <c r="I381" s="462">
        <v>0</v>
      </c>
      <c r="J381" s="158">
        <f t="shared" si="69"/>
        <v>0</v>
      </c>
      <c r="K381" s="159"/>
      <c r="L381" s="157">
        <v>0</v>
      </c>
      <c r="M381" s="462">
        <v>0</v>
      </c>
      <c r="N381" s="158">
        <f t="shared" si="70"/>
        <v>0</v>
      </c>
      <c r="O381" s="159"/>
      <c r="P381" s="157">
        <v>0</v>
      </c>
      <c r="Q381" s="462">
        <v>0</v>
      </c>
      <c r="R381" s="158">
        <f t="shared" si="71"/>
        <v>0</v>
      </c>
    </row>
    <row r="382" spans="2:18" x14ac:dyDescent="0.25">
      <c r="B382" s="252" t="s">
        <v>178</v>
      </c>
      <c r="C382" s="275"/>
      <c r="D382" s="157">
        <v>0</v>
      </c>
      <c r="E382" s="462">
        <v>0</v>
      </c>
      <c r="F382" s="158">
        <f t="shared" si="68"/>
        <v>0</v>
      </c>
      <c r="G382" s="159"/>
      <c r="H382" s="157">
        <v>0</v>
      </c>
      <c r="I382" s="462">
        <v>0</v>
      </c>
      <c r="J382" s="158">
        <f t="shared" si="69"/>
        <v>0</v>
      </c>
      <c r="K382" s="159"/>
      <c r="L382" s="157">
        <v>0</v>
      </c>
      <c r="M382" s="462">
        <v>0</v>
      </c>
      <c r="N382" s="158">
        <f t="shared" si="70"/>
        <v>0</v>
      </c>
      <c r="O382" s="159"/>
      <c r="P382" s="157">
        <v>0</v>
      </c>
      <c r="Q382" s="462">
        <v>0</v>
      </c>
      <c r="R382" s="158">
        <f t="shared" si="71"/>
        <v>0</v>
      </c>
    </row>
    <row r="383" spans="2:18" x14ac:dyDescent="0.25">
      <c r="B383" s="252" t="s">
        <v>178</v>
      </c>
      <c r="C383" s="275"/>
      <c r="D383" s="157">
        <v>0</v>
      </c>
      <c r="E383" s="462">
        <v>0</v>
      </c>
      <c r="F383" s="158">
        <f t="shared" si="68"/>
        <v>0</v>
      </c>
      <c r="G383" s="159"/>
      <c r="H383" s="157">
        <v>0</v>
      </c>
      <c r="I383" s="462">
        <v>0</v>
      </c>
      <c r="J383" s="158">
        <f t="shared" si="69"/>
        <v>0</v>
      </c>
      <c r="K383" s="159"/>
      <c r="L383" s="157">
        <v>0</v>
      </c>
      <c r="M383" s="462">
        <v>0</v>
      </c>
      <c r="N383" s="158">
        <f t="shared" si="70"/>
        <v>0</v>
      </c>
      <c r="O383" s="159"/>
      <c r="P383" s="157">
        <v>0</v>
      </c>
      <c r="Q383" s="462">
        <v>0</v>
      </c>
      <c r="R383" s="158">
        <f t="shared" si="71"/>
        <v>0</v>
      </c>
    </row>
    <row r="384" spans="2:18" ht="15.75" thickBot="1" x14ac:dyDescent="0.3">
      <c r="B384" s="294" t="s">
        <v>178</v>
      </c>
      <c r="C384" s="295"/>
      <c r="D384" s="157">
        <v>0</v>
      </c>
      <c r="E384" s="462">
        <v>0</v>
      </c>
      <c r="F384" s="158">
        <f t="shared" si="68"/>
        <v>0</v>
      </c>
      <c r="G384" s="159"/>
      <c r="H384" s="157">
        <v>0</v>
      </c>
      <c r="I384" s="462">
        <v>0</v>
      </c>
      <c r="J384" s="158">
        <f t="shared" si="69"/>
        <v>0</v>
      </c>
      <c r="K384" s="159"/>
      <c r="L384" s="157">
        <v>0</v>
      </c>
      <c r="M384" s="462">
        <v>0</v>
      </c>
      <c r="N384" s="158">
        <f t="shared" si="70"/>
        <v>0</v>
      </c>
      <c r="O384" s="159"/>
      <c r="P384" s="157">
        <v>0</v>
      </c>
      <c r="Q384" s="462">
        <v>0</v>
      </c>
      <c r="R384" s="158">
        <f t="shared" si="71"/>
        <v>0</v>
      </c>
    </row>
    <row r="385" spans="2:18" ht="15.75" thickBot="1" x14ac:dyDescent="0.3">
      <c r="B385" s="298" t="s">
        <v>151</v>
      </c>
      <c r="C385" s="296"/>
      <c r="D385" s="257">
        <f>SUM(D370:D384)</f>
        <v>0</v>
      </c>
      <c r="E385" s="205"/>
      <c r="F385" s="164">
        <f>ROUND(SUM(F370:F384),0)</f>
        <v>0</v>
      </c>
      <c r="G385" s="165"/>
      <c r="H385" s="257">
        <f>SUM(H370:H384)</f>
        <v>0</v>
      </c>
      <c r="I385" s="205" t="s">
        <v>5</v>
      </c>
      <c r="J385" s="164">
        <f>ROUND(SUM(J370:J384),0)</f>
        <v>0</v>
      </c>
      <c r="K385" s="165"/>
      <c r="L385" s="257">
        <f>SUM(L370:L384)</f>
        <v>0</v>
      </c>
      <c r="M385" s="205"/>
      <c r="N385" s="164">
        <f>ROUND(SUM(N370:N384),0)</f>
        <v>0</v>
      </c>
      <c r="O385" s="165"/>
      <c r="P385" s="257">
        <f>SUM(P370:P384)</f>
        <v>0</v>
      </c>
      <c r="Q385" s="205"/>
      <c r="R385" s="164">
        <f>ROUND(SUM(R370:R384),0)</f>
        <v>0</v>
      </c>
    </row>
  </sheetData>
  <mergeCells count="162">
    <mergeCell ref="B366:C367"/>
    <mergeCell ref="D366:F366"/>
    <mergeCell ref="H366:J366"/>
    <mergeCell ref="L366:N366"/>
    <mergeCell ref="D367:F367"/>
    <mergeCell ref="H367:J367"/>
    <mergeCell ref="L367:N367"/>
    <mergeCell ref="B345:C346"/>
    <mergeCell ref="D345:F345"/>
    <mergeCell ref="H345:J345"/>
    <mergeCell ref="L345:N345"/>
    <mergeCell ref="D346:F346"/>
    <mergeCell ref="H346:J346"/>
    <mergeCell ref="L346:N346"/>
    <mergeCell ref="B324:C325"/>
    <mergeCell ref="D324:F324"/>
    <mergeCell ref="H324:J324"/>
    <mergeCell ref="L324:N324"/>
    <mergeCell ref="D325:F325"/>
    <mergeCell ref="H325:J325"/>
    <mergeCell ref="L325:N325"/>
    <mergeCell ref="B303:C304"/>
    <mergeCell ref="D303:F303"/>
    <mergeCell ref="H303:J303"/>
    <mergeCell ref="L303:N303"/>
    <mergeCell ref="D304:F304"/>
    <mergeCell ref="H304:J304"/>
    <mergeCell ref="L304:N304"/>
    <mergeCell ref="B282:C283"/>
    <mergeCell ref="D282:F282"/>
    <mergeCell ref="H282:J282"/>
    <mergeCell ref="L282:N282"/>
    <mergeCell ref="D283:F283"/>
    <mergeCell ref="H283:J283"/>
    <mergeCell ref="L283:N283"/>
    <mergeCell ref="B261:C262"/>
    <mergeCell ref="D261:F261"/>
    <mergeCell ref="H261:J261"/>
    <mergeCell ref="L261:N261"/>
    <mergeCell ref="D262:F262"/>
    <mergeCell ref="H262:J262"/>
    <mergeCell ref="L262:N262"/>
    <mergeCell ref="B240:C241"/>
    <mergeCell ref="D240:F240"/>
    <mergeCell ref="H240:J240"/>
    <mergeCell ref="L240:N240"/>
    <mergeCell ref="D241:F241"/>
    <mergeCell ref="H241:J241"/>
    <mergeCell ref="L241:N241"/>
    <mergeCell ref="B219:C220"/>
    <mergeCell ref="D219:F219"/>
    <mergeCell ref="H219:J219"/>
    <mergeCell ref="L219:N219"/>
    <mergeCell ref="D220:F220"/>
    <mergeCell ref="H220:J220"/>
    <mergeCell ref="L220:N220"/>
    <mergeCell ref="B198:C199"/>
    <mergeCell ref="D198:F198"/>
    <mergeCell ref="H198:J198"/>
    <mergeCell ref="L198:N198"/>
    <mergeCell ref="D199:F199"/>
    <mergeCell ref="H199:J199"/>
    <mergeCell ref="L199:N199"/>
    <mergeCell ref="B177:C178"/>
    <mergeCell ref="D177:F177"/>
    <mergeCell ref="H177:J177"/>
    <mergeCell ref="L177:N177"/>
    <mergeCell ref="D178:F178"/>
    <mergeCell ref="H178:J178"/>
    <mergeCell ref="L178:N178"/>
    <mergeCell ref="B156:C157"/>
    <mergeCell ref="D156:F156"/>
    <mergeCell ref="H156:J156"/>
    <mergeCell ref="L156:N156"/>
    <mergeCell ref="D157:F157"/>
    <mergeCell ref="H157:J157"/>
    <mergeCell ref="L157:N157"/>
    <mergeCell ref="B135:C136"/>
    <mergeCell ref="D135:F135"/>
    <mergeCell ref="H135:J135"/>
    <mergeCell ref="L135:N135"/>
    <mergeCell ref="D136:F136"/>
    <mergeCell ref="H136:J136"/>
    <mergeCell ref="L136:N136"/>
    <mergeCell ref="B114:C115"/>
    <mergeCell ref="D114:F114"/>
    <mergeCell ref="H114:J114"/>
    <mergeCell ref="L114:N114"/>
    <mergeCell ref="D115:F115"/>
    <mergeCell ref="H115:J115"/>
    <mergeCell ref="L115:N115"/>
    <mergeCell ref="B93:C94"/>
    <mergeCell ref="D93:F93"/>
    <mergeCell ref="H93:J93"/>
    <mergeCell ref="L93:N93"/>
    <mergeCell ref="D94:F94"/>
    <mergeCell ref="H94:J94"/>
    <mergeCell ref="L94:N94"/>
    <mergeCell ref="B72:C73"/>
    <mergeCell ref="D72:F72"/>
    <mergeCell ref="H72:J72"/>
    <mergeCell ref="L72:N72"/>
    <mergeCell ref="D73:F73"/>
    <mergeCell ref="H73:J73"/>
    <mergeCell ref="L73:N73"/>
    <mergeCell ref="B51:C52"/>
    <mergeCell ref="D51:F51"/>
    <mergeCell ref="H51:J51"/>
    <mergeCell ref="L51:N51"/>
    <mergeCell ref="D52:F52"/>
    <mergeCell ref="H52:J52"/>
    <mergeCell ref="L52:N52"/>
    <mergeCell ref="B9:C10"/>
    <mergeCell ref="B30:C31"/>
    <mergeCell ref="D30:F30"/>
    <mergeCell ref="H30:J30"/>
    <mergeCell ref="L30:N30"/>
    <mergeCell ref="D31:F31"/>
    <mergeCell ref="H31:J31"/>
    <mergeCell ref="L31:N31"/>
    <mergeCell ref="D9:F9"/>
    <mergeCell ref="H9:J9"/>
    <mergeCell ref="L9:N9"/>
    <mergeCell ref="D10:F10"/>
    <mergeCell ref="H10:J10"/>
    <mergeCell ref="L10:N10"/>
    <mergeCell ref="P9:R9"/>
    <mergeCell ref="P10:R10"/>
    <mergeCell ref="P30:R30"/>
    <mergeCell ref="P31:R31"/>
    <mergeCell ref="P51:R51"/>
    <mergeCell ref="P52:R52"/>
    <mergeCell ref="P72:R72"/>
    <mergeCell ref="P73:R73"/>
    <mergeCell ref="P93:R93"/>
    <mergeCell ref="P94:R94"/>
    <mergeCell ref="P114:R114"/>
    <mergeCell ref="P115:R115"/>
    <mergeCell ref="P135:R135"/>
    <mergeCell ref="P136:R136"/>
    <mergeCell ref="P156:R156"/>
    <mergeCell ref="P157:R157"/>
    <mergeCell ref="P177:R177"/>
    <mergeCell ref="P178:R178"/>
    <mergeCell ref="P198:R198"/>
    <mergeCell ref="P199:R199"/>
    <mergeCell ref="P219:R219"/>
    <mergeCell ref="P220:R220"/>
    <mergeCell ref="P240:R240"/>
    <mergeCell ref="P241:R241"/>
    <mergeCell ref="P261:R261"/>
    <mergeCell ref="P262:R262"/>
    <mergeCell ref="P282:R282"/>
    <mergeCell ref="P283:R283"/>
    <mergeCell ref="P303:R303"/>
    <mergeCell ref="P304:R304"/>
    <mergeCell ref="P324:R324"/>
    <mergeCell ref="P325:R325"/>
    <mergeCell ref="P345:R345"/>
    <mergeCell ref="P346:R346"/>
    <mergeCell ref="P366:R366"/>
    <mergeCell ref="P367:R367"/>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B7D0A5-5BF1-43AC-B7D0-1A980CFF537A}">
  <sheetPr>
    <tabColor rgb="FFFFFF00"/>
  </sheetPr>
  <dimension ref="A1:O776"/>
  <sheetViews>
    <sheetView topLeftCell="A8" zoomScale="90" zoomScaleNormal="90" workbookViewId="0">
      <pane xSplit="3" topLeftCell="D1" activePane="topRight" state="frozen"/>
      <selection pane="topRight" activeCell="C21" sqref="C21"/>
    </sheetView>
    <sheetView workbookViewId="1"/>
  </sheetViews>
  <sheetFormatPr defaultColWidth="9.140625" defaultRowHeight="15" x14ac:dyDescent="0.25"/>
  <cols>
    <col min="1" max="1" width="20.5703125" style="47" customWidth="1"/>
    <col min="2" max="2" width="29" style="48" customWidth="1"/>
    <col min="3" max="3" width="52.28515625" style="48" bestFit="1" customWidth="1"/>
    <col min="4" max="4" width="7.5703125" style="5" customWidth="1"/>
    <col min="5" max="5" width="19.140625" style="10" customWidth="1"/>
    <col min="6" max="6" width="1.5703125" style="5" customWidth="1"/>
    <col min="7" max="7" width="18.7109375" style="50" customWidth="1"/>
    <col min="8" max="8" width="1.42578125" style="5" customWidth="1"/>
    <col min="9" max="9" width="19.140625" style="50" customWidth="1"/>
    <col min="10" max="10" width="1.5703125" style="315" customWidth="1"/>
    <col min="11" max="11" width="19.5703125" style="315" customWidth="1"/>
    <col min="12" max="12" width="1.28515625" style="315" customWidth="1"/>
    <col min="13" max="13" width="22.7109375" style="10" customWidth="1"/>
    <col min="14" max="14" width="18.28515625" style="51" customWidth="1"/>
    <col min="15" max="15" width="15.7109375" style="10" customWidth="1"/>
    <col min="16" max="16384" width="9.140625" style="10"/>
  </cols>
  <sheetData>
    <row r="1" spans="1:14" ht="15.75" thickBot="1" x14ac:dyDescent="0.3">
      <c r="B1" s="126" t="s">
        <v>626</v>
      </c>
      <c r="C1" s="492" t="str">
        <f>'FFP CLINs X007-X021'!B1</f>
        <v>NAME</v>
      </c>
      <c r="N1" s="30"/>
    </row>
    <row r="2" spans="1:14" x14ac:dyDescent="0.25">
      <c r="A2" s="126"/>
      <c r="B2" s="270"/>
      <c r="C2" s="270"/>
      <c r="N2" s="30"/>
    </row>
    <row r="3" spans="1:14" x14ac:dyDescent="0.25">
      <c r="B3" s="415" t="s">
        <v>404</v>
      </c>
      <c r="C3" s="270"/>
      <c r="N3" s="30"/>
    </row>
    <row r="4" spans="1:14" x14ac:dyDescent="0.25">
      <c r="B4" s="76" t="s">
        <v>602</v>
      </c>
      <c r="C4" s="270"/>
      <c r="N4" s="30"/>
    </row>
    <row r="5" spans="1:14" x14ac:dyDescent="0.25">
      <c r="A5" s="126"/>
      <c r="B5" s="76" t="s">
        <v>467</v>
      </c>
      <c r="C5" s="270"/>
      <c r="N5" s="30"/>
    </row>
    <row r="6" spans="1:14" x14ac:dyDescent="0.25">
      <c r="B6" s="76" t="s">
        <v>562</v>
      </c>
      <c r="N6" s="30"/>
    </row>
    <row r="7" spans="1:14" ht="15.75" thickBot="1" x14ac:dyDescent="0.3">
      <c r="B7" s="76"/>
      <c r="N7" s="30"/>
    </row>
    <row r="8" spans="1:14" ht="48" customHeight="1" thickBot="1" x14ac:dyDescent="0.3">
      <c r="A8" s="557" t="s">
        <v>386</v>
      </c>
      <c r="B8" s="558"/>
      <c r="C8" s="559"/>
      <c r="D8" s="8"/>
      <c r="E8" s="355" t="s">
        <v>332</v>
      </c>
      <c r="F8" s="8"/>
      <c r="G8" s="355" t="s">
        <v>333</v>
      </c>
      <c r="H8" s="8"/>
      <c r="I8" s="355" t="s">
        <v>334</v>
      </c>
      <c r="J8" s="7"/>
      <c r="K8" s="355" t="s">
        <v>335</v>
      </c>
      <c r="L8" s="7"/>
      <c r="M8" s="8"/>
      <c r="N8" s="9"/>
    </row>
    <row r="9" spans="1:14" ht="45.75" thickBot="1" x14ac:dyDescent="0.3">
      <c r="A9" s="68" t="s">
        <v>450</v>
      </c>
      <c r="B9" s="68" t="s">
        <v>5</v>
      </c>
      <c r="C9" s="69"/>
      <c r="D9" s="98" t="s">
        <v>5</v>
      </c>
      <c r="E9" s="322" t="s">
        <v>387</v>
      </c>
      <c r="F9" s="328"/>
      <c r="G9" s="322" t="s">
        <v>387</v>
      </c>
      <c r="H9" s="328"/>
      <c r="I9" s="322" t="s">
        <v>387</v>
      </c>
      <c r="J9" s="7"/>
      <c r="K9" s="322" t="s">
        <v>387</v>
      </c>
      <c r="L9" s="7"/>
      <c r="M9" s="370" t="s">
        <v>388</v>
      </c>
      <c r="N9" s="10"/>
    </row>
    <row r="10" spans="1:14" ht="16.5" thickBot="1" x14ac:dyDescent="0.3">
      <c r="A10" s="120" t="s">
        <v>109</v>
      </c>
      <c r="B10" s="119" t="s">
        <v>26</v>
      </c>
      <c r="C10" s="119"/>
      <c r="D10" s="99"/>
      <c r="E10" s="322"/>
      <c r="F10" s="328"/>
      <c r="G10" s="322"/>
      <c r="H10" s="328"/>
      <c r="I10" s="105"/>
      <c r="J10" s="7"/>
      <c r="K10" s="105"/>
      <c r="L10" s="7"/>
      <c r="M10" s="366"/>
      <c r="N10" s="10"/>
    </row>
    <row r="11" spans="1:14" x14ac:dyDescent="0.25">
      <c r="A11" s="122">
        <v>1.01</v>
      </c>
      <c r="B11" s="17"/>
      <c r="C11" s="125" t="s">
        <v>92</v>
      </c>
      <c r="D11" s="320" t="s">
        <v>68</v>
      </c>
      <c r="E11" s="357"/>
      <c r="F11" s="329"/>
      <c r="G11" s="357"/>
      <c r="H11" s="329"/>
      <c r="I11" s="357"/>
      <c r="J11" s="7"/>
      <c r="K11" s="357"/>
      <c r="L11" s="7"/>
      <c r="M11" s="367">
        <f t="shared" ref="M11:M22" si="0">E11+G11+I11+K11</f>
        <v>0</v>
      </c>
      <c r="N11" s="10"/>
    </row>
    <row r="12" spans="1:14" x14ac:dyDescent="0.25">
      <c r="A12" s="121">
        <v>1.02</v>
      </c>
      <c r="B12" s="119"/>
      <c r="C12" s="125" t="s">
        <v>93</v>
      </c>
      <c r="D12" s="321" t="s">
        <v>68</v>
      </c>
      <c r="E12" s="357"/>
      <c r="F12" s="329"/>
      <c r="G12" s="357"/>
      <c r="H12" s="329"/>
      <c r="I12" s="357"/>
      <c r="J12" s="7"/>
      <c r="K12" s="357"/>
      <c r="L12" s="7"/>
      <c r="M12" s="368">
        <f t="shared" si="0"/>
        <v>0</v>
      </c>
      <c r="N12" s="10"/>
    </row>
    <row r="13" spans="1:14" x14ac:dyDescent="0.25">
      <c r="A13" s="123">
        <v>1.03</v>
      </c>
      <c r="B13" s="65"/>
      <c r="C13" s="125" t="s">
        <v>94</v>
      </c>
      <c r="D13" s="313" t="s">
        <v>68</v>
      </c>
      <c r="E13" s="357"/>
      <c r="F13" s="329"/>
      <c r="G13" s="357"/>
      <c r="H13" s="329"/>
      <c r="I13" s="357"/>
      <c r="J13" s="7"/>
      <c r="K13" s="357"/>
      <c r="L13" s="7"/>
      <c r="M13" s="368">
        <f t="shared" si="0"/>
        <v>0</v>
      </c>
      <c r="N13" s="10"/>
    </row>
    <row r="14" spans="1:14" x14ac:dyDescent="0.25">
      <c r="A14" s="122">
        <v>1.04</v>
      </c>
      <c r="B14" s="17"/>
      <c r="C14" s="125" t="s">
        <v>95</v>
      </c>
      <c r="D14" s="313" t="s">
        <v>68</v>
      </c>
      <c r="E14" s="357"/>
      <c r="F14" s="329"/>
      <c r="G14" s="357"/>
      <c r="H14" s="329"/>
      <c r="I14" s="357"/>
      <c r="J14" s="7"/>
      <c r="K14" s="357"/>
      <c r="L14" s="7"/>
      <c r="M14" s="368">
        <f t="shared" si="0"/>
        <v>0</v>
      </c>
      <c r="N14" s="10"/>
    </row>
    <row r="15" spans="1:14" x14ac:dyDescent="0.25">
      <c r="A15" s="122">
        <v>1.05</v>
      </c>
      <c r="B15" s="17"/>
      <c r="C15" s="125" t="s">
        <v>96</v>
      </c>
      <c r="D15" s="313" t="s">
        <v>68</v>
      </c>
      <c r="E15" s="357"/>
      <c r="F15" s="329"/>
      <c r="G15" s="357"/>
      <c r="H15" s="329"/>
      <c r="I15" s="357"/>
      <c r="J15" s="7"/>
      <c r="K15" s="357"/>
      <c r="L15" s="7"/>
      <c r="M15" s="368">
        <f t="shared" si="0"/>
        <v>0</v>
      </c>
      <c r="N15" s="10"/>
    </row>
    <row r="16" spans="1:14" x14ac:dyDescent="0.25">
      <c r="A16" s="122">
        <v>1.06</v>
      </c>
      <c r="B16" s="17"/>
      <c r="C16" s="125" t="s">
        <v>97</v>
      </c>
      <c r="D16" s="313" t="s">
        <v>68</v>
      </c>
      <c r="E16" s="357"/>
      <c r="F16" s="330"/>
      <c r="G16" s="357"/>
      <c r="H16" s="330"/>
      <c r="I16" s="357"/>
      <c r="J16" s="7"/>
      <c r="K16" s="357"/>
      <c r="L16" s="7"/>
      <c r="M16" s="368">
        <f t="shared" si="0"/>
        <v>0</v>
      </c>
      <c r="N16" s="10"/>
    </row>
    <row r="17" spans="1:14" x14ac:dyDescent="0.25">
      <c r="A17" s="122">
        <v>1.07</v>
      </c>
      <c r="B17" s="17"/>
      <c r="C17" s="125" t="s">
        <v>98</v>
      </c>
      <c r="D17" s="313" t="s">
        <v>68</v>
      </c>
      <c r="E17" s="357"/>
      <c r="F17" s="330"/>
      <c r="G17" s="357"/>
      <c r="H17" s="330"/>
      <c r="I17" s="357"/>
      <c r="J17" s="7"/>
      <c r="K17" s="357"/>
      <c r="L17" s="7"/>
      <c r="M17" s="368">
        <f t="shared" si="0"/>
        <v>0</v>
      </c>
      <c r="N17" s="10"/>
    </row>
    <row r="18" spans="1:14" x14ac:dyDescent="0.25">
      <c r="A18" s="122">
        <v>1.08</v>
      </c>
      <c r="B18" s="17"/>
      <c r="C18" s="125" t="s">
        <v>99</v>
      </c>
      <c r="D18" s="313" t="s">
        <v>68</v>
      </c>
      <c r="E18" s="357"/>
      <c r="F18" s="330"/>
      <c r="G18" s="357"/>
      <c r="H18" s="330"/>
      <c r="I18" s="357"/>
      <c r="J18" s="7"/>
      <c r="K18" s="357"/>
      <c r="L18" s="7"/>
      <c r="M18" s="368">
        <f t="shared" si="0"/>
        <v>0</v>
      </c>
      <c r="N18" s="10"/>
    </row>
    <row r="19" spans="1:14" x14ac:dyDescent="0.25">
      <c r="A19" s="122">
        <v>1.0900000000000001</v>
      </c>
      <c r="B19" s="17"/>
      <c r="C19" s="125" t="s">
        <v>100</v>
      </c>
      <c r="D19" s="313" t="s">
        <v>68</v>
      </c>
      <c r="E19" s="357"/>
      <c r="F19" s="330"/>
      <c r="G19" s="357"/>
      <c r="H19" s="330"/>
      <c r="I19" s="357"/>
      <c r="J19" s="7"/>
      <c r="K19" s="357"/>
      <c r="L19" s="7"/>
      <c r="M19" s="368">
        <f t="shared" si="0"/>
        <v>0</v>
      </c>
      <c r="N19" s="10"/>
    </row>
    <row r="20" spans="1:14" x14ac:dyDescent="0.25">
      <c r="A20" s="124">
        <v>1.1000000000000001</v>
      </c>
      <c r="B20" s="17"/>
      <c r="C20" s="125" t="s">
        <v>101</v>
      </c>
      <c r="D20" s="313" t="s">
        <v>68</v>
      </c>
      <c r="E20" s="357"/>
      <c r="F20" s="329"/>
      <c r="G20" s="357"/>
      <c r="H20" s="329"/>
      <c r="I20" s="357"/>
      <c r="J20" s="7"/>
      <c r="K20" s="357"/>
      <c r="L20" s="7"/>
      <c r="M20" s="368">
        <f t="shared" si="0"/>
        <v>0</v>
      </c>
      <c r="N20" s="10"/>
    </row>
    <row r="21" spans="1:14" ht="15.75" thickBot="1" x14ac:dyDescent="0.3">
      <c r="A21" s="124">
        <v>1.1100000000000001</v>
      </c>
      <c r="B21" s="17"/>
      <c r="C21" s="363" t="s">
        <v>17</v>
      </c>
      <c r="D21" s="313" t="s">
        <v>68</v>
      </c>
      <c r="E21" s="357"/>
      <c r="F21" s="329"/>
      <c r="G21" s="357"/>
      <c r="H21" s="329"/>
      <c r="I21" s="357"/>
      <c r="J21" s="7"/>
      <c r="K21" s="357"/>
      <c r="L21" s="7"/>
      <c r="M21" s="369">
        <f t="shared" si="0"/>
        <v>0</v>
      </c>
      <c r="N21" s="10"/>
    </row>
    <row r="22" spans="1:14" ht="15.75" thickBot="1" x14ac:dyDescent="0.3">
      <c r="A22" s="124"/>
      <c r="B22" s="17"/>
      <c r="C22" s="375" t="s">
        <v>343</v>
      </c>
      <c r="D22" s="359"/>
      <c r="E22" s="2">
        <f>SUM(E11:E21)</f>
        <v>0</v>
      </c>
      <c r="F22" s="330"/>
      <c r="G22" s="2">
        <f>SUM(G11:G21)</f>
        <v>0</v>
      </c>
      <c r="H22" s="330"/>
      <c r="I22" s="2">
        <f>SUM(I11:I21)</f>
        <v>0</v>
      </c>
      <c r="J22" s="7"/>
      <c r="K22" s="2">
        <f>SUM(K11:K21)</f>
        <v>0</v>
      </c>
      <c r="L22" s="7"/>
      <c r="M22" s="376">
        <f t="shared" si="0"/>
        <v>0</v>
      </c>
      <c r="N22" s="10"/>
    </row>
    <row r="23" spans="1:14" s="315" customFormat="1" ht="15.75" thickBot="1" x14ac:dyDescent="0.3">
      <c r="A23" s="371" t="s">
        <v>109</v>
      </c>
      <c r="B23" s="119" t="s">
        <v>27</v>
      </c>
      <c r="C23" s="119"/>
      <c r="D23" s="362"/>
      <c r="E23" s="364"/>
      <c r="F23" s="330"/>
      <c r="G23" s="364"/>
      <c r="H23" s="330"/>
      <c r="I23" s="364"/>
      <c r="J23" s="7"/>
      <c r="K23" s="364"/>
      <c r="L23" s="7"/>
      <c r="M23" s="365"/>
    </row>
    <row r="24" spans="1:14" s="315" customFormat="1" x14ac:dyDescent="0.25">
      <c r="A24" s="122">
        <v>1.01</v>
      </c>
      <c r="B24" s="17"/>
      <c r="C24" s="125" t="s">
        <v>102</v>
      </c>
      <c r="D24" s="313" t="s">
        <v>69</v>
      </c>
      <c r="E24" s="357"/>
      <c r="F24" s="330"/>
      <c r="G24" s="357"/>
      <c r="H24" s="330"/>
      <c r="I24" s="357"/>
      <c r="J24" s="7"/>
      <c r="K24" s="357"/>
      <c r="L24" s="7"/>
      <c r="M24" s="367">
        <f>E24+G24+I24+K24</f>
        <v>0</v>
      </c>
    </row>
    <row r="25" spans="1:14" s="315" customFormat="1" x14ac:dyDescent="0.25">
      <c r="A25" s="372">
        <v>1.02</v>
      </c>
      <c r="B25" s="119"/>
      <c r="C25" s="125" t="s">
        <v>103</v>
      </c>
      <c r="D25" s="321" t="s">
        <v>69</v>
      </c>
      <c r="E25" s="357"/>
      <c r="F25" s="329"/>
      <c r="G25" s="357"/>
      <c r="H25" s="329"/>
      <c r="I25" s="357"/>
      <c r="J25" s="7"/>
      <c r="K25" s="357"/>
      <c r="L25" s="7"/>
      <c r="M25" s="368">
        <f>E25+G25+I25+K25</f>
        <v>0</v>
      </c>
    </row>
    <row r="26" spans="1:14" s="315" customFormat="1" ht="15.75" thickBot="1" x14ac:dyDescent="0.3">
      <c r="A26" s="123">
        <v>1.03</v>
      </c>
      <c r="B26" s="65"/>
      <c r="C26" s="125" t="s">
        <v>104</v>
      </c>
      <c r="D26" s="313" t="s">
        <v>69</v>
      </c>
      <c r="E26" s="357"/>
      <c r="F26" s="329"/>
      <c r="G26" s="357"/>
      <c r="H26" s="329"/>
      <c r="I26" s="357"/>
      <c r="J26" s="7"/>
      <c r="K26" s="357"/>
      <c r="L26" s="7"/>
      <c r="M26" s="369">
        <f>E26+G26+I26+K26</f>
        <v>0</v>
      </c>
    </row>
    <row r="27" spans="1:14" s="315" customFormat="1" ht="15.75" thickBot="1" x14ac:dyDescent="0.3">
      <c r="A27" s="123"/>
      <c r="B27" s="65"/>
      <c r="C27" s="379" t="s">
        <v>349</v>
      </c>
      <c r="D27" s="359"/>
      <c r="E27" s="2">
        <f>E24+E25+E26</f>
        <v>0</v>
      </c>
      <c r="F27" s="330"/>
      <c r="G27" s="2">
        <f>G24+G25+G26</f>
        <v>0</v>
      </c>
      <c r="H27" s="330"/>
      <c r="I27" s="2">
        <f>I24+I25+I26</f>
        <v>0</v>
      </c>
      <c r="J27" s="7"/>
      <c r="K27" s="2">
        <f>K24+K25+K26</f>
        <v>0</v>
      </c>
      <c r="L27" s="7"/>
      <c r="M27" s="376">
        <f t="shared" ref="M27" si="1">E27+G27+I27+K27</f>
        <v>0</v>
      </c>
    </row>
    <row r="28" spans="1:14" s="315" customFormat="1" ht="15.75" thickBot="1" x14ac:dyDescent="0.3">
      <c r="A28" s="371" t="s">
        <v>109</v>
      </c>
      <c r="B28" s="119" t="s">
        <v>105</v>
      </c>
      <c r="C28" s="119"/>
      <c r="D28" s="362"/>
      <c r="E28" s="364"/>
      <c r="F28" s="330"/>
      <c r="G28" s="364"/>
      <c r="H28" s="330"/>
      <c r="I28" s="364"/>
      <c r="J28" s="7"/>
      <c r="K28" s="364"/>
      <c r="L28" s="7"/>
      <c r="M28" s="365"/>
    </row>
    <row r="29" spans="1:14" s="315" customFormat="1" x14ac:dyDescent="0.25">
      <c r="A29" s="122">
        <v>1.01</v>
      </c>
      <c r="B29" s="17"/>
      <c r="C29" s="373" t="s">
        <v>160</v>
      </c>
      <c r="D29" s="374" t="s">
        <v>70</v>
      </c>
      <c r="E29" s="357"/>
      <c r="F29" s="330"/>
      <c r="G29" s="357"/>
      <c r="H29" s="330"/>
      <c r="I29" s="357"/>
      <c r="J29" s="7"/>
      <c r="K29" s="357"/>
      <c r="L29" s="7"/>
      <c r="M29" s="367">
        <f>E29+G29+I29+K29</f>
        <v>0</v>
      </c>
    </row>
    <row r="30" spans="1:14" s="315" customFormat="1" x14ac:dyDescent="0.25">
      <c r="A30" s="121">
        <v>1.02</v>
      </c>
      <c r="B30" s="119"/>
      <c r="C30" s="373" t="s">
        <v>161</v>
      </c>
      <c r="D30" s="374" t="s">
        <v>70</v>
      </c>
      <c r="E30" s="357"/>
      <c r="F30" s="330"/>
      <c r="G30" s="357"/>
      <c r="H30" s="330"/>
      <c r="I30" s="357"/>
      <c r="J30" s="7"/>
      <c r="K30" s="357"/>
      <c r="L30" s="7"/>
      <c r="M30" s="368">
        <f>E30+G30+I30+K30</f>
        <v>0</v>
      </c>
    </row>
    <row r="31" spans="1:14" s="315" customFormat="1" x14ac:dyDescent="0.25">
      <c r="A31" s="123">
        <v>1.03</v>
      </c>
      <c r="B31" s="65"/>
      <c r="C31" s="373" t="s">
        <v>162</v>
      </c>
      <c r="D31" s="374" t="s">
        <v>70</v>
      </c>
      <c r="E31" s="357"/>
      <c r="F31" s="329"/>
      <c r="G31" s="357"/>
      <c r="H31" s="329"/>
      <c r="I31" s="357"/>
      <c r="J31" s="7"/>
      <c r="K31" s="357"/>
      <c r="L31" s="7"/>
      <c r="M31" s="368">
        <f>E31+G31+I31+K31</f>
        <v>0</v>
      </c>
    </row>
    <row r="32" spans="1:14" s="315" customFormat="1" ht="15.75" thickBot="1" x14ac:dyDescent="0.3">
      <c r="A32" s="123">
        <v>1.04</v>
      </c>
      <c r="B32" s="65"/>
      <c r="C32" s="373" t="s">
        <v>106</v>
      </c>
      <c r="D32" s="374" t="s">
        <v>70</v>
      </c>
      <c r="E32" s="357"/>
      <c r="F32" s="329"/>
      <c r="G32" s="357"/>
      <c r="H32" s="329"/>
      <c r="I32" s="357"/>
      <c r="J32" s="7"/>
      <c r="K32" s="357"/>
      <c r="L32" s="7"/>
      <c r="M32" s="369">
        <f>E32+G32+I32+K32</f>
        <v>0</v>
      </c>
    </row>
    <row r="33" spans="1:15" s="315" customFormat="1" ht="15.75" thickBot="1" x14ac:dyDescent="0.3">
      <c r="A33" s="380"/>
      <c r="B33" s="381"/>
      <c r="C33" s="379" t="s">
        <v>350</v>
      </c>
      <c r="D33" s="359"/>
      <c r="E33" s="2">
        <f>E29+E30+E31+E32</f>
        <v>0</v>
      </c>
      <c r="F33" s="330"/>
      <c r="G33" s="2">
        <f>G29+G30+G31+G32</f>
        <v>0</v>
      </c>
      <c r="H33" s="330"/>
      <c r="I33" s="2">
        <f>I29+I30+I31+I32</f>
        <v>0</v>
      </c>
      <c r="J33" s="7"/>
      <c r="K33" s="2">
        <f>K29+K30+K31+K32</f>
        <v>0</v>
      </c>
      <c r="L33" s="7"/>
      <c r="M33" s="376">
        <f t="shared" ref="M33" si="2">E33+G33+I33+K33</f>
        <v>0</v>
      </c>
    </row>
    <row r="34" spans="1:15" s="315" customFormat="1" ht="15.75" thickBot="1" x14ac:dyDescent="0.3">
      <c r="A34" s="360"/>
      <c r="B34" s="361"/>
      <c r="C34" s="358"/>
      <c r="D34" s="362"/>
      <c r="E34" s="364"/>
      <c r="F34" s="330"/>
      <c r="G34" s="364"/>
      <c r="H34" s="330"/>
      <c r="I34" s="364"/>
      <c r="J34" s="7"/>
      <c r="K34" s="364"/>
      <c r="L34" s="7"/>
      <c r="M34" s="365"/>
    </row>
    <row r="35" spans="1:15" ht="31.5" customHeight="1" thickBot="1" x14ac:dyDescent="0.3">
      <c r="A35" s="7"/>
      <c r="B35" s="21"/>
      <c r="C35" s="11"/>
      <c r="D35" s="22"/>
      <c r="E35" s="356">
        <f>E22+E27+E33</f>
        <v>0</v>
      </c>
      <c r="F35" s="22"/>
      <c r="G35" s="356">
        <f>G22+G27+G33</f>
        <v>0</v>
      </c>
      <c r="H35" s="22"/>
      <c r="I35" s="356">
        <f>I22+I27+I33</f>
        <v>0</v>
      </c>
      <c r="J35" s="139"/>
      <c r="K35" s="356">
        <f>K22+K27+K33</f>
        <v>0</v>
      </c>
      <c r="L35" s="139"/>
      <c r="M35" s="90">
        <f>M22+M27+M33</f>
        <v>0</v>
      </c>
      <c r="N35" s="91" t="s">
        <v>388</v>
      </c>
      <c r="O35" s="30"/>
    </row>
    <row r="36" spans="1:15" s="30" customFormat="1" ht="15.75" thickBot="1" x14ac:dyDescent="0.3">
      <c r="B36" s="197"/>
      <c r="C36" s="198"/>
      <c r="D36" s="32"/>
      <c r="F36" s="32"/>
      <c r="G36" s="34"/>
      <c r="H36" s="32"/>
      <c r="I36" s="34"/>
      <c r="J36" s="319"/>
      <c r="K36" s="319"/>
      <c r="L36" s="319"/>
      <c r="M36" s="35"/>
    </row>
    <row r="37" spans="1:15" s="30" customFormat="1" ht="30.75" customHeight="1" thickBot="1" x14ac:dyDescent="0.3">
      <c r="A37" s="566"/>
      <c r="B37" s="566"/>
      <c r="C37" s="566"/>
      <c r="D37" s="32"/>
      <c r="F37" s="32"/>
      <c r="G37" s="41"/>
      <c r="H37" s="32"/>
      <c r="I37" s="41"/>
      <c r="J37" s="315"/>
      <c r="K37" s="315"/>
      <c r="L37" s="315"/>
      <c r="M37" s="90">
        <f>E35+G35+I35+K35</f>
        <v>0</v>
      </c>
      <c r="N37" s="91" t="s">
        <v>22</v>
      </c>
    </row>
    <row r="38" spans="1:15" s="30" customFormat="1" ht="27.75" customHeight="1" x14ac:dyDescent="0.25">
      <c r="A38" s="402"/>
      <c r="B38" s="377"/>
      <c r="C38" s="377"/>
      <c r="D38" s="32"/>
      <c r="F38" s="32"/>
      <c r="G38" s="41"/>
      <c r="H38" s="32"/>
      <c r="I38" s="41"/>
      <c r="J38" s="315"/>
      <c r="K38" s="315"/>
      <c r="L38" s="315"/>
      <c r="M38" s="44">
        <f>M35-M37</f>
        <v>0</v>
      </c>
      <c r="N38" s="45" t="s">
        <v>23</v>
      </c>
    </row>
    <row r="39" spans="1:15" s="30" customFormat="1" x14ac:dyDescent="0.25">
      <c r="A39" s="36"/>
      <c r="B39" s="31"/>
      <c r="C39" s="31"/>
      <c r="D39" s="32"/>
      <c r="F39" s="32"/>
      <c r="G39" s="41"/>
      <c r="H39" s="32"/>
      <c r="I39" s="41"/>
      <c r="J39" s="315"/>
      <c r="K39" s="315"/>
      <c r="L39" s="315"/>
    </row>
    <row r="40" spans="1:15" s="30" customFormat="1" x14ac:dyDescent="0.25">
      <c r="A40" s="36"/>
      <c r="B40" s="31"/>
      <c r="C40" s="31"/>
      <c r="D40" s="32"/>
      <c r="F40" s="32"/>
      <c r="G40" s="41"/>
      <c r="H40" s="32"/>
      <c r="I40" s="41"/>
      <c r="J40" s="315"/>
      <c r="K40" s="315"/>
      <c r="L40" s="315"/>
    </row>
    <row r="41" spans="1:15" s="30" customFormat="1" x14ac:dyDescent="0.25">
      <c r="A41" s="36"/>
      <c r="B41" s="31"/>
      <c r="C41" s="31"/>
      <c r="D41" s="32"/>
      <c r="F41" s="32"/>
      <c r="G41" s="41"/>
      <c r="H41" s="32"/>
      <c r="I41" s="41"/>
      <c r="J41" s="315"/>
      <c r="K41" s="315"/>
      <c r="L41" s="315"/>
    </row>
    <row r="42" spans="1:15" s="30" customFormat="1" x14ac:dyDescent="0.25">
      <c r="A42" s="36"/>
      <c r="B42" s="31"/>
      <c r="C42" s="31"/>
      <c r="D42" s="32"/>
      <c r="F42" s="32"/>
      <c r="G42" s="41"/>
      <c r="H42" s="32"/>
      <c r="I42" s="41"/>
      <c r="J42" s="315"/>
      <c r="K42" s="315"/>
      <c r="L42" s="315"/>
    </row>
    <row r="43" spans="1:15" s="30" customFormat="1" x14ac:dyDescent="0.25">
      <c r="A43" s="36"/>
      <c r="B43" s="31"/>
      <c r="D43" s="32"/>
      <c r="F43" s="32"/>
      <c r="G43" s="41"/>
      <c r="H43" s="32"/>
      <c r="I43" s="41"/>
      <c r="J43" s="315"/>
      <c r="K43" s="315"/>
      <c r="L43" s="315"/>
    </row>
    <row r="44" spans="1:15" s="30" customFormat="1" x14ac:dyDescent="0.25">
      <c r="A44" s="36"/>
      <c r="B44" s="31"/>
      <c r="C44" s="31"/>
      <c r="D44" s="32"/>
      <c r="F44" s="32"/>
      <c r="G44" s="41"/>
      <c r="H44" s="32"/>
      <c r="I44" s="41"/>
      <c r="J44" s="315"/>
      <c r="K44" s="315"/>
      <c r="L44" s="315"/>
    </row>
    <row r="45" spans="1:15" s="30" customFormat="1" x14ac:dyDescent="0.25">
      <c r="A45" s="36"/>
      <c r="B45" s="31"/>
      <c r="C45" s="31"/>
      <c r="D45" s="32"/>
      <c r="F45" s="32"/>
      <c r="G45" s="41"/>
      <c r="H45" s="32"/>
      <c r="I45" s="41"/>
      <c r="J45" s="315"/>
      <c r="K45" s="315"/>
      <c r="L45" s="315"/>
    </row>
    <row r="46" spans="1:15" s="30" customFormat="1" x14ac:dyDescent="0.25">
      <c r="A46" s="36"/>
      <c r="B46" s="31"/>
      <c r="C46" s="31"/>
      <c r="D46" s="32"/>
      <c r="F46" s="32"/>
      <c r="G46" s="41"/>
      <c r="H46" s="32"/>
      <c r="I46" s="41"/>
      <c r="J46" s="315"/>
      <c r="K46" s="315"/>
      <c r="L46" s="315"/>
    </row>
    <row r="47" spans="1:15" s="30" customFormat="1" x14ac:dyDescent="0.25">
      <c r="A47" s="36"/>
      <c r="B47" s="31"/>
      <c r="C47" s="31"/>
      <c r="D47" s="32"/>
      <c r="F47" s="32"/>
      <c r="G47" s="41"/>
      <c r="H47" s="32"/>
      <c r="I47" s="41"/>
      <c r="J47" s="315"/>
      <c r="K47" s="315"/>
      <c r="L47" s="315"/>
    </row>
    <row r="48" spans="1:15" s="30" customFormat="1" x14ac:dyDescent="0.25">
      <c r="A48" s="36"/>
      <c r="B48" s="31"/>
      <c r="C48" s="31"/>
      <c r="D48" s="32"/>
      <c r="F48" s="32"/>
      <c r="G48" s="41"/>
      <c r="H48" s="32"/>
      <c r="I48" s="41"/>
      <c r="J48" s="315"/>
      <c r="K48" s="315"/>
      <c r="L48" s="315"/>
    </row>
    <row r="49" spans="1:12" s="30" customFormat="1" x14ac:dyDescent="0.25">
      <c r="A49" s="36"/>
      <c r="B49" s="31"/>
      <c r="C49" s="31"/>
      <c r="D49" s="32"/>
      <c r="F49" s="32"/>
      <c r="G49" s="41"/>
      <c r="H49" s="32"/>
      <c r="I49" s="41"/>
      <c r="J49" s="315"/>
      <c r="K49" s="315"/>
      <c r="L49" s="315"/>
    </row>
    <row r="50" spans="1:12" s="30" customFormat="1" x14ac:dyDescent="0.25">
      <c r="A50" s="36"/>
      <c r="B50" s="31"/>
      <c r="C50" s="31"/>
      <c r="D50" s="32"/>
      <c r="F50" s="32"/>
      <c r="G50" s="41"/>
      <c r="H50" s="32"/>
      <c r="I50" s="41"/>
      <c r="J50" s="315"/>
      <c r="K50" s="315"/>
      <c r="L50" s="315"/>
    </row>
    <row r="51" spans="1:12" s="30" customFormat="1" x14ac:dyDescent="0.25">
      <c r="A51" s="36"/>
      <c r="B51" s="31"/>
      <c r="C51" s="31"/>
      <c r="D51" s="32"/>
      <c r="F51" s="32"/>
      <c r="G51" s="41"/>
      <c r="H51" s="32"/>
      <c r="I51" s="41"/>
      <c r="J51" s="315"/>
      <c r="K51" s="315"/>
      <c r="L51" s="315"/>
    </row>
    <row r="52" spans="1:12" s="30" customFormat="1" x14ac:dyDescent="0.25">
      <c r="A52" s="36"/>
      <c r="B52" s="31"/>
      <c r="C52" s="31"/>
      <c r="D52" s="32"/>
      <c r="F52" s="32"/>
      <c r="G52" s="41"/>
      <c r="H52" s="32"/>
      <c r="I52" s="41"/>
      <c r="J52" s="315"/>
      <c r="K52" s="315"/>
      <c r="L52" s="315"/>
    </row>
    <row r="53" spans="1:12" s="30" customFormat="1" x14ac:dyDescent="0.25">
      <c r="A53" s="36"/>
      <c r="B53" s="31"/>
      <c r="C53" s="31"/>
      <c r="D53" s="32"/>
      <c r="F53" s="32"/>
      <c r="G53" s="41"/>
      <c r="H53" s="32"/>
      <c r="I53" s="41"/>
      <c r="J53" s="315"/>
      <c r="K53" s="315"/>
      <c r="L53" s="315"/>
    </row>
    <row r="54" spans="1:12" s="30" customFormat="1" x14ac:dyDescent="0.25">
      <c r="A54" s="36"/>
      <c r="B54" s="31"/>
      <c r="C54" s="31"/>
      <c r="D54" s="32"/>
      <c r="F54" s="32"/>
      <c r="G54" s="41"/>
      <c r="H54" s="32"/>
      <c r="I54" s="41"/>
      <c r="J54" s="315"/>
      <c r="K54" s="315"/>
      <c r="L54" s="315"/>
    </row>
    <row r="55" spans="1:12" s="30" customFormat="1" x14ac:dyDescent="0.25">
      <c r="A55" s="36"/>
      <c r="B55" s="31"/>
      <c r="C55" s="31"/>
      <c r="D55" s="32"/>
      <c r="F55" s="32"/>
      <c r="G55" s="41"/>
      <c r="H55" s="32"/>
      <c r="I55" s="41"/>
      <c r="J55" s="315"/>
      <c r="K55" s="315"/>
      <c r="L55" s="315"/>
    </row>
    <row r="56" spans="1:12" s="30" customFormat="1" x14ac:dyDescent="0.25">
      <c r="A56" s="36"/>
      <c r="B56" s="31"/>
      <c r="C56" s="31"/>
      <c r="D56" s="32"/>
      <c r="F56" s="32"/>
      <c r="G56" s="41"/>
      <c r="H56" s="32"/>
      <c r="I56" s="41"/>
      <c r="J56" s="315"/>
      <c r="K56" s="315"/>
      <c r="L56" s="315"/>
    </row>
    <row r="57" spans="1:12" s="30" customFormat="1" x14ac:dyDescent="0.25">
      <c r="A57" s="36"/>
      <c r="B57" s="31"/>
      <c r="C57" s="31"/>
      <c r="D57" s="32"/>
      <c r="F57" s="32"/>
      <c r="G57" s="41"/>
      <c r="H57" s="32"/>
      <c r="I57" s="41"/>
      <c r="J57" s="315"/>
      <c r="K57" s="315"/>
      <c r="L57" s="315"/>
    </row>
    <row r="58" spans="1:12" s="30" customFormat="1" x14ac:dyDescent="0.25">
      <c r="A58" s="36"/>
      <c r="B58" s="31"/>
      <c r="C58" s="31"/>
      <c r="D58" s="32"/>
      <c r="F58" s="32"/>
      <c r="G58" s="41"/>
      <c r="H58" s="32"/>
      <c r="I58" s="41"/>
      <c r="J58" s="315"/>
      <c r="K58" s="315"/>
      <c r="L58" s="315"/>
    </row>
    <row r="59" spans="1:12" s="30" customFormat="1" x14ac:dyDescent="0.25">
      <c r="A59" s="36"/>
      <c r="B59" s="31"/>
      <c r="C59" s="31"/>
      <c r="D59" s="32"/>
      <c r="F59" s="32"/>
      <c r="G59" s="41"/>
      <c r="H59" s="32"/>
      <c r="I59" s="41"/>
      <c r="J59" s="315"/>
      <c r="K59" s="315"/>
      <c r="L59" s="315"/>
    </row>
    <row r="60" spans="1:12" s="30" customFormat="1" x14ac:dyDescent="0.25">
      <c r="A60" s="36"/>
      <c r="B60" s="31"/>
      <c r="C60" s="31"/>
      <c r="D60" s="32"/>
      <c r="F60" s="32"/>
      <c r="G60" s="41"/>
      <c r="H60" s="32"/>
      <c r="I60" s="41"/>
      <c r="J60" s="315"/>
      <c r="K60" s="315"/>
      <c r="L60" s="315"/>
    </row>
    <row r="61" spans="1:12" s="30" customFormat="1" x14ac:dyDescent="0.25">
      <c r="A61" s="36"/>
      <c r="B61" s="31"/>
      <c r="C61" s="31"/>
      <c r="D61" s="32"/>
      <c r="F61" s="32"/>
      <c r="G61" s="41"/>
      <c r="H61" s="32"/>
      <c r="I61" s="41"/>
      <c r="J61" s="315"/>
      <c r="K61" s="315"/>
      <c r="L61" s="315"/>
    </row>
    <row r="62" spans="1:12" s="30" customFormat="1" x14ac:dyDescent="0.25">
      <c r="A62" s="36"/>
      <c r="B62" s="31"/>
      <c r="C62" s="31"/>
      <c r="D62" s="32"/>
      <c r="F62" s="32"/>
      <c r="G62" s="41"/>
      <c r="H62" s="32"/>
      <c r="I62" s="41"/>
      <c r="J62" s="315"/>
      <c r="K62" s="315"/>
      <c r="L62" s="315"/>
    </row>
    <row r="63" spans="1:12" s="30" customFormat="1" x14ac:dyDescent="0.25">
      <c r="A63" s="36"/>
      <c r="B63" s="31"/>
      <c r="C63" s="31"/>
      <c r="D63" s="32"/>
      <c r="F63" s="32"/>
      <c r="G63" s="41"/>
      <c r="H63" s="32"/>
      <c r="I63" s="41"/>
      <c r="J63" s="315"/>
      <c r="K63" s="315"/>
      <c r="L63" s="315"/>
    </row>
    <row r="64" spans="1:12" s="30" customFormat="1" x14ac:dyDescent="0.25">
      <c r="A64" s="36"/>
      <c r="B64" s="31"/>
      <c r="C64" s="31"/>
      <c r="D64" s="32"/>
      <c r="F64" s="32"/>
      <c r="G64" s="41"/>
      <c r="H64" s="32"/>
      <c r="I64" s="41"/>
      <c r="J64" s="315"/>
      <c r="K64" s="315"/>
      <c r="L64" s="315"/>
    </row>
    <row r="65" spans="1:12" s="30" customFormat="1" x14ac:dyDescent="0.25">
      <c r="A65" s="36"/>
      <c r="B65" s="31"/>
      <c r="C65" s="31"/>
      <c r="D65" s="32"/>
      <c r="F65" s="32"/>
      <c r="G65" s="41"/>
      <c r="H65" s="32"/>
      <c r="I65" s="41"/>
      <c r="J65" s="315"/>
      <c r="K65" s="315"/>
      <c r="L65" s="315"/>
    </row>
    <row r="66" spans="1:12" s="30" customFormat="1" x14ac:dyDescent="0.25">
      <c r="A66" s="36"/>
      <c r="B66" s="31"/>
      <c r="C66" s="31"/>
      <c r="D66" s="32"/>
      <c r="F66" s="32"/>
      <c r="G66" s="41"/>
      <c r="H66" s="32"/>
      <c r="I66" s="41"/>
      <c r="J66" s="315"/>
      <c r="K66" s="315"/>
      <c r="L66" s="315"/>
    </row>
    <row r="67" spans="1:12" s="30" customFormat="1" x14ac:dyDescent="0.25">
      <c r="A67" s="36"/>
      <c r="B67" s="31"/>
      <c r="C67" s="31"/>
      <c r="D67" s="32"/>
      <c r="F67" s="32"/>
      <c r="G67" s="41"/>
      <c r="H67" s="32"/>
      <c r="I67" s="41"/>
      <c r="J67" s="315"/>
      <c r="K67" s="315"/>
      <c r="L67" s="315"/>
    </row>
    <row r="68" spans="1:12" s="30" customFormat="1" x14ac:dyDescent="0.25">
      <c r="A68" s="36"/>
      <c r="B68" s="31"/>
      <c r="C68" s="31"/>
      <c r="D68" s="32"/>
      <c r="F68" s="32"/>
      <c r="G68" s="41"/>
      <c r="H68" s="32"/>
      <c r="I68" s="41"/>
      <c r="J68" s="315"/>
      <c r="K68" s="315"/>
      <c r="L68" s="315"/>
    </row>
    <row r="69" spans="1:12" s="30" customFormat="1" x14ac:dyDescent="0.25">
      <c r="A69" s="36"/>
      <c r="B69" s="31"/>
      <c r="C69" s="31"/>
      <c r="D69" s="32"/>
      <c r="F69" s="32"/>
      <c r="G69" s="41"/>
      <c r="H69" s="32"/>
      <c r="I69" s="41"/>
      <c r="J69" s="315"/>
      <c r="K69" s="315"/>
      <c r="L69" s="315"/>
    </row>
    <row r="70" spans="1:12" s="30" customFormat="1" x14ac:dyDescent="0.25">
      <c r="A70" s="36"/>
      <c r="B70" s="31"/>
      <c r="C70" s="31"/>
      <c r="D70" s="32"/>
      <c r="F70" s="32"/>
      <c r="G70" s="41"/>
      <c r="H70" s="32"/>
      <c r="I70" s="41"/>
      <c r="J70" s="315"/>
      <c r="K70" s="315"/>
      <c r="L70" s="315"/>
    </row>
    <row r="71" spans="1:12" s="30" customFormat="1" x14ac:dyDescent="0.25">
      <c r="A71" s="36"/>
      <c r="B71" s="31"/>
      <c r="C71" s="31"/>
      <c r="D71" s="32"/>
      <c r="F71" s="32"/>
      <c r="G71" s="41"/>
      <c r="H71" s="32"/>
      <c r="I71" s="41"/>
      <c r="J71" s="315"/>
      <c r="K71" s="315"/>
      <c r="L71" s="315"/>
    </row>
    <row r="72" spans="1:12" s="30" customFormat="1" x14ac:dyDescent="0.25">
      <c r="A72" s="36"/>
      <c r="B72" s="31"/>
      <c r="C72" s="31"/>
      <c r="D72" s="32"/>
      <c r="F72" s="32"/>
      <c r="G72" s="41"/>
      <c r="H72" s="32"/>
      <c r="I72" s="41"/>
      <c r="J72" s="315"/>
      <c r="K72" s="315"/>
      <c r="L72" s="315"/>
    </row>
    <row r="73" spans="1:12" s="30" customFormat="1" x14ac:dyDescent="0.25">
      <c r="A73" s="36"/>
      <c r="B73" s="31"/>
      <c r="C73" s="31"/>
      <c r="D73" s="32"/>
      <c r="F73" s="32"/>
      <c r="G73" s="41"/>
      <c r="H73" s="32"/>
      <c r="I73" s="41"/>
      <c r="J73" s="315"/>
      <c r="K73" s="315"/>
      <c r="L73" s="315"/>
    </row>
    <row r="74" spans="1:12" s="30" customFormat="1" x14ac:dyDescent="0.25">
      <c r="A74" s="36"/>
      <c r="B74" s="31"/>
      <c r="C74" s="31"/>
      <c r="D74" s="32"/>
      <c r="F74" s="32"/>
      <c r="G74" s="41"/>
      <c r="H74" s="32"/>
      <c r="I74" s="41"/>
      <c r="J74" s="315"/>
      <c r="K74" s="315"/>
      <c r="L74" s="315"/>
    </row>
    <row r="75" spans="1:12" s="30" customFormat="1" x14ac:dyDescent="0.25">
      <c r="A75" s="36"/>
      <c r="B75" s="31"/>
      <c r="C75" s="31"/>
      <c r="D75" s="32"/>
      <c r="F75" s="32"/>
      <c r="G75" s="41"/>
      <c r="H75" s="32"/>
      <c r="I75" s="41"/>
      <c r="J75" s="315"/>
      <c r="K75" s="315"/>
      <c r="L75" s="315"/>
    </row>
    <row r="76" spans="1:12" s="30" customFormat="1" x14ac:dyDescent="0.25">
      <c r="A76" s="36"/>
      <c r="B76" s="31"/>
      <c r="C76" s="31"/>
      <c r="D76" s="32"/>
      <c r="F76" s="32"/>
      <c r="G76" s="41"/>
      <c r="H76" s="32"/>
      <c r="I76" s="41"/>
      <c r="J76" s="315"/>
      <c r="K76" s="315"/>
      <c r="L76" s="315"/>
    </row>
    <row r="77" spans="1:12" s="30" customFormat="1" x14ac:dyDescent="0.25">
      <c r="A77" s="36"/>
      <c r="B77" s="31"/>
      <c r="C77" s="31"/>
      <c r="D77" s="32"/>
      <c r="F77" s="32"/>
      <c r="G77" s="41"/>
      <c r="H77" s="32"/>
      <c r="I77" s="41"/>
      <c r="J77" s="315"/>
      <c r="K77" s="315"/>
      <c r="L77" s="315"/>
    </row>
    <row r="78" spans="1:12" s="30" customFormat="1" x14ac:dyDescent="0.25">
      <c r="A78" s="36"/>
      <c r="B78" s="31"/>
      <c r="C78" s="31"/>
      <c r="D78" s="32"/>
      <c r="F78" s="32"/>
      <c r="G78" s="41"/>
      <c r="H78" s="32"/>
      <c r="I78" s="41"/>
      <c r="J78" s="315"/>
      <c r="K78" s="315"/>
      <c r="L78" s="315"/>
    </row>
    <row r="79" spans="1:12" s="30" customFormat="1" x14ac:dyDescent="0.25">
      <c r="A79" s="36"/>
      <c r="B79" s="31"/>
      <c r="C79" s="31"/>
      <c r="D79" s="32"/>
      <c r="F79" s="32"/>
      <c r="G79" s="41"/>
      <c r="H79" s="32"/>
      <c r="I79" s="41"/>
      <c r="J79" s="315"/>
      <c r="K79" s="315"/>
      <c r="L79" s="315"/>
    </row>
    <row r="80" spans="1:12" s="30" customFormat="1" x14ac:dyDescent="0.25">
      <c r="A80" s="36"/>
      <c r="B80" s="31"/>
      <c r="C80" s="31"/>
      <c r="D80" s="32"/>
      <c r="F80" s="32"/>
      <c r="G80" s="41"/>
      <c r="H80" s="32"/>
      <c r="I80" s="41"/>
      <c r="J80" s="315"/>
      <c r="K80" s="315"/>
      <c r="L80" s="315"/>
    </row>
    <row r="81" spans="1:12" s="30" customFormat="1" x14ac:dyDescent="0.25">
      <c r="A81" s="36"/>
      <c r="B81" s="31"/>
      <c r="C81" s="31"/>
      <c r="D81" s="32"/>
      <c r="F81" s="32"/>
      <c r="G81" s="41"/>
      <c r="H81" s="32"/>
      <c r="I81" s="41"/>
      <c r="J81" s="315"/>
      <c r="K81" s="315"/>
      <c r="L81" s="315"/>
    </row>
    <row r="82" spans="1:12" s="30" customFormat="1" x14ac:dyDescent="0.25">
      <c r="A82" s="36"/>
      <c r="B82" s="31"/>
      <c r="C82" s="31"/>
      <c r="D82" s="32"/>
      <c r="F82" s="32"/>
      <c r="G82" s="41"/>
      <c r="H82" s="32"/>
      <c r="I82" s="41"/>
      <c r="J82" s="315"/>
      <c r="K82" s="315"/>
      <c r="L82" s="315"/>
    </row>
    <row r="83" spans="1:12" s="30" customFormat="1" x14ac:dyDescent="0.25">
      <c r="A83" s="36"/>
      <c r="B83" s="31"/>
      <c r="C83" s="31"/>
      <c r="D83" s="32"/>
      <c r="F83" s="32"/>
      <c r="G83" s="41"/>
      <c r="H83" s="32"/>
      <c r="I83" s="41"/>
      <c r="J83" s="315"/>
      <c r="K83" s="315"/>
      <c r="L83" s="315"/>
    </row>
    <row r="84" spans="1:12" s="30" customFormat="1" x14ac:dyDescent="0.25">
      <c r="A84" s="36"/>
      <c r="B84" s="31"/>
      <c r="C84" s="31"/>
      <c r="D84" s="32"/>
      <c r="F84" s="32"/>
      <c r="G84" s="41"/>
      <c r="H84" s="32"/>
      <c r="I84" s="41"/>
      <c r="J84" s="315"/>
      <c r="K84" s="315"/>
      <c r="L84" s="315"/>
    </row>
    <row r="85" spans="1:12" s="30" customFormat="1" x14ac:dyDescent="0.25">
      <c r="A85" s="36"/>
      <c r="B85" s="31"/>
      <c r="C85" s="31"/>
      <c r="D85" s="32"/>
      <c r="F85" s="32"/>
      <c r="G85" s="41"/>
      <c r="H85" s="32"/>
      <c r="I85" s="41"/>
      <c r="J85" s="315"/>
      <c r="K85" s="315"/>
      <c r="L85" s="315"/>
    </row>
    <row r="86" spans="1:12" s="30" customFormat="1" x14ac:dyDescent="0.25">
      <c r="A86" s="36"/>
      <c r="B86" s="31"/>
      <c r="C86" s="31"/>
      <c r="D86" s="32"/>
      <c r="F86" s="32"/>
      <c r="G86" s="41"/>
      <c r="H86" s="32"/>
      <c r="I86" s="41"/>
      <c r="J86" s="315"/>
      <c r="K86" s="315"/>
      <c r="L86" s="315"/>
    </row>
    <row r="87" spans="1:12" s="30" customFormat="1" x14ac:dyDescent="0.25">
      <c r="A87" s="36"/>
      <c r="B87" s="31"/>
      <c r="C87" s="31"/>
      <c r="D87" s="32"/>
      <c r="F87" s="32"/>
      <c r="G87" s="41"/>
      <c r="H87" s="32"/>
      <c r="I87" s="41"/>
      <c r="J87" s="315"/>
      <c r="K87" s="315"/>
      <c r="L87" s="315"/>
    </row>
    <row r="88" spans="1:12" s="30" customFormat="1" x14ac:dyDescent="0.25">
      <c r="A88" s="36"/>
      <c r="B88" s="31"/>
      <c r="C88" s="31"/>
      <c r="D88" s="32"/>
      <c r="F88" s="32"/>
      <c r="G88" s="41"/>
      <c r="H88" s="32"/>
      <c r="I88" s="41"/>
      <c r="J88" s="315"/>
      <c r="K88" s="315"/>
      <c r="L88" s="315"/>
    </row>
    <row r="89" spans="1:12" s="30" customFormat="1" x14ac:dyDescent="0.25">
      <c r="A89" s="36"/>
      <c r="B89" s="31"/>
      <c r="C89" s="31"/>
      <c r="D89" s="32"/>
      <c r="F89" s="32"/>
      <c r="G89" s="41"/>
      <c r="H89" s="32"/>
      <c r="I89" s="41"/>
      <c r="J89" s="315"/>
      <c r="K89" s="315"/>
      <c r="L89" s="315"/>
    </row>
    <row r="90" spans="1:12" s="30" customFormat="1" x14ac:dyDescent="0.25">
      <c r="A90" s="36"/>
      <c r="B90" s="31"/>
      <c r="C90" s="31"/>
      <c r="D90" s="32"/>
      <c r="F90" s="32"/>
      <c r="G90" s="41"/>
      <c r="H90" s="32"/>
      <c r="I90" s="41"/>
      <c r="J90" s="315"/>
      <c r="K90" s="315"/>
      <c r="L90" s="315"/>
    </row>
    <row r="91" spans="1:12" s="30" customFormat="1" x14ac:dyDescent="0.25">
      <c r="A91" s="36"/>
      <c r="B91" s="31"/>
      <c r="C91" s="31"/>
      <c r="D91" s="32"/>
      <c r="F91" s="32"/>
      <c r="G91" s="41"/>
      <c r="H91" s="32"/>
      <c r="I91" s="41"/>
      <c r="J91" s="315"/>
      <c r="K91" s="315"/>
      <c r="L91" s="315"/>
    </row>
    <row r="92" spans="1:12" s="30" customFormat="1" x14ac:dyDescent="0.25">
      <c r="A92" s="36"/>
      <c r="B92" s="31"/>
      <c r="C92" s="31"/>
      <c r="D92" s="32"/>
      <c r="F92" s="32"/>
      <c r="G92" s="41"/>
      <c r="H92" s="32"/>
      <c r="I92" s="41"/>
      <c r="J92" s="315"/>
      <c r="K92" s="315"/>
      <c r="L92" s="315"/>
    </row>
    <row r="93" spans="1:12" s="30" customFormat="1" x14ac:dyDescent="0.25">
      <c r="A93" s="36"/>
      <c r="B93" s="31"/>
      <c r="C93" s="31"/>
      <c r="D93" s="32"/>
      <c r="F93" s="32"/>
      <c r="G93" s="41"/>
      <c r="H93" s="32"/>
      <c r="I93" s="41"/>
      <c r="J93" s="315"/>
      <c r="K93" s="315"/>
      <c r="L93" s="315"/>
    </row>
    <row r="94" spans="1:12" s="30" customFormat="1" x14ac:dyDescent="0.25">
      <c r="A94" s="36"/>
      <c r="B94" s="31"/>
      <c r="C94" s="31"/>
      <c r="D94" s="32"/>
      <c r="F94" s="32"/>
      <c r="G94" s="41"/>
      <c r="H94" s="32"/>
      <c r="I94" s="41"/>
      <c r="J94" s="315"/>
      <c r="K94" s="315"/>
      <c r="L94" s="315"/>
    </row>
    <row r="95" spans="1:12" s="30" customFormat="1" x14ac:dyDescent="0.25">
      <c r="A95" s="36"/>
      <c r="B95" s="31"/>
      <c r="C95" s="31"/>
      <c r="D95" s="32"/>
      <c r="F95" s="32"/>
      <c r="G95" s="41"/>
      <c r="H95" s="32"/>
      <c r="I95" s="41"/>
      <c r="J95" s="315"/>
      <c r="K95" s="315"/>
      <c r="L95" s="315"/>
    </row>
    <row r="96" spans="1:12" s="30" customFormat="1" x14ac:dyDescent="0.25">
      <c r="A96" s="36"/>
      <c r="B96" s="31"/>
      <c r="C96" s="31"/>
      <c r="D96" s="32"/>
      <c r="F96" s="32"/>
      <c r="G96" s="41"/>
      <c r="H96" s="32"/>
      <c r="I96" s="41"/>
      <c r="J96" s="315"/>
      <c r="K96" s="315"/>
      <c r="L96" s="315"/>
    </row>
    <row r="97" spans="1:12" s="30" customFormat="1" x14ac:dyDescent="0.25">
      <c r="A97" s="36"/>
      <c r="B97" s="31"/>
      <c r="C97" s="31"/>
      <c r="D97" s="32"/>
      <c r="F97" s="32"/>
      <c r="G97" s="41"/>
      <c r="H97" s="32"/>
      <c r="I97" s="41"/>
      <c r="J97" s="315"/>
      <c r="K97" s="315"/>
      <c r="L97" s="315"/>
    </row>
    <row r="98" spans="1:12" s="30" customFormat="1" x14ac:dyDescent="0.25">
      <c r="A98" s="36"/>
      <c r="B98" s="31"/>
      <c r="C98" s="31"/>
      <c r="D98" s="32"/>
      <c r="F98" s="32"/>
      <c r="G98" s="41"/>
      <c r="H98" s="32"/>
      <c r="I98" s="41"/>
      <c r="J98" s="315"/>
      <c r="K98" s="315"/>
      <c r="L98" s="315"/>
    </row>
    <row r="99" spans="1:12" s="30" customFormat="1" x14ac:dyDescent="0.25">
      <c r="A99" s="36"/>
      <c r="B99" s="31"/>
      <c r="C99" s="31"/>
      <c r="D99" s="32"/>
      <c r="F99" s="32"/>
      <c r="G99" s="41"/>
      <c r="H99" s="32"/>
      <c r="I99" s="41"/>
      <c r="J99" s="315"/>
      <c r="K99" s="315"/>
      <c r="L99" s="315"/>
    </row>
    <row r="100" spans="1:12" s="30" customFormat="1" x14ac:dyDescent="0.25">
      <c r="A100" s="36"/>
      <c r="B100" s="31"/>
      <c r="C100" s="31"/>
      <c r="D100" s="32"/>
      <c r="F100" s="32"/>
      <c r="G100" s="41"/>
      <c r="H100" s="32"/>
      <c r="I100" s="41"/>
      <c r="J100" s="315"/>
      <c r="K100" s="315"/>
      <c r="L100" s="315"/>
    </row>
    <row r="101" spans="1:12" s="30" customFormat="1" x14ac:dyDescent="0.25">
      <c r="A101" s="36"/>
      <c r="B101" s="31"/>
      <c r="C101" s="31"/>
      <c r="D101" s="32"/>
      <c r="F101" s="32"/>
      <c r="G101" s="41"/>
      <c r="H101" s="32"/>
      <c r="I101" s="41"/>
      <c r="J101" s="315"/>
      <c r="K101" s="315"/>
      <c r="L101" s="315"/>
    </row>
    <row r="102" spans="1:12" s="30" customFormat="1" x14ac:dyDescent="0.25">
      <c r="A102" s="36"/>
      <c r="B102" s="31"/>
      <c r="C102" s="31"/>
      <c r="D102" s="32"/>
      <c r="F102" s="32"/>
      <c r="G102" s="41"/>
      <c r="H102" s="32"/>
      <c r="I102" s="41"/>
      <c r="J102" s="315"/>
      <c r="K102" s="315"/>
      <c r="L102" s="315"/>
    </row>
    <row r="103" spans="1:12" s="30" customFormat="1" x14ac:dyDescent="0.25">
      <c r="A103" s="36"/>
      <c r="B103" s="31"/>
      <c r="C103" s="31"/>
      <c r="D103" s="32"/>
      <c r="F103" s="32"/>
      <c r="G103" s="41"/>
      <c r="H103" s="32"/>
      <c r="I103" s="41"/>
      <c r="J103" s="315"/>
      <c r="K103" s="315"/>
      <c r="L103" s="315"/>
    </row>
    <row r="104" spans="1:12" s="30" customFormat="1" x14ac:dyDescent="0.25">
      <c r="A104" s="36"/>
      <c r="B104" s="31"/>
      <c r="C104" s="31"/>
      <c r="D104" s="32"/>
      <c r="F104" s="32"/>
      <c r="G104" s="41"/>
      <c r="H104" s="32"/>
      <c r="I104" s="41"/>
      <c r="J104" s="315"/>
      <c r="K104" s="315"/>
      <c r="L104" s="315"/>
    </row>
    <row r="105" spans="1:12" s="30" customFormat="1" x14ac:dyDescent="0.25">
      <c r="A105" s="36"/>
      <c r="B105" s="31"/>
      <c r="C105" s="31"/>
      <c r="D105" s="32"/>
      <c r="F105" s="32"/>
      <c r="G105" s="41"/>
      <c r="H105" s="32"/>
      <c r="I105" s="41"/>
      <c r="J105" s="315"/>
      <c r="K105" s="315"/>
      <c r="L105" s="315"/>
    </row>
    <row r="106" spans="1:12" s="30" customFormat="1" x14ac:dyDescent="0.25">
      <c r="A106" s="36"/>
      <c r="B106" s="31"/>
      <c r="C106" s="31"/>
      <c r="D106" s="32"/>
      <c r="F106" s="32"/>
      <c r="G106" s="41"/>
      <c r="H106" s="32"/>
      <c r="I106" s="41"/>
      <c r="J106" s="315"/>
      <c r="K106" s="315"/>
      <c r="L106" s="315"/>
    </row>
    <row r="107" spans="1:12" s="30" customFormat="1" x14ac:dyDescent="0.25">
      <c r="A107" s="36"/>
      <c r="B107" s="31"/>
      <c r="C107" s="31"/>
      <c r="D107" s="32"/>
      <c r="F107" s="32"/>
      <c r="G107" s="41"/>
      <c r="H107" s="32"/>
      <c r="I107" s="41"/>
      <c r="J107" s="315"/>
      <c r="K107" s="315"/>
      <c r="L107" s="315"/>
    </row>
    <row r="108" spans="1:12" s="30" customFormat="1" x14ac:dyDescent="0.25">
      <c r="A108" s="36"/>
      <c r="B108" s="31"/>
      <c r="C108" s="31"/>
      <c r="D108" s="32"/>
      <c r="F108" s="32"/>
      <c r="G108" s="41"/>
      <c r="H108" s="32"/>
      <c r="I108" s="41"/>
      <c r="J108" s="315"/>
      <c r="K108" s="315"/>
      <c r="L108" s="315"/>
    </row>
    <row r="109" spans="1:12" s="30" customFormat="1" x14ac:dyDescent="0.25">
      <c r="A109" s="36"/>
      <c r="B109" s="31"/>
      <c r="C109" s="31"/>
      <c r="D109" s="32"/>
      <c r="F109" s="32"/>
      <c r="G109" s="41"/>
      <c r="H109" s="32"/>
      <c r="I109" s="41"/>
      <c r="J109" s="315"/>
      <c r="K109" s="315"/>
      <c r="L109" s="315"/>
    </row>
    <row r="110" spans="1:12" s="30" customFormat="1" x14ac:dyDescent="0.25">
      <c r="A110" s="36"/>
      <c r="B110" s="31"/>
      <c r="C110" s="31"/>
      <c r="D110" s="32"/>
      <c r="F110" s="32"/>
      <c r="G110" s="41"/>
      <c r="H110" s="32"/>
      <c r="I110" s="41"/>
      <c r="J110" s="315"/>
      <c r="K110" s="315"/>
      <c r="L110" s="315"/>
    </row>
    <row r="111" spans="1:12" s="30" customFormat="1" x14ac:dyDescent="0.25">
      <c r="A111" s="36"/>
      <c r="B111" s="31"/>
      <c r="C111" s="31"/>
      <c r="D111" s="32"/>
      <c r="F111" s="32"/>
      <c r="G111" s="41"/>
      <c r="H111" s="32"/>
      <c r="I111" s="41"/>
      <c r="J111" s="315"/>
      <c r="K111" s="315"/>
      <c r="L111" s="315"/>
    </row>
    <row r="112" spans="1:12" s="30" customFormat="1" x14ac:dyDescent="0.25">
      <c r="A112" s="36"/>
      <c r="B112" s="31"/>
      <c r="C112" s="31"/>
      <c r="D112" s="32"/>
      <c r="F112" s="32"/>
      <c r="G112" s="41"/>
      <c r="H112" s="32"/>
      <c r="I112" s="41"/>
      <c r="J112" s="315"/>
      <c r="K112" s="315"/>
      <c r="L112" s="315"/>
    </row>
    <row r="113" spans="1:12" s="30" customFormat="1" x14ac:dyDescent="0.25">
      <c r="A113" s="36"/>
      <c r="B113" s="31"/>
      <c r="C113" s="31"/>
      <c r="D113" s="32"/>
      <c r="F113" s="32"/>
      <c r="G113" s="41"/>
      <c r="H113" s="32"/>
      <c r="I113" s="41"/>
      <c r="J113" s="315"/>
      <c r="K113" s="315"/>
      <c r="L113" s="315"/>
    </row>
    <row r="114" spans="1:12" s="30" customFormat="1" x14ac:dyDescent="0.25">
      <c r="A114" s="36"/>
      <c r="B114" s="31"/>
      <c r="C114" s="31"/>
      <c r="D114" s="32"/>
      <c r="F114" s="32"/>
      <c r="G114" s="41"/>
      <c r="H114" s="32"/>
      <c r="I114" s="41"/>
      <c r="J114" s="315"/>
      <c r="K114" s="315"/>
      <c r="L114" s="315"/>
    </row>
    <row r="115" spans="1:12" s="30" customFormat="1" x14ac:dyDescent="0.25">
      <c r="A115" s="36"/>
      <c r="B115" s="31"/>
      <c r="C115" s="31"/>
      <c r="D115" s="32"/>
      <c r="F115" s="32"/>
      <c r="G115" s="41"/>
      <c r="H115" s="32"/>
      <c r="I115" s="41"/>
      <c r="J115" s="315"/>
      <c r="K115" s="315"/>
      <c r="L115" s="315"/>
    </row>
    <row r="116" spans="1:12" s="30" customFormat="1" x14ac:dyDescent="0.25">
      <c r="A116" s="36"/>
      <c r="B116" s="31"/>
      <c r="C116" s="31"/>
      <c r="D116" s="32"/>
      <c r="F116" s="32"/>
      <c r="G116" s="41"/>
      <c r="H116" s="32"/>
      <c r="I116" s="41"/>
      <c r="J116" s="315"/>
      <c r="K116" s="315"/>
      <c r="L116" s="315"/>
    </row>
    <row r="117" spans="1:12" s="30" customFormat="1" x14ac:dyDescent="0.25">
      <c r="A117" s="36"/>
      <c r="B117" s="31"/>
      <c r="C117" s="31"/>
      <c r="D117" s="32"/>
      <c r="F117" s="32"/>
      <c r="G117" s="41"/>
      <c r="H117" s="32"/>
      <c r="I117" s="41"/>
      <c r="J117" s="315"/>
      <c r="K117" s="315"/>
      <c r="L117" s="315"/>
    </row>
    <row r="118" spans="1:12" s="30" customFormat="1" x14ac:dyDescent="0.25">
      <c r="A118" s="36"/>
      <c r="B118" s="31"/>
      <c r="C118" s="31"/>
      <c r="D118" s="32"/>
      <c r="F118" s="32"/>
      <c r="G118" s="41"/>
      <c r="H118" s="32"/>
      <c r="I118" s="41"/>
      <c r="J118" s="315"/>
      <c r="K118" s="315"/>
      <c r="L118" s="315"/>
    </row>
    <row r="119" spans="1:12" s="30" customFormat="1" x14ac:dyDescent="0.25">
      <c r="A119" s="36"/>
      <c r="B119" s="31"/>
      <c r="C119" s="31"/>
      <c r="D119" s="32"/>
      <c r="F119" s="32"/>
      <c r="G119" s="41"/>
      <c r="H119" s="32"/>
      <c r="I119" s="41"/>
      <c r="J119" s="315"/>
      <c r="K119" s="315"/>
      <c r="L119" s="315"/>
    </row>
    <row r="120" spans="1:12" s="30" customFormat="1" x14ac:dyDescent="0.25">
      <c r="A120" s="36"/>
      <c r="B120" s="31"/>
      <c r="C120" s="31"/>
      <c r="D120" s="32"/>
      <c r="F120" s="32"/>
      <c r="G120" s="41"/>
      <c r="H120" s="32"/>
      <c r="I120" s="41"/>
      <c r="J120" s="315"/>
      <c r="K120" s="315"/>
      <c r="L120" s="315"/>
    </row>
    <row r="121" spans="1:12" s="30" customFormat="1" x14ac:dyDescent="0.25">
      <c r="A121" s="36"/>
      <c r="B121" s="31"/>
      <c r="C121" s="31"/>
      <c r="D121" s="32"/>
      <c r="F121" s="32"/>
      <c r="G121" s="41"/>
      <c r="H121" s="32"/>
      <c r="I121" s="41"/>
      <c r="J121" s="315"/>
      <c r="K121" s="315"/>
      <c r="L121" s="315"/>
    </row>
    <row r="122" spans="1:12" s="30" customFormat="1" x14ac:dyDescent="0.25">
      <c r="A122" s="36"/>
      <c r="B122" s="31"/>
      <c r="C122" s="31"/>
      <c r="D122" s="32"/>
      <c r="F122" s="32"/>
      <c r="G122" s="41"/>
      <c r="H122" s="32"/>
      <c r="I122" s="41"/>
      <c r="J122" s="315"/>
      <c r="K122" s="315"/>
      <c r="L122" s="315"/>
    </row>
    <row r="123" spans="1:12" s="30" customFormat="1" x14ac:dyDescent="0.25">
      <c r="A123" s="36"/>
      <c r="B123" s="31"/>
      <c r="C123" s="31"/>
      <c r="D123" s="32"/>
      <c r="F123" s="32"/>
      <c r="G123" s="41"/>
      <c r="H123" s="32"/>
      <c r="I123" s="41"/>
      <c r="J123" s="315"/>
      <c r="K123" s="315"/>
      <c r="L123" s="315"/>
    </row>
    <row r="124" spans="1:12" s="30" customFormat="1" x14ac:dyDescent="0.25">
      <c r="A124" s="36"/>
      <c r="B124" s="31"/>
      <c r="C124" s="31"/>
      <c r="D124" s="32"/>
      <c r="F124" s="32"/>
      <c r="G124" s="41"/>
      <c r="H124" s="32"/>
      <c r="I124" s="41"/>
      <c r="J124" s="315"/>
      <c r="K124" s="315"/>
      <c r="L124" s="315"/>
    </row>
    <row r="125" spans="1:12" s="30" customFormat="1" x14ac:dyDescent="0.25">
      <c r="A125" s="36"/>
      <c r="B125" s="31"/>
      <c r="C125" s="31"/>
      <c r="D125" s="32"/>
      <c r="F125" s="32"/>
      <c r="G125" s="41"/>
      <c r="H125" s="32"/>
      <c r="I125" s="41"/>
      <c r="J125" s="315"/>
      <c r="K125" s="315"/>
      <c r="L125" s="315"/>
    </row>
    <row r="126" spans="1:12" s="30" customFormat="1" x14ac:dyDescent="0.25">
      <c r="A126" s="36"/>
      <c r="B126" s="31"/>
      <c r="C126" s="31"/>
      <c r="D126" s="32"/>
      <c r="F126" s="32"/>
      <c r="G126" s="41"/>
      <c r="H126" s="32"/>
      <c r="I126" s="41"/>
      <c r="J126" s="315"/>
      <c r="K126" s="315"/>
      <c r="L126" s="315"/>
    </row>
    <row r="127" spans="1:12" s="30" customFormat="1" x14ac:dyDescent="0.25">
      <c r="A127" s="36"/>
      <c r="B127" s="31"/>
      <c r="C127" s="31"/>
      <c r="D127" s="32"/>
      <c r="F127" s="32"/>
      <c r="G127" s="41"/>
      <c r="H127" s="32"/>
      <c r="I127" s="41"/>
      <c r="J127" s="315"/>
      <c r="K127" s="315"/>
      <c r="L127" s="315"/>
    </row>
    <row r="128" spans="1:12" s="30" customFormat="1" x14ac:dyDescent="0.25">
      <c r="A128" s="36"/>
      <c r="B128" s="31"/>
      <c r="C128" s="31"/>
      <c r="D128" s="32"/>
      <c r="F128" s="32"/>
      <c r="G128" s="41"/>
      <c r="H128" s="32"/>
      <c r="I128" s="41"/>
      <c r="J128" s="315"/>
      <c r="K128" s="315"/>
      <c r="L128" s="315"/>
    </row>
    <row r="129" spans="1:12" s="30" customFormat="1" x14ac:dyDescent="0.25">
      <c r="A129" s="36"/>
      <c r="B129" s="31"/>
      <c r="C129" s="31"/>
      <c r="D129" s="32"/>
      <c r="F129" s="32"/>
      <c r="G129" s="41"/>
      <c r="H129" s="32"/>
      <c r="I129" s="41"/>
      <c r="J129" s="315"/>
      <c r="K129" s="315"/>
      <c r="L129" s="315"/>
    </row>
    <row r="130" spans="1:12" s="30" customFormat="1" x14ac:dyDescent="0.25">
      <c r="A130" s="36"/>
      <c r="B130" s="31"/>
      <c r="C130" s="31"/>
      <c r="D130" s="32"/>
      <c r="F130" s="32"/>
      <c r="G130" s="41"/>
      <c r="H130" s="32"/>
      <c r="I130" s="41"/>
      <c r="J130" s="315"/>
      <c r="K130" s="315"/>
      <c r="L130" s="315"/>
    </row>
    <row r="131" spans="1:12" s="30" customFormat="1" x14ac:dyDescent="0.25">
      <c r="A131" s="36"/>
      <c r="B131" s="31"/>
      <c r="C131" s="31"/>
      <c r="D131" s="32"/>
      <c r="F131" s="32"/>
      <c r="G131" s="41"/>
      <c r="H131" s="32"/>
      <c r="I131" s="41"/>
      <c r="J131" s="315"/>
      <c r="K131" s="315"/>
      <c r="L131" s="315"/>
    </row>
    <row r="132" spans="1:12" s="30" customFormat="1" x14ac:dyDescent="0.25">
      <c r="A132" s="36"/>
      <c r="B132" s="31"/>
      <c r="C132" s="31"/>
      <c r="D132" s="32"/>
      <c r="F132" s="32"/>
      <c r="G132" s="41"/>
      <c r="H132" s="32"/>
      <c r="I132" s="41"/>
      <c r="J132" s="315"/>
      <c r="K132" s="315"/>
      <c r="L132" s="315"/>
    </row>
    <row r="133" spans="1:12" s="30" customFormat="1" x14ac:dyDescent="0.25">
      <c r="A133" s="36"/>
      <c r="B133" s="31"/>
      <c r="C133" s="31"/>
      <c r="D133" s="32"/>
      <c r="F133" s="32"/>
      <c r="G133" s="41"/>
      <c r="H133" s="32"/>
      <c r="I133" s="41"/>
      <c r="J133" s="315"/>
      <c r="K133" s="315"/>
      <c r="L133" s="315"/>
    </row>
    <row r="134" spans="1:12" s="30" customFormat="1" x14ac:dyDescent="0.25">
      <c r="A134" s="36"/>
      <c r="B134" s="31"/>
      <c r="C134" s="31"/>
      <c r="D134" s="32"/>
      <c r="F134" s="32"/>
      <c r="G134" s="41"/>
      <c r="H134" s="32"/>
      <c r="I134" s="41"/>
      <c r="J134" s="315"/>
      <c r="K134" s="315"/>
      <c r="L134" s="315"/>
    </row>
    <row r="135" spans="1:12" s="30" customFormat="1" x14ac:dyDescent="0.25">
      <c r="A135" s="36"/>
      <c r="B135" s="31"/>
      <c r="C135" s="31"/>
      <c r="D135" s="32"/>
      <c r="F135" s="32"/>
      <c r="G135" s="41"/>
      <c r="H135" s="32"/>
      <c r="I135" s="41"/>
      <c r="J135" s="315"/>
      <c r="K135" s="315"/>
      <c r="L135" s="315"/>
    </row>
    <row r="136" spans="1:12" s="30" customFormat="1" x14ac:dyDescent="0.25">
      <c r="A136" s="36"/>
      <c r="B136" s="31"/>
      <c r="C136" s="31"/>
      <c r="D136" s="32"/>
      <c r="F136" s="32"/>
      <c r="G136" s="41"/>
      <c r="H136" s="32"/>
      <c r="I136" s="41"/>
      <c r="J136" s="315"/>
      <c r="K136" s="315"/>
      <c r="L136" s="315"/>
    </row>
    <row r="137" spans="1:12" s="30" customFormat="1" x14ac:dyDescent="0.25">
      <c r="A137" s="36"/>
      <c r="B137" s="31"/>
      <c r="C137" s="31"/>
      <c r="D137" s="32"/>
      <c r="F137" s="32"/>
      <c r="G137" s="41"/>
      <c r="H137" s="32"/>
      <c r="I137" s="41"/>
      <c r="J137" s="315"/>
      <c r="K137" s="315"/>
      <c r="L137" s="315"/>
    </row>
    <row r="138" spans="1:12" s="30" customFormat="1" x14ac:dyDescent="0.25">
      <c r="A138" s="36"/>
      <c r="B138" s="31"/>
      <c r="C138" s="31"/>
      <c r="D138" s="32"/>
      <c r="F138" s="32"/>
      <c r="G138" s="41"/>
      <c r="H138" s="32"/>
      <c r="I138" s="41"/>
      <c r="J138" s="315"/>
      <c r="K138" s="315"/>
      <c r="L138" s="315"/>
    </row>
    <row r="139" spans="1:12" s="30" customFormat="1" x14ac:dyDescent="0.25">
      <c r="A139" s="36"/>
      <c r="B139" s="31"/>
      <c r="C139" s="31"/>
      <c r="D139" s="32"/>
      <c r="F139" s="32"/>
      <c r="G139" s="41"/>
      <c r="H139" s="32"/>
      <c r="I139" s="41"/>
      <c r="J139" s="315"/>
      <c r="K139" s="315"/>
      <c r="L139" s="315"/>
    </row>
    <row r="140" spans="1:12" s="30" customFormat="1" x14ac:dyDescent="0.25">
      <c r="A140" s="36"/>
      <c r="B140" s="31"/>
      <c r="C140" s="31"/>
      <c r="D140" s="32"/>
      <c r="F140" s="32"/>
      <c r="G140" s="41"/>
      <c r="H140" s="32"/>
      <c r="I140" s="41"/>
      <c r="J140" s="315"/>
      <c r="K140" s="315"/>
      <c r="L140" s="315"/>
    </row>
    <row r="141" spans="1:12" s="30" customFormat="1" x14ac:dyDescent="0.25">
      <c r="A141" s="36"/>
      <c r="B141" s="31"/>
      <c r="C141" s="31"/>
      <c r="D141" s="32"/>
      <c r="F141" s="32"/>
      <c r="G141" s="41"/>
      <c r="H141" s="32"/>
      <c r="I141" s="41"/>
      <c r="J141" s="315"/>
      <c r="K141" s="315"/>
      <c r="L141" s="315"/>
    </row>
    <row r="142" spans="1:12" s="30" customFormat="1" x14ac:dyDescent="0.25">
      <c r="A142" s="36"/>
      <c r="B142" s="31"/>
      <c r="C142" s="31"/>
      <c r="D142" s="32"/>
      <c r="F142" s="32"/>
      <c r="G142" s="41"/>
      <c r="H142" s="32"/>
      <c r="I142" s="41"/>
      <c r="J142" s="315"/>
      <c r="K142" s="315"/>
      <c r="L142" s="315"/>
    </row>
    <row r="143" spans="1:12" s="30" customFormat="1" x14ac:dyDescent="0.25">
      <c r="A143" s="36"/>
      <c r="B143" s="31"/>
      <c r="C143" s="31"/>
      <c r="D143" s="32"/>
      <c r="F143" s="32"/>
      <c r="G143" s="41"/>
      <c r="H143" s="32"/>
      <c r="I143" s="41"/>
      <c r="J143" s="315"/>
      <c r="K143" s="315"/>
      <c r="L143" s="315"/>
    </row>
    <row r="144" spans="1:12" s="30" customFormat="1" x14ac:dyDescent="0.25">
      <c r="A144" s="36"/>
      <c r="B144" s="31"/>
      <c r="C144" s="31"/>
      <c r="D144" s="32"/>
      <c r="F144" s="32"/>
      <c r="G144" s="41"/>
      <c r="H144" s="32"/>
      <c r="I144" s="41"/>
      <c r="J144" s="315"/>
      <c r="K144" s="315"/>
      <c r="L144" s="315"/>
    </row>
    <row r="145" spans="1:12" s="30" customFormat="1" x14ac:dyDescent="0.25">
      <c r="A145" s="36"/>
      <c r="B145" s="31"/>
      <c r="C145" s="31"/>
      <c r="D145" s="32"/>
      <c r="F145" s="32"/>
      <c r="G145" s="41"/>
      <c r="H145" s="32"/>
      <c r="I145" s="41"/>
      <c r="J145" s="315"/>
      <c r="K145" s="315"/>
      <c r="L145" s="315"/>
    </row>
    <row r="146" spans="1:12" s="30" customFormat="1" x14ac:dyDescent="0.25">
      <c r="A146" s="36"/>
      <c r="B146" s="31"/>
      <c r="C146" s="31"/>
      <c r="D146" s="32"/>
      <c r="F146" s="32"/>
      <c r="G146" s="41"/>
      <c r="H146" s="32"/>
      <c r="I146" s="41"/>
      <c r="J146" s="315"/>
      <c r="K146" s="315"/>
      <c r="L146" s="315"/>
    </row>
    <row r="147" spans="1:12" s="30" customFormat="1" x14ac:dyDescent="0.25">
      <c r="A147" s="36"/>
      <c r="B147" s="31"/>
      <c r="C147" s="31"/>
      <c r="D147" s="32"/>
      <c r="F147" s="32"/>
      <c r="G147" s="41"/>
      <c r="H147" s="32"/>
      <c r="I147" s="41"/>
      <c r="J147" s="315"/>
      <c r="K147" s="315"/>
      <c r="L147" s="315"/>
    </row>
    <row r="148" spans="1:12" s="30" customFormat="1" x14ac:dyDescent="0.25">
      <c r="A148" s="36"/>
      <c r="B148" s="31"/>
      <c r="C148" s="31"/>
      <c r="D148" s="32"/>
      <c r="F148" s="32"/>
      <c r="G148" s="41"/>
      <c r="H148" s="32"/>
      <c r="I148" s="41"/>
      <c r="J148" s="315"/>
      <c r="K148" s="315"/>
      <c r="L148" s="315"/>
    </row>
    <row r="149" spans="1:12" s="30" customFormat="1" x14ac:dyDescent="0.25">
      <c r="A149" s="36"/>
      <c r="B149" s="31"/>
      <c r="C149" s="31"/>
      <c r="D149" s="32"/>
      <c r="F149" s="32"/>
      <c r="G149" s="41"/>
      <c r="H149" s="32"/>
      <c r="I149" s="41"/>
      <c r="J149" s="315"/>
      <c r="K149" s="315"/>
      <c r="L149" s="315"/>
    </row>
    <row r="150" spans="1:12" s="30" customFormat="1" x14ac:dyDescent="0.25">
      <c r="A150" s="36"/>
      <c r="B150" s="31"/>
      <c r="C150" s="31"/>
      <c r="D150" s="32"/>
      <c r="F150" s="32"/>
      <c r="G150" s="41"/>
      <c r="H150" s="32"/>
      <c r="I150" s="41"/>
      <c r="J150" s="315"/>
      <c r="K150" s="315"/>
      <c r="L150" s="315"/>
    </row>
    <row r="151" spans="1:12" s="30" customFormat="1" x14ac:dyDescent="0.25">
      <c r="A151" s="36"/>
      <c r="B151" s="31"/>
      <c r="C151" s="31"/>
      <c r="D151" s="32"/>
      <c r="F151" s="32"/>
      <c r="G151" s="41"/>
      <c r="H151" s="32"/>
      <c r="I151" s="41"/>
      <c r="J151" s="315"/>
      <c r="K151" s="315"/>
      <c r="L151" s="315"/>
    </row>
    <row r="152" spans="1:12" s="30" customFormat="1" x14ac:dyDescent="0.25">
      <c r="A152" s="36"/>
      <c r="B152" s="31"/>
      <c r="C152" s="31"/>
      <c r="D152" s="32"/>
      <c r="F152" s="32"/>
      <c r="G152" s="41"/>
      <c r="H152" s="32"/>
      <c r="I152" s="41"/>
      <c r="J152" s="315"/>
      <c r="K152" s="315"/>
      <c r="L152" s="315"/>
    </row>
    <row r="153" spans="1:12" s="30" customFormat="1" x14ac:dyDescent="0.25">
      <c r="A153" s="36"/>
      <c r="B153" s="31"/>
      <c r="C153" s="31"/>
      <c r="D153" s="32"/>
      <c r="F153" s="32"/>
      <c r="G153" s="41"/>
      <c r="H153" s="32"/>
      <c r="I153" s="41"/>
      <c r="J153" s="315"/>
      <c r="K153" s="315"/>
      <c r="L153" s="315"/>
    </row>
    <row r="154" spans="1:12" s="30" customFormat="1" x14ac:dyDescent="0.25">
      <c r="A154" s="36"/>
      <c r="B154" s="31"/>
      <c r="C154" s="31"/>
      <c r="D154" s="32"/>
      <c r="F154" s="32"/>
      <c r="G154" s="41"/>
      <c r="H154" s="32"/>
      <c r="I154" s="41"/>
      <c r="J154" s="315"/>
      <c r="K154" s="315"/>
      <c r="L154" s="315"/>
    </row>
    <row r="155" spans="1:12" s="30" customFormat="1" x14ac:dyDescent="0.25">
      <c r="A155" s="36"/>
      <c r="B155" s="31"/>
      <c r="C155" s="31"/>
      <c r="D155" s="32"/>
      <c r="F155" s="32"/>
      <c r="G155" s="41"/>
      <c r="H155" s="32"/>
      <c r="I155" s="41"/>
      <c r="J155" s="315"/>
      <c r="K155" s="315"/>
      <c r="L155" s="315"/>
    </row>
    <row r="156" spans="1:12" s="30" customFormat="1" x14ac:dyDescent="0.25">
      <c r="A156" s="36"/>
      <c r="B156" s="31"/>
      <c r="C156" s="31"/>
      <c r="D156" s="32"/>
      <c r="F156" s="32"/>
      <c r="G156" s="41"/>
      <c r="H156" s="32"/>
      <c r="I156" s="41"/>
      <c r="J156" s="315"/>
      <c r="K156" s="315"/>
      <c r="L156" s="315"/>
    </row>
    <row r="157" spans="1:12" s="30" customFormat="1" x14ac:dyDescent="0.25">
      <c r="A157" s="36"/>
      <c r="B157" s="31"/>
      <c r="C157" s="31"/>
      <c r="D157" s="32"/>
      <c r="F157" s="32"/>
      <c r="G157" s="41"/>
      <c r="H157" s="32"/>
      <c r="I157" s="41"/>
      <c r="J157" s="315"/>
      <c r="K157" s="315"/>
      <c r="L157" s="315"/>
    </row>
    <row r="158" spans="1:12" s="30" customFormat="1" x14ac:dyDescent="0.25">
      <c r="A158" s="36"/>
      <c r="B158" s="31"/>
      <c r="C158" s="31"/>
      <c r="D158" s="32"/>
      <c r="F158" s="32"/>
      <c r="G158" s="41"/>
      <c r="H158" s="32"/>
      <c r="I158" s="41"/>
      <c r="J158" s="315"/>
      <c r="K158" s="315"/>
      <c r="L158" s="315"/>
    </row>
    <row r="159" spans="1:12" s="30" customFormat="1" x14ac:dyDescent="0.25">
      <c r="A159" s="36"/>
      <c r="B159" s="31"/>
      <c r="C159" s="31"/>
      <c r="D159" s="32"/>
      <c r="F159" s="32"/>
      <c r="G159" s="41"/>
      <c r="H159" s="32"/>
      <c r="I159" s="41"/>
      <c r="J159" s="315"/>
      <c r="K159" s="315"/>
      <c r="L159" s="315"/>
    </row>
    <row r="160" spans="1:12" s="30" customFormat="1" x14ac:dyDescent="0.25">
      <c r="A160" s="36"/>
      <c r="B160" s="31"/>
      <c r="C160" s="31"/>
      <c r="D160" s="32"/>
      <c r="F160" s="32"/>
      <c r="G160" s="41"/>
      <c r="H160" s="32"/>
      <c r="I160" s="41"/>
      <c r="J160" s="315"/>
      <c r="K160" s="315"/>
      <c r="L160" s="315"/>
    </row>
    <row r="161" spans="1:12" s="30" customFormat="1" x14ac:dyDescent="0.25">
      <c r="A161" s="36"/>
      <c r="B161" s="31"/>
      <c r="C161" s="31"/>
      <c r="D161" s="32"/>
      <c r="F161" s="32"/>
      <c r="G161" s="41"/>
      <c r="H161" s="32"/>
      <c r="I161" s="41"/>
      <c r="J161" s="315"/>
      <c r="K161" s="315"/>
      <c r="L161" s="315"/>
    </row>
    <row r="162" spans="1:12" s="30" customFormat="1" x14ac:dyDescent="0.25">
      <c r="A162" s="36"/>
      <c r="B162" s="31"/>
      <c r="C162" s="31"/>
      <c r="D162" s="32"/>
      <c r="F162" s="32"/>
      <c r="G162" s="41"/>
      <c r="H162" s="32"/>
      <c r="I162" s="41"/>
      <c r="J162" s="315"/>
      <c r="K162" s="315"/>
      <c r="L162" s="315"/>
    </row>
    <row r="163" spans="1:12" s="30" customFormat="1" x14ac:dyDescent="0.25">
      <c r="A163" s="36"/>
      <c r="B163" s="31"/>
      <c r="C163" s="31"/>
      <c r="D163" s="32"/>
      <c r="F163" s="32"/>
      <c r="G163" s="41"/>
      <c r="H163" s="32"/>
      <c r="I163" s="41"/>
      <c r="J163" s="315"/>
      <c r="K163" s="315"/>
      <c r="L163" s="315"/>
    </row>
    <row r="164" spans="1:12" s="30" customFormat="1" x14ac:dyDescent="0.25">
      <c r="A164" s="36"/>
      <c r="B164" s="31"/>
      <c r="C164" s="31"/>
      <c r="D164" s="32"/>
      <c r="F164" s="32"/>
      <c r="G164" s="41"/>
      <c r="H164" s="32"/>
      <c r="I164" s="41"/>
      <c r="J164" s="315"/>
      <c r="K164" s="315"/>
      <c r="L164" s="315"/>
    </row>
    <row r="165" spans="1:12" s="30" customFormat="1" x14ac:dyDescent="0.25">
      <c r="A165" s="36"/>
      <c r="B165" s="31"/>
      <c r="C165" s="31"/>
      <c r="D165" s="32"/>
      <c r="F165" s="32"/>
      <c r="G165" s="41"/>
      <c r="H165" s="32"/>
      <c r="I165" s="41"/>
      <c r="J165" s="315"/>
      <c r="K165" s="315"/>
      <c r="L165" s="315"/>
    </row>
    <row r="166" spans="1:12" s="30" customFormat="1" x14ac:dyDescent="0.25">
      <c r="A166" s="36"/>
      <c r="B166" s="31"/>
      <c r="C166" s="31"/>
      <c r="D166" s="32"/>
      <c r="F166" s="32"/>
      <c r="G166" s="41"/>
      <c r="H166" s="32"/>
      <c r="I166" s="41"/>
      <c r="J166" s="315"/>
      <c r="K166" s="315"/>
      <c r="L166" s="315"/>
    </row>
    <row r="167" spans="1:12" s="30" customFormat="1" x14ac:dyDescent="0.25">
      <c r="A167" s="36"/>
      <c r="B167" s="31"/>
      <c r="C167" s="31"/>
      <c r="D167" s="32"/>
      <c r="F167" s="32"/>
      <c r="G167" s="41"/>
      <c r="H167" s="32"/>
      <c r="I167" s="41"/>
      <c r="J167" s="315"/>
      <c r="K167" s="315"/>
      <c r="L167" s="315"/>
    </row>
    <row r="168" spans="1:12" s="30" customFormat="1" x14ac:dyDescent="0.25">
      <c r="A168" s="36"/>
      <c r="B168" s="31"/>
      <c r="C168" s="31"/>
      <c r="D168" s="32"/>
      <c r="F168" s="32"/>
      <c r="G168" s="41"/>
      <c r="H168" s="32"/>
      <c r="I168" s="41"/>
      <c r="J168" s="315"/>
      <c r="K168" s="315"/>
      <c r="L168" s="315"/>
    </row>
    <row r="169" spans="1:12" s="30" customFormat="1" x14ac:dyDescent="0.25">
      <c r="A169" s="36"/>
      <c r="B169" s="31"/>
      <c r="C169" s="31"/>
      <c r="D169" s="32"/>
      <c r="F169" s="32"/>
      <c r="G169" s="41"/>
      <c r="H169" s="32"/>
      <c r="I169" s="41"/>
      <c r="J169" s="315"/>
      <c r="K169" s="315"/>
      <c r="L169" s="315"/>
    </row>
    <row r="170" spans="1:12" s="30" customFormat="1" x14ac:dyDescent="0.25">
      <c r="A170" s="36"/>
      <c r="B170" s="31"/>
      <c r="C170" s="31"/>
      <c r="D170" s="32"/>
      <c r="F170" s="32"/>
      <c r="G170" s="41"/>
      <c r="H170" s="32"/>
      <c r="I170" s="41"/>
      <c r="J170" s="315"/>
      <c r="K170" s="315"/>
      <c r="L170" s="315"/>
    </row>
    <row r="171" spans="1:12" s="30" customFormat="1" x14ac:dyDescent="0.25">
      <c r="A171" s="36"/>
      <c r="B171" s="31"/>
      <c r="C171" s="31"/>
      <c r="D171" s="32"/>
      <c r="F171" s="32"/>
      <c r="G171" s="41"/>
      <c r="H171" s="32"/>
      <c r="I171" s="41"/>
      <c r="J171" s="315"/>
      <c r="K171" s="315"/>
      <c r="L171" s="315"/>
    </row>
    <row r="172" spans="1:12" s="30" customFormat="1" x14ac:dyDescent="0.25">
      <c r="A172" s="36"/>
      <c r="B172" s="31"/>
      <c r="C172" s="31"/>
      <c r="D172" s="32"/>
      <c r="F172" s="32"/>
      <c r="G172" s="41"/>
      <c r="H172" s="32"/>
      <c r="I172" s="41"/>
      <c r="J172" s="315"/>
      <c r="K172" s="315"/>
      <c r="L172" s="315"/>
    </row>
    <row r="173" spans="1:12" s="30" customFormat="1" x14ac:dyDescent="0.25">
      <c r="A173" s="36"/>
      <c r="B173" s="31"/>
      <c r="C173" s="31"/>
      <c r="D173" s="32"/>
      <c r="F173" s="32"/>
      <c r="G173" s="41"/>
      <c r="H173" s="32"/>
      <c r="I173" s="41"/>
      <c r="J173" s="315"/>
      <c r="K173" s="315"/>
      <c r="L173" s="315"/>
    </row>
    <row r="174" spans="1:12" s="30" customFormat="1" x14ac:dyDescent="0.25">
      <c r="A174" s="36"/>
      <c r="B174" s="31"/>
      <c r="C174" s="31"/>
      <c r="D174" s="32"/>
      <c r="F174" s="32"/>
      <c r="G174" s="41"/>
      <c r="H174" s="32"/>
      <c r="I174" s="41"/>
      <c r="J174" s="315"/>
      <c r="K174" s="315"/>
      <c r="L174" s="315"/>
    </row>
    <row r="175" spans="1:12" s="30" customFormat="1" x14ac:dyDescent="0.25">
      <c r="A175" s="36"/>
      <c r="B175" s="31"/>
      <c r="C175" s="31"/>
      <c r="D175" s="32"/>
      <c r="F175" s="32"/>
      <c r="G175" s="41"/>
      <c r="H175" s="32"/>
      <c r="I175" s="41"/>
      <c r="J175" s="315"/>
      <c r="K175" s="315"/>
      <c r="L175" s="315"/>
    </row>
    <row r="176" spans="1:12" s="30" customFormat="1" x14ac:dyDescent="0.25">
      <c r="A176" s="36"/>
      <c r="B176" s="31"/>
      <c r="C176" s="31"/>
      <c r="D176" s="32"/>
      <c r="F176" s="32"/>
      <c r="G176" s="41"/>
      <c r="H176" s="32"/>
      <c r="I176" s="41"/>
      <c r="J176" s="315"/>
      <c r="K176" s="315"/>
      <c r="L176" s="315"/>
    </row>
    <row r="177" spans="1:12" s="30" customFormat="1" x14ac:dyDescent="0.25">
      <c r="A177" s="36"/>
      <c r="B177" s="31"/>
      <c r="C177" s="31"/>
      <c r="D177" s="32"/>
      <c r="F177" s="32"/>
      <c r="G177" s="41"/>
      <c r="H177" s="32"/>
      <c r="I177" s="41"/>
      <c r="J177" s="315"/>
      <c r="K177" s="315"/>
      <c r="L177" s="315"/>
    </row>
    <row r="178" spans="1:12" s="30" customFormat="1" x14ac:dyDescent="0.25">
      <c r="A178" s="36"/>
      <c r="B178" s="31"/>
      <c r="C178" s="31"/>
      <c r="D178" s="32"/>
      <c r="F178" s="32"/>
      <c r="G178" s="41"/>
      <c r="H178" s="32"/>
      <c r="I178" s="41"/>
      <c r="J178" s="315"/>
      <c r="K178" s="315"/>
      <c r="L178" s="315"/>
    </row>
    <row r="179" spans="1:12" s="30" customFormat="1" x14ac:dyDescent="0.25">
      <c r="A179" s="36"/>
      <c r="B179" s="31"/>
      <c r="C179" s="31"/>
      <c r="D179" s="32"/>
      <c r="F179" s="32"/>
      <c r="G179" s="41"/>
      <c r="H179" s="32"/>
      <c r="I179" s="41"/>
      <c r="J179" s="315"/>
      <c r="K179" s="315"/>
      <c r="L179" s="315"/>
    </row>
    <row r="180" spans="1:12" s="30" customFormat="1" x14ac:dyDescent="0.25">
      <c r="A180" s="36"/>
      <c r="B180" s="31"/>
      <c r="C180" s="31"/>
      <c r="D180" s="32"/>
      <c r="F180" s="32"/>
      <c r="G180" s="41"/>
      <c r="H180" s="32"/>
      <c r="I180" s="41"/>
      <c r="J180" s="315"/>
      <c r="K180" s="315"/>
      <c r="L180" s="315"/>
    </row>
    <row r="181" spans="1:12" s="30" customFormat="1" x14ac:dyDescent="0.25">
      <c r="A181" s="36"/>
      <c r="B181" s="31"/>
      <c r="C181" s="31"/>
      <c r="D181" s="32"/>
      <c r="F181" s="32"/>
      <c r="G181" s="41"/>
      <c r="H181" s="32"/>
      <c r="I181" s="41"/>
      <c r="J181" s="315"/>
      <c r="K181" s="315"/>
      <c r="L181" s="315"/>
    </row>
    <row r="182" spans="1:12" s="30" customFormat="1" x14ac:dyDescent="0.25">
      <c r="A182" s="36"/>
      <c r="B182" s="31"/>
      <c r="C182" s="31"/>
      <c r="D182" s="32"/>
      <c r="F182" s="32"/>
      <c r="G182" s="41"/>
      <c r="H182" s="32"/>
      <c r="I182" s="41"/>
      <c r="J182" s="315"/>
      <c r="K182" s="315"/>
      <c r="L182" s="315"/>
    </row>
    <row r="183" spans="1:12" s="30" customFormat="1" x14ac:dyDescent="0.25">
      <c r="A183" s="36"/>
      <c r="B183" s="31"/>
      <c r="C183" s="31"/>
      <c r="D183" s="32"/>
      <c r="F183" s="32"/>
      <c r="G183" s="41"/>
      <c r="H183" s="32"/>
      <c r="I183" s="41"/>
      <c r="J183" s="315"/>
      <c r="K183" s="315"/>
      <c r="L183" s="315"/>
    </row>
    <row r="184" spans="1:12" s="30" customFormat="1" x14ac:dyDescent="0.25">
      <c r="A184" s="36"/>
      <c r="B184" s="31"/>
      <c r="C184" s="31"/>
      <c r="D184" s="32"/>
      <c r="F184" s="32"/>
      <c r="G184" s="41"/>
      <c r="H184" s="32"/>
      <c r="I184" s="41"/>
      <c r="J184" s="315"/>
      <c r="K184" s="315"/>
      <c r="L184" s="315"/>
    </row>
    <row r="185" spans="1:12" s="30" customFormat="1" x14ac:dyDescent="0.25">
      <c r="A185" s="36"/>
      <c r="B185" s="31"/>
      <c r="C185" s="31"/>
      <c r="D185" s="32"/>
      <c r="F185" s="32"/>
      <c r="G185" s="41"/>
      <c r="H185" s="32"/>
      <c r="I185" s="41"/>
      <c r="J185" s="315"/>
      <c r="K185" s="315"/>
      <c r="L185" s="315"/>
    </row>
    <row r="186" spans="1:12" s="30" customFormat="1" x14ac:dyDescent="0.25">
      <c r="A186" s="36"/>
      <c r="B186" s="31"/>
      <c r="C186" s="31"/>
      <c r="D186" s="32"/>
      <c r="F186" s="32"/>
      <c r="G186" s="41"/>
      <c r="H186" s="32"/>
      <c r="I186" s="41"/>
      <c r="J186" s="315"/>
      <c r="K186" s="315"/>
      <c r="L186" s="315"/>
    </row>
    <row r="187" spans="1:12" s="30" customFormat="1" x14ac:dyDescent="0.25">
      <c r="A187" s="36"/>
      <c r="B187" s="31"/>
      <c r="C187" s="31"/>
      <c r="D187" s="32"/>
      <c r="F187" s="32"/>
      <c r="G187" s="41"/>
      <c r="H187" s="32"/>
      <c r="I187" s="41"/>
      <c r="J187" s="315"/>
      <c r="K187" s="315"/>
      <c r="L187" s="315"/>
    </row>
    <row r="188" spans="1:12" s="30" customFormat="1" x14ac:dyDescent="0.25">
      <c r="A188" s="36"/>
      <c r="B188" s="31"/>
      <c r="C188" s="31"/>
      <c r="D188" s="32"/>
      <c r="F188" s="32"/>
      <c r="G188" s="41"/>
      <c r="H188" s="32"/>
      <c r="I188" s="41"/>
      <c r="J188" s="315"/>
      <c r="K188" s="315"/>
      <c r="L188" s="315"/>
    </row>
    <row r="189" spans="1:12" s="30" customFormat="1" x14ac:dyDescent="0.25">
      <c r="A189" s="36"/>
      <c r="B189" s="31"/>
      <c r="C189" s="31"/>
      <c r="D189" s="32"/>
      <c r="F189" s="32"/>
      <c r="G189" s="41"/>
      <c r="H189" s="32"/>
      <c r="I189" s="41"/>
      <c r="J189" s="315"/>
      <c r="K189" s="315"/>
      <c r="L189" s="315"/>
    </row>
    <row r="190" spans="1:12" s="30" customFormat="1" x14ac:dyDescent="0.25">
      <c r="A190" s="36"/>
      <c r="B190" s="31"/>
      <c r="C190" s="31"/>
      <c r="D190" s="32"/>
      <c r="F190" s="32"/>
      <c r="G190" s="41"/>
      <c r="H190" s="32"/>
      <c r="I190" s="41"/>
      <c r="J190" s="315"/>
      <c r="K190" s="315"/>
      <c r="L190" s="315"/>
    </row>
    <row r="191" spans="1:12" s="30" customFormat="1" x14ac:dyDescent="0.25">
      <c r="A191" s="36"/>
      <c r="B191" s="31"/>
      <c r="C191" s="31"/>
      <c r="D191" s="32"/>
      <c r="F191" s="32"/>
      <c r="G191" s="41"/>
      <c r="H191" s="32"/>
      <c r="I191" s="41"/>
      <c r="J191" s="315"/>
      <c r="K191" s="315"/>
      <c r="L191" s="315"/>
    </row>
    <row r="192" spans="1:12" s="30" customFormat="1" x14ac:dyDescent="0.25">
      <c r="A192" s="36"/>
      <c r="B192" s="31"/>
      <c r="C192" s="31"/>
      <c r="D192" s="32"/>
      <c r="F192" s="32"/>
      <c r="G192" s="41"/>
      <c r="H192" s="32"/>
      <c r="I192" s="41"/>
      <c r="J192" s="315"/>
      <c r="K192" s="315"/>
      <c r="L192" s="315"/>
    </row>
    <row r="193" spans="1:12" s="30" customFormat="1" x14ac:dyDescent="0.25">
      <c r="A193" s="36"/>
      <c r="B193" s="31"/>
      <c r="C193" s="31"/>
      <c r="D193" s="32"/>
      <c r="F193" s="32"/>
      <c r="G193" s="41"/>
      <c r="H193" s="32"/>
      <c r="I193" s="41"/>
      <c r="J193" s="315"/>
      <c r="K193" s="315"/>
      <c r="L193" s="315"/>
    </row>
    <row r="194" spans="1:12" s="30" customFormat="1" x14ac:dyDescent="0.25">
      <c r="A194" s="36"/>
      <c r="B194" s="31"/>
      <c r="C194" s="31"/>
      <c r="D194" s="32"/>
      <c r="F194" s="32"/>
      <c r="G194" s="41"/>
      <c r="H194" s="32"/>
      <c r="I194" s="41"/>
      <c r="J194" s="315"/>
      <c r="K194" s="315"/>
      <c r="L194" s="315"/>
    </row>
    <row r="195" spans="1:12" s="30" customFormat="1" x14ac:dyDescent="0.25">
      <c r="A195" s="36"/>
      <c r="B195" s="31"/>
      <c r="C195" s="31"/>
      <c r="D195" s="32"/>
      <c r="F195" s="32"/>
      <c r="G195" s="41"/>
      <c r="H195" s="32"/>
      <c r="I195" s="41"/>
      <c r="J195" s="315"/>
      <c r="K195" s="315"/>
      <c r="L195" s="315"/>
    </row>
    <row r="196" spans="1:12" s="30" customFormat="1" x14ac:dyDescent="0.25">
      <c r="A196" s="36"/>
      <c r="B196" s="31"/>
      <c r="C196" s="31"/>
      <c r="D196" s="32"/>
      <c r="F196" s="32"/>
      <c r="G196" s="41"/>
      <c r="H196" s="32"/>
      <c r="I196" s="41"/>
      <c r="J196" s="315"/>
      <c r="K196" s="315"/>
      <c r="L196" s="315"/>
    </row>
    <row r="197" spans="1:12" s="30" customFormat="1" x14ac:dyDescent="0.25">
      <c r="A197" s="36"/>
      <c r="B197" s="31"/>
      <c r="C197" s="31"/>
      <c r="D197" s="32"/>
      <c r="F197" s="32"/>
      <c r="G197" s="41"/>
      <c r="H197" s="32"/>
      <c r="I197" s="41"/>
      <c r="J197" s="315"/>
      <c r="K197" s="315"/>
      <c r="L197" s="315"/>
    </row>
    <row r="198" spans="1:12" s="30" customFormat="1" x14ac:dyDescent="0.25">
      <c r="A198" s="36"/>
      <c r="B198" s="31"/>
      <c r="C198" s="31"/>
      <c r="D198" s="32"/>
      <c r="F198" s="32"/>
      <c r="G198" s="41"/>
      <c r="H198" s="32"/>
      <c r="I198" s="41"/>
      <c r="J198" s="315"/>
      <c r="K198" s="315"/>
      <c r="L198" s="315"/>
    </row>
    <row r="199" spans="1:12" s="30" customFormat="1" x14ac:dyDescent="0.25">
      <c r="A199" s="36"/>
      <c r="B199" s="31"/>
      <c r="C199" s="31"/>
      <c r="D199" s="32"/>
      <c r="F199" s="32"/>
      <c r="G199" s="41"/>
      <c r="H199" s="32"/>
      <c r="I199" s="41"/>
      <c r="J199" s="315"/>
      <c r="K199" s="315"/>
      <c r="L199" s="315"/>
    </row>
    <row r="200" spans="1:12" s="30" customFormat="1" x14ac:dyDescent="0.25">
      <c r="A200" s="36"/>
      <c r="B200" s="31"/>
      <c r="C200" s="31"/>
      <c r="D200" s="32"/>
      <c r="F200" s="32"/>
      <c r="G200" s="41"/>
      <c r="H200" s="32"/>
      <c r="I200" s="41"/>
      <c r="J200" s="315"/>
      <c r="K200" s="315"/>
      <c r="L200" s="315"/>
    </row>
    <row r="201" spans="1:12" s="30" customFormat="1" x14ac:dyDescent="0.25">
      <c r="A201" s="36"/>
      <c r="B201" s="31"/>
      <c r="C201" s="31"/>
      <c r="D201" s="32"/>
      <c r="F201" s="32"/>
      <c r="G201" s="41"/>
      <c r="H201" s="32"/>
      <c r="I201" s="41"/>
      <c r="J201" s="315"/>
      <c r="K201" s="315"/>
      <c r="L201" s="315"/>
    </row>
    <row r="202" spans="1:12" s="30" customFormat="1" x14ac:dyDescent="0.25">
      <c r="A202" s="36"/>
      <c r="B202" s="31"/>
      <c r="C202" s="31"/>
      <c r="D202" s="32"/>
      <c r="F202" s="32"/>
      <c r="G202" s="41"/>
      <c r="H202" s="32"/>
      <c r="I202" s="41"/>
      <c r="J202" s="315"/>
      <c r="K202" s="315"/>
      <c r="L202" s="315"/>
    </row>
    <row r="203" spans="1:12" s="30" customFormat="1" x14ac:dyDescent="0.25">
      <c r="A203" s="36"/>
      <c r="B203" s="31"/>
      <c r="C203" s="31"/>
      <c r="D203" s="32"/>
      <c r="F203" s="32"/>
      <c r="G203" s="41"/>
      <c r="H203" s="32"/>
      <c r="I203" s="41"/>
      <c r="J203" s="315"/>
      <c r="K203" s="315"/>
      <c r="L203" s="315"/>
    </row>
    <row r="204" spans="1:12" s="30" customFormat="1" x14ac:dyDescent="0.25">
      <c r="A204" s="36"/>
      <c r="B204" s="31"/>
      <c r="C204" s="31"/>
      <c r="D204" s="32"/>
      <c r="F204" s="32"/>
      <c r="G204" s="41"/>
      <c r="H204" s="32"/>
      <c r="I204" s="41"/>
      <c r="J204" s="315"/>
      <c r="K204" s="315"/>
      <c r="L204" s="315"/>
    </row>
    <row r="205" spans="1:12" s="30" customFormat="1" x14ac:dyDescent="0.25">
      <c r="A205" s="36"/>
      <c r="B205" s="31"/>
      <c r="C205" s="31"/>
      <c r="D205" s="32"/>
      <c r="F205" s="32"/>
      <c r="G205" s="41"/>
      <c r="H205" s="32"/>
      <c r="I205" s="41"/>
      <c r="J205" s="315"/>
      <c r="K205" s="315"/>
      <c r="L205" s="315"/>
    </row>
    <row r="206" spans="1:12" s="30" customFormat="1" x14ac:dyDescent="0.25">
      <c r="A206" s="36"/>
      <c r="B206" s="31"/>
      <c r="C206" s="31"/>
      <c r="D206" s="32"/>
      <c r="F206" s="32"/>
      <c r="G206" s="41"/>
      <c r="H206" s="32"/>
      <c r="I206" s="41"/>
      <c r="J206" s="315"/>
      <c r="K206" s="315"/>
      <c r="L206" s="315"/>
    </row>
    <row r="207" spans="1:12" s="30" customFormat="1" x14ac:dyDescent="0.25">
      <c r="A207" s="36"/>
      <c r="B207" s="31"/>
      <c r="C207" s="31"/>
      <c r="D207" s="32"/>
      <c r="F207" s="32"/>
      <c r="G207" s="41"/>
      <c r="H207" s="32"/>
      <c r="I207" s="41"/>
      <c r="J207" s="315"/>
      <c r="K207" s="315"/>
      <c r="L207" s="315"/>
    </row>
    <row r="208" spans="1:12" s="30" customFormat="1" x14ac:dyDescent="0.25">
      <c r="A208" s="36"/>
      <c r="B208" s="31"/>
      <c r="C208" s="31"/>
      <c r="D208" s="32"/>
      <c r="F208" s="32"/>
      <c r="G208" s="41"/>
      <c r="H208" s="32"/>
      <c r="I208" s="41"/>
      <c r="J208" s="315"/>
      <c r="K208" s="315"/>
      <c r="L208" s="315"/>
    </row>
    <row r="209" spans="1:12" s="30" customFormat="1" x14ac:dyDescent="0.25">
      <c r="A209" s="36"/>
      <c r="B209" s="31"/>
      <c r="C209" s="31"/>
      <c r="D209" s="32"/>
      <c r="F209" s="32"/>
      <c r="G209" s="41"/>
      <c r="H209" s="32"/>
      <c r="I209" s="41"/>
      <c r="J209" s="315"/>
      <c r="K209" s="315"/>
      <c r="L209" s="315"/>
    </row>
    <row r="210" spans="1:12" s="30" customFormat="1" x14ac:dyDescent="0.25">
      <c r="A210" s="36"/>
      <c r="B210" s="31"/>
      <c r="C210" s="31"/>
      <c r="D210" s="32"/>
      <c r="F210" s="32"/>
      <c r="G210" s="41"/>
      <c r="H210" s="32"/>
      <c r="I210" s="41"/>
      <c r="J210" s="315"/>
      <c r="K210" s="315"/>
      <c r="L210" s="315"/>
    </row>
    <row r="211" spans="1:12" s="30" customFormat="1" x14ac:dyDescent="0.25">
      <c r="A211" s="36"/>
      <c r="B211" s="31"/>
      <c r="C211" s="31"/>
      <c r="D211" s="32"/>
      <c r="F211" s="32"/>
      <c r="G211" s="41"/>
      <c r="H211" s="32"/>
      <c r="I211" s="41"/>
      <c r="J211" s="315"/>
      <c r="K211" s="315"/>
      <c r="L211" s="315"/>
    </row>
    <row r="212" spans="1:12" s="30" customFormat="1" x14ac:dyDescent="0.25">
      <c r="A212" s="36"/>
      <c r="B212" s="31"/>
      <c r="C212" s="31"/>
      <c r="D212" s="32"/>
      <c r="F212" s="32"/>
      <c r="G212" s="41"/>
      <c r="H212" s="32"/>
      <c r="I212" s="41"/>
      <c r="J212" s="315"/>
      <c r="K212" s="315"/>
      <c r="L212" s="315"/>
    </row>
    <row r="213" spans="1:12" s="30" customFormat="1" x14ac:dyDescent="0.25">
      <c r="A213" s="36"/>
      <c r="B213" s="31"/>
      <c r="C213" s="31"/>
      <c r="D213" s="32"/>
      <c r="F213" s="32"/>
      <c r="G213" s="41"/>
      <c r="H213" s="32"/>
      <c r="I213" s="41"/>
      <c r="J213" s="315"/>
      <c r="K213" s="315"/>
      <c r="L213" s="315"/>
    </row>
    <row r="214" spans="1:12" s="30" customFormat="1" x14ac:dyDescent="0.25">
      <c r="A214" s="36"/>
      <c r="B214" s="31"/>
      <c r="C214" s="31"/>
      <c r="D214" s="32"/>
      <c r="F214" s="32"/>
      <c r="G214" s="41"/>
      <c r="H214" s="32"/>
      <c r="I214" s="41"/>
      <c r="J214" s="315"/>
      <c r="K214" s="315"/>
      <c r="L214" s="315"/>
    </row>
    <row r="215" spans="1:12" s="30" customFormat="1" x14ac:dyDescent="0.25">
      <c r="A215" s="36"/>
      <c r="B215" s="31"/>
      <c r="C215" s="31"/>
      <c r="D215" s="32"/>
      <c r="F215" s="32"/>
      <c r="G215" s="41"/>
      <c r="H215" s="32"/>
      <c r="I215" s="41"/>
      <c r="J215" s="315"/>
      <c r="K215" s="315"/>
      <c r="L215" s="315"/>
    </row>
    <row r="216" spans="1:12" s="30" customFormat="1" x14ac:dyDescent="0.25">
      <c r="A216" s="36"/>
      <c r="B216" s="31"/>
      <c r="C216" s="31"/>
      <c r="D216" s="32"/>
      <c r="F216" s="32"/>
      <c r="G216" s="41"/>
      <c r="H216" s="32"/>
      <c r="I216" s="41"/>
      <c r="J216" s="315"/>
      <c r="K216" s="315"/>
      <c r="L216" s="315"/>
    </row>
    <row r="217" spans="1:12" s="30" customFormat="1" x14ac:dyDescent="0.25">
      <c r="A217" s="36"/>
      <c r="B217" s="31"/>
      <c r="C217" s="31"/>
      <c r="D217" s="32"/>
      <c r="F217" s="32"/>
      <c r="G217" s="41"/>
      <c r="H217" s="32"/>
      <c r="I217" s="41"/>
      <c r="J217" s="315"/>
      <c r="K217" s="315"/>
      <c r="L217" s="315"/>
    </row>
    <row r="218" spans="1:12" s="30" customFormat="1" x14ac:dyDescent="0.25">
      <c r="A218" s="36"/>
      <c r="B218" s="31"/>
      <c r="C218" s="31"/>
      <c r="D218" s="32"/>
      <c r="F218" s="32"/>
      <c r="G218" s="41"/>
      <c r="H218" s="32"/>
      <c r="I218" s="41"/>
      <c r="J218" s="315"/>
      <c r="K218" s="315"/>
      <c r="L218" s="315"/>
    </row>
    <row r="219" spans="1:12" s="30" customFormat="1" x14ac:dyDescent="0.25">
      <c r="A219" s="36"/>
      <c r="B219" s="31"/>
      <c r="C219" s="31"/>
      <c r="D219" s="32"/>
      <c r="F219" s="32"/>
      <c r="G219" s="41"/>
      <c r="H219" s="32"/>
      <c r="I219" s="41"/>
      <c r="J219" s="315"/>
      <c r="K219" s="315"/>
      <c r="L219" s="315"/>
    </row>
    <row r="220" spans="1:12" s="30" customFormat="1" x14ac:dyDescent="0.25">
      <c r="A220" s="36"/>
      <c r="B220" s="31"/>
      <c r="C220" s="31"/>
      <c r="D220" s="32"/>
      <c r="F220" s="32"/>
      <c r="G220" s="41"/>
      <c r="H220" s="32"/>
      <c r="I220" s="41"/>
      <c r="J220" s="315"/>
      <c r="K220" s="315"/>
      <c r="L220" s="315"/>
    </row>
    <row r="221" spans="1:12" s="30" customFormat="1" x14ac:dyDescent="0.25">
      <c r="A221" s="36"/>
      <c r="B221" s="31"/>
      <c r="C221" s="31"/>
      <c r="D221" s="32"/>
      <c r="F221" s="32"/>
      <c r="G221" s="41"/>
      <c r="H221" s="32"/>
      <c r="I221" s="41"/>
      <c r="J221" s="315"/>
      <c r="K221" s="315"/>
      <c r="L221" s="315"/>
    </row>
    <row r="222" spans="1:12" s="30" customFormat="1" x14ac:dyDescent="0.25">
      <c r="A222" s="36"/>
      <c r="B222" s="31"/>
      <c r="C222" s="31"/>
      <c r="D222" s="32"/>
      <c r="F222" s="32"/>
      <c r="G222" s="41"/>
      <c r="H222" s="32"/>
      <c r="I222" s="41"/>
      <c r="J222" s="315"/>
      <c r="K222" s="315"/>
      <c r="L222" s="315"/>
    </row>
    <row r="223" spans="1:12" s="30" customFormat="1" x14ac:dyDescent="0.25">
      <c r="A223" s="36"/>
      <c r="B223" s="31"/>
      <c r="C223" s="31"/>
      <c r="D223" s="32"/>
      <c r="F223" s="32"/>
      <c r="G223" s="41"/>
      <c r="H223" s="32"/>
      <c r="I223" s="41"/>
      <c r="J223" s="315"/>
      <c r="K223" s="315"/>
      <c r="L223" s="315"/>
    </row>
    <row r="224" spans="1:12" s="30" customFormat="1" x14ac:dyDescent="0.25">
      <c r="A224" s="36"/>
      <c r="B224" s="31"/>
      <c r="C224" s="31"/>
      <c r="D224" s="32"/>
      <c r="F224" s="32"/>
      <c r="G224" s="41"/>
      <c r="H224" s="32"/>
      <c r="I224" s="41"/>
      <c r="J224" s="315"/>
      <c r="K224" s="315"/>
      <c r="L224" s="315"/>
    </row>
    <row r="225" spans="1:12" s="30" customFormat="1" x14ac:dyDescent="0.25">
      <c r="A225" s="36"/>
      <c r="B225" s="31"/>
      <c r="C225" s="31"/>
      <c r="D225" s="32"/>
      <c r="F225" s="32"/>
      <c r="G225" s="41"/>
      <c r="H225" s="32"/>
      <c r="I225" s="41"/>
      <c r="J225" s="315"/>
      <c r="K225" s="315"/>
      <c r="L225" s="315"/>
    </row>
    <row r="226" spans="1:12" s="30" customFormat="1" x14ac:dyDescent="0.25">
      <c r="A226" s="36"/>
      <c r="B226" s="31"/>
      <c r="C226" s="31"/>
      <c r="D226" s="32"/>
      <c r="F226" s="32"/>
      <c r="G226" s="41"/>
      <c r="H226" s="32"/>
      <c r="I226" s="41"/>
      <c r="J226" s="315"/>
      <c r="K226" s="315"/>
      <c r="L226" s="315"/>
    </row>
    <row r="227" spans="1:12" s="30" customFormat="1" x14ac:dyDescent="0.25">
      <c r="A227" s="36"/>
      <c r="B227" s="31"/>
      <c r="C227" s="31"/>
      <c r="D227" s="32"/>
      <c r="F227" s="32"/>
      <c r="G227" s="41"/>
      <c r="H227" s="32"/>
      <c r="I227" s="41"/>
      <c r="J227" s="315"/>
      <c r="K227" s="315"/>
      <c r="L227" s="315"/>
    </row>
    <row r="228" spans="1:12" s="30" customFormat="1" x14ac:dyDescent="0.25">
      <c r="A228" s="36"/>
      <c r="B228" s="31"/>
      <c r="C228" s="31"/>
      <c r="D228" s="32"/>
      <c r="F228" s="32"/>
      <c r="G228" s="41"/>
      <c r="H228" s="32"/>
      <c r="I228" s="41"/>
      <c r="J228" s="315"/>
      <c r="K228" s="315"/>
      <c r="L228" s="315"/>
    </row>
    <row r="229" spans="1:12" s="30" customFormat="1" x14ac:dyDescent="0.25">
      <c r="A229" s="36"/>
      <c r="B229" s="31"/>
      <c r="C229" s="31"/>
      <c r="D229" s="32"/>
      <c r="F229" s="32"/>
      <c r="G229" s="41"/>
      <c r="H229" s="32"/>
      <c r="I229" s="41"/>
      <c r="J229" s="315"/>
      <c r="K229" s="315"/>
      <c r="L229" s="315"/>
    </row>
    <row r="230" spans="1:12" s="30" customFormat="1" x14ac:dyDescent="0.25">
      <c r="A230" s="36"/>
      <c r="B230" s="31"/>
      <c r="C230" s="31"/>
      <c r="D230" s="32"/>
      <c r="F230" s="32"/>
      <c r="G230" s="41"/>
      <c r="H230" s="32"/>
      <c r="I230" s="41"/>
      <c r="J230" s="315"/>
      <c r="K230" s="315"/>
      <c r="L230" s="315"/>
    </row>
    <row r="231" spans="1:12" s="30" customFormat="1" x14ac:dyDescent="0.25">
      <c r="A231" s="36"/>
      <c r="B231" s="31"/>
      <c r="C231" s="31"/>
      <c r="D231" s="32"/>
      <c r="F231" s="32"/>
      <c r="G231" s="41"/>
      <c r="H231" s="32"/>
      <c r="I231" s="41"/>
      <c r="J231" s="315"/>
      <c r="K231" s="315"/>
      <c r="L231" s="315"/>
    </row>
    <row r="232" spans="1:12" s="30" customFormat="1" x14ac:dyDescent="0.25">
      <c r="A232" s="36"/>
      <c r="B232" s="31"/>
      <c r="C232" s="31"/>
      <c r="D232" s="32"/>
      <c r="F232" s="32"/>
      <c r="G232" s="41"/>
      <c r="H232" s="32"/>
      <c r="I232" s="41"/>
      <c r="J232" s="315"/>
      <c r="K232" s="315"/>
      <c r="L232" s="315"/>
    </row>
    <row r="233" spans="1:12" s="30" customFormat="1" x14ac:dyDescent="0.25">
      <c r="A233" s="36"/>
      <c r="B233" s="31"/>
      <c r="C233" s="31"/>
      <c r="D233" s="32"/>
      <c r="F233" s="32"/>
      <c r="G233" s="41"/>
      <c r="H233" s="32"/>
      <c r="I233" s="41"/>
      <c r="J233" s="315"/>
      <c r="K233" s="315"/>
      <c r="L233" s="315"/>
    </row>
    <row r="234" spans="1:12" s="30" customFormat="1" x14ac:dyDescent="0.25">
      <c r="A234" s="36"/>
      <c r="B234" s="31"/>
      <c r="C234" s="31"/>
      <c r="D234" s="32"/>
      <c r="F234" s="32"/>
      <c r="G234" s="41"/>
      <c r="H234" s="32"/>
      <c r="I234" s="41"/>
      <c r="J234" s="315"/>
      <c r="K234" s="315"/>
      <c r="L234" s="315"/>
    </row>
    <row r="235" spans="1:12" s="30" customFormat="1" x14ac:dyDescent="0.25">
      <c r="A235" s="36"/>
      <c r="B235" s="31"/>
      <c r="C235" s="31"/>
      <c r="D235" s="32"/>
      <c r="F235" s="32"/>
      <c r="G235" s="41"/>
      <c r="H235" s="32"/>
      <c r="I235" s="41"/>
      <c r="J235" s="315"/>
      <c r="K235" s="315"/>
      <c r="L235" s="315"/>
    </row>
    <row r="236" spans="1:12" s="30" customFormat="1" x14ac:dyDescent="0.25">
      <c r="A236" s="36"/>
      <c r="B236" s="31"/>
      <c r="C236" s="31"/>
      <c r="D236" s="32"/>
      <c r="F236" s="32"/>
      <c r="G236" s="41"/>
      <c r="H236" s="32"/>
      <c r="I236" s="41"/>
      <c r="J236" s="315"/>
      <c r="K236" s="315"/>
      <c r="L236" s="315"/>
    </row>
    <row r="237" spans="1:12" s="30" customFormat="1" x14ac:dyDescent="0.25">
      <c r="A237" s="36"/>
      <c r="B237" s="31"/>
      <c r="C237" s="31"/>
      <c r="D237" s="32"/>
      <c r="F237" s="32"/>
      <c r="G237" s="41"/>
      <c r="H237" s="32"/>
      <c r="I237" s="41"/>
      <c r="J237" s="315"/>
      <c r="K237" s="315"/>
      <c r="L237" s="315"/>
    </row>
    <row r="238" spans="1:12" s="30" customFormat="1" x14ac:dyDescent="0.25">
      <c r="A238" s="36"/>
      <c r="B238" s="31"/>
      <c r="C238" s="31"/>
      <c r="D238" s="32"/>
      <c r="F238" s="32"/>
      <c r="G238" s="41"/>
      <c r="H238" s="32"/>
      <c r="I238" s="41"/>
      <c r="J238" s="315"/>
      <c r="K238" s="315"/>
      <c r="L238" s="315"/>
    </row>
    <row r="239" spans="1:12" s="30" customFormat="1" x14ac:dyDescent="0.25">
      <c r="A239" s="36"/>
      <c r="B239" s="31"/>
      <c r="C239" s="31"/>
      <c r="D239" s="32"/>
      <c r="F239" s="32"/>
      <c r="G239" s="41"/>
      <c r="H239" s="32"/>
      <c r="I239" s="41"/>
      <c r="J239" s="315"/>
      <c r="K239" s="315"/>
      <c r="L239" s="315"/>
    </row>
    <row r="240" spans="1:12" s="30" customFormat="1" x14ac:dyDescent="0.25">
      <c r="A240" s="36"/>
      <c r="B240" s="31"/>
      <c r="C240" s="31"/>
      <c r="D240" s="32"/>
      <c r="F240" s="32"/>
      <c r="G240" s="41"/>
      <c r="H240" s="32"/>
      <c r="I240" s="41"/>
      <c r="J240" s="315"/>
      <c r="K240" s="315"/>
      <c r="L240" s="315"/>
    </row>
    <row r="241" spans="1:12" s="30" customFormat="1" x14ac:dyDescent="0.25">
      <c r="A241" s="36"/>
      <c r="B241" s="31"/>
      <c r="C241" s="31"/>
      <c r="D241" s="32"/>
      <c r="F241" s="32"/>
      <c r="G241" s="41"/>
      <c r="H241" s="32"/>
      <c r="I241" s="41"/>
      <c r="J241" s="315"/>
      <c r="K241" s="315"/>
      <c r="L241" s="315"/>
    </row>
    <row r="242" spans="1:12" s="30" customFormat="1" x14ac:dyDescent="0.25">
      <c r="A242" s="36"/>
      <c r="B242" s="31"/>
      <c r="C242" s="31"/>
      <c r="D242" s="32"/>
      <c r="F242" s="32"/>
      <c r="G242" s="41"/>
      <c r="H242" s="32"/>
      <c r="I242" s="41"/>
      <c r="J242" s="315"/>
      <c r="K242" s="315"/>
      <c r="L242" s="315"/>
    </row>
    <row r="243" spans="1:12" s="30" customFormat="1" x14ac:dyDescent="0.25">
      <c r="A243" s="36"/>
      <c r="B243" s="31"/>
      <c r="C243" s="31"/>
      <c r="D243" s="32"/>
      <c r="F243" s="32"/>
      <c r="G243" s="41"/>
      <c r="H243" s="32"/>
      <c r="I243" s="41"/>
      <c r="J243" s="315"/>
      <c r="K243" s="315"/>
      <c r="L243" s="315"/>
    </row>
    <row r="244" spans="1:12" s="30" customFormat="1" x14ac:dyDescent="0.25">
      <c r="A244" s="36"/>
      <c r="B244" s="31"/>
      <c r="C244" s="31"/>
      <c r="D244" s="32"/>
      <c r="F244" s="32"/>
      <c r="G244" s="41"/>
      <c r="H244" s="32"/>
      <c r="I244" s="41"/>
      <c r="J244" s="315"/>
      <c r="K244" s="315"/>
      <c r="L244" s="315"/>
    </row>
    <row r="245" spans="1:12" s="30" customFormat="1" x14ac:dyDescent="0.25">
      <c r="A245" s="36"/>
      <c r="B245" s="31"/>
      <c r="C245" s="31"/>
      <c r="D245" s="32"/>
      <c r="F245" s="32"/>
      <c r="G245" s="41"/>
      <c r="H245" s="32"/>
      <c r="I245" s="41"/>
      <c r="J245" s="315"/>
      <c r="K245" s="315"/>
      <c r="L245" s="315"/>
    </row>
    <row r="246" spans="1:12" s="30" customFormat="1" x14ac:dyDescent="0.25">
      <c r="A246" s="36"/>
      <c r="B246" s="31"/>
      <c r="C246" s="31"/>
      <c r="D246" s="32"/>
      <c r="F246" s="32"/>
      <c r="G246" s="41"/>
      <c r="H246" s="32"/>
      <c r="I246" s="41"/>
      <c r="J246" s="315"/>
      <c r="K246" s="315"/>
      <c r="L246" s="315"/>
    </row>
    <row r="247" spans="1:12" s="30" customFormat="1" x14ac:dyDescent="0.25">
      <c r="A247" s="36"/>
      <c r="B247" s="31"/>
      <c r="C247" s="31"/>
      <c r="D247" s="32"/>
      <c r="F247" s="32"/>
      <c r="G247" s="41"/>
      <c r="H247" s="32"/>
      <c r="I247" s="41"/>
      <c r="J247" s="315"/>
      <c r="K247" s="315"/>
      <c r="L247" s="315"/>
    </row>
    <row r="248" spans="1:12" s="30" customFormat="1" x14ac:dyDescent="0.25">
      <c r="A248" s="36"/>
      <c r="B248" s="31"/>
      <c r="C248" s="31"/>
      <c r="D248" s="32"/>
      <c r="F248" s="32"/>
      <c r="G248" s="41"/>
      <c r="H248" s="32"/>
      <c r="I248" s="41"/>
      <c r="J248" s="315"/>
      <c r="K248" s="315"/>
      <c r="L248" s="315"/>
    </row>
    <row r="249" spans="1:12" s="30" customFormat="1" x14ac:dyDescent="0.25">
      <c r="A249" s="36"/>
      <c r="B249" s="31"/>
      <c r="C249" s="31"/>
      <c r="D249" s="32"/>
      <c r="F249" s="32"/>
      <c r="G249" s="41"/>
      <c r="H249" s="32"/>
      <c r="I249" s="41"/>
      <c r="J249" s="315"/>
      <c r="K249" s="315"/>
      <c r="L249" s="315"/>
    </row>
    <row r="250" spans="1:12" s="30" customFormat="1" x14ac:dyDescent="0.25">
      <c r="A250" s="36"/>
      <c r="B250" s="31"/>
      <c r="C250" s="31"/>
      <c r="D250" s="32"/>
      <c r="F250" s="32"/>
      <c r="G250" s="41"/>
      <c r="H250" s="32"/>
      <c r="I250" s="41"/>
      <c r="J250" s="315"/>
      <c r="K250" s="315"/>
      <c r="L250" s="315"/>
    </row>
    <row r="251" spans="1:12" s="30" customFormat="1" x14ac:dyDescent="0.25">
      <c r="A251" s="36"/>
      <c r="B251" s="31"/>
      <c r="C251" s="31"/>
      <c r="D251" s="32"/>
      <c r="F251" s="32"/>
      <c r="G251" s="41"/>
      <c r="H251" s="32"/>
      <c r="I251" s="41"/>
      <c r="J251" s="315"/>
      <c r="K251" s="315"/>
      <c r="L251" s="315"/>
    </row>
    <row r="252" spans="1:12" s="30" customFormat="1" x14ac:dyDescent="0.25">
      <c r="A252" s="36"/>
      <c r="B252" s="31"/>
      <c r="C252" s="31"/>
      <c r="D252" s="32"/>
      <c r="F252" s="32"/>
      <c r="G252" s="41"/>
      <c r="H252" s="32"/>
      <c r="I252" s="41"/>
      <c r="J252" s="315"/>
      <c r="K252" s="315"/>
      <c r="L252" s="315"/>
    </row>
    <row r="253" spans="1:12" s="30" customFormat="1" x14ac:dyDescent="0.25">
      <c r="A253" s="36"/>
      <c r="B253" s="31"/>
      <c r="C253" s="31"/>
      <c r="D253" s="32"/>
      <c r="F253" s="32"/>
      <c r="G253" s="41"/>
      <c r="H253" s="32"/>
      <c r="I253" s="41"/>
      <c r="J253" s="315"/>
      <c r="K253" s="315"/>
      <c r="L253" s="315"/>
    </row>
    <row r="254" spans="1:12" s="30" customFormat="1" x14ac:dyDescent="0.25">
      <c r="A254" s="36"/>
      <c r="B254" s="31"/>
      <c r="C254" s="31"/>
      <c r="D254" s="32"/>
      <c r="F254" s="32"/>
      <c r="G254" s="41"/>
      <c r="H254" s="32"/>
      <c r="I254" s="41"/>
      <c r="J254" s="315"/>
      <c r="K254" s="315"/>
      <c r="L254" s="315"/>
    </row>
    <row r="255" spans="1:12" s="30" customFormat="1" x14ac:dyDescent="0.25">
      <c r="A255" s="36"/>
      <c r="B255" s="31"/>
      <c r="C255" s="31"/>
      <c r="D255" s="32"/>
      <c r="F255" s="32"/>
      <c r="G255" s="41"/>
      <c r="H255" s="32"/>
      <c r="I255" s="41"/>
      <c r="J255" s="315"/>
      <c r="K255" s="315"/>
      <c r="L255" s="315"/>
    </row>
    <row r="256" spans="1:12" s="30" customFormat="1" x14ac:dyDescent="0.25">
      <c r="A256" s="36"/>
      <c r="B256" s="31"/>
      <c r="C256" s="31"/>
      <c r="D256" s="32"/>
      <c r="F256" s="32"/>
      <c r="G256" s="41"/>
      <c r="H256" s="32"/>
      <c r="I256" s="41"/>
      <c r="J256" s="315"/>
      <c r="K256" s="315"/>
      <c r="L256" s="315"/>
    </row>
    <row r="257" spans="1:12" s="30" customFormat="1" x14ac:dyDescent="0.25">
      <c r="A257" s="36"/>
      <c r="B257" s="31"/>
      <c r="C257" s="31"/>
      <c r="D257" s="32"/>
      <c r="F257" s="32"/>
      <c r="G257" s="41"/>
      <c r="H257" s="32"/>
      <c r="I257" s="41"/>
      <c r="J257" s="315"/>
      <c r="K257" s="315"/>
      <c r="L257" s="315"/>
    </row>
    <row r="258" spans="1:12" s="30" customFormat="1" x14ac:dyDescent="0.25">
      <c r="A258" s="36"/>
      <c r="B258" s="31"/>
      <c r="C258" s="31"/>
      <c r="D258" s="32"/>
      <c r="F258" s="32"/>
      <c r="G258" s="41"/>
      <c r="H258" s="32"/>
      <c r="I258" s="41"/>
      <c r="J258" s="315"/>
      <c r="K258" s="315"/>
      <c r="L258" s="315"/>
    </row>
    <row r="259" spans="1:12" s="30" customFormat="1" x14ac:dyDescent="0.25">
      <c r="A259" s="36"/>
      <c r="B259" s="31"/>
      <c r="C259" s="31"/>
      <c r="D259" s="32"/>
      <c r="F259" s="32"/>
      <c r="G259" s="41"/>
      <c r="H259" s="32"/>
      <c r="I259" s="41"/>
      <c r="J259" s="315"/>
      <c r="K259" s="315"/>
      <c r="L259" s="315"/>
    </row>
    <row r="260" spans="1:12" s="30" customFormat="1" x14ac:dyDescent="0.25">
      <c r="A260" s="36"/>
      <c r="B260" s="31"/>
      <c r="C260" s="31"/>
      <c r="D260" s="32"/>
      <c r="F260" s="32"/>
      <c r="G260" s="41"/>
      <c r="H260" s="32"/>
      <c r="I260" s="41"/>
      <c r="J260" s="315"/>
      <c r="K260" s="315"/>
      <c r="L260" s="315"/>
    </row>
    <row r="261" spans="1:12" s="30" customFormat="1" x14ac:dyDescent="0.25">
      <c r="A261" s="36"/>
      <c r="B261" s="31"/>
      <c r="C261" s="31"/>
      <c r="D261" s="32"/>
      <c r="F261" s="32"/>
      <c r="G261" s="41"/>
      <c r="H261" s="32"/>
      <c r="I261" s="41"/>
      <c r="J261" s="315"/>
      <c r="K261" s="315"/>
      <c r="L261" s="315"/>
    </row>
    <row r="262" spans="1:12" s="30" customFormat="1" x14ac:dyDescent="0.25">
      <c r="A262" s="36"/>
      <c r="B262" s="31"/>
      <c r="C262" s="31"/>
      <c r="D262" s="32"/>
      <c r="F262" s="32"/>
      <c r="G262" s="41"/>
      <c r="H262" s="32"/>
      <c r="I262" s="41"/>
      <c r="J262" s="315"/>
      <c r="K262" s="315"/>
      <c r="L262" s="315"/>
    </row>
    <row r="263" spans="1:12" s="30" customFormat="1" x14ac:dyDescent="0.25">
      <c r="A263" s="36"/>
      <c r="B263" s="31"/>
      <c r="C263" s="31"/>
      <c r="D263" s="32"/>
      <c r="F263" s="32"/>
      <c r="G263" s="41"/>
      <c r="H263" s="32"/>
      <c r="I263" s="41"/>
      <c r="J263" s="315"/>
      <c r="K263" s="315"/>
      <c r="L263" s="315"/>
    </row>
    <row r="264" spans="1:12" s="30" customFormat="1" x14ac:dyDescent="0.25">
      <c r="A264" s="36"/>
      <c r="B264" s="31"/>
      <c r="C264" s="31"/>
      <c r="D264" s="32"/>
      <c r="F264" s="32"/>
      <c r="G264" s="41"/>
      <c r="H264" s="32"/>
      <c r="I264" s="41"/>
      <c r="J264" s="315"/>
      <c r="K264" s="315"/>
      <c r="L264" s="315"/>
    </row>
    <row r="265" spans="1:12" s="30" customFormat="1" x14ac:dyDescent="0.25">
      <c r="A265" s="36"/>
      <c r="B265" s="31"/>
      <c r="C265" s="31"/>
      <c r="D265" s="32"/>
      <c r="F265" s="32"/>
      <c r="G265" s="41"/>
      <c r="H265" s="32"/>
      <c r="I265" s="41"/>
      <c r="J265" s="315"/>
      <c r="K265" s="315"/>
      <c r="L265" s="315"/>
    </row>
    <row r="266" spans="1:12" s="30" customFormat="1" x14ac:dyDescent="0.25">
      <c r="A266" s="36"/>
      <c r="B266" s="31"/>
      <c r="C266" s="31"/>
      <c r="D266" s="32"/>
      <c r="F266" s="32"/>
      <c r="G266" s="41"/>
      <c r="H266" s="32"/>
      <c r="I266" s="41"/>
      <c r="J266" s="315"/>
      <c r="K266" s="315"/>
      <c r="L266" s="315"/>
    </row>
    <row r="267" spans="1:12" s="30" customFormat="1" x14ac:dyDescent="0.25">
      <c r="A267" s="36"/>
      <c r="B267" s="31"/>
      <c r="C267" s="31"/>
      <c r="D267" s="32"/>
      <c r="F267" s="32"/>
      <c r="G267" s="41"/>
      <c r="H267" s="32"/>
      <c r="I267" s="41"/>
      <c r="J267" s="315"/>
      <c r="K267" s="315"/>
      <c r="L267" s="315"/>
    </row>
    <row r="268" spans="1:12" s="30" customFormat="1" x14ac:dyDescent="0.25">
      <c r="A268" s="36"/>
      <c r="B268" s="31"/>
      <c r="C268" s="31"/>
      <c r="D268" s="32"/>
      <c r="F268" s="32"/>
      <c r="G268" s="41"/>
      <c r="H268" s="32"/>
      <c r="I268" s="41"/>
      <c r="J268" s="315"/>
      <c r="K268" s="315"/>
      <c r="L268" s="315"/>
    </row>
    <row r="269" spans="1:12" s="30" customFormat="1" x14ac:dyDescent="0.25">
      <c r="A269" s="36"/>
      <c r="B269" s="31"/>
      <c r="C269" s="31"/>
      <c r="D269" s="32"/>
      <c r="F269" s="32"/>
      <c r="G269" s="41"/>
      <c r="H269" s="32"/>
      <c r="I269" s="41"/>
      <c r="J269" s="315"/>
      <c r="K269" s="315"/>
      <c r="L269" s="315"/>
    </row>
    <row r="270" spans="1:12" s="30" customFormat="1" x14ac:dyDescent="0.25">
      <c r="A270" s="36"/>
      <c r="B270" s="31"/>
      <c r="C270" s="31"/>
      <c r="D270" s="32"/>
      <c r="F270" s="32"/>
      <c r="G270" s="41"/>
      <c r="H270" s="32"/>
      <c r="I270" s="41"/>
      <c r="J270" s="315"/>
      <c r="K270" s="315"/>
      <c r="L270" s="315"/>
    </row>
    <row r="271" spans="1:12" s="30" customFormat="1" x14ac:dyDescent="0.25">
      <c r="A271" s="36"/>
      <c r="B271" s="31"/>
      <c r="C271" s="31"/>
      <c r="D271" s="32"/>
      <c r="F271" s="32"/>
      <c r="G271" s="41"/>
      <c r="H271" s="32"/>
      <c r="I271" s="41"/>
      <c r="J271" s="315"/>
      <c r="K271" s="315"/>
      <c r="L271" s="315"/>
    </row>
    <row r="272" spans="1:12" s="30" customFormat="1" x14ac:dyDescent="0.25">
      <c r="A272" s="36"/>
      <c r="B272" s="31"/>
      <c r="C272" s="31"/>
      <c r="D272" s="32"/>
      <c r="F272" s="32"/>
      <c r="G272" s="41"/>
      <c r="H272" s="32"/>
      <c r="I272" s="41"/>
      <c r="J272" s="315"/>
      <c r="K272" s="315"/>
      <c r="L272" s="315"/>
    </row>
    <row r="273" spans="1:12" s="30" customFormat="1" x14ac:dyDescent="0.25">
      <c r="A273" s="36"/>
      <c r="B273" s="31"/>
      <c r="C273" s="31"/>
      <c r="D273" s="32"/>
      <c r="F273" s="32"/>
      <c r="G273" s="41"/>
      <c r="H273" s="32"/>
      <c r="I273" s="41"/>
      <c r="J273" s="315"/>
      <c r="K273" s="315"/>
      <c r="L273" s="315"/>
    </row>
    <row r="274" spans="1:12" s="30" customFormat="1" x14ac:dyDescent="0.25">
      <c r="A274" s="36"/>
      <c r="B274" s="31"/>
      <c r="C274" s="31"/>
      <c r="D274" s="32"/>
      <c r="F274" s="32"/>
      <c r="G274" s="41"/>
      <c r="H274" s="32"/>
      <c r="I274" s="41"/>
      <c r="J274" s="315"/>
      <c r="K274" s="315"/>
      <c r="L274" s="315"/>
    </row>
    <row r="275" spans="1:12" s="30" customFormat="1" x14ac:dyDescent="0.25">
      <c r="A275" s="36"/>
      <c r="B275" s="31"/>
      <c r="C275" s="31"/>
      <c r="D275" s="32"/>
      <c r="F275" s="32"/>
      <c r="G275" s="41"/>
      <c r="H275" s="32"/>
      <c r="I275" s="41"/>
      <c r="J275" s="315"/>
      <c r="K275" s="315"/>
      <c r="L275" s="315"/>
    </row>
    <row r="276" spans="1:12" s="30" customFormat="1" x14ac:dyDescent="0.25">
      <c r="A276" s="36"/>
      <c r="B276" s="31"/>
      <c r="C276" s="31"/>
      <c r="D276" s="32"/>
      <c r="F276" s="32"/>
      <c r="G276" s="41"/>
      <c r="H276" s="32"/>
      <c r="I276" s="41"/>
      <c r="J276" s="315"/>
      <c r="K276" s="315"/>
      <c r="L276" s="315"/>
    </row>
    <row r="277" spans="1:12" s="30" customFormat="1" x14ac:dyDescent="0.25">
      <c r="A277" s="36"/>
      <c r="B277" s="31"/>
      <c r="C277" s="31"/>
      <c r="D277" s="32"/>
      <c r="F277" s="32"/>
      <c r="G277" s="41"/>
      <c r="H277" s="32"/>
      <c r="I277" s="41"/>
      <c r="J277" s="315"/>
      <c r="K277" s="315"/>
      <c r="L277" s="315"/>
    </row>
    <row r="278" spans="1:12" s="30" customFormat="1" x14ac:dyDescent="0.25">
      <c r="A278" s="36"/>
      <c r="B278" s="31"/>
      <c r="C278" s="31"/>
      <c r="D278" s="32"/>
      <c r="F278" s="32"/>
      <c r="G278" s="41"/>
      <c r="H278" s="32"/>
      <c r="I278" s="41"/>
      <c r="J278" s="315"/>
      <c r="K278" s="315"/>
      <c r="L278" s="315"/>
    </row>
    <row r="279" spans="1:12" s="30" customFormat="1" x14ac:dyDescent="0.25">
      <c r="A279" s="36"/>
      <c r="B279" s="31"/>
      <c r="C279" s="31"/>
      <c r="D279" s="32"/>
      <c r="F279" s="32"/>
      <c r="G279" s="41"/>
      <c r="H279" s="32"/>
      <c r="I279" s="41"/>
      <c r="J279" s="315"/>
      <c r="K279" s="315"/>
      <c r="L279" s="315"/>
    </row>
    <row r="280" spans="1:12" s="30" customFormat="1" x14ac:dyDescent="0.25">
      <c r="A280" s="36"/>
      <c r="B280" s="31"/>
      <c r="C280" s="31"/>
      <c r="D280" s="32"/>
      <c r="F280" s="32"/>
      <c r="G280" s="41"/>
      <c r="H280" s="32"/>
      <c r="I280" s="41"/>
      <c r="J280" s="315"/>
      <c r="K280" s="315"/>
      <c r="L280" s="315"/>
    </row>
    <row r="281" spans="1:12" s="30" customFormat="1" x14ac:dyDescent="0.25">
      <c r="A281" s="36"/>
      <c r="B281" s="31"/>
      <c r="C281" s="31"/>
      <c r="D281" s="32"/>
      <c r="F281" s="32"/>
      <c r="G281" s="41"/>
      <c r="H281" s="32"/>
      <c r="I281" s="41"/>
      <c r="J281" s="315"/>
      <c r="K281" s="315"/>
      <c r="L281" s="315"/>
    </row>
    <row r="282" spans="1:12" s="30" customFormat="1" x14ac:dyDescent="0.25">
      <c r="A282" s="36"/>
      <c r="B282" s="31"/>
      <c r="C282" s="31"/>
      <c r="D282" s="32"/>
      <c r="F282" s="32"/>
      <c r="G282" s="41"/>
      <c r="H282" s="32"/>
      <c r="I282" s="41"/>
      <c r="J282" s="315"/>
      <c r="K282" s="315"/>
      <c r="L282" s="315"/>
    </row>
    <row r="283" spans="1:12" s="30" customFormat="1" x14ac:dyDescent="0.25">
      <c r="A283" s="36"/>
      <c r="B283" s="31"/>
      <c r="C283" s="31"/>
      <c r="D283" s="32"/>
      <c r="F283" s="32"/>
      <c r="G283" s="41"/>
      <c r="H283" s="32"/>
      <c r="I283" s="41"/>
      <c r="J283" s="315"/>
      <c r="K283" s="315"/>
      <c r="L283" s="315"/>
    </row>
    <row r="284" spans="1:12" s="30" customFormat="1" x14ac:dyDescent="0.25">
      <c r="A284" s="36"/>
      <c r="B284" s="31"/>
      <c r="C284" s="31"/>
      <c r="D284" s="32"/>
      <c r="F284" s="32"/>
      <c r="G284" s="41"/>
      <c r="H284" s="32"/>
      <c r="I284" s="41"/>
      <c r="J284" s="315"/>
      <c r="K284" s="315"/>
      <c r="L284" s="315"/>
    </row>
    <row r="285" spans="1:12" s="30" customFormat="1" x14ac:dyDescent="0.25">
      <c r="A285" s="36"/>
      <c r="B285" s="31"/>
      <c r="C285" s="31"/>
      <c r="D285" s="32"/>
      <c r="F285" s="32"/>
      <c r="G285" s="41"/>
      <c r="H285" s="32"/>
      <c r="I285" s="41"/>
      <c r="J285" s="315"/>
      <c r="K285" s="315"/>
      <c r="L285" s="315"/>
    </row>
    <row r="286" spans="1:12" s="30" customFormat="1" x14ac:dyDescent="0.25">
      <c r="A286" s="36"/>
      <c r="B286" s="31"/>
      <c r="C286" s="31"/>
      <c r="D286" s="32"/>
      <c r="F286" s="32"/>
      <c r="G286" s="41"/>
      <c r="H286" s="32"/>
      <c r="I286" s="41"/>
      <c r="J286" s="315"/>
      <c r="K286" s="315"/>
      <c r="L286" s="315"/>
    </row>
    <row r="287" spans="1:12" s="30" customFormat="1" x14ac:dyDescent="0.25">
      <c r="A287" s="36"/>
      <c r="B287" s="31"/>
      <c r="C287" s="31"/>
      <c r="D287" s="32"/>
      <c r="F287" s="32"/>
      <c r="G287" s="41"/>
      <c r="H287" s="32"/>
      <c r="I287" s="41"/>
      <c r="J287" s="315"/>
      <c r="K287" s="315"/>
      <c r="L287" s="315"/>
    </row>
    <row r="288" spans="1:12" s="30" customFormat="1" x14ac:dyDescent="0.25">
      <c r="A288" s="36"/>
      <c r="B288" s="31"/>
      <c r="C288" s="31"/>
      <c r="D288" s="32"/>
      <c r="F288" s="32"/>
      <c r="G288" s="41"/>
      <c r="H288" s="32"/>
      <c r="I288" s="41"/>
      <c r="J288" s="315"/>
      <c r="K288" s="315"/>
      <c r="L288" s="315"/>
    </row>
    <row r="289" spans="1:12" s="30" customFormat="1" x14ac:dyDescent="0.25">
      <c r="A289" s="36"/>
      <c r="B289" s="31"/>
      <c r="C289" s="31"/>
      <c r="D289" s="32"/>
      <c r="F289" s="32"/>
      <c r="G289" s="41"/>
      <c r="H289" s="32"/>
      <c r="I289" s="41"/>
      <c r="J289" s="315"/>
      <c r="K289" s="315"/>
      <c r="L289" s="315"/>
    </row>
    <row r="290" spans="1:12" s="30" customFormat="1" x14ac:dyDescent="0.25">
      <c r="A290" s="36"/>
      <c r="B290" s="31"/>
      <c r="C290" s="31"/>
      <c r="D290" s="32"/>
      <c r="F290" s="32"/>
      <c r="G290" s="41"/>
      <c r="H290" s="32"/>
      <c r="I290" s="41"/>
      <c r="J290" s="315"/>
      <c r="K290" s="315"/>
      <c r="L290" s="315"/>
    </row>
    <row r="291" spans="1:12" s="30" customFormat="1" x14ac:dyDescent="0.25">
      <c r="A291" s="36"/>
      <c r="B291" s="31"/>
      <c r="C291" s="31"/>
      <c r="D291" s="32"/>
      <c r="F291" s="32"/>
      <c r="G291" s="41"/>
      <c r="H291" s="32"/>
      <c r="I291" s="41"/>
      <c r="J291" s="315"/>
      <c r="K291" s="315"/>
      <c r="L291" s="315"/>
    </row>
    <row r="292" spans="1:12" s="30" customFormat="1" x14ac:dyDescent="0.25">
      <c r="A292" s="36"/>
      <c r="B292" s="31"/>
      <c r="C292" s="31"/>
      <c r="D292" s="32"/>
      <c r="F292" s="32"/>
      <c r="G292" s="41"/>
      <c r="H292" s="32"/>
      <c r="I292" s="41"/>
      <c r="J292" s="315"/>
      <c r="K292" s="315"/>
      <c r="L292" s="315"/>
    </row>
    <row r="293" spans="1:12" s="30" customFormat="1" x14ac:dyDescent="0.25">
      <c r="A293" s="36"/>
      <c r="B293" s="31"/>
      <c r="C293" s="31"/>
      <c r="D293" s="32"/>
      <c r="F293" s="32"/>
      <c r="G293" s="41"/>
      <c r="H293" s="32"/>
      <c r="I293" s="41"/>
      <c r="J293" s="315"/>
      <c r="K293" s="315"/>
      <c r="L293" s="315"/>
    </row>
    <row r="294" spans="1:12" s="30" customFormat="1" x14ac:dyDescent="0.25">
      <c r="A294" s="36"/>
      <c r="B294" s="31"/>
      <c r="C294" s="31"/>
      <c r="D294" s="32"/>
      <c r="F294" s="32"/>
      <c r="G294" s="41"/>
      <c r="H294" s="32"/>
      <c r="I294" s="41"/>
      <c r="J294" s="315"/>
      <c r="K294" s="315"/>
      <c r="L294" s="315"/>
    </row>
    <row r="295" spans="1:12" s="30" customFormat="1" x14ac:dyDescent="0.25">
      <c r="A295" s="36"/>
      <c r="B295" s="31"/>
      <c r="C295" s="31"/>
      <c r="D295" s="32"/>
      <c r="F295" s="32"/>
      <c r="G295" s="41"/>
      <c r="H295" s="32"/>
      <c r="I295" s="41"/>
      <c r="J295" s="315"/>
      <c r="K295" s="315"/>
      <c r="L295" s="315"/>
    </row>
    <row r="296" spans="1:12" s="30" customFormat="1" x14ac:dyDescent="0.25">
      <c r="A296" s="36"/>
      <c r="B296" s="31"/>
      <c r="C296" s="31"/>
      <c r="D296" s="32"/>
      <c r="F296" s="32"/>
      <c r="G296" s="41"/>
      <c r="H296" s="32"/>
      <c r="I296" s="41"/>
      <c r="J296" s="315"/>
      <c r="K296" s="315"/>
      <c r="L296" s="315"/>
    </row>
    <row r="297" spans="1:12" s="30" customFormat="1" x14ac:dyDescent="0.25">
      <c r="A297" s="36"/>
      <c r="B297" s="31"/>
      <c r="C297" s="31"/>
      <c r="D297" s="32"/>
      <c r="F297" s="32"/>
      <c r="G297" s="41"/>
      <c r="H297" s="32"/>
      <c r="I297" s="41"/>
      <c r="J297" s="315"/>
      <c r="K297" s="315"/>
      <c r="L297" s="315"/>
    </row>
    <row r="298" spans="1:12" s="30" customFormat="1" x14ac:dyDescent="0.25">
      <c r="A298" s="36"/>
      <c r="B298" s="31"/>
      <c r="C298" s="31"/>
      <c r="D298" s="32"/>
      <c r="F298" s="32"/>
      <c r="G298" s="41"/>
      <c r="H298" s="32"/>
      <c r="I298" s="41"/>
      <c r="J298" s="315"/>
      <c r="K298" s="315"/>
      <c r="L298" s="315"/>
    </row>
    <row r="299" spans="1:12" s="30" customFormat="1" x14ac:dyDescent="0.25">
      <c r="A299" s="36"/>
      <c r="B299" s="31"/>
      <c r="C299" s="31"/>
      <c r="D299" s="32"/>
      <c r="F299" s="32"/>
      <c r="G299" s="41"/>
      <c r="H299" s="32"/>
      <c r="I299" s="41"/>
      <c r="J299" s="315"/>
      <c r="K299" s="315"/>
      <c r="L299" s="315"/>
    </row>
    <row r="300" spans="1:12" s="30" customFormat="1" x14ac:dyDescent="0.25">
      <c r="A300" s="36"/>
      <c r="B300" s="31"/>
      <c r="C300" s="31"/>
      <c r="D300" s="32"/>
      <c r="F300" s="32"/>
      <c r="G300" s="41"/>
      <c r="H300" s="32"/>
      <c r="I300" s="41"/>
      <c r="J300" s="315"/>
      <c r="K300" s="315"/>
      <c r="L300" s="315"/>
    </row>
    <row r="301" spans="1:12" s="30" customFormat="1" x14ac:dyDescent="0.25">
      <c r="A301" s="36"/>
      <c r="B301" s="31"/>
      <c r="C301" s="31"/>
      <c r="D301" s="32"/>
      <c r="F301" s="32"/>
      <c r="G301" s="41"/>
      <c r="H301" s="32"/>
      <c r="I301" s="41"/>
      <c r="J301" s="315"/>
      <c r="K301" s="315"/>
      <c r="L301" s="315"/>
    </row>
    <row r="302" spans="1:12" s="30" customFormat="1" x14ac:dyDescent="0.25">
      <c r="A302" s="36"/>
      <c r="B302" s="31"/>
      <c r="C302" s="31"/>
      <c r="D302" s="32"/>
      <c r="F302" s="32"/>
      <c r="G302" s="41"/>
      <c r="H302" s="32"/>
      <c r="I302" s="41"/>
      <c r="J302" s="315"/>
      <c r="K302" s="315"/>
      <c r="L302" s="315"/>
    </row>
    <row r="303" spans="1:12" s="30" customFormat="1" x14ac:dyDescent="0.25">
      <c r="A303" s="36"/>
      <c r="B303" s="31"/>
      <c r="C303" s="31"/>
      <c r="D303" s="32"/>
      <c r="F303" s="32"/>
      <c r="G303" s="41"/>
      <c r="H303" s="32"/>
      <c r="I303" s="41"/>
      <c r="J303" s="315"/>
      <c r="K303" s="315"/>
      <c r="L303" s="315"/>
    </row>
    <row r="304" spans="1:12" s="30" customFormat="1" x14ac:dyDescent="0.25">
      <c r="A304" s="36"/>
      <c r="B304" s="31"/>
      <c r="C304" s="31"/>
      <c r="D304" s="32"/>
      <c r="F304" s="32"/>
      <c r="G304" s="41"/>
      <c r="H304" s="32"/>
      <c r="I304" s="41"/>
      <c r="J304" s="315"/>
      <c r="K304" s="315"/>
      <c r="L304" s="315"/>
    </row>
    <row r="305" spans="1:12" s="30" customFormat="1" x14ac:dyDescent="0.25">
      <c r="A305" s="36"/>
      <c r="B305" s="31"/>
      <c r="C305" s="31"/>
      <c r="D305" s="32"/>
      <c r="F305" s="32"/>
      <c r="G305" s="41"/>
      <c r="H305" s="32"/>
      <c r="I305" s="41"/>
      <c r="J305" s="315"/>
      <c r="K305" s="315"/>
      <c r="L305" s="315"/>
    </row>
    <row r="306" spans="1:12" s="30" customFormat="1" x14ac:dyDescent="0.25">
      <c r="A306" s="36"/>
      <c r="B306" s="31"/>
      <c r="C306" s="31"/>
      <c r="D306" s="32"/>
      <c r="F306" s="32"/>
      <c r="G306" s="41"/>
      <c r="H306" s="32"/>
      <c r="I306" s="41"/>
      <c r="J306" s="315"/>
      <c r="K306" s="315"/>
      <c r="L306" s="315"/>
    </row>
    <row r="307" spans="1:12" s="30" customFormat="1" x14ac:dyDescent="0.25">
      <c r="A307" s="36"/>
      <c r="B307" s="31"/>
      <c r="C307" s="31"/>
      <c r="D307" s="32"/>
      <c r="F307" s="32"/>
      <c r="G307" s="41"/>
      <c r="H307" s="32"/>
      <c r="I307" s="41"/>
      <c r="J307" s="315"/>
      <c r="K307" s="315"/>
      <c r="L307" s="315"/>
    </row>
    <row r="308" spans="1:12" s="30" customFormat="1" x14ac:dyDescent="0.25">
      <c r="A308" s="36"/>
      <c r="B308" s="31"/>
      <c r="C308" s="31"/>
      <c r="D308" s="32"/>
      <c r="F308" s="32"/>
      <c r="G308" s="41"/>
      <c r="H308" s="32"/>
      <c r="I308" s="41"/>
      <c r="J308" s="315"/>
      <c r="K308" s="315"/>
      <c r="L308" s="315"/>
    </row>
    <row r="309" spans="1:12" s="30" customFormat="1" x14ac:dyDescent="0.25">
      <c r="A309" s="36"/>
      <c r="B309" s="31"/>
      <c r="C309" s="31"/>
      <c r="D309" s="32"/>
      <c r="F309" s="32"/>
      <c r="G309" s="41"/>
      <c r="H309" s="32"/>
      <c r="I309" s="41"/>
      <c r="J309" s="315"/>
      <c r="K309" s="315"/>
      <c r="L309" s="315"/>
    </row>
    <row r="310" spans="1:12" s="30" customFormat="1" x14ac:dyDescent="0.25">
      <c r="A310" s="36"/>
      <c r="B310" s="31"/>
      <c r="C310" s="31"/>
      <c r="D310" s="32"/>
      <c r="F310" s="32"/>
      <c r="G310" s="41"/>
      <c r="H310" s="32"/>
      <c r="I310" s="41"/>
      <c r="J310" s="315"/>
      <c r="K310" s="315"/>
      <c r="L310" s="315"/>
    </row>
    <row r="311" spans="1:12" s="30" customFormat="1" x14ac:dyDescent="0.25">
      <c r="A311" s="36"/>
      <c r="B311" s="31"/>
      <c r="C311" s="31"/>
      <c r="D311" s="32"/>
      <c r="F311" s="32"/>
      <c r="G311" s="41"/>
      <c r="H311" s="32"/>
      <c r="I311" s="41"/>
      <c r="J311" s="315"/>
      <c r="K311" s="315"/>
      <c r="L311" s="315"/>
    </row>
    <row r="312" spans="1:12" s="30" customFormat="1" x14ac:dyDescent="0.25">
      <c r="A312" s="36"/>
      <c r="B312" s="31"/>
      <c r="C312" s="31"/>
      <c r="D312" s="32"/>
      <c r="F312" s="32"/>
      <c r="G312" s="41"/>
      <c r="H312" s="32"/>
      <c r="I312" s="41"/>
      <c r="J312" s="315"/>
      <c r="K312" s="315"/>
      <c r="L312" s="315"/>
    </row>
    <row r="313" spans="1:12" s="30" customFormat="1" x14ac:dyDescent="0.25">
      <c r="A313" s="36"/>
      <c r="B313" s="31"/>
      <c r="C313" s="31"/>
      <c r="D313" s="32"/>
      <c r="F313" s="32"/>
      <c r="G313" s="41"/>
      <c r="H313" s="32"/>
      <c r="I313" s="41"/>
      <c r="J313" s="315"/>
      <c r="K313" s="315"/>
      <c r="L313" s="315"/>
    </row>
    <row r="314" spans="1:12" s="30" customFormat="1" x14ac:dyDescent="0.25">
      <c r="A314" s="36"/>
      <c r="B314" s="31"/>
      <c r="C314" s="31"/>
      <c r="D314" s="32"/>
      <c r="F314" s="32"/>
      <c r="G314" s="41"/>
      <c r="H314" s="32"/>
      <c r="I314" s="41"/>
      <c r="J314" s="315"/>
      <c r="K314" s="315"/>
      <c r="L314" s="315"/>
    </row>
    <row r="315" spans="1:12" s="30" customFormat="1" x14ac:dyDescent="0.25">
      <c r="A315" s="36"/>
      <c r="B315" s="31"/>
      <c r="C315" s="31"/>
      <c r="D315" s="32"/>
      <c r="F315" s="32"/>
      <c r="G315" s="41"/>
      <c r="H315" s="32"/>
      <c r="I315" s="41"/>
      <c r="J315" s="315"/>
      <c r="K315" s="315"/>
      <c r="L315" s="315"/>
    </row>
    <row r="316" spans="1:12" s="30" customFormat="1" x14ac:dyDescent="0.25">
      <c r="A316" s="36"/>
      <c r="B316" s="31"/>
      <c r="C316" s="31"/>
      <c r="D316" s="32"/>
      <c r="F316" s="32"/>
      <c r="G316" s="41"/>
      <c r="H316" s="32"/>
      <c r="I316" s="41"/>
      <c r="J316" s="315"/>
      <c r="K316" s="315"/>
      <c r="L316" s="315"/>
    </row>
    <row r="317" spans="1:12" s="30" customFormat="1" x14ac:dyDescent="0.25">
      <c r="A317" s="36"/>
      <c r="B317" s="31"/>
      <c r="C317" s="31"/>
      <c r="D317" s="32"/>
      <c r="F317" s="32"/>
      <c r="G317" s="41"/>
      <c r="H317" s="32"/>
      <c r="I317" s="41"/>
      <c r="J317" s="315"/>
      <c r="K317" s="315"/>
      <c r="L317" s="315"/>
    </row>
    <row r="318" spans="1:12" s="30" customFormat="1" x14ac:dyDescent="0.25">
      <c r="A318" s="36"/>
      <c r="B318" s="31"/>
      <c r="C318" s="31"/>
      <c r="D318" s="32"/>
      <c r="F318" s="32"/>
      <c r="G318" s="41"/>
      <c r="H318" s="32"/>
      <c r="I318" s="41"/>
      <c r="J318" s="315"/>
      <c r="K318" s="315"/>
      <c r="L318" s="315"/>
    </row>
    <row r="319" spans="1:12" s="30" customFormat="1" x14ac:dyDescent="0.25">
      <c r="A319" s="36"/>
      <c r="B319" s="31"/>
      <c r="C319" s="31"/>
      <c r="D319" s="32"/>
      <c r="F319" s="32"/>
      <c r="G319" s="41"/>
      <c r="H319" s="32"/>
      <c r="I319" s="41"/>
      <c r="J319" s="315"/>
      <c r="K319" s="315"/>
      <c r="L319" s="315"/>
    </row>
    <row r="320" spans="1:12" s="30" customFormat="1" x14ac:dyDescent="0.25">
      <c r="A320" s="36"/>
      <c r="B320" s="31"/>
      <c r="C320" s="31"/>
      <c r="D320" s="32"/>
      <c r="F320" s="32"/>
      <c r="G320" s="41"/>
      <c r="H320" s="32"/>
      <c r="I320" s="41"/>
      <c r="J320" s="315"/>
      <c r="K320" s="315"/>
      <c r="L320" s="315"/>
    </row>
    <row r="321" spans="1:12" s="30" customFormat="1" x14ac:dyDescent="0.25">
      <c r="A321" s="36"/>
      <c r="B321" s="31"/>
      <c r="C321" s="31"/>
      <c r="D321" s="32"/>
      <c r="F321" s="32"/>
      <c r="G321" s="41"/>
      <c r="H321" s="32"/>
      <c r="I321" s="41"/>
      <c r="J321" s="315"/>
      <c r="K321" s="315"/>
      <c r="L321" s="315"/>
    </row>
    <row r="322" spans="1:12" s="30" customFormat="1" x14ac:dyDescent="0.25">
      <c r="A322" s="36"/>
      <c r="B322" s="31"/>
      <c r="C322" s="31"/>
      <c r="D322" s="32"/>
      <c r="F322" s="32"/>
      <c r="G322" s="41"/>
      <c r="H322" s="32"/>
      <c r="I322" s="41"/>
      <c r="J322" s="315"/>
      <c r="K322" s="315"/>
      <c r="L322" s="315"/>
    </row>
    <row r="323" spans="1:12" s="30" customFormat="1" x14ac:dyDescent="0.25">
      <c r="A323" s="36"/>
      <c r="B323" s="31"/>
      <c r="C323" s="31"/>
      <c r="D323" s="32"/>
      <c r="F323" s="32"/>
      <c r="G323" s="41"/>
      <c r="H323" s="32"/>
      <c r="I323" s="41"/>
      <c r="J323" s="315"/>
      <c r="K323" s="315"/>
      <c r="L323" s="315"/>
    </row>
    <row r="324" spans="1:12" s="30" customFormat="1" x14ac:dyDescent="0.25">
      <c r="A324" s="36"/>
      <c r="B324" s="31"/>
      <c r="C324" s="31"/>
      <c r="D324" s="32"/>
      <c r="F324" s="32"/>
      <c r="G324" s="41"/>
      <c r="H324" s="32"/>
      <c r="I324" s="41"/>
      <c r="J324" s="315"/>
      <c r="K324" s="315"/>
      <c r="L324" s="315"/>
    </row>
    <row r="325" spans="1:12" s="30" customFormat="1" x14ac:dyDescent="0.25">
      <c r="A325" s="36"/>
      <c r="B325" s="31"/>
      <c r="C325" s="31"/>
      <c r="D325" s="32"/>
      <c r="F325" s="32"/>
      <c r="G325" s="41"/>
      <c r="H325" s="32"/>
      <c r="I325" s="41"/>
      <c r="J325" s="315"/>
      <c r="K325" s="315"/>
      <c r="L325" s="315"/>
    </row>
    <row r="326" spans="1:12" s="30" customFormat="1" x14ac:dyDescent="0.25">
      <c r="A326" s="36"/>
      <c r="B326" s="31"/>
      <c r="C326" s="31"/>
      <c r="D326" s="32"/>
      <c r="F326" s="32"/>
      <c r="G326" s="41"/>
      <c r="H326" s="32"/>
      <c r="I326" s="41"/>
      <c r="J326" s="315"/>
      <c r="K326" s="315"/>
      <c r="L326" s="315"/>
    </row>
    <row r="327" spans="1:12" s="30" customFormat="1" x14ac:dyDescent="0.25">
      <c r="A327" s="36"/>
      <c r="B327" s="31"/>
      <c r="C327" s="31"/>
      <c r="D327" s="32"/>
      <c r="F327" s="32"/>
      <c r="G327" s="41"/>
      <c r="H327" s="32"/>
      <c r="I327" s="41"/>
      <c r="J327" s="315"/>
      <c r="K327" s="315"/>
      <c r="L327" s="315"/>
    </row>
    <row r="328" spans="1:12" s="30" customFormat="1" x14ac:dyDescent="0.25">
      <c r="A328" s="36"/>
      <c r="B328" s="31"/>
      <c r="C328" s="31"/>
      <c r="D328" s="32"/>
      <c r="F328" s="32"/>
      <c r="G328" s="41"/>
      <c r="H328" s="32"/>
      <c r="I328" s="41"/>
      <c r="J328" s="315"/>
      <c r="K328" s="315"/>
      <c r="L328" s="315"/>
    </row>
    <row r="329" spans="1:12" s="30" customFormat="1" x14ac:dyDescent="0.25">
      <c r="A329" s="36"/>
      <c r="B329" s="31"/>
      <c r="C329" s="31"/>
      <c r="D329" s="32"/>
      <c r="F329" s="32"/>
      <c r="G329" s="41"/>
      <c r="H329" s="32"/>
      <c r="I329" s="41"/>
      <c r="J329" s="315"/>
      <c r="K329" s="315"/>
      <c r="L329" s="315"/>
    </row>
    <row r="330" spans="1:12" s="30" customFormat="1" x14ac:dyDescent="0.25">
      <c r="A330" s="36"/>
      <c r="B330" s="31"/>
      <c r="C330" s="31"/>
      <c r="D330" s="32"/>
      <c r="F330" s="32"/>
      <c r="G330" s="41"/>
      <c r="H330" s="32"/>
      <c r="I330" s="41"/>
      <c r="J330" s="315"/>
      <c r="K330" s="315"/>
      <c r="L330" s="315"/>
    </row>
    <row r="331" spans="1:12" s="30" customFormat="1" x14ac:dyDescent="0.25">
      <c r="A331" s="36"/>
      <c r="B331" s="31"/>
      <c r="C331" s="31"/>
      <c r="D331" s="32"/>
      <c r="F331" s="32"/>
      <c r="G331" s="41"/>
      <c r="H331" s="32"/>
      <c r="I331" s="41"/>
      <c r="J331" s="315"/>
      <c r="K331" s="315"/>
      <c r="L331" s="315"/>
    </row>
    <row r="332" spans="1:12" s="30" customFormat="1" x14ac:dyDescent="0.25">
      <c r="A332" s="36"/>
      <c r="B332" s="31"/>
      <c r="C332" s="31"/>
      <c r="D332" s="32"/>
      <c r="F332" s="32"/>
      <c r="G332" s="41"/>
      <c r="H332" s="32"/>
      <c r="I332" s="41"/>
      <c r="J332" s="315"/>
      <c r="K332" s="315"/>
      <c r="L332" s="315"/>
    </row>
    <row r="333" spans="1:12" s="30" customFormat="1" x14ac:dyDescent="0.25">
      <c r="A333" s="36"/>
      <c r="B333" s="31"/>
      <c r="C333" s="31"/>
      <c r="D333" s="32"/>
      <c r="F333" s="32"/>
      <c r="G333" s="41"/>
      <c r="H333" s="32"/>
      <c r="I333" s="41"/>
      <c r="J333" s="315"/>
      <c r="K333" s="315"/>
      <c r="L333" s="315"/>
    </row>
    <row r="334" spans="1:12" s="30" customFormat="1" x14ac:dyDescent="0.25">
      <c r="A334" s="36"/>
      <c r="B334" s="31"/>
      <c r="C334" s="31"/>
      <c r="D334" s="32"/>
      <c r="F334" s="32"/>
      <c r="G334" s="41"/>
      <c r="H334" s="32"/>
      <c r="I334" s="41"/>
      <c r="J334" s="315"/>
      <c r="K334" s="315"/>
      <c r="L334" s="315"/>
    </row>
    <row r="335" spans="1:12" s="30" customFormat="1" x14ac:dyDescent="0.25">
      <c r="A335" s="36"/>
      <c r="B335" s="31"/>
      <c r="C335" s="31"/>
      <c r="D335" s="32"/>
      <c r="F335" s="32"/>
      <c r="G335" s="41"/>
      <c r="H335" s="32"/>
      <c r="I335" s="41"/>
      <c r="J335" s="315"/>
      <c r="K335" s="315"/>
      <c r="L335" s="315"/>
    </row>
    <row r="336" spans="1:12" s="30" customFormat="1" x14ac:dyDescent="0.25">
      <c r="A336" s="36"/>
      <c r="B336" s="31"/>
      <c r="C336" s="31"/>
      <c r="D336" s="32"/>
      <c r="F336" s="32"/>
      <c r="G336" s="41"/>
      <c r="H336" s="32"/>
      <c r="I336" s="41"/>
      <c r="J336" s="315"/>
      <c r="K336" s="315"/>
      <c r="L336" s="315"/>
    </row>
    <row r="337" spans="1:12" s="30" customFormat="1" x14ac:dyDescent="0.25">
      <c r="A337" s="36"/>
      <c r="B337" s="31"/>
      <c r="C337" s="31"/>
      <c r="D337" s="32"/>
      <c r="F337" s="32"/>
      <c r="G337" s="41"/>
      <c r="H337" s="32"/>
      <c r="I337" s="41"/>
      <c r="J337" s="315"/>
      <c r="K337" s="315"/>
      <c r="L337" s="315"/>
    </row>
    <row r="338" spans="1:12" s="30" customFormat="1" x14ac:dyDescent="0.25">
      <c r="A338" s="36"/>
      <c r="B338" s="31"/>
      <c r="C338" s="31"/>
      <c r="D338" s="32"/>
      <c r="F338" s="32"/>
      <c r="G338" s="41"/>
      <c r="H338" s="32"/>
      <c r="I338" s="41"/>
      <c r="J338" s="315"/>
      <c r="K338" s="315"/>
      <c r="L338" s="315"/>
    </row>
    <row r="339" spans="1:12" s="30" customFormat="1" x14ac:dyDescent="0.25">
      <c r="A339" s="36"/>
      <c r="B339" s="31"/>
      <c r="C339" s="31"/>
      <c r="D339" s="32"/>
      <c r="F339" s="32"/>
      <c r="G339" s="41"/>
      <c r="H339" s="32"/>
      <c r="I339" s="41"/>
      <c r="J339" s="315"/>
      <c r="K339" s="315"/>
      <c r="L339" s="315"/>
    </row>
    <row r="340" spans="1:12" s="30" customFormat="1" x14ac:dyDescent="0.25">
      <c r="A340" s="36"/>
      <c r="B340" s="31"/>
      <c r="C340" s="31"/>
      <c r="D340" s="32"/>
      <c r="F340" s="32"/>
      <c r="G340" s="41"/>
      <c r="H340" s="32"/>
      <c r="I340" s="41"/>
      <c r="J340" s="315"/>
      <c r="K340" s="315"/>
      <c r="L340" s="315"/>
    </row>
    <row r="341" spans="1:12" s="30" customFormat="1" x14ac:dyDescent="0.25">
      <c r="A341" s="36"/>
      <c r="B341" s="31"/>
      <c r="C341" s="31"/>
      <c r="D341" s="32"/>
      <c r="F341" s="32"/>
      <c r="G341" s="41"/>
      <c r="H341" s="32"/>
      <c r="I341" s="41"/>
      <c r="J341" s="315"/>
      <c r="K341" s="315"/>
      <c r="L341" s="315"/>
    </row>
    <row r="342" spans="1:12" s="30" customFormat="1" x14ac:dyDescent="0.25">
      <c r="A342" s="36"/>
      <c r="B342" s="31"/>
      <c r="C342" s="31"/>
      <c r="D342" s="32"/>
      <c r="F342" s="32"/>
      <c r="G342" s="41"/>
      <c r="H342" s="32"/>
      <c r="I342" s="41"/>
      <c r="J342" s="315"/>
      <c r="K342" s="315"/>
      <c r="L342" s="315"/>
    </row>
    <row r="343" spans="1:12" s="30" customFormat="1" x14ac:dyDescent="0.25">
      <c r="A343" s="36"/>
      <c r="B343" s="31"/>
      <c r="C343" s="31"/>
      <c r="D343" s="32"/>
      <c r="F343" s="32"/>
      <c r="G343" s="41"/>
      <c r="H343" s="32"/>
      <c r="I343" s="41"/>
      <c r="J343" s="315"/>
      <c r="K343" s="315"/>
      <c r="L343" s="315"/>
    </row>
    <row r="344" spans="1:12" s="30" customFormat="1" x14ac:dyDescent="0.25">
      <c r="A344" s="36"/>
      <c r="B344" s="31"/>
      <c r="C344" s="31"/>
      <c r="D344" s="32"/>
      <c r="F344" s="32"/>
      <c r="G344" s="41"/>
      <c r="H344" s="32"/>
      <c r="I344" s="41"/>
      <c r="J344" s="315"/>
      <c r="K344" s="315"/>
      <c r="L344" s="315"/>
    </row>
    <row r="345" spans="1:12" s="30" customFormat="1" x14ac:dyDescent="0.25">
      <c r="A345" s="36"/>
      <c r="B345" s="31"/>
      <c r="C345" s="31"/>
      <c r="D345" s="32"/>
      <c r="F345" s="32"/>
      <c r="G345" s="41"/>
      <c r="H345" s="32"/>
      <c r="I345" s="41"/>
      <c r="J345" s="315"/>
      <c r="K345" s="315"/>
      <c r="L345" s="315"/>
    </row>
    <row r="346" spans="1:12" s="30" customFormat="1" x14ac:dyDescent="0.25">
      <c r="A346" s="36"/>
      <c r="B346" s="31"/>
      <c r="C346" s="31"/>
      <c r="D346" s="32"/>
      <c r="F346" s="32"/>
      <c r="G346" s="41"/>
      <c r="H346" s="32"/>
      <c r="I346" s="41"/>
      <c r="J346" s="315"/>
      <c r="K346" s="315"/>
      <c r="L346" s="315"/>
    </row>
    <row r="347" spans="1:12" s="30" customFormat="1" x14ac:dyDescent="0.25">
      <c r="A347" s="36"/>
      <c r="B347" s="31"/>
      <c r="C347" s="31"/>
      <c r="D347" s="32"/>
      <c r="F347" s="32"/>
      <c r="G347" s="41"/>
      <c r="H347" s="32"/>
      <c r="I347" s="41"/>
      <c r="J347" s="315"/>
      <c r="K347" s="315"/>
      <c r="L347" s="315"/>
    </row>
    <row r="348" spans="1:12" s="30" customFormat="1" x14ac:dyDescent="0.25">
      <c r="A348" s="36"/>
      <c r="B348" s="31"/>
      <c r="C348" s="31"/>
      <c r="D348" s="32"/>
      <c r="F348" s="32"/>
      <c r="G348" s="41"/>
      <c r="H348" s="32"/>
      <c r="I348" s="41"/>
      <c r="J348" s="315"/>
      <c r="K348" s="315"/>
      <c r="L348" s="315"/>
    </row>
    <row r="349" spans="1:12" s="30" customFormat="1" x14ac:dyDescent="0.25">
      <c r="A349" s="36"/>
      <c r="B349" s="31"/>
      <c r="C349" s="31"/>
      <c r="D349" s="32"/>
      <c r="F349" s="32"/>
      <c r="G349" s="41"/>
      <c r="H349" s="32"/>
      <c r="I349" s="41"/>
      <c r="J349" s="315"/>
      <c r="K349" s="315"/>
      <c r="L349" s="315"/>
    </row>
    <row r="350" spans="1:12" s="30" customFormat="1" x14ac:dyDescent="0.25">
      <c r="A350" s="36"/>
      <c r="B350" s="31"/>
      <c r="C350" s="31"/>
      <c r="D350" s="32"/>
      <c r="F350" s="32"/>
      <c r="G350" s="41"/>
      <c r="H350" s="32"/>
      <c r="I350" s="41"/>
      <c r="J350" s="315"/>
      <c r="K350" s="315"/>
      <c r="L350" s="315"/>
    </row>
    <row r="351" spans="1:12" s="30" customFormat="1" x14ac:dyDescent="0.25">
      <c r="A351" s="36"/>
      <c r="B351" s="31"/>
      <c r="C351" s="31"/>
      <c r="D351" s="32"/>
      <c r="F351" s="32"/>
      <c r="G351" s="41"/>
      <c r="H351" s="32"/>
      <c r="I351" s="41"/>
      <c r="J351" s="315"/>
      <c r="K351" s="315"/>
      <c r="L351" s="315"/>
    </row>
    <row r="352" spans="1:12" s="30" customFormat="1" x14ac:dyDescent="0.25">
      <c r="A352" s="36"/>
      <c r="B352" s="31"/>
      <c r="C352" s="31"/>
      <c r="D352" s="32"/>
      <c r="F352" s="32"/>
      <c r="G352" s="41"/>
      <c r="H352" s="32"/>
      <c r="I352" s="41"/>
      <c r="J352" s="315"/>
      <c r="K352" s="315"/>
      <c r="L352" s="315"/>
    </row>
    <row r="353" spans="1:12" s="30" customFormat="1" x14ac:dyDescent="0.25">
      <c r="A353" s="36"/>
      <c r="B353" s="31"/>
      <c r="C353" s="31"/>
      <c r="D353" s="32"/>
      <c r="F353" s="32"/>
      <c r="G353" s="41"/>
      <c r="H353" s="32"/>
      <c r="I353" s="41"/>
      <c r="J353" s="315"/>
      <c r="K353" s="315"/>
      <c r="L353" s="315"/>
    </row>
    <row r="354" spans="1:12" s="30" customFormat="1" x14ac:dyDescent="0.25">
      <c r="A354" s="36"/>
      <c r="B354" s="31"/>
      <c r="C354" s="31"/>
      <c r="D354" s="32"/>
      <c r="F354" s="32"/>
      <c r="G354" s="41"/>
      <c r="H354" s="32"/>
      <c r="I354" s="41"/>
      <c r="J354" s="315"/>
      <c r="K354" s="315"/>
      <c r="L354" s="315"/>
    </row>
    <row r="355" spans="1:12" s="30" customFormat="1" x14ac:dyDescent="0.25">
      <c r="A355" s="36"/>
      <c r="B355" s="31"/>
      <c r="C355" s="31"/>
      <c r="D355" s="32"/>
      <c r="F355" s="32"/>
      <c r="G355" s="41"/>
      <c r="H355" s="32"/>
      <c r="I355" s="41"/>
      <c r="J355" s="315"/>
      <c r="K355" s="315"/>
      <c r="L355" s="315"/>
    </row>
    <row r="356" spans="1:12" s="30" customFormat="1" x14ac:dyDescent="0.25">
      <c r="A356" s="36"/>
      <c r="B356" s="31"/>
      <c r="C356" s="31"/>
      <c r="D356" s="32"/>
      <c r="F356" s="32"/>
      <c r="G356" s="41"/>
      <c r="H356" s="32"/>
      <c r="I356" s="41"/>
      <c r="J356" s="315"/>
      <c r="K356" s="315"/>
      <c r="L356" s="315"/>
    </row>
    <row r="357" spans="1:12" s="30" customFormat="1" x14ac:dyDescent="0.25">
      <c r="A357" s="36"/>
      <c r="B357" s="31"/>
      <c r="C357" s="31"/>
      <c r="D357" s="32"/>
      <c r="F357" s="32"/>
      <c r="G357" s="41"/>
      <c r="H357" s="32"/>
      <c r="I357" s="41"/>
      <c r="J357" s="315"/>
      <c r="K357" s="315"/>
      <c r="L357" s="315"/>
    </row>
    <row r="358" spans="1:12" s="30" customFormat="1" x14ac:dyDescent="0.25">
      <c r="A358" s="36"/>
      <c r="B358" s="31"/>
      <c r="C358" s="31"/>
      <c r="D358" s="32"/>
      <c r="F358" s="32"/>
      <c r="G358" s="41"/>
      <c r="H358" s="32"/>
      <c r="I358" s="41"/>
      <c r="J358" s="315"/>
      <c r="K358" s="315"/>
      <c r="L358" s="315"/>
    </row>
    <row r="359" spans="1:12" s="30" customFormat="1" x14ac:dyDescent="0.25">
      <c r="A359" s="36"/>
      <c r="B359" s="31"/>
      <c r="C359" s="31"/>
      <c r="D359" s="32"/>
      <c r="F359" s="32"/>
      <c r="G359" s="41"/>
      <c r="H359" s="32"/>
      <c r="I359" s="41"/>
      <c r="J359" s="315"/>
      <c r="K359" s="315"/>
      <c r="L359" s="315"/>
    </row>
    <row r="360" spans="1:12" s="30" customFormat="1" x14ac:dyDescent="0.25">
      <c r="A360" s="36"/>
      <c r="B360" s="31"/>
      <c r="C360" s="31"/>
      <c r="D360" s="32"/>
      <c r="F360" s="32"/>
      <c r="G360" s="41"/>
      <c r="H360" s="32"/>
      <c r="I360" s="41"/>
      <c r="J360" s="315"/>
      <c r="K360" s="315"/>
      <c r="L360" s="315"/>
    </row>
    <row r="361" spans="1:12" s="30" customFormat="1" x14ac:dyDescent="0.25">
      <c r="A361" s="36"/>
      <c r="B361" s="31"/>
      <c r="C361" s="31"/>
      <c r="D361" s="32"/>
      <c r="F361" s="32"/>
      <c r="G361" s="41"/>
      <c r="H361" s="32"/>
      <c r="I361" s="41"/>
      <c r="J361" s="315"/>
      <c r="K361" s="315"/>
      <c r="L361" s="315"/>
    </row>
    <row r="362" spans="1:12" s="30" customFormat="1" x14ac:dyDescent="0.25">
      <c r="A362" s="36"/>
      <c r="B362" s="31"/>
      <c r="C362" s="31"/>
      <c r="D362" s="32"/>
      <c r="F362" s="32"/>
      <c r="G362" s="41"/>
      <c r="H362" s="32"/>
      <c r="I362" s="41"/>
      <c r="J362" s="315"/>
      <c r="K362" s="315"/>
      <c r="L362" s="315"/>
    </row>
    <row r="363" spans="1:12" s="30" customFormat="1" x14ac:dyDescent="0.25">
      <c r="A363" s="36"/>
      <c r="B363" s="31"/>
      <c r="C363" s="31"/>
      <c r="D363" s="32"/>
      <c r="F363" s="32"/>
      <c r="G363" s="41"/>
      <c r="H363" s="32"/>
      <c r="I363" s="41"/>
      <c r="J363" s="315"/>
      <c r="K363" s="315"/>
      <c r="L363" s="315"/>
    </row>
    <row r="364" spans="1:12" s="30" customFormat="1" x14ac:dyDescent="0.25">
      <c r="A364" s="36"/>
      <c r="B364" s="31"/>
      <c r="C364" s="31"/>
      <c r="D364" s="32"/>
      <c r="F364" s="32"/>
      <c r="G364" s="41"/>
      <c r="H364" s="32"/>
      <c r="I364" s="41"/>
      <c r="J364" s="315"/>
      <c r="K364" s="315"/>
      <c r="L364" s="315"/>
    </row>
    <row r="365" spans="1:12" s="30" customFormat="1" x14ac:dyDescent="0.25">
      <c r="A365" s="36"/>
      <c r="B365" s="31"/>
      <c r="C365" s="31"/>
      <c r="D365" s="32"/>
      <c r="F365" s="32"/>
      <c r="G365" s="41"/>
      <c r="H365" s="32"/>
      <c r="I365" s="41"/>
      <c r="J365" s="315"/>
      <c r="K365" s="315"/>
      <c r="L365" s="315"/>
    </row>
    <row r="366" spans="1:12" s="30" customFormat="1" x14ac:dyDescent="0.25">
      <c r="A366" s="36"/>
      <c r="B366" s="31"/>
      <c r="C366" s="31"/>
      <c r="D366" s="32"/>
      <c r="F366" s="32"/>
      <c r="G366" s="41"/>
      <c r="H366" s="32"/>
      <c r="I366" s="41"/>
      <c r="J366" s="315"/>
      <c r="K366" s="315"/>
      <c r="L366" s="315"/>
    </row>
    <row r="367" spans="1:12" s="30" customFormat="1" x14ac:dyDescent="0.25">
      <c r="A367" s="36"/>
      <c r="B367" s="31"/>
      <c r="C367" s="31"/>
      <c r="D367" s="32"/>
      <c r="F367" s="32"/>
      <c r="G367" s="41"/>
      <c r="H367" s="32"/>
      <c r="I367" s="41"/>
      <c r="J367" s="315"/>
      <c r="K367" s="315"/>
      <c r="L367" s="315"/>
    </row>
    <row r="368" spans="1:12" s="30" customFormat="1" x14ac:dyDescent="0.25">
      <c r="A368" s="36"/>
      <c r="B368" s="31"/>
      <c r="C368" s="31"/>
      <c r="D368" s="32"/>
      <c r="F368" s="32"/>
      <c r="G368" s="41"/>
      <c r="H368" s="32"/>
      <c r="I368" s="41"/>
      <c r="J368" s="315"/>
      <c r="K368" s="315"/>
      <c r="L368" s="315"/>
    </row>
    <row r="369" spans="1:12" s="30" customFormat="1" x14ac:dyDescent="0.25">
      <c r="A369" s="36"/>
      <c r="B369" s="31"/>
      <c r="C369" s="31"/>
      <c r="D369" s="32"/>
      <c r="F369" s="32"/>
      <c r="G369" s="41"/>
      <c r="H369" s="32"/>
      <c r="I369" s="41"/>
      <c r="J369" s="315"/>
      <c r="K369" s="315"/>
      <c r="L369" s="315"/>
    </row>
    <row r="370" spans="1:12" s="30" customFormat="1" x14ac:dyDescent="0.25">
      <c r="A370" s="36"/>
      <c r="B370" s="31"/>
      <c r="C370" s="31"/>
      <c r="D370" s="32"/>
      <c r="F370" s="32"/>
      <c r="G370" s="41"/>
      <c r="H370" s="32"/>
      <c r="I370" s="41"/>
      <c r="J370" s="315"/>
      <c r="K370" s="315"/>
      <c r="L370" s="315"/>
    </row>
    <row r="371" spans="1:12" s="30" customFormat="1" x14ac:dyDescent="0.25">
      <c r="A371" s="36"/>
      <c r="B371" s="31"/>
      <c r="C371" s="31"/>
      <c r="D371" s="32"/>
      <c r="F371" s="32"/>
      <c r="G371" s="41"/>
      <c r="H371" s="32"/>
      <c r="I371" s="41"/>
      <c r="J371" s="315"/>
      <c r="K371" s="315"/>
      <c r="L371" s="315"/>
    </row>
    <row r="372" spans="1:12" s="30" customFormat="1" x14ac:dyDescent="0.25">
      <c r="A372" s="36"/>
      <c r="B372" s="31"/>
      <c r="C372" s="31"/>
      <c r="D372" s="32"/>
      <c r="F372" s="32"/>
      <c r="G372" s="41"/>
      <c r="H372" s="32"/>
      <c r="I372" s="41"/>
      <c r="J372" s="315"/>
      <c r="K372" s="315"/>
      <c r="L372" s="315"/>
    </row>
    <row r="373" spans="1:12" s="30" customFormat="1" x14ac:dyDescent="0.25">
      <c r="A373" s="36"/>
      <c r="B373" s="31"/>
      <c r="C373" s="31"/>
      <c r="D373" s="32"/>
      <c r="F373" s="32"/>
      <c r="G373" s="41"/>
      <c r="H373" s="32"/>
      <c r="I373" s="41"/>
      <c r="J373" s="315"/>
      <c r="K373" s="315"/>
      <c r="L373" s="315"/>
    </row>
    <row r="374" spans="1:12" s="30" customFormat="1" x14ac:dyDescent="0.25">
      <c r="A374" s="36"/>
      <c r="B374" s="31"/>
      <c r="C374" s="31"/>
      <c r="D374" s="32"/>
      <c r="F374" s="32"/>
      <c r="G374" s="41"/>
      <c r="H374" s="32"/>
      <c r="I374" s="41"/>
      <c r="J374" s="315"/>
      <c r="K374" s="315"/>
      <c r="L374" s="315"/>
    </row>
    <row r="375" spans="1:12" s="30" customFormat="1" x14ac:dyDescent="0.25">
      <c r="A375" s="36"/>
      <c r="B375" s="31"/>
      <c r="C375" s="31"/>
      <c r="D375" s="32"/>
      <c r="F375" s="32"/>
      <c r="G375" s="41"/>
      <c r="H375" s="32"/>
      <c r="I375" s="41"/>
      <c r="J375" s="315"/>
      <c r="K375" s="315"/>
      <c r="L375" s="315"/>
    </row>
    <row r="376" spans="1:12" s="30" customFormat="1" x14ac:dyDescent="0.25">
      <c r="A376" s="36"/>
      <c r="B376" s="31"/>
      <c r="C376" s="31"/>
      <c r="D376" s="32"/>
      <c r="F376" s="32"/>
      <c r="G376" s="41"/>
      <c r="H376" s="32"/>
      <c r="I376" s="41"/>
      <c r="J376" s="315"/>
      <c r="K376" s="315"/>
      <c r="L376" s="315"/>
    </row>
    <row r="377" spans="1:12" s="30" customFormat="1" x14ac:dyDescent="0.25">
      <c r="A377" s="36"/>
      <c r="B377" s="31"/>
      <c r="C377" s="31"/>
      <c r="D377" s="32"/>
      <c r="F377" s="32"/>
      <c r="G377" s="41"/>
      <c r="H377" s="32"/>
      <c r="I377" s="41"/>
      <c r="J377" s="315"/>
      <c r="K377" s="315"/>
      <c r="L377" s="315"/>
    </row>
    <row r="378" spans="1:12" s="30" customFormat="1" x14ac:dyDescent="0.25">
      <c r="A378" s="36"/>
      <c r="B378" s="31"/>
      <c r="C378" s="31"/>
      <c r="D378" s="32"/>
      <c r="F378" s="32"/>
      <c r="G378" s="41"/>
      <c r="H378" s="32"/>
      <c r="I378" s="41"/>
      <c r="J378" s="315"/>
      <c r="K378" s="315"/>
      <c r="L378" s="315"/>
    </row>
    <row r="379" spans="1:12" s="30" customFormat="1" x14ac:dyDescent="0.25">
      <c r="A379" s="36"/>
      <c r="B379" s="31"/>
      <c r="C379" s="31"/>
      <c r="D379" s="32"/>
      <c r="F379" s="32"/>
      <c r="G379" s="41"/>
      <c r="H379" s="32"/>
      <c r="I379" s="41"/>
      <c r="J379" s="315"/>
      <c r="K379" s="315"/>
      <c r="L379" s="315"/>
    </row>
    <row r="380" spans="1:12" s="30" customFormat="1" x14ac:dyDescent="0.25">
      <c r="A380" s="36"/>
      <c r="B380" s="31"/>
      <c r="C380" s="31"/>
      <c r="D380" s="32"/>
      <c r="F380" s="32"/>
      <c r="G380" s="41"/>
      <c r="H380" s="32"/>
      <c r="I380" s="41"/>
      <c r="J380" s="315"/>
      <c r="K380" s="315"/>
      <c r="L380" s="315"/>
    </row>
    <row r="381" spans="1:12" s="30" customFormat="1" x14ac:dyDescent="0.25">
      <c r="A381" s="36"/>
      <c r="B381" s="31"/>
      <c r="C381" s="31"/>
      <c r="D381" s="32"/>
      <c r="F381" s="32"/>
      <c r="G381" s="41"/>
      <c r="H381" s="32"/>
      <c r="I381" s="41"/>
      <c r="J381" s="315"/>
      <c r="K381" s="315"/>
      <c r="L381" s="315"/>
    </row>
    <row r="382" spans="1:12" s="30" customFormat="1" x14ac:dyDescent="0.25">
      <c r="A382" s="36"/>
      <c r="B382" s="31"/>
      <c r="C382" s="31"/>
      <c r="D382" s="32"/>
      <c r="F382" s="32"/>
      <c r="G382" s="41"/>
      <c r="H382" s="32"/>
      <c r="I382" s="41"/>
      <c r="J382" s="315"/>
      <c r="K382" s="315"/>
      <c r="L382" s="315"/>
    </row>
    <row r="383" spans="1:12" s="30" customFormat="1" x14ac:dyDescent="0.25">
      <c r="A383" s="36"/>
      <c r="B383" s="31"/>
      <c r="C383" s="31"/>
      <c r="D383" s="32"/>
      <c r="F383" s="32"/>
      <c r="G383" s="41"/>
      <c r="H383" s="32"/>
      <c r="I383" s="41"/>
      <c r="J383" s="315"/>
      <c r="K383" s="315"/>
      <c r="L383" s="315"/>
    </row>
    <row r="384" spans="1:12" s="30" customFormat="1" x14ac:dyDescent="0.25">
      <c r="A384" s="36"/>
      <c r="B384" s="31"/>
      <c r="C384" s="31"/>
      <c r="D384" s="32"/>
      <c r="F384" s="32"/>
      <c r="G384" s="41"/>
      <c r="H384" s="32"/>
      <c r="I384" s="41"/>
      <c r="J384" s="315"/>
      <c r="K384" s="315"/>
      <c r="L384" s="315"/>
    </row>
    <row r="385" spans="1:12" s="30" customFormat="1" x14ac:dyDescent="0.25">
      <c r="A385" s="36"/>
      <c r="B385" s="31"/>
      <c r="C385" s="31"/>
      <c r="D385" s="32"/>
      <c r="F385" s="32"/>
      <c r="G385" s="41"/>
      <c r="H385" s="32"/>
      <c r="I385" s="41"/>
      <c r="J385" s="315"/>
      <c r="K385" s="315"/>
      <c r="L385" s="315"/>
    </row>
    <row r="386" spans="1:12" s="30" customFormat="1" x14ac:dyDescent="0.25">
      <c r="A386" s="36"/>
      <c r="B386" s="31"/>
      <c r="C386" s="31"/>
      <c r="D386" s="32"/>
      <c r="F386" s="32"/>
      <c r="G386" s="41"/>
      <c r="H386" s="32"/>
      <c r="I386" s="41"/>
      <c r="J386" s="315"/>
      <c r="K386" s="315"/>
      <c r="L386" s="315"/>
    </row>
    <row r="387" spans="1:12" s="30" customFormat="1" x14ac:dyDescent="0.25">
      <c r="A387" s="36"/>
      <c r="B387" s="31"/>
      <c r="C387" s="31"/>
      <c r="D387" s="32"/>
      <c r="F387" s="32"/>
      <c r="G387" s="41"/>
      <c r="H387" s="32"/>
      <c r="I387" s="41"/>
      <c r="J387" s="315"/>
      <c r="K387" s="315"/>
      <c r="L387" s="315"/>
    </row>
    <row r="388" spans="1:12" s="30" customFormat="1" x14ac:dyDescent="0.25">
      <c r="A388" s="36"/>
      <c r="B388" s="31"/>
      <c r="C388" s="31"/>
      <c r="D388" s="32"/>
      <c r="F388" s="32"/>
      <c r="G388" s="41"/>
      <c r="H388" s="32"/>
      <c r="I388" s="41"/>
      <c r="J388" s="315"/>
      <c r="K388" s="315"/>
      <c r="L388" s="315"/>
    </row>
    <row r="389" spans="1:12" s="30" customFormat="1" x14ac:dyDescent="0.25">
      <c r="A389" s="36"/>
      <c r="B389" s="31"/>
      <c r="C389" s="31"/>
      <c r="D389" s="32"/>
      <c r="F389" s="32"/>
      <c r="G389" s="41"/>
      <c r="H389" s="32"/>
      <c r="I389" s="41"/>
      <c r="J389" s="315"/>
      <c r="K389" s="315"/>
      <c r="L389" s="315"/>
    </row>
    <row r="390" spans="1:12" s="30" customFormat="1" x14ac:dyDescent="0.25">
      <c r="A390" s="36"/>
      <c r="B390" s="31"/>
      <c r="C390" s="31"/>
      <c r="D390" s="32"/>
      <c r="F390" s="32"/>
      <c r="G390" s="41"/>
      <c r="H390" s="32"/>
      <c r="I390" s="41"/>
      <c r="J390" s="315"/>
      <c r="K390" s="315"/>
      <c r="L390" s="315"/>
    </row>
    <row r="391" spans="1:12" s="30" customFormat="1" x14ac:dyDescent="0.25">
      <c r="A391" s="36"/>
      <c r="B391" s="31"/>
      <c r="C391" s="31"/>
      <c r="D391" s="32"/>
      <c r="F391" s="32"/>
      <c r="G391" s="41"/>
      <c r="H391" s="32"/>
      <c r="I391" s="41"/>
      <c r="J391" s="315"/>
      <c r="K391" s="315"/>
      <c r="L391" s="315"/>
    </row>
    <row r="392" spans="1:12" s="30" customFormat="1" x14ac:dyDescent="0.25">
      <c r="A392" s="36"/>
      <c r="B392" s="31"/>
      <c r="C392" s="31"/>
      <c r="D392" s="32"/>
      <c r="F392" s="32"/>
      <c r="G392" s="41"/>
      <c r="H392" s="32"/>
      <c r="I392" s="41"/>
      <c r="J392" s="315"/>
      <c r="K392" s="315"/>
      <c r="L392" s="315"/>
    </row>
    <row r="393" spans="1:12" s="30" customFormat="1" x14ac:dyDescent="0.25">
      <c r="A393" s="36"/>
      <c r="B393" s="31"/>
      <c r="C393" s="31"/>
      <c r="D393" s="32"/>
      <c r="F393" s="32"/>
      <c r="G393" s="41"/>
      <c r="H393" s="32"/>
      <c r="I393" s="41"/>
      <c r="J393" s="315"/>
      <c r="K393" s="315"/>
      <c r="L393" s="315"/>
    </row>
    <row r="394" spans="1:12" s="30" customFormat="1" x14ac:dyDescent="0.25">
      <c r="A394" s="36"/>
      <c r="B394" s="31"/>
      <c r="C394" s="31"/>
      <c r="D394" s="32"/>
      <c r="F394" s="32"/>
      <c r="G394" s="41"/>
      <c r="H394" s="32"/>
      <c r="I394" s="41"/>
      <c r="J394" s="315"/>
      <c r="K394" s="315"/>
      <c r="L394" s="315"/>
    </row>
    <row r="395" spans="1:12" s="30" customFormat="1" x14ac:dyDescent="0.25">
      <c r="A395" s="36"/>
      <c r="B395" s="31"/>
      <c r="C395" s="31"/>
      <c r="D395" s="32"/>
      <c r="F395" s="32"/>
      <c r="G395" s="41"/>
      <c r="H395" s="32"/>
      <c r="I395" s="41"/>
      <c r="J395" s="315"/>
      <c r="K395" s="315"/>
      <c r="L395" s="315"/>
    </row>
    <row r="396" spans="1:12" s="30" customFormat="1" x14ac:dyDescent="0.25">
      <c r="A396" s="36"/>
      <c r="B396" s="31"/>
      <c r="C396" s="31"/>
      <c r="D396" s="32"/>
      <c r="F396" s="32"/>
      <c r="G396" s="41"/>
      <c r="H396" s="32"/>
      <c r="I396" s="41"/>
      <c r="J396" s="315"/>
      <c r="K396" s="315"/>
      <c r="L396" s="315"/>
    </row>
    <row r="397" spans="1:12" s="30" customFormat="1" x14ac:dyDescent="0.25">
      <c r="A397" s="36"/>
      <c r="B397" s="31"/>
      <c r="C397" s="31"/>
      <c r="D397" s="32"/>
      <c r="F397" s="32"/>
      <c r="G397" s="41"/>
      <c r="H397" s="32"/>
      <c r="I397" s="41"/>
      <c r="J397" s="315"/>
      <c r="K397" s="315"/>
      <c r="L397" s="315"/>
    </row>
    <row r="398" spans="1:12" s="30" customFormat="1" x14ac:dyDescent="0.25">
      <c r="A398" s="36"/>
      <c r="B398" s="31"/>
      <c r="C398" s="31"/>
      <c r="D398" s="32"/>
      <c r="F398" s="32"/>
      <c r="G398" s="41"/>
      <c r="H398" s="32"/>
      <c r="I398" s="41"/>
      <c r="J398" s="315"/>
      <c r="K398" s="315"/>
      <c r="L398" s="315"/>
    </row>
    <row r="399" spans="1:12" s="30" customFormat="1" x14ac:dyDescent="0.25">
      <c r="A399" s="36"/>
      <c r="B399" s="31"/>
      <c r="C399" s="31"/>
      <c r="D399" s="32"/>
      <c r="F399" s="32"/>
      <c r="G399" s="41"/>
      <c r="H399" s="32"/>
      <c r="I399" s="41"/>
      <c r="J399" s="315"/>
      <c r="K399" s="315"/>
      <c r="L399" s="315"/>
    </row>
    <row r="400" spans="1:12" s="30" customFormat="1" x14ac:dyDescent="0.25">
      <c r="A400" s="36"/>
      <c r="B400" s="31"/>
      <c r="C400" s="31"/>
      <c r="D400" s="32"/>
      <c r="F400" s="32"/>
      <c r="G400" s="41"/>
      <c r="H400" s="32"/>
      <c r="I400" s="41"/>
      <c r="J400" s="315"/>
      <c r="K400" s="315"/>
      <c r="L400" s="315"/>
    </row>
    <row r="401" spans="1:12" s="30" customFormat="1" x14ac:dyDescent="0.25">
      <c r="A401" s="36"/>
      <c r="B401" s="31"/>
      <c r="C401" s="31"/>
      <c r="D401" s="32"/>
      <c r="F401" s="32"/>
      <c r="G401" s="41"/>
      <c r="H401" s="32"/>
      <c r="I401" s="41"/>
      <c r="J401" s="315"/>
      <c r="K401" s="315"/>
      <c r="L401" s="315"/>
    </row>
    <row r="402" spans="1:12" s="30" customFormat="1" x14ac:dyDescent="0.25">
      <c r="A402" s="36"/>
      <c r="B402" s="31"/>
      <c r="C402" s="31"/>
      <c r="D402" s="32"/>
      <c r="F402" s="32"/>
      <c r="G402" s="41"/>
      <c r="H402" s="32"/>
      <c r="I402" s="41"/>
      <c r="J402" s="315"/>
      <c r="K402" s="315"/>
      <c r="L402" s="315"/>
    </row>
    <row r="403" spans="1:12" s="30" customFormat="1" x14ac:dyDescent="0.25">
      <c r="A403" s="36"/>
      <c r="B403" s="31"/>
      <c r="C403" s="31"/>
      <c r="D403" s="32"/>
      <c r="F403" s="32"/>
      <c r="G403" s="41"/>
      <c r="H403" s="32"/>
      <c r="I403" s="41"/>
      <c r="J403" s="315"/>
      <c r="K403" s="315"/>
      <c r="L403" s="315"/>
    </row>
    <row r="404" spans="1:12" s="30" customFormat="1" x14ac:dyDescent="0.25">
      <c r="A404" s="36"/>
      <c r="B404" s="31"/>
      <c r="C404" s="31"/>
      <c r="D404" s="32"/>
      <c r="F404" s="32"/>
      <c r="G404" s="41"/>
      <c r="H404" s="32"/>
      <c r="I404" s="41"/>
      <c r="J404" s="315"/>
      <c r="K404" s="315"/>
      <c r="L404" s="315"/>
    </row>
    <row r="405" spans="1:12" s="30" customFormat="1" x14ac:dyDescent="0.25">
      <c r="A405" s="36"/>
      <c r="B405" s="31"/>
      <c r="C405" s="31"/>
      <c r="D405" s="32"/>
      <c r="F405" s="32"/>
      <c r="G405" s="41"/>
      <c r="H405" s="32"/>
      <c r="I405" s="41"/>
      <c r="J405" s="315"/>
      <c r="K405" s="315"/>
      <c r="L405" s="315"/>
    </row>
    <row r="406" spans="1:12" s="30" customFormat="1" x14ac:dyDescent="0.25">
      <c r="A406" s="36"/>
      <c r="B406" s="31"/>
      <c r="C406" s="31"/>
      <c r="D406" s="32"/>
      <c r="F406" s="32"/>
      <c r="G406" s="41"/>
      <c r="H406" s="32"/>
      <c r="I406" s="41"/>
      <c r="J406" s="315"/>
      <c r="K406" s="315"/>
      <c r="L406" s="315"/>
    </row>
    <row r="407" spans="1:12" s="30" customFormat="1" x14ac:dyDescent="0.25">
      <c r="A407" s="36"/>
      <c r="B407" s="31"/>
      <c r="C407" s="31"/>
      <c r="D407" s="32"/>
      <c r="F407" s="32"/>
      <c r="G407" s="41"/>
      <c r="H407" s="32"/>
      <c r="I407" s="41"/>
      <c r="J407" s="315"/>
      <c r="K407" s="315"/>
      <c r="L407" s="315"/>
    </row>
    <row r="408" spans="1:12" s="30" customFormat="1" x14ac:dyDescent="0.25">
      <c r="A408" s="36"/>
      <c r="B408" s="31"/>
      <c r="C408" s="31"/>
      <c r="D408" s="32"/>
      <c r="F408" s="32"/>
      <c r="G408" s="41"/>
      <c r="H408" s="32"/>
      <c r="I408" s="41"/>
      <c r="J408" s="315"/>
      <c r="K408" s="315"/>
      <c r="L408" s="315"/>
    </row>
    <row r="409" spans="1:12" s="30" customFormat="1" x14ac:dyDescent="0.25">
      <c r="A409" s="36"/>
      <c r="B409" s="31"/>
      <c r="C409" s="31"/>
      <c r="D409" s="32"/>
      <c r="F409" s="32"/>
      <c r="G409" s="41"/>
      <c r="H409" s="32"/>
      <c r="I409" s="41"/>
      <c r="J409" s="315"/>
      <c r="K409" s="315"/>
      <c r="L409" s="315"/>
    </row>
    <row r="410" spans="1:12" s="30" customFormat="1" x14ac:dyDescent="0.25">
      <c r="A410" s="36"/>
      <c r="B410" s="31"/>
      <c r="C410" s="31"/>
      <c r="D410" s="32"/>
      <c r="F410" s="32"/>
      <c r="G410" s="41"/>
      <c r="H410" s="32"/>
      <c r="I410" s="41"/>
      <c r="J410" s="315"/>
      <c r="K410" s="315"/>
      <c r="L410" s="315"/>
    </row>
    <row r="411" spans="1:12" s="30" customFormat="1" x14ac:dyDescent="0.25">
      <c r="A411" s="36"/>
      <c r="B411" s="31"/>
      <c r="C411" s="31"/>
      <c r="D411" s="32"/>
      <c r="F411" s="32"/>
      <c r="G411" s="41"/>
      <c r="H411" s="32"/>
      <c r="I411" s="41"/>
      <c r="J411" s="315"/>
      <c r="K411" s="315"/>
      <c r="L411" s="315"/>
    </row>
    <row r="412" spans="1:12" s="30" customFormat="1" x14ac:dyDescent="0.25">
      <c r="A412" s="36"/>
      <c r="B412" s="31"/>
      <c r="C412" s="31"/>
      <c r="D412" s="32"/>
      <c r="F412" s="32"/>
      <c r="G412" s="41"/>
      <c r="H412" s="32"/>
      <c r="I412" s="41"/>
      <c r="J412" s="315"/>
      <c r="K412" s="315"/>
      <c r="L412" s="315"/>
    </row>
    <row r="413" spans="1:12" s="30" customFormat="1" x14ac:dyDescent="0.25">
      <c r="A413" s="36"/>
      <c r="B413" s="31"/>
      <c r="C413" s="31"/>
      <c r="D413" s="32"/>
      <c r="F413" s="32"/>
      <c r="G413" s="41"/>
      <c r="H413" s="32"/>
      <c r="I413" s="41"/>
      <c r="J413" s="315"/>
      <c r="K413" s="315"/>
      <c r="L413" s="315"/>
    </row>
    <row r="414" spans="1:12" s="30" customFormat="1" x14ac:dyDescent="0.25">
      <c r="A414" s="36"/>
      <c r="B414" s="31"/>
      <c r="C414" s="31"/>
      <c r="D414" s="32"/>
      <c r="F414" s="32"/>
      <c r="G414" s="41"/>
      <c r="H414" s="32"/>
      <c r="I414" s="41"/>
      <c r="J414" s="315"/>
      <c r="K414" s="315"/>
      <c r="L414" s="315"/>
    </row>
    <row r="415" spans="1:12" s="30" customFormat="1" x14ac:dyDescent="0.25">
      <c r="A415" s="36"/>
      <c r="B415" s="31"/>
      <c r="C415" s="31"/>
      <c r="D415" s="32"/>
      <c r="F415" s="32"/>
      <c r="G415" s="41"/>
      <c r="H415" s="32"/>
      <c r="I415" s="41"/>
      <c r="J415" s="315"/>
      <c r="K415" s="315"/>
      <c r="L415" s="315"/>
    </row>
    <row r="416" spans="1:12" s="30" customFormat="1" x14ac:dyDescent="0.25">
      <c r="A416" s="36"/>
      <c r="B416" s="31"/>
      <c r="C416" s="31"/>
      <c r="D416" s="32"/>
      <c r="F416" s="32"/>
      <c r="G416" s="41"/>
      <c r="H416" s="32"/>
      <c r="I416" s="41"/>
      <c r="J416" s="315"/>
      <c r="K416" s="315"/>
      <c r="L416" s="315"/>
    </row>
    <row r="417" spans="1:12" s="30" customFormat="1" x14ac:dyDescent="0.25">
      <c r="A417" s="36"/>
      <c r="B417" s="31"/>
      <c r="C417" s="31"/>
      <c r="D417" s="32"/>
      <c r="F417" s="32"/>
      <c r="G417" s="41"/>
      <c r="H417" s="32"/>
      <c r="I417" s="41"/>
      <c r="J417" s="315"/>
      <c r="K417" s="315"/>
      <c r="L417" s="315"/>
    </row>
    <row r="418" spans="1:12" s="30" customFormat="1" x14ac:dyDescent="0.25">
      <c r="A418" s="36"/>
      <c r="B418" s="31"/>
      <c r="C418" s="31"/>
      <c r="D418" s="32"/>
      <c r="F418" s="32"/>
      <c r="G418" s="41"/>
      <c r="H418" s="32"/>
      <c r="I418" s="41"/>
      <c r="J418" s="315"/>
      <c r="K418" s="315"/>
      <c r="L418" s="315"/>
    </row>
    <row r="419" spans="1:12" s="30" customFormat="1" x14ac:dyDescent="0.25">
      <c r="A419" s="36"/>
      <c r="B419" s="31"/>
      <c r="C419" s="31"/>
      <c r="D419" s="32"/>
      <c r="F419" s="32"/>
      <c r="G419" s="41"/>
      <c r="H419" s="32"/>
      <c r="I419" s="41"/>
      <c r="J419" s="315"/>
      <c r="K419" s="315"/>
      <c r="L419" s="315"/>
    </row>
    <row r="420" spans="1:12" s="30" customFormat="1" x14ac:dyDescent="0.25">
      <c r="A420" s="36"/>
      <c r="B420" s="31"/>
      <c r="C420" s="31"/>
      <c r="D420" s="32"/>
      <c r="F420" s="32"/>
      <c r="G420" s="41"/>
      <c r="H420" s="32"/>
      <c r="I420" s="41"/>
      <c r="J420" s="315"/>
      <c r="K420" s="315"/>
      <c r="L420" s="315"/>
    </row>
    <row r="421" spans="1:12" s="30" customFormat="1" x14ac:dyDescent="0.25">
      <c r="A421" s="36"/>
      <c r="B421" s="31"/>
      <c r="C421" s="31"/>
      <c r="D421" s="32"/>
      <c r="F421" s="32"/>
      <c r="G421" s="41"/>
      <c r="H421" s="32"/>
      <c r="I421" s="41"/>
      <c r="J421" s="315"/>
      <c r="K421" s="315"/>
      <c r="L421" s="315"/>
    </row>
    <row r="422" spans="1:12" s="30" customFormat="1" x14ac:dyDescent="0.25">
      <c r="A422" s="36"/>
      <c r="B422" s="31"/>
      <c r="C422" s="31"/>
      <c r="D422" s="32"/>
      <c r="F422" s="32"/>
      <c r="G422" s="41"/>
      <c r="H422" s="32"/>
      <c r="I422" s="41"/>
      <c r="J422" s="315"/>
      <c r="K422" s="315"/>
      <c r="L422" s="315"/>
    </row>
    <row r="423" spans="1:12" s="30" customFormat="1" x14ac:dyDescent="0.25">
      <c r="A423" s="36"/>
      <c r="B423" s="31"/>
      <c r="C423" s="31"/>
      <c r="D423" s="32"/>
      <c r="F423" s="32"/>
      <c r="G423" s="41"/>
      <c r="H423" s="32"/>
      <c r="I423" s="41"/>
      <c r="J423" s="315"/>
      <c r="K423" s="315"/>
      <c r="L423" s="315"/>
    </row>
    <row r="424" spans="1:12" s="30" customFormat="1" x14ac:dyDescent="0.25">
      <c r="A424" s="36"/>
      <c r="B424" s="31"/>
      <c r="C424" s="31"/>
      <c r="D424" s="32"/>
      <c r="F424" s="32"/>
      <c r="G424" s="41"/>
      <c r="H424" s="32"/>
      <c r="I424" s="41"/>
      <c r="J424" s="315"/>
      <c r="K424" s="315"/>
      <c r="L424" s="315"/>
    </row>
    <row r="425" spans="1:12" s="30" customFormat="1" x14ac:dyDescent="0.25">
      <c r="A425" s="36"/>
      <c r="B425" s="31"/>
      <c r="C425" s="31"/>
      <c r="D425" s="32"/>
      <c r="F425" s="32"/>
      <c r="G425" s="41"/>
      <c r="H425" s="32"/>
      <c r="I425" s="41"/>
      <c r="J425" s="315"/>
      <c r="K425" s="315"/>
      <c r="L425" s="315"/>
    </row>
    <row r="426" spans="1:12" s="30" customFormat="1" x14ac:dyDescent="0.25">
      <c r="A426" s="36"/>
      <c r="B426" s="31"/>
      <c r="C426" s="31"/>
      <c r="D426" s="32"/>
      <c r="F426" s="32"/>
      <c r="G426" s="41"/>
      <c r="H426" s="32"/>
      <c r="I426" s="41"/>
      <c r="J426" s="315"/>
      <c r="K426" s="315"/>
      <c r="L426" s="315"/>
    </row>
    <row r="427" spans="1:12" s="30" customFormat="1" x14ac:dyDescent="0.25">
      <c r="A427" s="36"/>
      <c r="B427" s="31"/>
      <c r="C427" s="31"/>
      <c r="D427" s="32"/>
      <c r="F427" s="32"/>
      <c r="G427" s="41"/>
      <c r="H427" s="32"/>
      <c r="I427" s="41"/>
      <c r="J427" s="315"/>
      <c r="K427" s="315"/>
      <c r="L427" s="315"/>
    </row>
    <row r="428" spans="1:12" s="30" customFormat="1" x14ac:dyDescent="0.25">
      <c r="A428" s="36"/>
      <c r="B428" s="31"/>
      <c r="C428" s="31"/>
      <c r="D428" s="32"/>
      <c r="F428" s="32"/>
      <c r="G428" s="41"/>
      <c r="H428" s="32"/>
      <c r="I428" s="41"/>
      <c r="J428" s="315"/>
      <c r="K428" s="315"/>
      <c r="L428" s="315"/>
    </row>
    <row r="429" spans="1:12" s="30" customFormat="1" x14ac:dyDescent="0.25">
      <c r="A429" s="36"/>
      <c r="B429" s="31"/>
      <c r="C429" s="31"/>
      <c r="D429" s="32"/>
      <c r="F429" s="32"/>
      <c r="G429" s="41"/>
      <c r="H429" s="32"/>
      <c r="I429" s="41"/>
      <c r="J429" s="315"/>
      <c r="K429" s="315"/>
      <c r="L429" s="315"/>
    </row>
    <row r="430" spans="1:12" s="30" customFormat="1" x14ac:dyDescent="0.25">
      <c r="A430" s="36"/>
      <c r="B430" s="31"/>
      <c r="C430" s="31"/>
      <c r="D430" s="32"/>
      <c r="F430" s="32"/>
      <c r="G430" s="41"/>
      <c r="H430" s="32"/>
      <c r="I430" s="41"/>
      <c r="J430" s="315"/>
      <c r="K430" s="315"/>
      <c r="L430" s="315"/>
    </row>
    <row r="431" spans="1:12" s="30" customFormat="1" x14ac:dyDescent="0.25">
      <c r="A431" s="36"/>
      <c r="B431" s="31"/>
      <c r="C431" s="31"/>
      <c r="D431" s="32"/>
      <c r="F431" s="32"/>
      <c r="G431" s="41"/>
      <c r="H431" s="32"/>
      <c r="I431" s="41"/>
      <c r="J431" s="315"/>
      <c r="K431" s="315"/>
      <c r="L431" s="315"/>
    </row>
    <row r="432" spans="1:12" s="30" customFormat="1" x14ac:dyDescent="0.25">
      <c r="A432" s="36"/>
      <c r="B432" s="31"/>
      <c r="C432" s="31"/>
      <c r="D432" s="32"/>
      <c r="F432" s="32"/>
      <c r="G432" s="41"/>
      <c r="H432" s="32"/>
      <c r="I432" s="41"/>
      <c r="J432" s="315"/>
      <c r="K432" s="315"/>
      <c r="L432" s="315"/>
    </row>
    <row r="433" spans="1:12" s="30" customFormat="1" x14ac:dyDescent="0.25">
      <c r="A433" s="36"/>
      <c r="B433" s="31"/>
      <c r="C433" s="31"/>
      <c r="D433" s="32"/>
      <c r="F433" s="32"/>
      <c r="G433" s="41"/>
      <c r="H433" s="32"/>
      <c r="I433" s="41"/>
      <c r="J433" s="315"/>
      <c r="K433" s="315"/>
      <c r="L433" s="315"/>
    </row>
    <row r="434" spans="1:12" s="30" customFormat="1" x14ac:dyDescent="0.25">
      <c r="A434" s="36"/>
      <c r="B434" s="31"/>
      <c r="C434" s="31"/>
      <c r="D434" s="32"/>
      <c r="F434" s="32"/>
      <c r="G434" s="41"/>
      <c r="H434" s="32"/>
      <c r="I434" s="41"/>
      <c r="J434" s="315"/>
      <c r="K434" s="315"/>
      <c r="L434" s="315"/>
    </row>
    <row r="435" spans="1:12" s="30" customFormat="1" x14ac:dyDescent="0.25">
      <c r="A435" s="36"/>
      <c r="B435" s="31"/>
      <c r="C435" s="31"/>
      <c r="D435" s="32"/>
      <c r="F435" s="32"/>
      <c r="G435" s="41"/>
      <c r="H435" s="32"/>
      <c r="I435" s="41"/>
      <c r="J435" s="315"/>
      <c r="K435" s="315"/>
      <c r="L435" s="315"/>
    </row>
    <row r="436" spans="1:12" s="30" customFormat="1" x14ac:dyDescent="0.25">
      <c r="A436" s="36"/>
      <c r="B436" s="31"/>
      <c r="C436" s="31"/>
      <c r="D436" s="32"/>
      <c r="F436" s="32"/>
      <c r="G436" s="41"/>
      <c r="H436" s="32"/>
      <c r="I436" s="41"/>
      <c r="J436" s="315"/>
      <c r="K436" s="315"/>
      <c r="L436" s="315"/>
    </row>
    <row r="437" spans="1:12" s="30" customFormat="1" x14ac:dyDescent="0.25">
      <c r="A437" s="36"/>
      <c r="B437" s="31"/>
      <c r="C437" s="31"/>
      <c r="D437" s="32"/>
      <c r="F437" s="32"/>
      <c r="G437" s="41"/>
      <c r="H437" s="32"/>
      <c r="I437" s="41"/>
      <c r="J437" s="315"/>
      <c r="K437" s="315"/>
      <c r="L437" s="315"/>
    </row>
    <row r="438" spans="1:12" s="30" customFormat="1" x14ac:dyDescent="0.25">
      <c r="A438" s="36"/>
      <c r="B438" s="31"/>
      <c r="C438" s="31"/>
      <c r="D438" s="32"/>
      <c r="F438" s="32"/>
      <c r="G438" s="41"/>
      <c r="H438" s="32"/>
      <c r="I438" s="41"/>
      <c r="J438" s="315"/>
      <c r="K438" s="315"/>
      <c r="L438" s="315"/>
    </row>
    <row r="439" spans="1:12" s="30" customFormat="1" x14ac:dyDescent="0.25">
      <c r="A439" s="36"/>
      <c r="B439" s="31"/>
      <c r="C439" s="31"/>
      <c r="D439" s="32"/>
      <c r="F439" s="32"/>
      <c r="G439" s="41"/>
      <c r="H439" s="32"/>
      <c r="I439" s="41"/>
      <c r="J439" s="315"/>
      <c r="K439" s="315"/>
      <c r="L439" s="315"/>
    </row>
    <row r="440" spans="1:12" s="30" customFormat="1" x14ac:dyDescent="0.25">
      <c r="A440" s="36"/>
      <c r="B440" s="31"/>
      <c r="C440" s="31"/>
      <c r="D440" s="32"/>
      <c r="F440" s="32"/>
      <c r="G440" s="41"/>
      <c r="H440" s="32"/>
      <c r="I440" s="41"/>
      <c r="J440" s="315"/>
      <c r="K440" s="315"/>
      <c r="L440" s="315"/>
    </row>
    <row r="441" spans="1:12" s="30" customFormat="1" x14ac:dyDescent="0.25">
      <c r="A441" s="36"/>
      <c r="B441" s="31"/>
      <c r="C441" s="31"/>
      <c r="D441" s="32"/>
      <c r="F441" s="32"/>
      <c r="G441" s="41"/>
      <c r="H441" s="32"/>
      <c r="I441" s="41"/>
      <c r="J441" s="315"/>
      <c r="K441" s="315"/>
      <c r="L441" s="315"/>
    </row>
    <row r="442" spans="1:12" s="30" customFormat="1" x14ac:dyDescent="0.25">
      <c r="A442" s="36"/>
      <c r="B442" s="31"/>
      <c r="C442" s="31"/>
      <c r="D442" s="32"/>
      <c r="F442" s="32"/>
      <c r="G442" s="41"/>
      <c r="H442" s="32"/>
      <c r="I442" s="41"/>
      <c r="J442" s="315"/>
      <c r="K442" s="315"/>
      <c r="L442" s="315"/>
    </row>
    <row r="443" spans="1:12" s="30" customFormat="1" x14ac:dyDescent="0.25">
      <c r="A443" s="36"/>
      <c r="B443" s="31"/>
      <c r="C443" s="31"/>
      <c r="D443" s="32"/>
      <c r="F443" s="32"/>
      <c r="G443" s="41"/>
      <c r="H443" s="32"/>
      <c r="I443" s="41"/>
      <c r="J443" s="315"/>
      <c r="K443" s="315"/>
      <c r="L443" s="315"/>
    </row>
    <row r="444" spans="1:12" s="30" customFormat="1" x14ac:dyDescent="0.25">
      <c r="A444" s="36"/>
      <c r="B444" s="31"/>
      <c r="C444" s="31"/>
      <c r="D444" s="32"/>
      <c r="F444" s="32"/>
      <c r="G444" s="41"/>
      <c r="H444" s="32"/>
      <c r="I444" s="41"/>
      <c r="J444" s="315"/>
      <c r="K444" s="315"/>
      <c r="L444" s="315"/>
    </row>
    <row r="445" spans="1:12" s="30" customFormat="1" x14ac:dyDescent="0.25">
      <c r="A445" s="36"/>
      <c r="B445" s="31"/>
      <c r="C445" s="31"/>
      <c r="D445" s="32"/>
      <c r="F445" s="32"/>
      <c r="G445" s="41"/>
      <c r="H445" s="32"/>
      <c r="I445" s="41"/>
      <c r="J445" s="315"/>
      <c r="K445" s="315"/>
      <c r="L445" s="315"/>
    </row>
    <row r="446" spans="1:12" s="30" customFormat="1" x14ac:dyDescent="0.25">
      <c r="A446" s="36"/>
      <c r="B446" s="31"/>
      <c r="C446" s="31"/>
      <c r="D446" s="32"/>
      <c r="F446" s="32"/>
      <c r="G446" s="41"/>
      <c r="H446" s="32"/>
      <c r="I446" s="41"/>
      <c r="J446" s="315"/>
      <c r="K446" s="315"/>
      <c r="L446" s="315"/>
    </row>
    <row r="447" spans="1:12" s="30" customFormat="1" x14ac:dyDescent="0.25">
      <c r="A447" s="36"/>
      <c r="B447" s="31"/>
      <c r="C447" s="31"/>
      <c r="D447" s="32"/>
      <c r="F447" s="32"/>
      <c r="G447" s="41"/>
      <c r="H447" s="32"/>
      <c r="I447" s="41"/>
      <c r="J447" s="315"/>
      <c r="K447" s="315"/>
      <c r="L447" s="315"/>
    </row>
    <row r="448" spans="1:12" s="30" customFormat="1" x14ac:dyDescent="0.25">
      <c r="A448" s="36"/>
      <c r="B448" s="31"/>
      <c r="C448" s="31"/>
      <c r="D448" s="32"/>
      <c r="F448" s="32"/>
      <c r="G448" s="41"/>
      <c r="H448" s="32"/>
      <c r="I448" s="41"/>
      <c r="J448" s="315"/>
      <c r="K448" s="315"/>
      <c r="L448" s="315"/>
    </row>
    <row r="449" spans="1:12" s="30" customFormat="1" x14ac:dyDescent="0.25">
      <c r="A449" s="36"/>
      <c r="B449" s="31"/>
      <c r="C449" s="31"/>
      <c r="D449" s="32"/>
      <c r="F449" s="32"/>
      <c r="G449" s="41"/>
      <c r="H449" s="32"/>
      <c r="I449" s="41"/>
      <c r="J449" s="315"/>
      <c r="K449" s="315"/>
      <c r="L449" s="315"/>
    </row>
    <row r="450" spans="1:12" s="30" customFormat="1" x14ac:dyDescent="0.25">
      <c r="A450" s="36"/>
      <c r="B450" s="31"/>
      <c r="C450" s="31"/>
      <c r="D450" s="32"/>
      <c r="F450" s="32"/>
      <c r="G450" s="41"/>
      <c r="H450" s="32"/>
      <c r="I450" s="41"/>
      <c r="J450" s="315"/>
      <c r="K450" s="315"/>
      <c r="L450" s="315"/>
    </row>
    <row r="451" spans="1:12" s="30" customFormat="1" x14ac:dyDescent="0.25">
      <c r="A451" s="36"/>
      <c r="B451" s="31"/>
      <c r="C451" s="31"/>
      <c r="D451" s="32"/>
      <c r="F451" s="32"/>
      <c r="G451" s="41"/>
      <c r="H451" s="32"/>
      <c r="I451" s="41"/>
      <c r="J451" s="315"/>
      <c r="K451" s="315"/>
      <c r="L451" s="315"/>
    </row>
    <row r="452" spans="1:12" s="30" customFormat="1" x14ac:dyDescent="0.25">
      <c r="A452" s="36"/>
      <c r="B452" s="31"/>
      <c r="C452" s="31"/>
      <c r="D452" s="32"/>
      <c r="F452" s="32"/>
      <c r="G452" s="41"/>
      <c r="H452" s="32"/>
      <c r="I452" s="41"/>
      <c r="J452" s="315"/>
      <c r="K452" s="315"/>
      <c r="L452" s="315"/>
    </row>
    <row r="453" spans="1:12" s="30" customFormat="1" x14ac:dyDescent="0.25">
      <c r="A453" s="36"/>
      <c r="B453" s="31"/>
      <c r="C453" s="31"/>
      <c r="D453" s="32"/>
      <c r="F453" s="32"/>
      <c r="G453" s="41"/>
      <c r="H453" s="32"/>
      <c r="I453" s="41"/>
      <c r="J453" s="315"/>
      <c r="K453" s="315"/>
      <c r="L453" s="315"/>
    </row>
    <row r="454" spans="1:12" s="30" customFormat="1" x14ac:dyDescent="0.25">
      <c r="A454" s="36"/>
      <c r="B454" s="31"/>
      <c r="C454" s="31"/>
      <c r="D454" s="32"/>
      <c r="F454" s="32"/>
      <c r="G454" s="41"/>
      <c r="H454" s="32"/>
      <c r="I454" s="41"/>
      <c r="J454" s="315"/>
      <c r="K454" s="315"/>
      <c r="L454" s="315"/>
    </row>
    <row r="455" spans="1:12" s="30" customFormat="1" x14ac:dyDescent="0.25">
      <c r="A455" s="36"/>
      <c r="B455" s="31"/>
      <c r="C455" s="31"/>
      <c r="D455" s="32"/>
      <c r="F455" s="32"/>
      <c r="G455" s="41"/>
      <c r="H455" s="32"/>
      <c r="I455" s="41"/>
      <c r="J455" s="315"/>
      <c r="K455" s="315"/>
      <c r="L455" s="315"/>
    </row>
    <row r="456" spans="1:12" s="30" customFormat="1" x14ac:dyDescent="0.25">
      <c r="A456" s="36"/>
      <c r="B456" s="31"/>
      <c r="C456" s="31"/>
      <c r="D456" s="32"/>
      <c r="F456" s="32"/>
      <c r="G456" s="41"/>
      <c r="H456" s="32"/>
      <c r="I456" s="41"/>
      <c r="J456" s="315"/>
      <c r="K456" s="315"/>
      <c r="L456" s="315"/>
    </row>
    <row r="457" spans="1:12" s="30" customFormat="1" x14ac:dyDescent="0.25">
      <c r="A457" s="36"/>
      <c r="B457" s="31"/>
      <c r="C457" s="31"/>
      <c r="D457" s="32"/>
      <c r="F457" s="32"/>
      <c r="G457" s="41"/>
      <c r="H457" s="32"/>
      <c r="I457" s="41"/>
      <c r="J457" s="315"/>
      <c r="K457" s="315"/>
      <c r="L457" s="315"/>
    </row>
    <row r="458" spans="1:12" s="30" customFormat="1" x14ac:dyDescent="0.25">
      <c r="A458" s="36"/>
      <c r="B458" s="31"/>
      <c r="C458" s="31"/>
      <c r="D458" s="32"/>
      <c r="F458" s="32"/>
      <c r="G458" s="41"/>
      <c r="H458" s="32"/>
      <c r="I458" s="41"/>
      <c r="J458" s="315"/>
      <c r="K458" s="315"/>
      <c r="L458" s="315"/>
    </row>
    <row r="459" spans="1:12" s="30" customFormat="1" x14ac:dyDescent="0.25">
      <c r="A459" s="36"/>
      <c r="B459" s="31"/>
      <c r="C459" s="31"/>
      <c r="D459" s="32"/>
      <c r="F459" s="32"/>
      <c r="G459" s="41"/>
      <c r="H459" s="32"/>
      <c r="I459" s="41"/>
      <c r="J459" s="315"/>
      <c r="K459" s="315"/>
      <c r="L459" s="315"/>
    </row>
    <row r="460" spans="1:12" s="30" customFormat="1" x14ac:dyDescent="0.25">
      <c r="A460" s="36"/>
      <c r="B460" s="31"/>
      <c r="C460" s="31"/>
      <c r="D460" s="32"/>
      <c r="F460" s="32"/>
      <c r="G460" s="41"/>
      <c r="H460" s="32"/>
      <c r="I460" s="41"/>
      <c r="J460" s="315"/>
      <c r="K460" s="315"/>
      <c r="L460" s="315"/>
    </row>
    <row r="461" spans="1:12" s="30" customFormat="1" x14ac:dyDescent="0.25">
      <c r="A461" s="36"/>
      <c r="B461" s="31"/>
      <c r="C461" s="31"/>
      <c r="D461" s="32"/>
      <c r="F461" s="32"/>
      <c r="G461" s="41"/>
      <c r="H461" s="32"/>
      <c r="I461" s="41"/>
      <c r="J461" s="315"/>
      <c r="K461" s="315"/>
      <c r="L461" s="315"/>
    </row>
    <row r="462" spans="1:12" s="30" customFormat="1" x14ac:dyDescent="0.25">
      <c r="A462" s="36"/>
      <c r="B462" s="31"/>
      <c r="C462" s="31"/>
      <c r="D462" s="32"/>
      <c r="F462" s="32"/>
      <c r="G462" s="41"/>
      <c r="H462" s="32"/>
      <c r="I462" s="41"/>
      <c r="J462" s="315"/>
      <c r="K462" s="315"/>
      <c r="L462" s="315"/>
    </row>
    <row r="463" spans="1:12" s="30" customFormat="1" x14ac:dyDescent="0.25">
      <c r="A463" s="36"/>
      <c r="B463" s="31"/>
      <c r="C463" s="31"/>
      <c r="D463" s="32"/>
      <c r="F463" s="32"/>
      <c r="G463" s="41"/>
      <c r="H463" s="32"/>
      <c r="I463" s="41"/>
      <c r="J463" s="315"/>
      <c r="K463" s="315"/>
      <c r="L463" s="315"/>
    </row>
    <row r="464" spans="1:12" s="30" customFormat="1" x14ac:dyDescent="0.25">
      <c r="A464" s="36"/>
      <c r="B464" s="31"/>
      <c r="C464" s="31"/>
      <c r="D464" s="32"/>
      <c r="F464" s="32"/>
      <c r="G464" s="41"/>
      <c r="H464" s="32"/>
      <c r="I464" s="41"/>
      <c r="J464" s="315"/>
      <c r="K464" s="315"/>
      <c r="L464" s="315"/>
    </row>
    <row r="465" spans="1:12" s="30" customFormat="1" x14ac:dyDescent="0.25">
      <c r="A465" s="36"/>
      <c r="B465" s="31"/>
      <c r="C465" s="31"/>
      <c r="D465" s="32"/>
      <c r="F465" s="32"/>
      <c r="G465" s="41"/>
      <c r="H465" s="32"/>
      <c r="I465" s="41"/>
      <c r="J465" s="315"/>
      <c r="K465" s="315"/>
      <c r="L465" s="315"/>
    </row>
    <row r="466" spans="1:12" s="30" customFormat="1" x14ac:dyDescent="0.25">
      <c r="A466" s="36"/>
      <c r="B466" s="31"/>
      <c r="C466" s="31"/>
      <c r="D466" s="32"/>
      <c r="F466" s="32"/>
      <c r="G466" s="41"/>
      <c r="H466" s="32"/>
      <c r="I466" s="41"/>
      <c r="J466" s="315"/>
      <c r="K466" s="315"/>
      <c r="L466" s="315"/>
    </row>
    <row r="467" spans="1:12" s="30" customFormat="1" x14ac:dyDescent="0.25">
      <c r="A467" s="36"/>
      <c r="B467" s="31"/>
      <c r="C467" s="31"/>
      <c r="D467" s="32"/>
      <c r="F467" s="32"/>
      <c r="G467" s="41"/>
      <c r="H467" s="32"/>
      <c r="I467" s="41"/>
      <c r="J467" s="315"/>
      <c r="K467" s="315"/>
      <c r="L467" s="315"/>
    </row>
    <row r="468" spans="1:12" s="30" customFormat="1" x14ac:dyDescent="0.25">
      <c r="A468" s="36"/>
      <c r="B468" s="31"/>
      <c r="C468" s="31"/>
      <c r="D468" s="32"/>
      <c r="F468" s="32"/>
      <c r="G468" s="41"/>
      <c r="H468" s="32"/>
      <c r="I468" s="41"/>
      <c r="J468" s="315"/>
      <c r="K468" s="315"/>
      <c r="L468" s="315"/>
    </row>
    <row r="469" spans="1:12" s="30" customFormat="1" x14ac:dyDescent="0.25">
      <c r="A469" s="36"/>
      <c r="B469" s="31"/>
      <c r="C469" s="31"/>
      <c r="D469" s="32"/>
      <c r="F469" s="32"/>
      <c r="G469" s="41"/>
      <c r="H469" s="32"/>
      <c r="I469" s="41"/>
      <c r="J469" s="315"/>
      <c r="K469" s="315"/>
      <c r="L469" s="315"/>
    </row>
    <row r="470" spans="1:12" s="30" customFormat="1" x14ac:dyDescent="0.25">
      <c r="A470" s="36"/>
      <c r="B470" s="31"/>
      <c r="C470" s="31"/>
      <c r="D470" s="32"/>
      <c r="F470" s="32"/>
      <c r="G470" s="41"/>
      <c r="H470" s="32"/>
      <c r="I470" s="41"/>
      <c r="J470" s="315"/>
      <c r="K470" s="315"/>
      <c r="L470" s="315"/>
    </row>
    <row r="471" spans="1:12" s="30" customFormat="1" x14ac:dyDescent="0.25">
      <c r="A471" s="36"/>
      <c r="B471" s="31"/>
      <c r="C471" s="31"/>
      <c r="D471" s="32"/>
      <c r="F471" s="32"/>
      <c r="G471" s="41"/>
      <c r="H471" s="32"/>
      <c r="I471" s="41"/>
      <c r="J471" s="315"/>
      <c r="K471" s="315"/>
      <c r="L471" s="315"/>
    </row>
    <row r="472" spans="1:12" s="30" customFormat="1" x14ac:dyDescent="0.25">
      <c r="A472" s="36"/>
      <c r="B472" s="31"/>
      <c r="C472" s="31"/>
      <c r="D472" s="32"/>
      <c r="F472" s="32"/>
      <c r="G472" s="41"/>
      <c r="H472" s="32"/>
      <c r="I472" s="41"/>
      <c r="J472" s="315"/>
      <c r="K472" s="315"/>
      <c r="L472" s="315"/>
    </row>
    <row r="473" spans="1:12" s="30" customFormat="1" x14ac:dyDescent="0.25">
      <c r="A473" s="36"/>
      <c r="B473" s="31"/>
      <c r="C473" s="31"/>
      <c r="D473" s="32"/>
      <c r="F473" s="32"/>
      <c r="G473" s="41"/>
      <c r="H473" s="32"/>
      <c r="I473" s="41"/>
      <c r="J473" s="315"/>
      <c r="K473" s="315"/>
      <c r="L473" s="315"/>
    </row>
    <row r="474" spans="1:12" s="30" customFormat="1" x14ac:dyDescent="0.25">
      <c r="A474" s="36"/>
      <c r="B474" s="31"/>
      <c r="C474" s="31"/>
      <c r="D474" s="32"/>
      <c r="F474" s="32"/>
      <c r="G474" s="41"/>
      <c r="H474" s="32"/>
      <c r="I474" s="41"/>
      <c r="J474" s="315"/>
      <c r="K474" s="315"/>
      <c r="L474" s="315"/>
    </row>
    <row r="475" spans="1:12" s="30" customFormat="1" x14ac:dyDescent="0.25">
      <c r="A475" s="36"/>
      <c r="B475" s="31"/>
      <c r="C475" s="31"/>
      <c r="D475" s="32"/>
      <c r="F475" s="32"/>
      <c r="G475" s="41"/>
      <c r="H475" s="32"/>
      <c r="I475" s="41"/>
      <c r="J475" s="315"/>
      <c r="K475" s="315"/>
      <c r="L475" s="315"/>
    </row>
    <row r="476" spans="1:12" s="30" customFormat="1" x14ac:dyDescent="0.25">
      <c r="A476" s="36"/>
      <c r="B476" s="31"/>
      <c r="C476" s="31"/>
      <c r="D476" s="32"/>
      <c r="F476" s="32"/>
      <c r="G476" s="41"/>
      <c r="H476" s="32"/>
      <c r="I476" s="41"/>
      <c r="J476" s="315"/>
      <c r="K476" s="315"/>
      <c r="L476" s="315"/>
    </row>
    <row r="477" spans="1:12" s="30" customFormat="1" x14ac:dyDescent="0.25">
      <c r="A477" s="36"/>
      <c r="B477" s="31"/>
      <c r="C477" s="31"/>
      <c r="D477" s="32"/>
      <c r="F477" s="32"/>
      <c r="G477" s="41"/>
      <c r="H477" s="32"/>
      <c r="I477" s="41"/>
      <c r="J477" s="315"/>
      <c r="K477" s="315"/>
      <c r="L477" s="315"/>
    </row>
    <row r="478" spans="1:12" s="30" customFormat="1" x14ac:dyDescent="0.25">
      <c r="A478" s="36"/>
      <c r="B478" s="31"/>
      <c r="C478" s="31"/>
      <c r="D478" s="32"/>
      <c r="F478" s="32"/>
      <c r="G478" s="41"/>
      <c r="H478" s="32"/>
      <c r="I478" s="41"/>
      <c r="J478" s="315"/>
      <c r="K478" s="315"/>
      <c r="L478" s="315"/>
    </row>
    <row r="479" spans="1:12" s="30" customFormat="1" x14ac:dyDescent="0.25">
      <c r="A479" s="36"/>
      <c r="B479" s="31"/>
      <c r="C479" s="31"/>
      <c r="D479" s="32"/>
      <c r="F479" s="32"/>
      <c r="G479" s="41"/>
      <c r="H479" s="32"/>
      <c r="I479" s="41"/>
      <c r="J479" s="315"/>
      <c r="K479" s="315"/>
      <c r="L479" s="315"/>
    </row>
    <row r="480" spans="1:12" s="30" customFormat="1" x14ac:dyDescent="0.25">
      <c r="A480" s="36"/>
      <c r="B480" s="31"/>
      <c r="C480" s="31"/>
      <c r="D480" s="32"/>
      <c r="F480" s="32"/>
      <c r="G480" s="41"/>
      <c r="H480" s="32"/>
      <c r="I480" s="41"/>
      <c r="J480" s="315"/>
      <c r="K480" s="315"/>
      <c r="L480" s="315"/>
    </row>
    <row r="481" spans="1:12" s="30" customFormat="1" x14ac:dyDescent="0.25">
      <c r="A481" s="36"/>
      <c r="B481" s="31"/>
      <c r="C481" s="31"/>
      <c r="D481" s="32"/>
      <c r="F481" s="32"/>
      <c r="G481" s="41"/>
      <c r="H481" s="32"/>
      <c r="I481" s="41"/>
      <c r="J481" s="315"/>
      <c r="K481" s="315"/>
      <c r="L481" s="315"/>
    </row>
    <row r="482" spans="1:12" s="30" customFormat="1" x14ac:dyDescent="0.25">
      <c r="A482" s="36"/>
      <c r="B482" s="31"/>
      <c r="C482" s="31"/>
      <c r="D482" s="32"/>
      <c r="F482" s="32"/>
      <c r="G482" s="41"/>
      <c r="H482" s="32"/>
      <c r="I482" s="41"/>
      <c r="J482" s="315"/>
      <c r="K482" s="315"/>
      <c r="L482" s="315"/>
    </row>
    <row r="483" spans="1:12" s="30" customFormat="1" x14ac:dyDescent="0.25">
      <c r="A483" s="36"/>
      <c r="B483" s="31"/>
      <c r="C483" s="31"/>
      <c r="D483" s="32"/>
      <c r="F483" s="32"/>
      <c r="G483" s="41"/>
      <c r="H483" s="32"/>
      <c r="I483" s="41"/>
      <c r="J483" s="315"/>
      <c r="K483" s="315"/>
      <c r="L483" s="315"/>
    </row>
    <row r="484" spans="1:12" s="30" customFormat="1" x14ac:dyDescent="0.25">
      <c r="A484" s="36"/>
      <c r="B484" s="31"/>
      <c r="C484" s="31"/>
      <c r="D484" s="32"/>
      <c r="F484" s="32"/>
      <c r="G484" s="41"/>
      <c r="H484" s="32"/>
      <c r="I484" s="41"/>
      <c r="J484" s="315"/>
      <c r="K484" s="315"/>
      <c r="L484" s="315"/>
    </row>
    <row r="485" spans="1:12" s="30" customFormat="1" x14ac:dyDescent="0.25">
      <c r="A485" s="36"/>
      <c r="B485" s="31"/>
      <c r="C485" s="31"/>
      <c r="D485" s="32"/>
      <c r="F485" s="32"/>
      <c r="G485" s="41"/>
      <c r="H485" s="32"/>
      <c r="I485" s="41"/>
      <c r="J485" s="315"/>
      <c r="K485" s="315"/>
      <c r="L485" s="315"/>
    </row>
    <row r="486" spans="1:12" s="30" customFormat="1" x14ac:dyDescent="0.25">
      <c r="A486" s="36"/>
      <c r="B486" s="31"/>
      <c r="C486" s="31"/>
      <c r="D486" s="32"/>
      <c r="F486" s="32"/>
      <c r="G486" s="41"/>
      <c r="H486" s="32"/>
      <c r="I486" s="41"/>
      <c r="J486" s="315"/>
      <c r="K486" s="315"/>
      <c r="L486" s="315"/>
    </row>
    <row r="487" spans="1:12" s="30" customFormat="1" x14ac:dyDescent="0.25">
      <c r="A487" s="36"/>
      <c r="B487" s="31"/>
      <c r="C487" s="31"/>
      <c r="D487" s="32"/>
      <c r="F487" s="32"/>
      <c r="G487" s="41"/>
      <c r="H487" s="32"/>
      <c r="I487" s="41"/>
      <c r="J487" s="315"/>
      <c r="K487" s="315"/>
      <c r="L487" s="315"/>
    </row>
    <row r="488" spans="1:12" s="30" customFormat="1" x14ac:dyDescent="0.25">
      <c r="A488" s="36"/>
      <c r="B488" s="31"/>
      <c r="C488" s="31"/>
      <c r="D488" s="32"/>
      <c r="F488" s="32"/>
      <c r="G488" s="41"/>
      <c r="H488" s="32"/>
      <c r="I488" s="41"/>
      <c r="J488" s="315"/>
      <c r="K488" s="315"/>
      <c r="L488" s="315"/>
    </row>
    <row r="489" spans="1:12" s="30" customFormat="1" x14ac:dyDescent="0.25">
      <c r="A489" s="36"/>
      <c r="B489" s="31"/>
      <c r="C489" s="31"/>
      <c r="D489" s="32"/>
      <c r="F489" s="32"/>
      <c r="G489" s="41"/>
      <c r="H489" s="32"/>
      <c r="I489" s="41"/>
      <c r="J489" s="315"/>
      <c r="K489" s="315"/>
      <c r="L489" s="315"/>
    </row>
    <row r="490" spans="1:12" s="30" customFormat="1" x14ac:dyDescent="0.25">
      <c r="A490" s="36"/>
      <c r="B490" s="31"/>
      <c r="C490" s="31"/>
      <c r="D490" s="32"/>
      <c r="F490" s="32"/>
      <c r="G490" s="41"/>
      <c r="H490" s="32"/>
      <c r="I490" s="41"/>
      <c r="J490" s="315"/>
      <c r="K490" s="315"/>
      <c r="L490" s="315"/>
    </row>
    <row r="491" spans="1:12" s="30" customFormat="1" x14ac:dyDescent="0.25">
      <c r="A491" s="36"/>
      <c r="B491" s="31"/>
      <c r="C491" s="31"/>
      <c r="D491" s="32"/>
      <c r="F491" s="32"/>
      <c r="G491" s="41"/>
      <c r="H491" s="32"/>
      <c r="I491" s="41"/>
      <c r="J491" s="315"/>
      <c r="K491" s="315"/>
      <c r="L491" s="315"/>
    </row>
    <row r="492" spans="1:12" s="30" customFormat="1" x14ac:dyDescent="0.25">
      <c r="A492" s="36"/>
      <c r="B492" s="31"/>
      <c r="C492" s="31"/>
      <c r="D492" s="32"/>
      <c r="F492" s="32"/>
      <c r="G492" s="41"/>
      <c r="H492" s="32"/>
      <c r="I492" s="41"/>
      <c r="J492" s="315"/>
      <c r="K492" s="315"/>
      <c r="L492" s="315"/>
    </row>
    <row r="493" spans="1:12" s="30" customFormat="1" x14ac:dyDescent="0.25">
      <c r="A493" s="36"/>
      <c r="B493" s="31"/>
      <c r="C493" s="31"/>
      <c r="D493" s="32"/>
      <c r="F493" s="32"/>
      <c r="G493" s="41"/>
      <c r="H493" s="32"/>
      <c r="I493" s="41"/>
      <c r="J493" s="315"/>
      <c r="K493" s="315"/>
      <c r="L493" s="315"/>
    </row>
    <row r="494" spans="1:12" s="30" customFormat="1" x14ac:dyDescent="0.25">
      <c r="A494" s="36"/>
      <c r="B494" s="31"/>
      <c r="C494" s="31"/>
      <c r="D494" s="32"/>
      <c r="F494" s="32"/>
      <c r="G494" s="41"/>
      <c r="H494" s="32"/>
      <c r="I494" s="41"/>
      <c r="J494" s="315"/>
      <c r="K494" s="315"/>
      <c r="L494" s="315"/>
    </row>
    <row r="495" spans="1:12" s="30" customFormat="1" x14ac:dyDescent="0.25">
      <c r="A495" s="36"/>
      <c r="B495" s="31"/>
      <c r="C495" s="31"/>
      <c r="D495" s="32"/>
      <c r="F495" s="32"/>
      <c r="G495" s="41"/>
      <c r="H495" s="32"/>
      <c r="I495" s="41"/>
      <c r="J495" s="315"/>
      <c r="K495" s="315"/>
      <c r="L495" s="315"/>
    </row>
    <row r="496" spans="1:12" s="30" customFormat="1" x14ac:dyDescent="0.25">
      <c r="A496" s="36"/>
      <c r="B496" s="31"/>
      <c r="C496" s="31"/>
      <c r="D496" s="32"/>
      <c r="F496" s="32"/>
      <c r="G496" s="41"/>
      <c r="H496" s="32"/>
      <c r="I496" s="41"/>
      <c r="J496" s="315"/>
      <c r="K496" s="315"/>
      <c r="L496" s="315"/>
    </row>
    <row r="497" spans="1:12" s="30" customFormat="1" x14ac:dyDescent="0.25">
      <c r="A497" s="36"/>
      <c r="B497" s="31"/>
      <c r="C497" s="31"/>
      <c r="D497" s="32"/>
      <c r="F497" s="32"/>
      <c r="G497" s="41"/>
      <c r="H497" s="32"/>
      <c r="I497" s="41"/>
      <c r="J497" s="315"/>
      <c r="K497" s="315"/>
      <c r="L497" s="315"/>
    </row>
    <row r="498" spans="1:12" s="30" customFormat="1" x14ac:dyDescent="0.25">
      <c r="A498" s="36"/>
      <c r="B498" s="31"/>
      <c r="C498" s="31"/>
      <c r="D498" s="32"/>
      <c r="F498" s="32"/>
      <c r="G498" s="41"/>
      <c r="H498" s="32"/>
      <c r="I498" s="41"/>
      <c r="J498" s="315"/>
      <c r="K498" s="315"/>
      <c r="L498" s="315"/>
    </row>
    <row r="499" spans="1:12" s="30" customFormat="1" x14ac:dyDescent="0.25">
      <c r="A499" s="36"/>
      <c r="B499" s="31"/>
      <c r="C499" s="31"/>
      <c r="D499" s="32"/>
      <c r="F499" s="32"/>
      <c r="G499" s="41"/>
      <c r="H499" s="32"/>
      <c r="I499" s="41"/>
      <c r="J499" s="315"/>
      <c r="K499" s="315"/>
      <c r="L499" s="315"/>
    </row>
    <row r="500" spans="1:12" s="30" customFormat="1" x14ac:dyDescent="0.25">
      <c r="A500" s="36"/>
      <c r="B500" s="31"/>
      <c r="C500" s="31"/>
      <c r="D500" s="32"/>
      <c r="F500" s="32"/>
      <c r="G500" s="41"/>
      <c r="H500" s="32"/>
      <c r="I500" s="41"/>
      <c r="J500" s="315"/>
      <c r="K500" s="315"/>
      <c r="L500" s="315"/>
    </row>
    <row r="501" spans="1:12" s="30" customFormat="1" x14ac:dyDescent="0.25">
      <c r="A501" s="36"/>
      <c r="B501" s="31"/>
      <c r="C501" s="31"/>
      <c r="D501" s="32"/>
      <c r="F501" s="32"/>
      <c r="G501" s="41"/>
      <c r="H501" s="32"/>
      <c r="I501" s="41"/>
      <c r="J501" s="315"/>
      <c r="K501" s="315"/>
      <c r="L501" s="315"/>
    </row>
    <row r="502" spans="1:12" s="30" customFormat="1" x14ac:dyDescent="0.25">
      <c r="A502" s="36"/>
      <c r="B502" s="31"/>
      <c r="C502" s="31"/>
      <c r="D502" s="32"/>
      <c r="F502" s="32"/>
      <c r="G502" s="41"/>
      <c r="H502" s="32"/>
      <c r="I502" s="41"/>
      <c r="J502" s="315"/>
      <c r="K502" s="315"/>
      <c r="L502" s="315"/>
    </row>
    <row r="503" spans="1:12" s="30" customFormat="1" x14ac:dyDescent="0.25">
      <c r="A503" s="36"/>
      <c r="B503" s="31"/>
      <c r="C503" s="31"/>
      <c r="D503" s="32"/>
      <c r="F503" s="32"/>
      <c r="G503" s="41"/>
      <c r="H503" s="32"/>
      <c r="I503" s="41"/>
      <c r="J503" s="315"/>
      <c r="K503" s="315"/>
      <c r="L503" s="315"/>
    </row>
    <row r="504" spans="1:12" s="30" customFormat="1" x14ac:dyDescent="0.25">
      <c r="A504" s="36"/>
      <c r="B504" s="31"/>
      <c r="C504" s="31"/>
      <c r="D504" s="32"/>
      <c r="F504" s="32"/>
      <c r="G504" s="41"/>
      <c r="H504" s="32"/>
      <c r="I504" s="41"/>
      <c r="J504" s="315"/>
      <c r="K504" s="315"/>
      <c r="L504" s="315"/>
    </row>
    <row r="505" spans="1:12" s="30" customFormat="1" x14ac:dyDescent="0.25">
      <c r="A505" s="36"/>
      <c r="B505" s="31"/>
      <c r="C505" s="31"/>
      <c r="D505" s="32"/>
      <c r="F505" s="32"/>
      <c r="G505" s="41"/>
      <c r="H505" s="32"/>
      <c r="I505" s="41"/>
      <c r="J505" s="315"/>
      <c r="K505" s="315"/>
      <c r="L505" s="315"/>
    </row>
    <row r="506" spans="1:12" s="30" customFormat="1" x14ac:dyDescent="0.25">
      <c r="A506" s="36"/>
      <c r="B506" s="31"/>
      <c r="C506" s="31"/>
      <c r="D506" s="32"/>
      <c r="F506" s="32"/>
      <c r="G506" s="41"/>
      <c r="H506" s="32"/>
      <c r="I506" s="41"/>
      <c r="J506" s="315"/>
      <c r="K506" s="315"/>
      <c r="L506" s="315"/>
    </row>
    <row r="507" spans="1:12" s="30" customFormat="1" x14ac:dyDescent="0.25">
      <c r="A507" s="36"/>
      <c r="B507" s="31"/>
      <c r="C507" s="31"/>
      <c r="D507" s="32"/>
      <c r="F507" s="32"/>
      <c r="G507" s="41"/>
      <c r="H507" s="32"/>
      <c r="I507" s="41"/>
      <c r="J507" s="315"/>
      <c r="K507" s="315"/>
      <c r="L507" s="315"/>
    </row>
    <row r="508" spans="1:12" s="30" customFormat="1" x14ac:dyDescent="0.25">
      <c r="A508" s="36"/>
      <c r="B508" s="31"/>
      <c r="C508" s="31"/>
      <c r="D508" s="32"/>
      <c r="F508" s="32"/>
      <c r="G508" s="41"/>
      <c r="H508" s="32"/>
      <c r="I508" s="41"/>
      <c r="J508" s="315"/>
      <c r="K508" s="315"/>
      <c r="L508" s="315"/>
    </row>
    <row r="509" spans="1:12" s="30" customFormat="1" x14ac:dyDescent="0.25">
      <c r="A509" s="36"/>
      <c r="B509" s="31"/>
      <c r="C509" s="31"/>
      <c r="D509" s="32"/>
      <c r="F509" s="32"/>
      <c r="G509" s="41"/>
      <c r="H509" s="32"/>
      <c r="I509" s="41"/>
      <c r="J509" s="315"/>
      <c r="K509" s="315"/>
      <c r="L509" s="315"/>
    </row>
    <row r="510" spans="1:12" s="30" customFormat="1" x14ac:dyDescent="0.25">
      <c r="A510" s="36"/>
      <c r="B510" s="31"/>
      <c r="C510" s="31"/>
      <c r="D510" s="32"/>
      <c r="F510" s="32"/>
      <c r="G510" s="41"/>
      <c r="H510" s="32"/>
      <c r="I510" s="41"/>
      <c r="J510" s="315"/>
      <c r="K510" s="315"/>
      <c r="L510" s="315"/>
    </row>
    <row r="511" spans="1:12" s="30" customFormat="1" x14ac:dyDescent="0.25">
      <c r="A511" s="36"/>
      <c r="B511" s="31"/>
      <c r="C511" s="31"/>
      <c r="D511" s="32"/>
      <c r="F511" s="32"/>
      <c r="G511" s="41"/>
      <c r="H511" s="32"/>
      <c r="I511" s="41"/>
      <c r="J511" s="315"/>
      <c r="K511" s="315"/>
      <c r="L511" s="315"/>
    </row>
    <row r="512" spans="1:12" s="30" customFormat="1" x14ac:dyDescent="0.25">
      <c r="A512" s="36"/>
      <c r="B512" s="31"/>
      <c r="C512" s="31"/>
      <c r="D512" s="32"/>
      <c r="F512" s="32"/>
      <c r="G512" s="41"/>
      <c r="H512" s="32"/>
      <c r="I512" s="41"/>
      <c r="J512" s="315"/>
      <c r="K512" s="315"/>
      <c r="L512" s="315"/>
    </row>
    <row r="513" spans="1:12" s="30" customFormat="1" x14ac:dyDescent="0.25">
      <c r="A513" s="36"/>
      <c r="B513" s="31"/>
      <c r="C513" s="31"/>
      <c r="D513" s="32"/>
      <c r="F513" s="32"/>
      <c r="G513" s="41"/>
      <c r="H513" s="32"/>
      <c r="I513" s="41"/>
      <c r="J513" s="315"/>
      <c r="K513" s="315"/>
      <c r="L513" s="315"/>
    </row>
    <row r="514" spans="1:12" s="30" customFormat="1" x14ac:dyDescent="0.25">
      <c r="A514" s="36"/>
      <c r="B514" s="31"/>
      <c r="C514" s="31"/>
      <c r="D514" s="32"/>
      <c r="F514" s="32"/>
      <c r="G514" s="41"/>
      <c r="H514" s="32"/>
      <c r="I514" s="41"/>
      <c r="J514" s="315"/>
      <c r="K514" s="315"/>
      <c r="L514" s="315"/>
    </row>
    <row r="515" spans="1:12" s="30" customFormat="1" x14ac:dyDescent="0.25">
      <c r="A515" s="36"/>
      <c r="B515" s="31"/>
      <c r="C515" s="31"/>
      <c r="D515" s="32"/>
      <c r="F515" s="32"/>
      <c r="G515" s="41"/>
      <c r="H515" s="32"/>
      <c r="I515" s="41"/>
      <c r="J515" s="315"/>
      <c r="K515" s="315"/>
      <c r="L515" s="315"/>
    </row>
    <row r="516" spans="1:12" s="30" customFormat="1" x14ac:dyDescent="0.25">
      <c r="A516" s="36"/>
      <c r="B516" s="31"/>
      <c r="C516" s="31"/>
      <c r="D516" s="32"/>
      <c r="F516" s="32"/>
      <c r="G516" s="41"/>
      <c r="H516" s="32"/>
      <c r="I516" s="41"/>
      <c r="J516" s="315"/>
      <c r="K516" s="315"/>
      <c r="L516" s="315"/>
    </row>
    <row r="517" spans="1:12" s="30" customFormat="1" x14ac:dyDescent="0.25">
      <c r="A517" s="36"/>
      <c r="B517" s="31"/>
      <c r="C517" s="31"/>
      <c r="D517" s="32"/>
      <c r="F517" s="32"/>
      <c r="G517" s="41"/>
      <c r="H517" s="32"/>
      <c r="I517" s="41"/>
      <c r="J517" s="315"/>
      <c r="K517" s="315"/>
      <c r="L517" s="315"/>
    </row>
    <row r="518" spans="1:12" s="30" customFormat="1" x14ac:dyDescent="0.25">
      <c r="A518" s="36"/>
      <c r="B518" s="31"/>
      <c r="C518" s="31"/>
      <c r="D518" s="32"/>
      <c r="F518" s="32"/>
      <c r="G518" s="41"/>
      <c r="H518" s="32"/>
      <c r="I518" s="41"/>
      <c r="J518" s="315"/>
      <c r="K518" s="315"/>
      <c r="L518" s="315"/>
    </row>
    <row r="519" spans="1:12" s="30" customFormat="1" x14ac:dyDescent="0.25">
      <c r="A519" s="36"/>
      <c r="B519" s="31"/>
      <c r="C519" s="31"/>
      <c r="D519" s="32"/>
      <c r="F519" s="32"/>
      <c r="G519" s="41"/>
      <c r="H519" s="32"/>
      <c r="I519" s="41"/>
      <c r="J519" s="315"/>
      <c r="K519" s="315"/>
      <c r="L519" s="315"/>
    </row>
    <row r="520" spans="1:12" s="30" customFormat="1" x14ac:dyDescent="0.25">
      <c r="A520" s="36"/>
      <c r="B520" s="31"/>
      <c r="C520" s="31"/>
      <c r="D520" s="32"/>
      <c r="F520" s="32"/>
      <c r="G520" s="41"/>
      <c r="H520" s="32"/>
      <c r="I520" s="41"/>
      <c r="J520" s="315"/>
      <c r="K520" s="315"/>
      <c r="L520" s="315"/>
    </row>
    <row r="521" spans="1:12" s="30" customFormat="1" x14ac:dyDescent="0.25">
      <c r="A521" s="36"/>
      <c r="B521" s="31"/>
      <c r="C521" s="31"/>
      <c r="D521" s="32"/>
      <c r="F521" s="32"/>
      <c r="G521" s="41"/>
      <c r="H521" s="32"/>
      <c r="I521" s="41"/>
      <c r="J521" s="315"/>
      <c r="K521" s="315"/>
      <c r="L521" s="315"/>
    </row>
    <row r="522" spans="1:12" s="30" customFormat="1" x14ac:dyDescent="0.25">
      <c r="A522" s="36"/>
      <c r="B522" s="31"/>
      <c r="C522" s="31"/>
      <c r="D522" s="32"/>
      <c r="F522" s="32"/>
      <c r="G522" s="41"/>
      <c r="H522" s="32"/>
      <c r="I522" s="41"/>
      <c r="J522" s="315"/>
      <c r="K522" s="315"/>
      <c r="L522" s="315"/>
    </row>
    <row r="523" spans="1:12" s="30" customFormat="1" x14ac:dyDescent="0.25">
      <c r="A523" s="36"/>
      <c r="B523" s="31"/>
      <c r="C523" s="31"/>
      <c r="D523" s="32"/>
      <c r="F523" s="32"/>
      <c r="G523" s="41"/>
      <c r="H523" s="32"/>
      <c r="I523" s="41"/>
      <c r="J523" s="315"/>
      <c r="K523" s="315"/>
      <c r="L523" s="315"/>
    </row>
    <row r="524" spans="1:12" s="30" customFormat="1" x14ac:dyDescent="0.25">
      <c r="A524" s="36"/>
      <c r="B524" s="31"/>
      <c r="C524" s="31"/>
      <c r="D524" s="32"/>
      <c r="F524" s="32"/>
      <c r="G524" s="41"/>
      <c r="H524" s="32"/>
      <c r="I524" s="41"/>
      <c r="J524" s="315"/>
      <c r="K524" s="315"/>
      <c r="L524" s="315"/>
    </row>
    <row r="525" spans="1:12" s="30" customFormat="1" x14ac:dyDescent="0.25">
      <c r="A525" s="36"/>
      <c r="B525" s="31"/>
      <c r="C525" s="31"/>
      <c r="D525" s="32"/>
      <c r="F525" s="32"/>
      <c r="G525" s="41"/>
      <c r="H525" s="32"/>
      <c r="I525" s="41"/>
      <c r="J525" s="315"/>
      <c r="K525" s="315"/>
      <c r="L525" s="315"/>
    </row>
    <row r="526" spans="1:12" s="30" customFormat="1" x14ac:dyDescent="0.25">
      <c r="A526" s="36"/>
      <c r="B526" s="31"/>
      <c r="C526" s="31"/>
      <c r="D526" s="32"/>
      <c r="F526" s="32"/>
      <c r="G526" s="41"/>
      <c r="H526" s="32"/>
      <c r="I526" s="41"/>
      <c r="J526" s="315"/>
      <c r="K526" s="315"/>
      <c r="L526" s="315"/>
    </row>
    <row r="527" spans="1:12" s="30" customFormat="1" x14ac:dyDescent="0.25">
      <c r="A527" s="36"/>
      <c r="B527" s="31"/>
      <c r="C527" s="31"/>
      <c r="D527" s="32"/>
      <c r="F527" s="32"/>
      <c r="G527" s="41"/>
      <c r="H527" s="32"/>
      <c r="I527" s="41"/>
      <c r="J527" s="315"/>
      <c r="K527" s="315"/>
      <c r="L527" s="315"/>
    </row>
    <row r="528" spans="1:12" s="30" customFormat="1" x14ac:dyDescent="0.25">
      <c r="A528" s="36"/>
      <c r="B528" s="31"/>
      <c r="C528" s="31"/>
      <c r="D528" s="32"/>
      <c r="F528" s="32"/>
      <c r="G528" s="41"/>
      <c r="H528" s="32"/>
      <c r="I528" s="41"/>
      <c r="J528" s="315"/>
      <c r="K528" s="315"/>
      <c r="L528" s="315"/>
    </row>
    <row r="529" spans="1:12" s="30" customFormat="1" x14ac:dyDescent="0.25">
      <c r="A529" s="36"/>
      <c r="B529" s="31"/>
      <c r="C529" s="31"/>
      <c r="D529" s="32"/>
      <c r="F529" s="32"/>
      <c r="G529" s="41"/>
      <c r="H529" s="32"/>
      <c r="I529" s="41"/>
      <c r="J529" s="315"/>
      <c r="K529" s="315"/>
      <c r="L529" s="315"/>
    </row>
    <row r="530" spans="1:12" s="30" customFormat="1" x14ac:dyDescent="0.25">
      <c r="A530" s="36"/>
      <c r="B530" s="31"/>
      <c r="C530" s="31"/>
      <c r="D530" s="32"/>
      <c r="F530" s="32"/>
      <c r="G530" s="41"/>
      <c r="H530" s="32"/>
      <c r="I530" s="41"/>
      <c r="J530" s="315"/>
      <c r="K530" s="315"/>
      <c r="L530" s="315"/>
    </row>
    <row r="531" spans="1:12" s="30" customFormat="1" x14ac:dyDescent="0.25">
      <c r="A531" s="36"/>
      <c r="B531" s="31"/>
      <c r="C531" s="31"/>
      <c r="D531" s="32"/>
      <c r="F531" s="32"/>
      <c r="G531" s="41"/>
      <c r="H531" s="32"/>
      <c r="I531" s="41"/>
      <c r="J531" s="315"/>
      <c r="K531" s="315"/>
      <c r="L531" s="315"/>
    </row>
    <row r="532" spans="1:12" s="30" customFormat="1" x14ac:dyDescent="0.25">
      <c r="A532" s="36"/>
      <c r="B532" s="31"/>
      <c r="C532" s="31"/>
      <c r="D532" s="32"/>
      <c r="F532" s="32"/>
      <c r="G532" s="41"/>
      <c r="H532" s="32"/>
      <c r="I532" s="41"/>
      <c r="J532" s="315"/>
      <c r="K532" s="315"/>
      <c r="L532" s="315"/>
    </row>
    <row r="533" spans="1:12" s="30" customFormat="1" x14ac:dyDescent="0.25">
      <c r="A533" s="36"/>
      <c r="B533" s="31"/>
      <c r="C533" s="31"/>
      <c r="D533" s="32"/>
      <c r="F533" s="32"/>
      <c r="G533" s="41"/>
      <c r="H533" s="32"/>
      <c r="I533" s="41"/>
      <c r="J533" s="315"/>
      <c r="K533" s="315"/>
      <c r="L533" s="315"/>
    </row>
    <row r="534" spans="1:12" s="30" customFormat="1" x14ac:dyDescent="0.25">
      <c r="A534" s="36"/>
      <c r="B534" s="31"/>
      <c r="C534" s="31"/>
      <c r="D534" s="32"/>
      <c r="F534" s="32"/>
      <c r="G534" s="41"/>
      <c r="H534" s="32"/>
      <c r="I534" s="41"/>
      <c r="J534" s="315"/>
      <c r="K534" s="315"/>
      <c r="L534" s="315"/>
    </row>
    <row r="535" spans="1:12" s="30" customFormat="1" x14ac:dyDescent="0.25">
      <c r="A535" s="36"/>
      <c r="B535" s="31"/>
      <c r="C535" s="31"/>
      <c r="D535" s="32"/>
      <c r="F535" s="32"/>
      <c r="G535" s="41"/>
      <c r="H535" s="32"/>
      <c r="I535" s="41"/>
      <c r="J535" s="315"/>
      <c r="K535" s="315"/>
      <c r="L535" s="315"/>
    </row>
    <row r="536" spans="1:12" s="30" customFormat="1" x14ac:dyDescent="0.25">
      <c r="A536" s="36"/>
      <c r="B536" s="31"/>
      <c r="C536" s="31"/>
      <c r="D536" s="32"/>
      <c r="F536" s="32"/>
      <c r="G536" s="41"/>
      <c r="H536" s="32"/>
      <c r="I536" s="41"/>
      <c r="J536" s="315"/>
      <c r="K536" s="315"/>
      <c r="L536" s="315"/>
    </row>
    <row r="537" spans="1:12" s="30" customFormat="1" x14ac:dyDescent="0.25">
      <c r="A537" s="36"/>
      <c r="B537" s="31"/>
      <c r="C537" s="31"/>
      <c r="D537" s="32"/>
      <c r="F537" s="32"/>
      <c r="G537" s="41"/>
      <c r="H537" s="32"/>
      <c r="I537" s="41"/>
      <c r="J537" s="315"/>
      <c r="K537" s="315"/>
      <c r="L537" s="315"/>
    </row>
    <row r="538" spans="1:12" s="30" customFormat="1" x14ac:dyDescent="0.25">
      <c r="A538" s="36"/>
      <c r="B538" s="31"/>
      <c r="C538" s="31"/>
      <c r="D538" s="32"/>
      <c r="F538" s="32"/>
      <c r="G538" s="41"/>
      <c r="H538" s="32"/>
      <c r="I538" s="41"/>
      <c r="J538" s="315"/>
      <c r="K538" s="315"/>
      <c r="L538" s="315"/>
    </row>
    <row r="539" spans="1:12" s="30" customFormat="1" x14ac:dyDescent="0.25">
      <c r="A539" s="36"/>
      <c r="B539" s="31"/>
      <c r="C539" s="31"/>
      <c r="D539" s="32"/>
      <c r="F539" s="32"/>
      <c r="G539" s="41"/>
      <c r="H539" s="32"/>
      <c r="I539" s="41"/>
      <c r="J539" s="315"/>
      <c r="K539" s="315"/>
      <c r="L539" s="315"/>
    </row>
    <row r="540" spans="1:12" s="30" customFormat="1" x14ac:dyDescent="0.25">
      <c r="A540" s="36"/>
      <c r="B540" s="31"/>
      <c r="C540" s="31"/>
      <c r="D540" s="32"/>
      <c r="F540" s="32"/>
      <c r="G540" s="41"/>
      <c r="H540" s="32"/>
      <c r="I540" s="41"/>
      <c r="J540" s="315"/>
      <c r="K540" s="315"/>
      <c r="L540" s="315"/>
    </row>
    <row r="541" spans="1:12" s="30" customFormat="1" x14ac:dyDescent="0.25">
      <c r="A541" s="36"/>
      <c r="B541" s="31"/>
      <c r="C541" s="31"/>
      <c r="D541" s="32"/>
      <c r="F541" s="32"/>
      <c r="G541" s="41"/>
      <c r="H541" s="32"/>
      <c r="I541" s="41"/>
      <c r="J541" s="315"/>
      <c r="K541" s="315"/>
      <c r="L541" s="315"/>
    </row>
    <row r="542" spans="1:12" s="30" customFormat="1" x14ac:dyDescent="0.25">
      <c r="A542" s="36"/>
      <c r="B542" s="31"/>
      <c r="C542" s="31"/>
      <c r="D542" s="32"/>
      <c r="F542" s="32"/>
      <c r="G542" s="41"/>
      <c r="H542" s="32"/>
      <c r="I542" s="41"/>
      <c r="J542" s="315"/>
      <c r="K542" s="315"/>
      <c r="L542" s="315"/>
    </row>
    <row r="543" spans="1:12" s="30" customFormat="1" x14ac:dyDescent="0.25">
      <c r="A543" s="36"/>
      <c r="B543" s="31"/>
      <c r="C543" s="31"/>
      <c r="D543" s="32"/>
      <c r="F543" s="32"/>
      <c r="G543" s="41"/>
      <c r="H543" s="32"/>
      <c r="I543" s="41"/>
      <c r="J543" s="315"/>
      <c r="K543" s="315"/>
      <c r="L543" s="315"/>
    </row>
    <row r="544" spans="1:12" s="30" customFormat="1" x14ac:dyDescent="0.25">
      <c r="A544" s="36"/>
      <c r="B544" s="31"/>
      <c r="C544" s="31"/>
      <c r="D544" s="32"/>
      <c r="F544" s="32"/>
      <c r="G544" s="41"/>
      <c r="H544" s="32"/>
      <c r="I544" s="41"/>
      <c r="J544" s="315"/>
      <c r="K544" s="315"/>
      <c r="L544" s="315"/>
    </row>
    <row r="545" spans="1:12" s="30" customFormat="1" x14ac:dyDescent="0.25">
      <c r="A545" s="36"/>
      <c r="B545" s="31"/>
      <c r="C545" s="31"/>
      <c r="D545" s="32"/>
      <c r="F545" s="32"/>
      <c r="G545" s="41"/>
      <c r="H545" s="32"/>
      <c r="I545" s="41"/>
      <c r="J545" s="315"/>
      <c r="K545" s="315"/>
      <c r="L545" s="315"/>
    </row>
    <row r="546" spans="1:12" s="30" customFormat="1" x14ac:dyDescent="0.25">
      <c r="A546" s="36"/>
      <c r="B546" s="31"/>
      <c r="C546" s="31"/>
      <c r="D546" s="32"/>
      <c r="F546" s="32"/>
      <c r="G546" s="41"/>
      <c r="H546" s="32"/>
      <c r="I546" s="41"/>
      <c r="J546" s="315"/>
      <c r="K546" s="315"/>
      <c r="L546" s="315"/>
    </row>
    <row r="547" spans="1:12" s="30" customFormat="1" x14ac:dyDescent="0.25">
      <c r="A547" s="36"/>
      <c r="B547" s="31"/>
      <c r="C547" s="31"/>
      <c r="D547" s="32"/>
      <c r="F547" s="32"/>
      <c r="G547" s="41"/>
      <c r="H547" s="32"/>
      <c r="I547" s="41"/>
      <c r="J547" s="315"/>
      <c r="K547" s="315"/>
      <c r="L547" s="315"/>
    </row>
    <row r="548" spans="1:12" s="30" customFormat="1" x14ac:dyDescent="0.25">
      <c r="A548" s="36"/>
      <c r="B548" s="31"/>
      <c r="C548" s="31"/>
      <c r="D548" s="32"/>
      <c r="F548" s="32"/>
      <c r="G548" s="41"/>
      <c r="H548" s="32"/>
      <c r="I548" s="41"/>
      <c r="J548" s="315"/>
      <c r="K548" s="315"/>
      <c r="L548" s="315"/>
    </row>
    <row r="549" spans="1:12" s="30" customFormat="1" x14ac:dyDescent="0.25">
      <c r="A549" s="36"/>
      <c r="B549" s="31"/>
      <c r="C549" s="31"/>
      <c r="D549" s="32"/>
      <c r="F549" s="32"/>
      <c r="G549" s="41"/>
      <c r="H549" s="32"/>
      <c r="I549" s="41"/>
      <c r="J549" s="315"/>
      <c r="K549" s="315"/>
      <c r="L549" s="315"/>
    </row>
    <row r="550" spans="1:12" s="30" customFormat="1" x14ac:dyDescent="0.25">
      <c r="A550" s="36"/>
      <c r="B550" s="31"/>
      <c r="C550" s="31"/>
      <c r="D550" s="32"/>
      <c r="F550" s="32"/>
      <c r="G550" s="41"/>
      <c r="H550" s="32"/>
      <c r="I550" s="41"/>
      <c r="J550" s="315"/>
      <c r="K550" s="315"/>
      <c r="L550" s="315"/>
    </row>
    <row r="551" spans="1:12" s="30" customFormat="1" x14ac:dyDescent="0.25">
      <c r="A551" s="36"/>
      <c r="B551" s="31"/>
      <c r="C551" s="31"/>
      <c r="D551" s="32"/>
      <c r="F551" s="32"/>
      <c r="G551" s="41"/>
      <c r="H551" s="32"/>
      <c r="I551" s="41"/>
      <c r="J551" s="315"/>
      <c r="K551" s="315"/>
      <c r="L551" s="315"/>
    </row>
    <row r="552" spans="1:12" s="30" customFormat="1" x14ac:dyDescent="0.25">
      <c r="A552" s="36"/>
      <c r="B552" s="31"/>
      <c r="C552" s="31"/>
      <c r="D552" s="32"/>
      <c r="F552" s="32"/>
      <c r="G552" s="41"/>
      <c r="H552" s="32"/>
      <c r="I552" s="41"/>
      <c r="J552" s="315"/>
      <c r="K552" s="315"/>
      <c r="L552" s="315"/>
    </row>
    <row r="553" spans="1:12" s="30" customFormat="1" x14ac:dyDescent="0.25">
      <c r="A553" s="36"/>
      <c r="B553" s="31"/>
      <c r="C553" s="31"/>
      <c r="D553" s="32"/>
      <c r="F553" s="32"/>
      <c r="G553" s="41"/>
      <c r="H553" s="32"/>
      <c r="I553" s="41"/>
      <c r="J553" s="315"/>
      <c r="K553" s="315"/>
      <c r="L553" s="315"/>
    </row>
    <row r="554" spans="1:12" s="30" customFormat="1" x14ac:dyDescent="0.25">
      <c r="A554" s="36"/>
      <c r="B554" s="31"/>
      <c r="C554" s="31"/>
      <c r="D554" s="32"/>
      <c r="F554" s="32"/>
      <c r="G554" s="41"/>
      <c r="H554" s="32"/>
      <c r="I554" s="41"/>
      <c r="J554" s="315"/>
      <c r="K554" s="315"/>
      <c r="L554" s="315"/>
    </row>
    <row r="555" spans="1:12" s="30" customFormat="1" x14ac:dyDescent="0.25">
      <c r="A555" s="36"/>
      <c r="B555" s="31"/>
      <c r="C555" s="31"/>
      <c r="D555" s="32"/>
      <c r="F555" s="32"/>
      <c r="G555" s="41"/>
      <c r="H555" s="32"/>
      <c r="I555" s="41"/>
      <c r="J555" s="315"/>
      <c r="K555" s="315"/>
      <c r="L555" s="315"/>
    </row>
    <row r="556" spans="1:12" s="30" customFormat="1" x14ac:dyDescent="0.25">
      <c r="A556" s="36"/>
      <c r="B556" s="31"/>
      <c r="C556" s="31"/>
      <c r="D556" s="32"/>
      <c r="F556" s="32"/>
      <c r="G556" s="41"/>
      <c r="H556" s="32"/>
      <c r="I556" s="41"/>
      <c r="J556" s="315"/>
      <c r="K556" s="315"/>
      <c r="L556" s="315"/>
    </row>
    <row r="557" spans="1:12" s="30" customFormat="1" x14ac:dyDescent="0.25">
      <c r="A557" s="36"/>
      <c r="B557" s="31"/>
      <c r="C557" s="31"/>
      <c r="D557" s="32"/>
      <c r="F557" s="32"/>
      <c r="G557" s="41"/>
      <c r="H557" s="32"/>
      <c r="I557" s="41"/>
      <c r="J557" s="315"/>
      <c r="K557" s="315"/>
      <c r="L557" s="315"/>
    </row>
    <row r="558" spans="1:12" s="30" customFormat="1" x14ac:dyDescent="0.25">
      <c r="A558" s="36"/>
      <c r="B558" s="31"/>
      <c r="C558" s="31"/>
      <c r="D558" s="32"/>
      <c r="F558" s="32"/>
      <c r="G558" s="41"/>
      <c r="H558" s="32"/>
      <c r="I558" s="41"/>
      <c r="J558" s="315"/>
      <c r="K558" s="315"/>
      <c r="L558" s="315"/>
    </row>
    <row r="559" spans="1:12" s="30" customFormat="1" x14ac:dyDescent="0.25">
      <c r="A559" s="36"/>
      <c r="B559" s="31"/>
      <c r="C559" s="31"/>
      <c r="D559" s="32"/>
      <c r="F559" s="32"/>
      <c r="G559" s="41"/>
      <c r="H559" s="32"/>
      <c r="I559" s="41"/>
      <c r="J559" s="315"/>
      <c r="K559" s="315"/>
      <c r="L559" s="315"/>
    </row>
    <row r="560" spans="1:12" s="30" customFormat="1" x14ac:dyDescent="0.25">
      <c r="A560" s="36"/>
      <c r="B560" s="31"/>
      <c r="C560" s="31"/>
      <c r="D560" s="32"/>
      <c r="F560" s="32"/>
      <c r="G560" s="41"/>
      <c r="H560" s="32"/>
      <c r="I560" s="41"/>
      <c r="J560" s="315"/>
      <c r="K560" s="315"/>
      <c r="L560" s="315"/>
    </row>
    <row r="561" spans="1:12" s="30" customFormat="1" x14ac:dyDescent="0.25">
      <c r="A561" s="36"/>
      <c r="B561" s="31"/>
      <c r="C561" s="31"/>
      <c r="D561" s="32"/>
      <c r="F561" s="32"/>
      <c r="G561" s="41"/>
      <c r="H561" s="32"/>
      <c r="I561" s="41"/>
      <c r="J561" s="315"/>
      <c r="K561" s="315"/>
      <c r="L561" s="315"/>
    </row>
    <row r="562" spans="1:12" s="30" customFormat="1" x14ac:dyDescent="0.25">
      <c r="A562" s="36"/>
      <c r="B562" s="31"/>
      <c r="C562" s="31"/>
      <c r="D562" s="32"/>
      <c r="F562" s="32"/>
      <c r="G562" s="41"/>
      <c r="H562" s="32"/>
      <c r="I562" s="41"/>
      <c r="J562" s="315"/>
      <c r="K562" s="315"/>
      <c r="L562" s="315"/>
    </row>
    <row r="563" spans="1:12" s="30" customFormat="1" x14ac:dyDescent="0.25">
      <c r="A563" s="36"/>
      <c r="B563" s="31"/>
      <c r="C563" s="31"/>
      <c r="D563" s="32"/>
      <c r="F563" s="32"/>
      <c r="G563" s="41"/>
      <c r="H563" s="32"/>
      <c r="I563" s="41"/>
      <c r="J563" s="315"/>
      <c r="K563" s="315"/>
      <c r="L563" s="315"/>
    </row>
    <row r="564" spans="1:12" s="30" customFormat="1" x14ac:dyDescent="0.25">
      <c r="A564" s="36"/>
      <c r="B564" s="31"/>
      <c r="C564" s="31"/>
      <c r="D564" s="32"/>
      <c r="F564" s="32"/>
      <c r="G564" s="41"/>
      <c r="H564" s="32"/>
      <c r="I564" s="41"/>
      <c r="J564" s="315"/>
      <c r="K564" s="315"/>
      <c r="L564" s="315"/>
    </row>
    <row r="565" spans="1:12" s="30" customFormat="1" x14ac:dyDescent="0.25">
      <c r="A565" s="36"/>
      <c r="B565" s="31"/>
      <c r="C565" s="31"/>
      <c r="D565" s="32"/>
      <c r="F565" s="32"/>
      <c r="G565" s="41"/>
      <c r="H565" s="32"/>
      <c r="I565" s="41"/>
      <c r="J565" s="315"/>
      <c r="K565" s="315"/>
      <c r="L565" s="315"/>
    </row>
    <row r="566" spans="1:12" s="30" customFormat="1" x14ac:dyDescent="0.25">
      <c r="A566" s="36"/>
      <c r="B566" s="31"/>
      <c r="C566" s="31"/>
      <c r="D566" s="32"/>
      <c r="F566" s="32"/>
      <c r="G566" s="41"/>
      <c r="H566" s="32"/>
      <c r="I566" s="41"/>
      <c r="J566" s="315"/>
      <c r="K566" s="315"/>
      <c r="L566" s="315"/>
    </row>
    <row r="567" spans="1:12" s="30" customFormat="1" x14ac:dyDescent="0.25">
      <c r="A567" s="36"/>
      <c r="B567" s="31"/>
      <c r="C567" s="31"/>
      <c r="D567" s="32"/>
      <c r="F567" s="32"/>
      <c r="G567" s="41"/>
      <c r="H567" s="32"/>
      <c r="I567" s="41"/>
      <c r="J567" s="315"/>
      <c r="K567" s="315"/>
      <c r="L567" s="315"/>
    </row>
    <row r="568" spans="1:12" s="30" customFormat="1" x14ac:dyDescent="0.25">
      <c r="A568" s="36"/>
      <c r="B568" s="31"/>
      <c r="C568" s="31"/>
      <c r="D568" s="32"/>
      <c r="F568" s="32"/>
      <c r="G568" s="41"/>
      <c r="H568" s="32"/>
      <c r="I568" s="41"/>
      <c r="J568" s="315"/>
      <c r="K568" s="315"/>
      <c r="L568" s="315"/>
    </row>
    <row r="569" spans="1:12" s="30" customFormat="1" x14ac:dyDescent="0.25">
      <c r="A569" s="36"/>
      <c r="B569" s="31"/>
      <c r="C569" s="31"/>
      <c r="D569" s="32"/>
      <c r="F569" s="32"/>
      <c r="G569" s="41"/>
      <c r="H569" s="32"/>
      <c r="I569" s="41"/>
      <c r="J569" s="315"/>
      <c r="K569" s="315"/>
      <c r="L569" s="315"/>
    </row>
    <row r="570" spans="1:12" s="30" customFormat="1" x14ac:dyDescent="0.25">
      <c r="A570" s="36"/>
      <c r="B570" s="31"/>
      <c r="C570" s="31"/>
      <c r="D570" s="32"/>
      <c r="F570" s="32"/>
      <c r="G570" s="41"/>
      <c r="H570" s="32"/>
      <c r="I570" s="41"/>
      <c r="J570" s="315"/>
      <c r="K570" s="315"/>
      <c r="L570" s="315"/>
    </row>
    <row r="571" spans="1:12" s="30" customFormat="1" x14ac:dyDescent="0.25">
      <c r="A571" s="36"/>
      <c r="B571" s="31"/>
      <c r="C571" s="31"/>
      <c r="D571" s="32"/>
      <c r="F571" s="32"/>
      <c r="G571" s="41"/>
      <c r="H571" s="32"/>
      <c r="I571" s="41"/>
      <c r="J571" s="315"/>
      <c r="K571" s="315"/>
      <c r="L571" s="315"/>
    </row>
    <row r="572" spans="1:12" s="30" customFormat="1" x14ac:dyDescent="0.25">
      <c r="A572" s="36"/>
      <c r="B572" s="31"/>
      <c r="C572" s="31"/>
      <c r="D572" s="32"/>
      <c r="F572" s="32"/>
      <c r="G572" s="41"/>
      <c r="H572" s="32"/>
      <c r="I572" s="41"/>
      <c r="J572" s="315"/>
      <c r="K572" s="315"/>
      <c r="L572" s="315"/>
    </row>
    <row r="573" spans="1:12" s="30" customFormat="1" x14ac:dyDescent="0.25">
      <c r="A573" s="36"/>
      <c r="B573" s="31"/>
      <c r="C573" s="31"/>
      <c r="D573" s="32"/>
      <c r="F573" s="32"/>
      <c r="G573" s="41"/>
      <c r="H573" s="32"/>
      <c r="I573" s="41"/>
      <c r="J573" s="315"/>
      <c r="K573" s="315"/>
      <c r="L573" s="315"/>
    </row>
    <row r="574" spans="1:12" s="30" customFormat="1" x14ac:dyDescent="0.25">
      <c r="A574" s="36"/>
      <c r="B574" s="31"/>
      <c r="C574" s="31"/>
      <c r="D574" s="32"/>
      <c r="F574" s="32"/>
      <c r="G574" s="41"/>
      <c r="H574" s="32"/>
      <c r="I574" s="41"/>
      <c r="J574" s="315"/>
      <c r="K574" s="315"/>
      <c r="L574" s="315"/>
    </row>
    <row r="575" spans="1:12" s="30" customFormat="1" x14ac:dyDescent="0.25">
      <c r="A575" s="36"/>
      <c r="B575" s="31"/>
      <c r="C575" s="31"/>
      <c r="D575" s="32"/>
      <c r="F575" s="32"/>
      <c r="G575" s="41"/>
      <c r="H575" s="32"/>
      <c r="I575" s="41"/>
      <c r="J575" s="315"/>
      <c r="K575" s="315"/>
      <c r="L575" s="315"/>
    </row>
    <row r="576" spans="1:12" s="30" customFormat="1" x14ac:dyDescent="0.25">
      <c r="A576" s="36"/>
      <c r="B576" s="31"/>
      <c r="C576" s="31"/>
      <c r="D576" s="32"/>
      <c r="F576" s="32"/>
      <c r="G576" s="41"/>
      <c r="H576" s="32"/>
      <c r="I576" s="41"/>
      <c r="J576" s="315"/>
      <c r="K576" s="315"/>
      <c r="L576" s="315"/>
    </row>
    <row r="577" spans="1:12" s="30" customFormat="1" x14ac:dyDescent="0.25">
      <c r="A577" s="36"/>
      <c r="B577" s="31"/>
      <c r="C577" s="31"/>
      <c r="D577" s="32"/>
      <c r="F577" s="32"/>
      <c r="G577" s="41"/>
      <c r="H577" s="32"/>
      <c r="I577" s="41"/>
      <c r="J577" s="315"/>
      <c r="K577" s="315"/>
      <c r="L577" s="315"/>
    </row>
    <row r="578" spans="1:12" s="30" customFormat="1" x14ac:dyDescent="0.25">
      <c r="A578" s="36"/>
      <c r="B578" s="31"/>
      <c r="C578" s="31"/>
      <c r="D578" s="32"/>
      <c r="F578" s="32"/>
      <c r="G578" s="41"/>
      <c r="H578" s="32"/>
      <c r="I578" s="41"/>
      <c r="J578" s="315"/>
      <c r="K578" s="315"/>
      <c r="L578" s="315"/>
    </row>
    <row r="579" spans="1:12" s="30" customFormat="1" x14ac:dyDescent="0.25">
      <c r="A579" s="36"/>
      <c r="B579" s="31"/>
      <c r="C579" s="31"/>
      <c r="D579" s="32"/>
      <c r="F579" s="32"/>
      <c r="G579" s="41"/>
      <c r="H579" s="32"/>
      <c r="I579" s="41"/>
      <c r="J579" s="315"/>
      <c r="K579" s="315"/>
      <c r="L579" s="315"/>
    </row>
    <row r="580" spans="1:12" s="30" customFormat="1" x14ac:dyDescent="0.25">
      <c r="A580" s="36"/>
      <c r="B580" s="31"/>
      <c r="C580" s="31"/>
      <c r="D580" s="32"/>
      <c r="F580" s="32"/>
      <c r="G580" s="41"/>
      <c r="H580" s="32"/>
      <c r="I580" s="41"/>
      <c r="J580" s="315"/>
      <c r="K580" s="315"/>
      <c r="L580" s="315"/>
    </row>
    <row r="581" spans="1:12" s="30" customFormat="1" x14ac:dyDescent="0.25">
      <c r="A581" s="36"/>
      <c r="B581" s="31"/>
      <c r="C581" s="31"/>
      <c r="D581" s="32"/>
      <c r="F581" s="32"/>
      <c r="G581" s="41"/>
      <c r="H581" s="32"/>
      <c r="I581" s="41"/>
      <c r="J581" s="315"/>
      <c r="K581" s="315"/>
      <c r="L581" s="315"/>
    </row>
    <row r="582" spans="1:12" s="30" customFormat="1" x14ac:dyDescent="0.25">
      <c r="A582" s="36"/>
      <c r="B582" s="31"/>
      <c r="C582" s="31"/>
      <c r="D582" s="32"/>
      <c r="F582" s="32"/>
      <c r="G582" s="41"/>
      <c r="H582" s="32"/>
      <c r="I582" s="41"/>
      <c r="J582" s="315"/>
      <c r="K582" s="315"/>
      <c r="L582" s="315"/>
    </row>
    <row r="583" spans="1:12" s="30" customFormat="1" x14ac:dyDescent="0.25">
      <c r="A583" s="36"/>
      <c r="B583" s="31"/>
      <c r="C583" s="31"/>
      <c r="D583" s="32"/>
      <c r="F583" s="32"/>
      <c r="G583" s="41"/>
      <c r="H583" s="32"/>
      <c r="I583" s="41"/>
      <c r="J583" s="315"/>
      <c r="K583" s="315"/>
      <c r="L583" s="315"/>
    </row>
    <row r="584" spans="1:12" s="30" customFormat="1" x14ac:dyDescent="0.25">
      <c r="A584" s="36"/>
      <c r="B584" s="31"/>
      <c r="C584" s="31"/>
      <c r="D584" s="32"/>
      <c r="F584" s="32"/>
      <c r="G584" s="41"/>
      <c r="H584" s="32"/>
      <c r="I584" s="41"/>
      <c r="J584" s="315"/>
      <c r="K584" s="315"/>
      <c r="L584" s="315"/>
    </row>
    <row r="585" spans="1:12" s="30" customFormat="1" x14ac:dyDescent="0.25">
      <c r="A585" s="36"/>
      <c r="B585" s="31"/>
      <c r="C585" s="31"/>
      <c r="D585" s="32"/>
      <c r="F585" s="32"/>
      <c r="G585" s="41"/>
      <c r="H585" s="32"/>
      <c r="I585" s="41"/>
      <c r="J585" s="315"/>
      <c r="K585" s="315"/>
      <c r="L585" s="315"/>
    </row>
    <row r="586" spans="1:12" s="30" customFormat="1" x14ac:dyDescent="0.25">
      <c r="A586" s="36"/>
      <c r="B586" s="31"/>
      <c r="C586" s="31"/>
      <c r="D586" s="32"/>
      <c r="F586" s="32"/>
      <c r="G586" s="41"/>
      <c r="H586" s="32"/>
      <c r="I586" s="41"/>
      <c r="J586" s="315"/>
      <c r="K586" s="315"/>
      <c r="L586" s="315"/>
    </row>
    <row r="587" spans="1:12" s="30" customFormat="1" x14ac:dyDescent="0.25">
      <c r="A587" s="36"/>
      <c r="B587" s="31"/>
      <c r="C587" s="31"/>
      <c r="D587" s="32"/>
      <c r="F587" s="32"/>
      <c r="G587" s="41"/>
      <c r="H587" s="32"/>
      <c r="I587" s="41"/>
      <c r="J587" s="315"/>
      <c r="K587" s="315"/>
      <c r="L587" s="315"/>
    </row>
    <row r="588" spans="1:12" s="30" customFormat="1" x14ac:dyDescent="0.25">
      <c r="A588" s="36"/>
      <c r="B588" s="31"/>
      <c r="C588" s="31"/>
      <c r="D588" s="32"/>
      <c r="F588" s="32"/>
      <c r="G588" s="41"/>
      <c r="H588" s="32"/>
      <c r="I588" s="41"/>
      <c r="J588" s="315"/>
      <c r="K588" s="315"/>
      <c r="L588" s="315"/>
    </row>
    <row r="589" spans="1:12" s="30" customFormat="1" x14ac:dyDescent="0.25">
      <c r="A589" s="36"/>
      <c r="B589" s="31"/>
      <c r="C589" s="31"/>
      <c r="D589" s="32"/>
      <c r="F589" s="32"/>
      <c r="G589" s="41"/>
      <c r="H589" s="32"/>
      <c r="I589" s="41"/>
      <c r="J589" s="315"/>
      <c r="K589" s="315"/>
      <c r="L589" s="315"/>
    </row>
    <row r="590" spans="1:12" s="30" customFormat="1" x14ac:dyDescent="0.25">
      <c r="A590" s="36"/>
      <c r="B590" s="31"/>
      <c r="C590" s="31"/>
      <c r="D590" s="32"/>
      <c r="F590" s="32"/>
      <c r="G590" s="41"/>
      <c r="H590" s="32"/>
      <c r="I590" s="41"/>
      <c r="J590" s="315"/>
      <c r="K590" s="315"/>
      <c r="L590" s="315"/>
    </row>
    <row r="591" spans="1:12" s="30" customFormat="1" x14ac:dyDescent="0.25">
      <c r="A591" s="36"/>
      <c r="B591" s="31"/>
      <c r="C591" s="31"/>
      <c r="D591" s="32"/>
      <c r="F591" s="32"/>
      <c r="G591" s="41"/>
      <c r="H591" s="32"/>
      <c r="I591" s="41"/>
      <c r="J591" s="315"/>
      <c r="K591" s="315"/>
      <c r="L591" s="315"/>
    </row>
    <row r="592" spans="1:12" s="30" customFormat="1" x14ac:dyDescent="0.25">
      <c r="A592" s="36"/>
      <c r="B592" s="31"/>
      <c r="C592" s="31"/>
      <c r="D592" s="32"/>
      <c r="F592" s="32"/>
      <c r="G592" s="41"/>
      <c r="H592" s="32"/>
      <c r="I592" s="41"/>
      <c r="J592" s="315"/>
      <c r="K592" s="315"/>
      <c r="L592" s="315"/>
    </row>
    <row r="593" spans="1:12" s="30" customFormat="1" x14ac:dyDescent="0.25">
      <c r="A593" s="36"/>
      <c r="B593" s="31"/>
      <c r="C593" s="31"/>
      <c r="D593" s="32"/>
      <c r="F593" s="32"/>
      <c r="G593" s="41"/>
      <c r="H593" s="32"/>
      <c r="I593" s="41"/>
      <c r="J593" s="315"/>
      <c r="K593" s="315"/>
      <c r="L593" s="315"/>
    </row>
    <row r="594" spans="1:12" s="30" customFormat="1" x14ac:dyDescent="0.25">
      <c r="A594" s="36"/>
      <c r="B594" s="31"/>
      <c r="C594" s="31"/>
      <c r="D594" s="32"/>
      <c r="F594" s="32"/>
      <c r="G594" s="41"/>
      <c r="H594" s="32"/>
      <c r="I594" s="41"/>
      <c r="J594" s="315"/>
      <c r="K594" s="315"/>
      <c r="L594" s="315"/>
    </row>
    <row r="595" spans="1:12" s="30" customFormat="1" x14ac:dyDescent="0.25">
      <c r="A595" s="36"/>
      <c r="B595" s="31"/>
      <c r="C595" s="31"/>
      <c r="D595" s="32"/>
      <c r="F595" s="32"/>
      <c r="G595" s="41"/>
      <c r="H595" s="32"/>
      <c r="I595" s="41"/>
      <c r="J595" s="315"/>
      <c r="K595" s="315"/>
      <c r="L595" s="315"/>
    </row>
    <row r="596" spans="1:12" s="30" customFormat="1" x14ac:dyDescent="0.25">
      <c r="A596" s="36"/>
      <c r="B596" s="31"/>
      <c r="C596" s="31"/>
      <c r="D596" s="32"/>
      <c r="F596" s="32"/>
      <c r="G596" s="41"/>
      <c r="H596" s="32"/>
      <c r="I596" s="41"/>
      <c r="J596" s="315"/>
      <c r="K596" s="315"/>
      <c r="L596" s="315"/>
    </row>
    <row r="597" spans="1:12" s="30" customFormat="1" x14ac:dyDescent="0.25">
      <c r="A597" s="36"/>
      <c r="B597" s="31"/>
      <c r="C597" s="31"/>
      <c r="D597" s="32"/>
      <c r="F597" s="32"/>
      <c r="G597" s="41"/>
      <c r="H597" s="32"/>
      <c r="I597" s="41"/>
      <c r="J597" s="315"/>
      <c r="K597" s="315"/>
      <c r="L597" s="315"/>
    </row>
    <row r="598" spans="1:12" s="30" customFormat="1" x14ac:dyDescent="0.25">
      <c r="A598" s="36"/>
      <c r="B598" s="31"/>
      <c r="C598" s="31"/>
      <c r="D598" s="32"/>
      <c r="F598" s="32"/>
      <c r="G598" s="41"/>
      <c r="H598" s="32"/>
      <c r="I598" s="41"/>
      <c r="J598" s="315"/>
      <c r="K598" s="315"/>
      <c r="L598" s="315"/>
    </row>
    <row r="599" spans="1:12" s="30" customFormat="1" x14ac:dyDescent="0.25">
      <c r="A599" s="36"/>
      <c r="B599" s="31"/>
      <c r="C599" s="31"/>
      <c r="D599" s="32"/>
      <c r="F599" s="32"/>
      <c r="G599" s="41"/>
      <c r="H599" s="32"/>
      <c r="I599" s="41"/>
      <c r="J599" s="315"/>
      <c r="K599" s="315"/>
      <c r="L599" s="315"/>
    </row>
    <row r="600" spans="1:12" s="30" customFormat="1" x14ac:dyDescent="0.25">
      <c r="A600" s="36"/>
      <c r="B600" s="31"/>
      <c r="C600" s="31"/>
      <c r="D600" s="32"/>
      <c r="F600" s="32"/>
      <c r="G600" s="41"/>
      <c r="H600" s="32"/>
      <c r="I600" s="41"/>
      <c r="J600" s="315"/>
      <c r="K600" s="315"/>
      <c r="L600" s="315"/>
    </row>
    <row r="601" spans="1:12" s="30" customFormat="1" x14ac:dyDescent="0.25">
      <c r="A601" s="36"/>
      <c r="B601" s="31"/>
      <c r="C601" s="31"/>
      <c r="D601" s="32"/>
      <c r="F601" s="32"/>
      <c r="G601" s="41"/>
      <c r="H601" s="32"/>
      <c r="I601" s="41"/>
      <c r="J601" s="315"/>
      <c r="K601" s="315"/>
      <c r="L601" s="315"/>
    </row>
    <row r="602" spans="1:12" s="30" customFormat="1" x14ac:dyDescent="0.25">
      <c r="A602" s="36"/>
      <c r="B602" s="31"/>
      <c r="C602" s="31"/>
      <c r="D602" s="32"/>
      <c r="F602" s="32"/>
      <c r="G602" s="41"/>
      <c r="H602" s="32"/>
      <c r="I602" s="41"/>
      <c r="J602" s="315"/>
      <c r="K602" s="315"/>
      <c r="L602" s="315"/>
    </row>
    <row r="603" spans="1:12" s="30" customFormat="1" x14ac:dyDescent="0.25">
      <c r="A603" s="36"/>
      <c r="B603" s="31"/>
      <c r="C603" s="31"/>
      <c r="D603" s="32"/>
      <c r="F603" s="32"/>
      <c r="G603" s="41"/>
      <c r="H603" s="32"/>
      <c r="I603" s="41"/>
      <c r="J603" s="315"/>
      <c r="K603" s="315"/>
      <c r="L603" s="315"/>
    </row>
    <row r="604" spans="1:12" s="30" customFormat="1" x14ac:dyDescent="0.25">
      <c r="A604" s="36"/>
      <c r="B604" s="31"/>
      <c r="C604" s="31"/>
      <c r="D604" s="32"/>
      <c r="F604" s="32"/>
      <c r="G604" s="41"/>
      <c r="H604" s="32"/>
      <c r="I604" s="41"/>
      <c r="J604" s="315"/>
      <c r="K604" s="315"/>
      <c r="L604" s="315"/>
    </row>
    <row r="605" spans="1:12" s="30" customFormat="1" x14ac:dyDescent="0.25">
      <c r="A605" s="36"/>
      <c r="B605" s="31"/>
      <c r="C605" s="31"/>
      <c r="D605" s="32"/>
      <c r="F605" s="32"/>
      <c r="G605" s="41"/>
      <c r="H605" s="32"/>
      <c r="I605" s="41"/>
      <c r="J605" s="315"/>
      <c r="K605" s="315"/>
      <c r="L605" s="315"/>
    </row>
    <row r="606" spans="1:12" s="30" customFormat="1" x14ac:dyDescent="0.25">
      <c r="A606" s="36"/>
      <c r="B606" s="31"/>
      <c r="C606" s="31"/>
      <c r="D606" s="32"/>
      <c r="F606" s="32"/>
      <c r="G606" s="41"/>
      <c r="H606" s="32"/>
      <c r="I606" s="41"/>
      <c r="J606" s="315"/>
      <c r="K606" s="315"/>
      <c r="L606" s="315"/>
    </row>
    <row r="607" spans="1:12" s="30" customFormat="1" x14ac:dyDescent="0.25">
      <c r="A607" s="36"/>
      <c r="B607" s="31"/>
      <c r="C607" s="31"/>
      <c r="D607" s="32"/>
      <c r="F607" s="32"/>
      <c r="G607" s="41"/>
      <c r="H607" s="32"/>
      <c r="I607" s="41"/>
      <c r="J607" s="315"/>
      <c r="K607" s="315"/>
      <c r="L607" s="315"/>
    </row>
    <row r="608" spans="1:12" s="30" customFormat="1" x14ac:dyDescent="0.25">
      <c r="A608" s="36"/>
      <c r="B608" s="31"/>
      <c r="C608" s="31"/>
      <c r="D608" s="32"/>
      <c r="F608" s="32"/>
      <c r="G608" s="41"/>
      <c r="H608" s="32"/>
      <c r="I608" s="41"/>
      <c r="J608" s="315"/>
      <c r="K608" s="315"/>
      <c r="L608" s="315"/>
    </row>
    <row r="609" spans="1:12" s="30" customFormat="1" x14ac:dyDescent="0.25">
      <c r="A609" s="36"/>
      <c r="B609" s="31"/>
      <c r="C609" s="31"/>
      <c r="D609" s="32"/>
      <c r="F609" s="32"/>
      <c r="G609" s="41"/>
      <c r="H609" s="32"/>
      <c r="I609" s="41"/>
      <c r="J609" s="315"/>
      <c r="K609" s="315"/>
      <c r="L609" s="315"/>
    </row>
    <row r="610" spans="1:12" s="30" customFormat="1" x14ac:dyDescent="0.25">
      <c r="A610" s="36"/>
      <c r="B610" s="31"/>
      <c r="C610" s="31"/>
      <c r="D610" s="32"/>
      <c r="F610" s="32"/>
      <c r="G610" s="41"/>
      <c r="H610" s="32"/>
      <c r="I610" s="41"/>
      <c r="J610" s="315"/>
      <c r="K610" s="315"/>
      <c r="L610" s="315"/>
    </row>
    <row r="611" spans="1:12" s="30" customFormat="1" x14ac:dyDescent="0.25">
      <c r="A611" s="36"/>
      <c r="B611" s="31"/>
      <c r="C611" s="31"/>
      <c r="D611" s="32"/>
      <c r="F611" s="32"/>
      <c r="G611" s="41"/>
      <c r="H611" s="32"/>
      <c r="I611" s="41"/>
      <c r="J611" s="315"/>
      <c r="K611" s="315"/>
      <c r="L611" s="315"/>
    </row>
    <row r="612" spans="1:12" s="30" customFormat="1" x14ac:dyDescent="0.25">
      <c r="A612" s="36"/>
      <c r="B612" s="31"/>
      <c r="C612" s="31"/>
      <c r="D612" s="32"/>
      <c r="F612" s="32"/>
      <c r="G612" s="41"/>
      <c r="H612" s="32"/>
      <c r="I612" s="41"/>
      <c r="J612" s="315"/>
      <c r="K612" s="315"/>
      <c r="L612" s="315"/>
    </row>
    <row r="613" spans="1:12" s="30" customFormat="1" x14ac:dyDescent="0.25">
      <c r="A613" s="36"/>
      <c r="B613" s="31"/>
      <c r="C613" s="31"/>
      <c r="D613" s="32"/>
      <c r="F613" s="32"/>
      <c r="G613" s="41"/>
      <c r="H613" s="32"/>
      <c r="I613" s="41"/>
      <c r="J613" s="315"/>
      <c r="K613" s="315"/>
      <c r="L613" s="315"/>
    </row>
    <row r="614" spans="1:12" s="30" customFormat="1" x14ac:dyDescent="0.25">
      <c r="A614" s="36"/>
      <c r="B614" s="31"/>
      <c r="C614" s="31"/>
      <c r="D614" s="32"/>
      <c r="F614" s="32"/>
      <c r="G614" s="41"/>
      <c r="H614" s="32"/>
      <c r="I614" s="41"/>
      <c r="J614" s="315"/>
      <c r="K614" s="315"/>
      <c r="L614" s="315"/>
    </row>
    <row r="615" spans="1:12" s="30" customFormat="1" x14ac:dyDescent="0.25">
      <c r="A615" s="36"/>
      <c r="B615" s="31"/>
      <c r="C615" s="31"/>
      <c r="D615" s="32"/>
      <c r="F615" s="32"/>
      <c r="G615" s="41"/>
      <c r="H615" s="32"/>
      <c r="I615" s="41"/>
      <c r="J615" s="315"/>
      <c r="K615" s="315"/>
      <c r="L615" s="315"/>
    </row>
    <row r="616" spans="1:12" s="30" customFormat="1" x14ac:dyDescent="0.25">
      <c r="A616" s="36"/>
      <c r="B616" s="31"/>
      <c r="C616" s="31"/>
      <c r="D616" s="32"/>
      <c r="F616" s="32"/>
      <c r="G616" s="41"/>
      <c r="H616" s="32"/>
      <c r="I616" s="41"/>
      <c r="J616" s="315"/>
      <c r="K616" s="315"/>
      <c r="L616" s="315"/>
    </row>
    <row r="617" spans="1:12" s="30" customFormat="1" x14ac:dyDescent="0.25">
      <c r="A617" s="36"/>
      <c r="B617" s="31"/>
      <c r="C617" s="31"/>
      <c r="D617" s="32"/>
      <c r="F617" s="32"/>
      <c r="G617" s="41"/>
      <c r="H617" s="32"/>
      <c r="I617" s="41"/>
      <c r="J617" s="315"/>
      <c r="K617" s="315"/>
      <c r="L617" s="315"/>
    </row>
    <row r="618" spans="1:12" s="30" customFormat="1" x14ac:dyDescent="0.25">
      <c r="A618" s="36"/>
      <c r="B618" s="31"/>
      <c r="C618" s="31"/>
      <c r="D618" s="32"/>
      <c r="F618" s="32"/>
      <c r="G618" s="41"/>
      <c r="H618" s="32"/>
      <c r="I618" s="41"/>
      <c r="J618" s="315"/>
      <c r="K618" s="315"/>
      <c r="L618" s="315"/>
    </row>
    <row r="619" spans="1:12" s="30" customFormat="1" x14ac:dyDescent="0.25">
      <c r="A619" s="36"/>
      <c r="B619" s="31"/>
      <c r="C619" s="31"/>
      <c r="D619" s="32"/>
      <c r="F619" s="32"/>
      <c r="G619" s="41"/>
      <c r="H619" s="32"/>
      <c r="I619" s="41"/>
      <c r="J619" s="315"/>
      <c r="K619" s="315"/>
      <c r="L619" s="315"/>
    </row>
    <row r="620" spans="1:12" s="30" customFormat="1" x14ac:dyDescent="0.25">
      <c r="A620" s="36"/>
      <c r="B620" s="31"/>
      <c r="C620" s="31"/>
      <c r="D620" s="32"/>
      <c r="F620" s="32"/>
      <c r="G620" s="41"/>
      <c r="H620" s="32"/>
      <c r="I620" s="41"/>
      <c r="J620" s="315"/>
      <c r="K620" s="315"/>
      <c r="L620" s="315"/>
    </row>
    <row r="621" spans="1:12" s="30" customFormat="1" x14ac:dyDescent="0.25">
      <c r="A621" s="36"/>
      <c r="B621" s="31"/>
      <c r="C621" s="31"/>
      <c r="D621" s="32"/>
      <c r="F621" s="32"/>
      <c r="G621" s="41"/>
      <c r="H621" s="32"/>
      <c r="I621" s="41"/>
      <c r="J621" s="315"/>
      <c r="K621" s="315"/>
      <c r="L621" s="315"/>
    </row>
    <row r="622" spans="1:12" s="30" customFormat="1" x14ac:dyDescent="0.25">
      <c r="A622" s="36"/>
      <c r="B622" s="31"/>
      <c r="C622" s="31"/>
      <c r="D622" s="32"/>
      <c r="F622" s="32"/>
      <c r="G622" s="41"/>
      <c r="H622" s="32"/>
      <c r="I622" s="41"/>
      <c r="J622" s="315"/>
      <c r="K622" s="315"/>
      <c r="L622" s="315"/>
    </row>
    <row r="623" spans="1:12" s="30" customFormat="1" x14ac:dyDescent="0.25">
      <c r="A623" s="36"/>
      <c r="B623" s="31"/>
      <c r="C623" s="31"/>
      <c r="D623" s="32"/>
      <c r="F623" s="32"/>
      <c r="G623" s="41"/>
      <c r="H623" s="32"/>
      <c r="I623" s="41"/>
      <c r="J623" s="315"/>
      <c r="K623" s="315"/>
      <c r="L623" s="315"/>
    </row>
    <row r="624" spans="1:12" s="30" customFormat="1" x14ac:dyDescent="0.25">
      <c r="A624" s="36"/>
      <c r="B624" s="31"/>
      <c r="C624" s="31"/>
      <c r="D624" s="32"/>
      <c r="F624" s="32"/>
      <c r="G624" s="41"/>
      <c r="H624" s="32"/>
      <c r="I624" s="41"/>
      <c r="J624" s="315"/>
      <c r="K624" s="315"/>
      <c r="L624" s="315"/>
    </row>
    <row r="625" spans="1:12" s="30" customFormat="1" x14ac:dyDescent="0.25">
      <c r="A625" s="36"/>
      <c r="B625" s="31"/>
      <c r="C625" s="31"/>
      <c r="D625" s="32"/>
      <c r="F625" s="32"/>
      <c r="G625" s="41"/>
      <c r="H625" s="32"/>
      <c r="I625" s="41"/>
      <c r="J625" s="315"/>
      <c r="K625" s="315"/>
      <c r="L625" s="315"/>
    </row>
    <row r="626" spans="1:12" s="30" customFormat="1" x14ac:dyDescent="0.25">
      <c r="A626" s="36"/>
      <c r="B626" s="31"/>
      <c r="C626" s="31"/>
      <c r="D626" s="32"/>
      <c r="F626" s="32"/>
      <c r="G626" s="41"/>
      <c r="H626" s="32"/>
      <c r="I626" s="41"/>
      <c r="J626" s="315"/>
      <c r="K626" s="315"/>
      <c r="L626" s="315"/>
    </row>
    <row r="627" spans="1:12" s="30" customFormat="1" x14ac:dyDescent="0.25">
      <c r="A627" s="36"/>
      <c r="B627" s="31"/>
      <c r="C627" s="31"/>
      <c r="D627" s="32"/>
      <c r="F627" s="32"/>
      <c r="G627" s="41"/>
      <c r="H627" s="32"/>
      <c r="I627" s="41"/>
      <c r="J627" s="315"/>
      <c r="K627" s="315"/>
      <c r="L627" s="315"/>
    </row>
    <row r="628" spans="1:12" s="30" customFormat="1" x14ac:dyDescent="0.25">
      <c r="A628" s="36"/>
      <c r="B628" s="31"/>
      <c r="C628" s="31"/>
      <c r="D628" s="32"/>
      <c r="F628" s="32"/>
      <c r="G628" s="41"/>
      <c r="H628" s="32"/>
      <c r="I628" s="41"/>
      <c r="J628" s="315"/>
      <c r="K628" s="315"/>
      <c r="L628" s="315"/>
    </row>
    <row r="629" spans="1:12" s="30" customFormat="1" x14ac:dyDescent="0.25">
      <c r="A629" s="36"/>
      <c r="B629" s="31"/>
      <c r="C629" s="31"/>
      <c r="D629" s="32"/>
      <c r="F629" s="32"/>
      <c r="G629" s="41"/>
      <c r="H629" s="32"/>
      <c r="I629" s="41"/>
      <c r="J629" s="315"/>
      <c r="K629" s="315"/>
      <c r="L629" s="315"/>
    </row>
    <row r="630" spans="1:12" s="30" customFormat="1" x14ac:dyDescent="0.25">
      <c r="A630" s="36"/>
      <c r="B630" s="31"/>
      <c r="C630" s="31"/>
      <c r="D630" s="32"/>
      <c r="F630" s="32"/>
      <c r="G630" s="41"/>
      <c r="H630" s="32"/>
      <c r="I630" s="41"/>
      <c r="J630" s="315"/>
      <c r="K630" s="315"/>
      <c r="L630" s="315"/>
    </row>
    <row r="631" spans="1:12" s="30" customFormat="1" x14ac:dyDescent="0.25">
      <c r="A631" s="36"/>
      <c r="B631" s="31"/>
      <c r="C631" s="31"/>
      <c r="D631" s="32"/>
      <c r="F631" s="32"/>
      <c r="G631" s="41"/>
      <c r="H631" s="32"/>
      <c r="I631" s="41"/>
      <c r="J631" s="315"/>
      <c r="K631" s="315"/>
      <c r="L631" s="315"/>
    </row>
    <row r="632" spans="1:12" s="30" customFormat="1" x14ac:dyDescent="0.25">
      <c r="A632" s="36"/>
      <c r="B632" s="31"/>
      <c r="C632" s="31"/>
      <c r="D632" s="32"/>
      <c r="F632" s="32"/>
      <c r="G632" s="41"/>
      <c r="H632" s="32"/>
      <c r="I632" s="41"/>
      <c r="J632" s="315"/>
      <c r="K632" s="315"/>
      <c r="L632" s="315"/>
    </row>
    <row r="633" spans="1:12" s="30" customFormat="1" x14ac:dyDescent="0.25">
      <c r="A633" s="36"/>
      <c r="B633" s="31"/>
      <c r="C633" s="31"/>
      <c r="D633" s="32"/>
      <c r="F633" s="32"/>
      <c r="G633" s="41"/>
      <c r="H633" s="32"/>
      <c r="I633" s="41"/>
      <c r="J633" s="315"/>
      <c r="K633" s="315"/>
      <c r="L633" s="315"/>
    </row>
    <row r="634" spans="1:12" s="30" customFormat="1" x14ac:dyDescent="0.25">
      <c r="A634" s="36"/>
      <c r="B634" s="31"/>
      <c r="C634" s="31"/>
      <c r="D634" s="32"/>
      <c r="F634" s="32"/>
      <c r="G634" s="41"/>
      <c r="H634" s="32"/>
      <c r="I634" s="41"/>
      <c r="J634" s="315"/>
      <c r="K634" s="315"/>
      <c r="L634" s="315"/>
    </row>
    <row r="635" spans="1:12" s="30" customFormat="1" x14ac:dyDescent="0.25">
      <c r="A635" s="36"/>
      <c r="B635" s="31"/>
      <c r="C635" s="31"/>
      <c r="D635" s="32"/>
      <c r="F635" s="32"/>
      <c r="G635" s="41"/>
      <c r="H635" s="32"/>
      <c r="I635" s="41"/>
      <c r="J635" s="315"/>
      <c r="K635" s="315"/>
      <c r="L635" s="315"/>
    </row>
    <row r="636" spans="1:12" s="30" customFormat="1" x14ac:dyDescent="0.25">
      <c r="A636" s="36"/>
      <c r="B636" s="31"/>
      <c r="C636" s="31"/>
      <c r="D636" s="32"/>
      <c r="F636" s="32"/>
      <c r="G636" s="41"/>
      <c r="H636" s="32"/>
      <c r="I636" s="41"/>
      <c r="J636" s="315"/>
      <c r="K636" s="315"/>
      <c r="L636" s="315"/>
    </row>
    <row r="637" spans="1:12" s="30" customFormat="1" x14ac:dyDescent="0.25">
      <c r="A637" s="36"/>
      <c r="B637" s="31"/>
      <c r="C637" s="31"/>
      <c r="D637" s="32"/>
      <c r="F637" s="32"/>
      <c r="G637" s="41"/>
      <c r="H637" s="32"/>
      <c r="I637" s="41"/>
      <c r="J637" s="315"/>
      <c r="K637" s="315"/>
      <c r="L637" s="315"/>
    </row>
    <row r="638" spans="1:12" s="30" customFormat="1" x14ac:dyDescent="0.25">
      <c r="A638" s="36"/>
      <c r="B638" s="31"/>
      <c r="C638" s="31"/>
      <c r="D638" s="32"/>
      <c r="F638" s="32"/>
      <c r="G638" s="41"/>
      <c r="H638" s="32"/>
      <c r="I638" s="41"/>
      <c r="J638" s="315"/>
      <c r="K638" s="315"/>
      <c r="L638" s="315"/>
    </row>
    <row r="639" spans="1:12" s="30" customFormat="1" x14ac:dyDescent="0.25">
      <c r="A639" s="36"/>
      <c r="B639" s="31"/>
      <c r="C639" s="31"/>
      <c r="D639" s="32"/>
      <c r="F639" s="32"/>
      <c r="G639" s="41"/>
      <c r="H639" s="32"/>
      <c r="I639" s="41"/>
      <c r="J639" s="315"/>
      <c r="K639" s="315"/>
      <c r="L639" s="315"/>
    </row>
    <row r="640" spans="1:12" s="30" customFormat="1" x14ac:dyDescent="0.25">
      <c r="A640" s="36"/>
      <c r="B640" s="31"/>
      <c r="C640" s="31"/>
      <c r="D640" s="32"/>
      <c r="F640" s="32"/>
      <c r="G640" s="41"/>
      <c r="H640" s="32"/>
      <c r="I640" s="41"/>
      <c r="J640" s="315"/>
      <c r="K640" s="315"/>
      <c r="L640" s="315"/>
    </row>
    <row r="641" spans="1:12" s="30" customFormat="1" x14ac:dyDescent="0.25">
      <c r="A641" s="36"/>
      <c r="B641" s="31"/>
      <c r="C641" s="31"/>
      <c r="D641" s="32"/>
      <c r="F641" s="32"/>
      <c r="G641" s="41"/>
      <c r="H641" s="32"/>
      <c r="I641" s="41"/>
      <c r="J641" s="315"/>
      <c r="K641" s="315"/>
      <c r="L641" s="315"/>
    </row>
    <row r="642" spans="1:12" s="30" customFormat="1" x14ac:dyDescent="0.25">
      <c r="A642" s="36"/>
      <c r="B642" s="31"/>
      <c r="C642" s="31"/>
      <c r="D642" s="32"/>
      <c r="F642" s="32"/>
      <c r="G642" s="41"/>
      <c r="H642" s="32"/>
      <c r="I642" s="41"/>
      <c r="J642" s="315"/>
      <c r="K642" s="315"/>
      <c r="L642" s="315"/>
    </row>
    <row r="643" spans="1:12" s="30" customFormat="1" x14ac:dyDescent="0.25">
      <c r="A643" s="36"/>
      <c r="B643" s="31"/>
      <c r="C643" s="31"/>
      <c r="D643" s="32"/>
      <c r="F643" s="32"/>
      <c r="G643" s="41"/>
      <c r="H643" s="32"/>
      <c r="I643" s="41"/>
      <c r="J643" s="315"/>
      <c r="K643" s="315"/>
      <c r="L643" s="315"/>
    </row>
    <row r="644" spans="1:12" s="30" customFormat="1" x14ac:dyDescent="0.25">
      <c r="A644" s="36"/>
      <c r="B644" s="31"/>
      <c r="C644" s="31"/>
      <c r="D644" s="32"/>
      <c r="F644" s="32"/>
      <c r="G644" s="41"/>
      <c r="H644" s="32"/>
      <c r="I644" s="41"/>
      <c r="J644" s="315"/>
      <c r="K644" s="315"/>
      <c r="L644" s="315"/>
    </row>
    <row r="645" spans="1:12" s="30" customFormat="1" x14ac:dyDescent="0.25">
      <c r="A645" s="36"/>
      <c r="B645" s="31"/>
      <c r="C645" s="31"/>
      <c r="D645" s="32"/>
      <c r="F645" s="32"/>
      <c r="G645" s="41"/>
      <c r="H645" s="32"/>
      <c r="I645" s="41"/>
      <c r="J645" s="315"/>
      <c r="K645" s="315"/>
      <c r="L645" s="315"/>
    </row>
    <row r="646" spans="1:12" s="30" customFormat="1" x14ac:dyDescent="0.25">
      <c r="A646" s="36"/>
      <c r="B646" s="31"/>
      <c r="C646" s="31"/>
      <c r="D646" s="32"/>
      <c r="F646" s="32"/>
      <c r="G646" s="41"/>
      <c r="H646" s="32"/>
      <c r="I646" s="41"/>
      <c r="J646" s="315"/>
      <c r="K646" s="315"/>
      <c r="L646" s="315"/>
    </row>
    <row r="647" spans="1:12" s="30" customFormat="1" x14ac:dyDescent="0.25">
      <c r="A647" s="36"/>
      <c r="B647" s="31"/>
      <c r="C647" s="31"/>
      <c r="D647" s="32"/>
      <c r="F647" s="32"/>
      <c r="G647" s="41"/>
      <c r="H647" s="32"/>
      <c r="I647" s="41"/>
      <c r="J647" s="315"/>
      <c r="K647" s="315"/>
      <c r="L647" s="315"/>
    </row>
    <row r="648" spans="1:12" s="30" customFormat="1" x14ac:dyDescent="0.25">
      <c r="A648" s="36"/>
      <c r="B648" s="31"/>
      <c r="C648" s="31"/>
      <c r="D648" s="32"/>
      <c r="F648" s="32"/>
      <c r="G648" s="41"/>
      <c r="H648" s="32"/>
      <c r="I648" s="41"/>
      <c r="J648" s="315"/>
      <c r="K648" s="315"/>
      <c r="L648" s="315"/>
    </row>
    <row r="649" spans="1:12" s="30" customFormat="1" x14ac:dyDescent="0.25">
      <c r="A649" s="36"/>
      <c r="B649" s="31"/>
      <c r="C649" s="31"/>
      <c r="D649" s="32"/>
      <c r="F649" s="32"/>
      <c r="G649" s="41"/>
      <c r="H649" s="32"/>
      <c r="I649" s="41"/>
      <c r="J649" s="315"/>
      <c r="K649" s="315"/>
      <c r="L649" s="315"/>
    </row>
    <row r="650" spans="1:12" s="30" customFormat="1" x14ac:dyDescent="0.25">
      <c r="A650" s="36"/>
      <c r="B650" s="31"/>
      <c r="C650" s="31"/>
      <c r="D650" s="32"/>
      <c r="F650" s="32"/>
      <c r="G650" s="41"/>
      <c r="H650" s="32"/>
      <c r="I650" s="41"/>
      <c r="J650" s="315"/>
      <c r="K650" s="315"/>
      <c r="L650" s="315"/>
    </row>
    <row r="651" spans="1:12" s="30" customFormat="1" x14ac:dyDescent="0.25">
      <c r="A651" s="36"/>
      <c r="B651" s="31"/>
      <c r="C651" s="31"/>
      <c r="D651" s="32"/>
      <c r="F651" s="32"/>
      <c r="G651" s="41"/>
      <c r="H651" s="32"/>
      <c r="I651" s="41"/>
      <c r="J651" s="315"/>
      <c r="K651" s="315"/>
      <c r="L651" s="315"/>
    </row>
    <row r="652" spans="1:12" s="30" customFormat="1" x14ac:dyDescent="0.25">
      <c r="A652" s="36"/>
      <c r="B652" s="31"/>
      <c r="C652" s="31"/>
      <c r="D652" s="32"/>
      <c r="F652" s="32"/>
      <c r="G652" s="41"/>
      <c r="H652" s="32"/>
      <c r="I652" s="41"/>
      <c r="J652" s="315"/>
      <c r="K652" s="315"/>
      <c r="L652" s="315"/>
    </row>
    <row r="653" spans="1:12" s="30" customFormat="1" x14ac:dyDescent="0.25">
      <c r="A653" s="36"/>
      <c r="B653" s="31"/>
      <c r="C653" s="31"/>
      <c r="D653" s="32"/>
      <c r="F653" s="32"/>
      <c r="G653" s="41"/>
      <c r="H653" s="32"/>
      <c r="I653" s="41"/>
      <c r="J653" s="315"/>
      <c r="K653" s="315"/>
      <c r="L653" s="315"/>
    </row>
    <row r="654" spans="1:12" s="30" customFormat="1" x14ac:dyDescent="0.25">
      <c r="A654" s="36"/>
      <c r="B654" s="31"/>
      <c r="C654" s="31"/>
      <c r="D654" s="32"/>
      <c r="F654" s="32"/>
      <c r="G654" s="41"/>
      <c r="H654" s="32"/>
      <c r="I654" s="41"/>
      <c r="J654" s="315"/>
      <c r="K654" s="315"/>
      <c r="L654" s="315"/>
    </row>
    <row r="655" spans="1:12" s="30" customFormat="1" x14ac:dyDescent="0.25">
      <c r="A655" s="36"/>
      <c r="B655" s="31"/>
      <c r="C655" s="31"/>
      <c r="D655" s="32"/>
      <c r="F655" s="32"/>
      <c r="G655" s="41"/>
      <c r="H655" s="32"/>
      <c r="I655" s="41"/>
      <c r="J655" s="315"/>
      <c r="K655" s="315"/>
      <c r="L655" s="315"/>
    </row>
    <row r="656" spans="1:12" s="30" customFormat="1" x14ac:dyDescent="0.25">
      <c r="A656" s="36"/>
      <c r="B656" s="31"/>
      <c r="C656" s="31"/>
      <c r="D656" s="32"/>
      <c r="F656" s="32"/>
      <c r="G656" s="41"/>
      <c r="H656" s="32"/>
      <c r="I656" s="41"/>
      <c r="J656" s="315"/>
      <c r="K656" s="315"/>
      <c r="L656" s="315"/>
    </row>
    <row r="657" spans="1:12" s="30" customFormat="1" x14ac:dyDescent="0.25">
      <c r="A657" s="36"/>
      <c r="B657" s="31"/>
      <c r="C657" s="31"/>
      <c r="D657" s="32"/>
      <c r="F657" s="32"/>
      <c r="G657" s="41"/>
      <c r="H657" s="32"/>
      <c r="I657" s="41"/>
      <c r="J657" s="315"/>
      <c r="K657" s="315"/>
      <c r="L657" s="315"/>
    </row>
    <row r="658" spans="1:12" s="30" customFormat="1" x14ac:dyDescent="0.25">
      <c r="A658" s="36"/>
      <c r="B658" s="31"/>
      <c r="C658" s="31"/>
      <c r="D658" s="32"/>
      <c r="F658" s="32"/>
      <c r="G658" s="41"/>
      <c r="H658" s="32"/>
      <c r="I658" s="41"/>
      <c r="J658" s="315"/>
      <c r="K658" s="315"/>
      <c r="L658" s="315"/>
    </row>
    <row r="659" spans="1:12" s="30" customFormat="1" x14ac:dyDescent="0.25">
      <c r="A659" s="36"/>
      <c r="B659" s="31"/>
      <c r="C659" s="31"/>
      <c r="D659" s="32"/>
      <c r="F659" s="32"/>
      <c r="G659" s="41"/>
      <c r="H659" s="32"/>
      <c r="I659" s="41"/>
      <c r="J659" s="315"/>
      <c r="K659" s="315"/>
      <c r="L659" s="315"/>
    </row>
    <row r="660" spans="1:12" s="30" customFormat="1" x14ac:dyDescent="0.25">
      <c r="A660" s="36"/>
      <c r="B660" s="31"/>
      <c r="C660" s="31"/>
      <c r="D660" s="32"/>
      <c r="F660" s="32"/>
      <c r="G660" s="41"/>
      <c r="H660" s="32"/>
      <c r="I660" s="41"/>
      <c r="J660" s="315"/>
      <c r="K660" s="315"/>
      <c r="L660" s="315"/>
    </row>
    <row r="661" spans="1:12" s="30" customFormat="1" x14ac:dyDescent="0.25">
      <c r="A661" s="36"/>
      <c r="B661" s="31"/>
      <c r="C661" s="31"/>
      <c r="D661" s="32"/>
      <c r="F661" s="32"/>
      <c r="G661" s="41"/>
      <c r="H661" s="32"/>
      <c r="I661" s="41"/>
      <c r="J661" s="315"/>
      <c r="K661" s="315"/>
      <c r="L661" s="315"/>
    </row>
    <row r="662" spans="1:12" s="30" customFormat="1" x14ac:dyDescent="0.25">
      <c r="A662" s="36"/>
      <c r="B662" s="31"/>
      <c r="C662" s="31"/>
      <c r="D662" s="32"/>
      <c r="F662" s="32"/>
      <c r="G662" s="41"/>
      <c r="H662" s="32"/>
      <c r="I662" s="41"/>
      <c r="J662" s="315"/>
      <c r="K662" s="315"/>
      <c r="L662" s="315"/>
    </row>
    <row r="663" spans="1:12" s="30" customFormat="1" x14ac:dyDescent="0.25">
      <c r="A663" s="36"/>
      <c r="B663" s="31"/>
      <c r="C663" s="31"/>
      <c r="D663" s="32"/>
      <c r="F663" s="32"/>
      <c r="G663" s="41"/>
      <c r="H663" s="32"/>
      <c r="I663" s="41"/>
      <c r="J663" s="315"/>
      <c r="K663" s="315"/>
      <c r="L663" s="315"/>
    </row>
    <row r="664" spans="1:12" s="30" customFormat="1" x14ac:dyDescent="0.25">
      <c r="A664" s="36"/>
      <c r="B664" s="31"/>
      <c r="C664" s="31"/>
      <c r="D664" s="32"/>
      <c r="F664" s="32"/>
      <c r="G664" s="41"/>
      <c r="H664" s="32"/>
      <c r="I664" s="41"/>
      <c r="J664" s="315"/>
      <c r="K664" s="315"/>
      <c r="L664" s="315"/>
    </row>
    <row r="665" spans="1:12" s="30" customFormat="1" x14ac:dyDescent="0.25">
      <c r="A665" s="36"/>
      <c r="B665" s="31"/>
      <c r="C665" s="31"/>
      <c r="D665" s="32"/>
      <c r="F665" s="32"/>
      <c r="G665" s="41"/>
      <c r="H665" s="32"/>
      <c r="I665" s="41"/>
      <c r="J665" s="315"/>
      <c r="K665" s="315"/>
      <c r="L665" s="315"/>
    </row>
    <row r="666" spans="1:12" s="30" customFormat="1" x14ac:dyDescent="0.25">
      <c r="A666" s="36"/>
      <c r="B666" s="31"/>
      <c r="C666" s="31"/>
      <c r="D666" s="32"/>
      <c r="F666" s="32"/>
      <c r="G666" s="41"/>
      <c r="H666" s="32"/>
      <c r="I666" s="41"/>
      <c r="J666" s="315"/>
      <c r="K666" s="315"/>
      <c r="L666" s="315"/>
    </row>
    <row r="667" spans="1:12" s="30" customFormat="1" x14ac:dyDescent="0.25">
      <c r="A667" s="36"/>
      <c r="B667" s="31"/>
      <c r="C667" s="31"/>
      <c r="D667" s="32"/>
      <c r="F667" s="32"/>
      <c r="G667" s="41"/>
      <c r="H667" s="32"/>
      <c r="I667" s="41"/>
      <c r="J667" s="315"/>
      <c r="K667" s="315"/>
      <c r="L667" s="315"/>
    </row>
    <row r="668" spans="1:12" s="30" customFormat="1" x14ac:dyDescent="0.25">
      <c r="A668" s="36"/>
      <c r="B668" s="31"/>
      <c r="C668" s="31"/>
      <c r="D668" s="32"/>
      <c r="F668" s="32"/>
      <c r="G668" s="41"/>
      <c r="H668" s="32"/>
      <c r="I668" s="41"/>
      <c r="J668" s="315"/>
      <c r="K668" s="315"/>
      <c r="L668" s="315"/>
    </row>
    <row r="669" spans="1:12" s="30" customFormat="1" x14ac:dyDescent="0.25">
      <c r="A669" s="36"/>
      <c r="B669" s="31"/>
      <c r="C669" s="31"/>
      <c r="D669" s="32"/>
      <c r="F669" s="32"/>
      <c r="G669" s="41"/>
      <c r="H669" s="32"/>
      <c r="I669" s="41"/>
      <c r="J669" s="315"/>
      <c r="K669" s="315"/>
      <c r="L669" s="315"/>
    </row>
    <row r="670" spans="1:12" s="30" customFormat="1" x14ac:dyDescent="0.25">
      <c r="A670" s="36"/>
      <c r="B670" s="31"/>
      <c r="C670" s="31"/>
      <c r="D670" s="32"/>
      <c r="F670" s="32"/>
      <c r="G670" s="41"/>
      <c r="H670" s="32"/>
      <c r="I670" s="41"/>
      <c r="J670" s="315"/>
      <c r="K670" s="315"/>
      <c r="L670" s="315"/>
    </row>
    <row r="671" spans="1:12" s="30" customFormat="1" x14ac:dyDescent="0.25">
      <c r="A671" s="36"/>
      <c r="B671" s="31"/>
      <c r="C671" s="31"/>
      <c r="D671" s="32"/>
      <c r="F671" s="32"/>
      <c r="G671" s="41"/>
      <c r="H671" s="32"/>
      <c r="I671" s="41"/>
      <c r="J671" s="315"/>
      <c r="K671" s="315"/>
      <c r="L671" s="315"/>
    </row>
    <row r="672" spans="1:12" s="30" customFormat="1" x14ac:dyDescent="0.25">
      <c r="A672" s="36"/>
      <c r="B672" s="31"/>
      <c r="C672" s="31"/>
      <c r="D672" s="32"/>
      <c r="F672" s="32"/>
      <c r="G672" s="41"/>
      <c r="H672" s="32"/>
      <c r="I672" s="41"/>
      <c r="J672" s="315"/>
      <c r="K672" s="315"/>
      <c r="L672" s="315"/>
    </row>
    <row r="673" spans="1:12" s="30" customFormat="1" x14ac:dyDescent="0.25">
      <c r="A673" s="36"/>
      <c r="B673" s="31"/>
      <c r="C673" s="31"/>
      <c r="D673" s="32"/>
      <c r="F673" s="32"/>
      <c r="G673" s="41"/>
      <c r="H673" s="32"/>
      <c r="I673" s="41"/>
      <c r="J673" s="315"/>
      <c r="K673" s="315"/>
      <c r="L673" s="315"/>
    </row>
    <row r="674" spans="1:12" s="30" customFormat="1" x14ac:dyDescent="0.25">
      <c r="A674" s="36"/>
      <c r="B674" s="31"/>
      <c r="C674" s="31"/>
      <c r="D674" s="32"/>
      <c r="F674" s="32"/>
      <c r="G674" s="41"/>
      <c r="H674" s="32"/>
      <c r="I674" s="41"/>
      <c r="J674" s="315"/>
      <c r="K674" s="315"/>
      <c r="L674" s="315"/>
    </row>
    <row r="675" spans="1:12" s="30" customFormat="1" x14ac:dyDescent="0.25">
      <c r="A675" s="36"/>
      <c r="B675" s="31"/>
      <c r="C675" s="31"/>
      <c r="D675" s="32"/>
      <c r="F675" s="32"/>
      <c r="G675" s="41"/>
      <c r="H675" s="32"/>
      <c r="I675" s="41"/>
      <c r="J675" s="315"/>
      <c r="K675" s="315"/>
      <c r="L675" s="315"/>
    </row>
    <row r="676" spans="1:12" s="30" customFormat="1" x14ac:dyDescent="0.25">
      <c r="A676" s="36"/>
      <c r="B676" s="31"/>
      <c r="C676" s="31"/>
      <c r="D676" s="32"/>
      <c r="F676" s="32"/>
      <c r="G676" s="41"/>
      <c r="H676" s="32"/>
      <c r="I676" s="41"/>
      <c r="J676" s="315"/>
      <c r="K676" s="315"/>
      <c r="L676" s="315"/>
    </row>
    <row r="677" spans="1:12" s="30" customFormat="1" x14ac:dyDescent="0.25">
      <c r="A677" s="36"/>
      <c r="B677" s="31"/>
      <c r="C677" s="31"/>
      <c r="D677" s="32"/>
      <c r="F677" s="32"/>
      <c r="G677" s="41"/>
      <c r="H677" s="32"/>
      <c r="I677" s="41"/>
      <c r="J677" s="315"/>
      <c r="K677" s="315"/>
      <c r="L677" s="315"/>
    </row>
    <row r="678" spans="1:12" s="30" customFormat="1" x14ac:dyDescent="0.25">
      <c r="A678" s="36"/>
      <c r="B678" s="31"/>
      <c r="C678" s="31"/>
      <c r="D678" s="32"/>
      <c r="F678" s="32"/>
      <c r="G678" s="41"/>
      <c r="H678" s="32"/>
      <c r="I678" s="41"/>
      <c r="J678" s="315"/>
      <c r="K678" s="315"/>
      <c r="L678" s="315"/>
    </row>
    <row r="679" spans="1:12" s="30" customFormat="1" x14ac:dyDescent="0.25">
      <c r="A679" s="36"/>
      <c r="B679" s="31"/>
      <c r="C679" s="31"/>
      <c r="D679" s="32"/>
      <c r="F679" s="32"/>
      <c r="G679" s="41"/>
      <c r="H679" s="32"/>
      <c r="I679" s="41"/>
      <c r="J679" s="315"/>
      <c r="K679" s="315"/>
      <c r="L679" s="315"/>
    </row>
    <row r="680" spans="1:12" s="30" customFormat="1" x14ac:dyDescent="0.25">
      <c r="A680" s="36"/>
      <c r="B680" s="31"/>
      <c r="C680" s="31"/>
      <c r="D680" s="32"/>
      <c r="F680" s="32"/>
      <c r="G680" s="41"/>
      <c r="H680" s="32"/>
      <c r="I680" s="41"/>
      <c r="J680" s="315"/>
      <c r="K680" s="315"/>
      <c r="L680" s="315"/>
    </row>
    <row r="681" spans="1:12" s="30" customFormat="1" x14ac:dyDescent="0.25">
      <c r="A681" s="36"/>
      <c r="B681" s="31"/>
      <c r="C681" s="31"/>
      <c r="D681" s="32"/>
      <c r="F681" s="32"/>
      <c r="G681" s="41"/>
      <c r="H681" s="32"/>
      <c r="I681" s="41"/>
      <c r="J681" s="315"/>
      <c r="K681" s="315"/>
      <c r="L681" s="315"/>
    </row>
    <row r="682" spans="1:12" s="30" customFormat="1" x14ac:dyDescent="0.25">
      <c r="A682" s="36"/>
      <c r="B682" s="31"/>
      <c r="C682" s="31"/>
      <c r="D682" s="32"/>
      <c r="F682" s="32"/>
      <c r="G682" s="41"/>
      <c r="H682" s="32"/>
      <c r="I682" s="41"/>
      <c r="J682" s="315"/>
      <c r="K682" s="315"/>
      <c r="L682" s="315"/>
    </row>
    <row r="683" spans="1:12" s="30" customFormat="1" x14ac:dyDescent="0.25">
      <c r="A683" s="36"/>
      <c r="B683" s="31"/>
      <c r="C683" s="31"/>
      <c r="D683" s="32"/>
      <c r="F683" s="32"/>
      <c r="G683" s="41"/>
      <c r="H683" s="32"/>
      <c r="I683" s="41"/>
      <c r="J683" s="315"/>
      <c r="K683" s="315"/>
      <c r="L683" s="315"/>
    </row>
    <row r="684" spans="1:12" s="30" customFormat="1" x14ac:dyDescent="0.25">
      <c r="A684" s="36"/>
      <c r="B684" s="31"/>
      <c r="C684" s="31"/>
      <c r="D684" s="32"/>
      <c r="F684" s="32"/>
      <c r="G684" s="41"/>
      <c r="H684" s="32"/>
      <c r="I684" s="41"/>
      <c r="J684" s="315"/>
      <c r="K684" s="315"/>
      <c r="L684" s="315"/>
    </row>
    <row r="685" spans="1:12" s="30" customFormat="1" x14ac:dyDescent="0.25">
      <c r="A685" s="36"/>
      <c r="B685" s="31"/>
      <c r="C685" s="31"/>
      <c r="D685" s="32"/>
      <c r="F685" s="32"/>
      <c r="G685" s="41"/>
      <c r="H685" s="32"/>
      <c r="I685" s="41"/>
      <c r="J685" s="315"/>
      <c r="K685" s="315"/>
      <c r="L685" s="315"/>
    </row>
    <row r="686" spans="1:12" s="30" customFormat="1" x14ac:dyDescent="0.25">
      <c r="A686" s="36"/>
      <c r="B686" s="31"/>
      <c r="C686" s="31"/>
      <c r="D686" s="32"/>
      <c r="F686" s="32"/>
      <c r="G686" s="41"/>
      <c r="H686" s="32"/>
      <c r="I686" s="41"/>
      <c r="J686" s="315"/>
      <c r="K686" s="315"/>
      <c r="L686" s="315"/>
    </row>
    <row r="687" spans="1:12" s="30" customFormat="1" x14ac:dyDescent="0.25">
      <c r="A687" s="36"/>
      <c r="B687" s="31"/>
      <c r="C687" s="31"/>
      <c r="D687" s="32"/>
      <c r="F687" s="32"/>
      <c r="G687" s="41"/>
      <c r="H687" s="32"/>
      <c r="I687" s="41"/>
      <c r="J687" s="315"/>
      <c r="K687" s="315"/>
      <c r="L687" s="315"/>
    </row>
    <row r="688" spans="1:12" s="30" customFormat="1" x14ac:dyDescent="0.25">
      <c r="A688" s="36"/>
      <c r="B688" s="31"/>
      <c r="C688" s="31"/>
      <c r="D688" s="32"/>
      <c r="F688" s="32"/>
      <c r="G688" s="41"/>
      <c r="H688" s="32"/>
      <c r="I688" s="41"/>
      <c r="J688" s="315"/>
      <c r="K688" s="315"/>
      <c r="L688" s="315"/>
    </row>
    <row r="689" spans="1:12" s="30" customFormat="1" x14ac:dyDescent="0.25">
      <c r="A689" s="36"/>
      <c r="B689" s="31"/>
      <c r="C689" s="31"/>
      <c r="D689" s="32"/>
      <c r="F689" s="32"/>
      <c r="G689" s="41"/>
      <c r="H689" s="32"/>
      <c r="I689" s="41"/>
      <c r="J689" s="315"/>
      <c r="K689" s="315"/>
      <c r="L689" s="315"/>
    </row>
    <row r="690" spans="1:12" s="30" customFormat="1" x14ac:dyDescent="0.25">
      <c r="A690" s="36"/>
      <c r="B690" s="31"/>
      <c r="C690" s="31"/>
      <c r="D690" s="32"/>
      <c r="F690" s="32"/>
      <c r="G690" s="41"/>
      <c r="H690" s="32"/>
      <c r="I690" s="41"/>
      <c r="J690" s="315"/>
      <c r="K690" s="315"/>
      <c r="L690" s="315"/>
    </row>
    <row r="691" spans="1:12" s="30" customFormat="1" x14ac:dyDescent="0.25">
      <c r="A691" s="36"/>
      <c r="B691" s="31"/>
      <c r="C691" s="31"/>
      <c r="D691" s="32"/>
      <c r="F691" s="32"/>
      <c r="G691" s="41"/>
      <c r="H691" s="32"/>
      <c r="I691" s="41"/>
      <c r="J691" s="315"/>
      <c r="K691" s="315"/>
      <c r="L691" s="315"/>
    </row>
    <row r="692" spans="1:12" s="30" customFormat="1" x14ac:dyDescent="0.25">
      <c r="A692" s="36"/>
      <c r="B692" s="31"/>
      <c r="C692" s="31"/>
      <c r="D692" s="32"/>
      <c r="F692" s="32"/>
      <c r="G692" s="41"/>
      <c r="H692" s="32"/>
      <c r="I692" s="41"/>
      <c r="J692" s="315"/>
      <c r="K692" s="315"/>
      <c r="L692" s="315"/>
    </row>
    <row r="693" spans="1:12" s="30" customFormat="1" x14ac:dyDescent="0.25">
      <c r="A693" s="36"/>
      <c r="B693" s="31"/>
      <c r="C693" s="31"/>
      <c r="D693" s="32"/>
      <c r="F693" s="32"/>
      <c r="G693" s="41"/>
      <c r="H693" s="32"/>
      <c r="I693" s="41"/>
      <c r="J693" s="315"/>
      <c r="K693" s="315"/>
      <c r="L693" s="315"/>
    </row>
    <row r="694" spans="1:12" s="30" customFormat="1" x14ac:dyDescent="0.25">
      <c r="A694" s="36"/>
      <c r="B694" s="31"/>
      <c r="C694" s="31"/>
      <c r="D694" s="32"/>
      <c r="F694" s="32"/>
      <c r="G694" s="41"/>
      <c r="H694" s="32"/>
      <c r="I694" s="41"/>
      <c r="J694" s="315"/>
      <c r="K694" s="315"/>
      <c r="L694" s="315"/>
    </row>
    <row r="695" spans="1:12" s="30" customFormat="1" x14ac:dyDescent="0.25">
      <c r="A695" s="36"/>
      <c r="B695" s="31"/>
      <c r="C695" s="31"/>
      <c r="D695" s="32"/>
      <c r="F695" s="32"/>
      <c r="G695" s="41"/>
      <c r="H695" s="32"/>
      <c r="I695" s="41"/>
      <c r="J695" s="315"/>
      <c r="K695" s="315"/>
      <c r="L695" s="315"/>
    </row>
    <row r="696" spans="1:12" s="30" customFormat="1" x14ac:dyDescent="0.25">
      <c r="A696" s="36"/>
      <c r="B696" s="31"/>
      <c r="C696" s="31"/>
      <c r="D696" s="32"/>
      <c r="F696" s="32"/>
      <c r="G696" s="41"/>
      <c r="H696" s="32"/>
      <c r="I696" s="41"/>
      <c r="J696" s="315"/>
      <c r="K696" s="315"/>
      <c r="L696" s="315"/>
    </row>
    <row r="697" spans="1:12" s="30" customFormat="1" x14ac:dyDescent="0.25">
      <c r="A697" s="36"/>
      <c r="B697" s="31"/>
      <c r="C697" s="31"/>
      <c r="D697" s="32"/>
      <c r="F697" s="32"/>
      <c r="G697" s="41"/>
      <c r="H697" s="32"/>
      <c r="I697" s="41"/>
      <c r="J697" s="315"/>
      <c r="K697" s="315"/>
      <c r="L697" s="315"/>
    </row>
    <row r="698" spans="1:12" s="30" customFormat="1" x14ac:dyDescent="0.25">
      <c r="A698" s="36"/>
      <c r="B698" s="31"/>
      <c r="C698" s="31"/>
      <c r="D698" s="32"/>
      <c r="F698" s="32"/>
      <c r="G698" s="41"/>
      <c r="H698" s="32"/>
      <c r="I698" s="41"/>
      <c r="J698" s="315"/>
      <c r="K698" s="315"/>
      <c r="L698" s="315"/>
    </row>
    <row r="699" spans="1:12" s="30" customFormat="1" x14ac:dyDescent="0.25">
      <c r="A699" s="36"/>
      <c r="B699" s="31"/>
      <c r="C699" s="31"/>
      <c r="D699" s="32"/>
      <c r="F699" s="32"/>
      <c r="G699" s="41"/>
      <c r="H699" s="32"/>
      <c r="I699" s="41"/>
      <c r="J699" s="315"/>
      <c r="K699" s="315"/>
      <c r="L699" s="315"/>
    </row>
    <row r="700" spans="1:12" s="30" customFormat="1" x14ac:dyDescent="0.25">
      <c r="A700" s="36"/>
      <c r="B700" s="31"/>
      <c r="C700" s="31"/>
      <c r="D700" s="32"/>
      <c r="F700" s="32"/>
      <c r="G700" s="41"/>
      <c r="H700" s="32"/>
      <c r="I700" s="41"/>
      <c r="J700" s="315"/>
      <c r="K700" s="315"/>
      <c r="L700" s="315"/>
    </row>
    <row r="701" spans="1:12" s="30" customFormat="1" x14ac:dyDescent="0.25">
      <c r="A701" s="36"/>
      <c r="B701" s="31"/>
      <c r="C701" s="31"/>
      <c r="D701" s="32"/>
      <c r="F701" s="32"/>
      <c r="G701" s="41"/>
      <c r="H701" s="32"/>
      <c r="I701" s="41"/>
      <c r="J701" s="315"/>
      <c r="K701" s="315"/>
      <c r="L701" s="315"/>
    </row>
    <row r="702" spans="1:12" s="30" customFormat="1" x14ac:dyDescent="0.25">
      <c r="A702" s="36"/>
      <c r="B702" s="31"/>
      <c r="C702" s="31"/>
      <c r="D702" s="32"/>
      <c r="F702" s="32"/>
      <c r="G702" s="41"/>
      <c r="H702" s="32"/>
      <c r="I702" s="41"/>
      <c r="J702" s="315"/>
      <c r="K702" s="315"/>
      <c r="L702" s="315"/>
    </row>
    <row r="703" spans="1:12" s="30" customFormat="1" x14ac:dyDescent="0.25">
      <c r="A703" s="36"/>
      <c r="B703" s="31"/>
      <c r="C703" s="31"/>
      <c r="D703" s="32"/>
      <c r="F703" s="32"/>
      <c r="G703" s="41"/>
      <c r="H703" s="32"/>
      <c r="I703" s="41"/>
      <c r="J703" s="315"/>
      <c r="K703" s="315"/>
      <c r="L703" s="315"/>
    </row>
    <row r="704" spans="1:12" s="30" customFormat="1" x14ac:dyDescent="0.25">
      <c r="A704" s="36"/>
      <c r="B704" s="31"/>
      <c r="C704" s="31"/>
      <c r="D704" s="32"/>
      <c r="F704" s="32"/>
      <c r="G704" s="41"/>
      <c r="H704" s="32"/>
      <c r="I704" s="41"/>
      <c r="J704" s="315"/>
      <c r="K704" s="315"/>
      <c r="L704" s="315"/>
    </row>
    <row r="705" spans="1:12" s="30" customFormat="1" x14ac:dyDescent="0.25">
      <c r="A705" s="36"/>
      <c r="B705" s="31"/>
      <c r="C705" s="31"/>
      <c r="D705" s="32"/>
      <c r="F705" s="32"/>
      <c r="G705" s="41"/>
      <c r="H705" s="32"/>
      <c r="I705" s="41"/>
      <c r="J705" s="315"/>
      <c r="K705" s="315"/>
      <c r="L705" s="315"/>
    </row>
    <row r="706" spans="1:12" s="30" customFormat="1" x14ac:dyDescent="0.25">
      <c r="A706" s="36"/>
      <c r="B706" s="31"/>
      <c r="C706" s="31"/>
      <c r="D706" s="32"/>
      <c r="F706" s="32"/>
      <c r="G706" s="41"/>
      <c r="H706" s="32"/>
      <c r="I706" s="41"/>
      <c r="J706" s="315"/>
      <c r="K706" s="315"/>
      <c r="L706" s="315"/>
    </row>
    <row r="707" spans="1:12" s="30" customFormat="1" x14ac:dyDescent="0.25">
      <c r="A707" s="36"/>
      <c r="B707" s="31"/>
      <c r="C707" s="31"/>
      <c r="D707" s="32"/>
      <c r="F707" s="32"/>
      <c r="G707" s="41"/>
      <c r="H707" s="32"/>
      <c r="I707" s="41"/>
      <c r="J707" s="315"/>
      <c r="K707" s="315"/>
      <c r="L707" s="315"/>
    </row>
    <row r="708" spans="1:12" s="30" customFormat="1" x14ac:dyDescent="0.25">
      <c r="A708" s="36"/>
      <c r="B708" s="31"/>
      <c r="C708" s="31"/>
      <c r="D708" s="32"/>
      <c r="F708" s="32"/>
      <c r="G708" s="41"/>
      <c r="H708" s="32"/>
      <c r="I708" s="41"/>
      <c r="J708" s="315"/>
      <c r="K708" s="315"/>
      <c r="L708" s="315"/>
    </row>
    <row r="709" spans="1:12" s="30" customFormat="1" x14ac:dyDescent="0.25">
      <c r="A709" s="36"/>
      <c r="B709" s="31"/>
      <c r="C709" s="31"/>
      <c r="D709" s="32"/>
      <c r="F709" s="32"/>
      <c r="G709" s="41"/>
      <c r="H709" s="32"/>
      <c r="I709" s="41"/>
      <c r="J709" s="315"/>
      <c r="K709" s="315"/>
      <c r="L709" s="315"/>
    </row>
    <row r="710" spans="1:12" s="30" customFormat="1" x14ac:dyDescent="0.25">
      <c r="A710" s="36"/>
      <c r="B710" s="31"/>
      <c r="C710" s="31"/>
      <c r="D710" s="32"/>
      <c r="F710" s="32"/>
      <c r="G710" s="41"/>
      <c r="H710" s="32"/>
      <c r="I710" s="41"/>
      <c r="J710" s="315"/>
      <c r="K710" s="315"/>
      <c r="L710" s="315"/>
    </row>
    <row r="711" spans="1:12" s="30" customFormat="1" x14ac:dyDescent="0.25">
      <c r="A711" s="36"/>
      <c r="B711" s="31"/>
      <c r="C711" s="31"/>
      <c r="D711" s="32"/>
      <c r="F711" s="32"/>
      <c r="G711" s="41"/>
      <c r="H711" s="32"/>
      <c r="I711" s="41"/>
      <c r="J711" s="315"/>
      <c r="K711" s="315"/>
      <c r="L711" s="315"/>
    </row>
    <row r="712" spans="1:12" s="30" customFormat="1" x14ac:dyDescent="0.25">
      <c r="A712" s="36"/>
      <c r="B712" s="31"/>
      <c r="C712" s="31"/>
      <c r="D712" s="32"/>
      <c r="F712" s="32"/>
      <c r="G712" s="41"/>
      <c r="H712" s="32"/>
      <c r="I712" s="41"/>
      <c r="J712" s="315"/>
      <c r="K712" s="315"/>
      <c r="L712" s="315"/>
    </row>
    <row r="713" spans="1:12" s="30" customFormat="1" x14ac:dyDescent="0.25">
      <c r="A713" s="36"/>
      <c r="B713" s="31"/>
      <c r="C713" s="31"/>
      <c r="D713" s="32"/>
      <c r="F713" s="32"/>
      <c r="G713" s="41"/>
      <c r="H713" s="32"/>
      <c r="I713" s="41"/>
      <c r="J713" s="315"/>
      <c r="K713" s="315"/>
      <c r="L713" s="315"/>
    </row>
    <row r="714" spans="1:12" s="30" customFormat="1" x14ac:dyDescent="0.25">
      <c r="A714" s="36"/>
      <c r="B714" s="31"/>
      <c r="C714" s="31"/>
      <c r="D714" s="32"/>
      <c r="F714" s="32"/>
      <c r="G714" s="41"/>
      <c r="H714" s="32"/>
      <c r="I714" s="41"/>
      <c r="J714" s="315"/>
      <c r="K714" s="315"/>
      <c r="L714" s="315"/>
    </row>
    <row r="715" spans="1:12" s="30" customFormat="1" x14ac:dyDescent="0.25">
      <c r="A715" s="36"/>
      <c r="B715" s="31"/>
      <c r="C715" s="31"/>
      <c r="D715" s="32"/>
      <c r="F715" s="32"/>
      <c r="G715" s="41"/>
      <c r="H715" s="32"/>
      <c r="I715" s="41"/>
      <c r="J715" s="315"/>
      <c r="K715" s="315"/>
      <c r="L715" s="315"/>
    </row>
    <row r="716" spans="1:12" s="30" customFormat="1" x14ac:dyDescent="0.25">
      <c r="A716" s="36"/>
      <c r="B716" s="31"/>
      <c r="C716" s="31"/>
      <c r="D716" s="32"/>
      <c r="F716" s="32"/>
      <c r="G716" s="41"/>
      <c r="H716" s="32"/>
      <c r="I716" s="41"/>
      <c r="J716" s="315"/>
      <c r="K716" s="315"/>
      <c r="L716" s="315"/>
    </row>
    <row r="717" spans="1:12" s="30" customFormat="1" x14ac:dyDescent="0.25">
      <c r="A717" s="36"/>
      <c r="B717" s="31"/>
      <c r="C717" s="31"/>
      <c r="D717" s="32"/>
      <c r="F717" s="32"/>
      <c r="G717" s="41"/>
      <c r="H717" s="32"/>
      <c r="I717" s="41"/>
      <c r="J717" s="315"/>
      <c r="K717" s="315"/>
      <c r="L717" s="315"/>
    </row>
    <row r="718" spans="1:12" s="30" customFormat="1" x14ac:dyDescent="0.25">
      <c r="A718" s="36"/>
      <c r="B718" s="31"/>
      <c r="C718" s="31"/>
      <c r="D718" s="32"/>
      <c r="F718" s="32"/>
      <c r="G718" s="41"/>
      <c r="H718" s="32"/>
      <c r="I718" s="41"/>
      <c r="J718" s="315"/>
      <c r="K718" s="315"/>
      <c r="L718" s="315"/>
    </row>
    <row r="719" spans="1:12" s="30" customFormat="1" x14ac:dyDescent="0.25">
      <c r="A719" s="36"/>
      <c r="B719" s="31"/>
      <c r="C719" s="31"/>
      <c r="D719" s="32"/>
      <c r="F719" s="32"/>
      <c r="G719" s="41"/>
      <c r="H719" s="32"/>
      <c r="I719" s="41"/>
      <c r="J719" s="315"/>
      <c r="K719" s="315"/>
      <c r="L719" s="315"/>
    </row>
    <row r="720" spans="1:12" s="30" customFormat="1" x14ac:dyDescent="0.25">
      <c r="A720" s="36"/>
      <c r="B720" s="31"/>
      <c r="C720" s="31"/>
      <c r="D720" s="32"/>
      <c r="F720" s="32"/>
      <c r="G720" s="41"/>
      <c r="H720" s="32"/>
      <c r="I720" s="41"/>
      <c r="J720" s="315"/>
      <c r="K720" s="315"/>
      <c r="L720" s="315"/>
    </row>
    <row r="721" spans="1:12" s="30" customFormat="1" x14ac:dyDescent="0.25">
      <c r="A721" s="36"/>
      <c r="B721" s="31"/>
      <c r="C721" s="31"/>
      <c r="D721" s="32"/>
      <c r="F721" s="32"/>
      <c r="G721" s="41"/>
      <c r="H721" s="32"/>
      <c r="I721" s="41"/>
      <c r="J721" s="315"/>
      <c r="K721" s="315"/>
      <c r="L721" s="315"/>
    </row>
    <row r="722" spans="1:12" s="30" customFormat="1" x14ac:dyDescent="0.25">
      <c r="A722" s="36"/>
      <c r="B722" s="31"/>
      <c r="C722" s="31"/>
      <c r="D722" s="32"/>
      <c r="F722" s="32"/>
      <c r="G722" s="41"/>
      <c r="H722" s="32"/>
      <c r="I722" s="41"/>
      <c r="J722" s="315"/>
      <c r="K722" s="315"/>
      <c r="L722" s="315"/>
    </row>
    <row r="723" spans="1:12" s="30" customFormat="1" x14ac:dyDescent="0.25">
      <c r="A723" s="36"/>
      <c r="B723" s="31"/>
      <c r="C723" s="31"/>
      <c r="D723" s="32"/>
      <c r="F723" s="32"/>
      <c r="G723" s="41"/>
      <c r="H723" s="32"/>
      <c r="I723" s="41"/>
      <c r="J723" s="315"/>
      <c r="K723" s="315"/>
      <c r="L723" s="315"/>
    </row>
    <row r="724" spans="1:12" s="30" customFormat="1" x14ac:dyDescent="0.25">
      <c r="A724" s="36"/>
      <c r="B724" s="31"/>
      <c r="C724" s="31"/>
      <c r="D724" s="32"/>
      <c r="F724" s="32"/>
      <c r="G724" s="41"/>
      <c r="H724" s="32"/>
      <c r="I724" s="41"/>
      <c r="J724" s="315"/>
      <c r="K724" s="315"/>
      <c r="L724" s="315"/>
    </row>
    <row r="725" spans="1:12" s="30" customFormat="1" x14ac:dyDescent="0.25">
      <c r="A725" s="36"/>
      <c r="B725" s="31"/>
      <c r="C725" s="31"/>
      <c r="D725" s="32"/>
      <c r="F725" s="32"/>
      <c r="G725" s="41"/>
      <c r="H725" s="32"/>
      <c r="I725" s="41"/>
      <c r="J725" s="315"/>
      <c r="K725" s="315"/>
      <c r="L725" s="315"/>
    </row>
    <row r="726" spans="1:12" s="30" customFormat="1" x14ac:dyDescent="0.25">
      <c r="A726" s="36"/>
      <c r="B726" s="31"/>
      <c r="C726" s="31"/>
      <c r="D726" s="32"/>
      <c r="F726" s="32"/>
      <c r="G726" s="41"/>
      <c r="H726" s="32"/>
      <c r="I726" s="41"/>
      <c r="J726" s="315"/>
      <c r="K726" s="315"/>
      <c r="L726" s="315"/>
    </row>
    <row r="727" spans="1:12" s="30" customFormat="1" x14ac:dyDescent="0.25">
      <c r="A727" s="36"/>
      <c r="B727" s="31"/>
      <c r="C727" s="31"/>
      <c r="D727" s="32"/>
      <c r="F727" s="32"/>
      <c r="G727" s="41"/>
      <c r="H727" s="32"/>
      <c r="I727" s="41"/>
      <c r="J727" s="315"/>
      <c r="K727" s="315"/>
      <c r="L727" s="315"/>
    </row>
    <row r="728" spans="1:12" s="30" customFormat="1" x14ac:dyDescent="0.25">
      <c r="A728" s="36"/>
      <c r="B728" s="31"/>
      <c r="C728" s="31"/>
      <c r="D728" s="32"/>
      <c r="F728" s="32"/>
      <c r="G728" s="41"/>
      <c r="H728" s="32"/>
      <c r="I728" s="41"/>
      <c r="J728" s="315"/>
      <c r="K728" s="315"/>
      <c r="L728" s="315"/>
    </row>
    <row r="729" spans="1:12" s="30" customFormat="1" x14ac:dyDescent="0.25">
      <c r="A729" s="36"/>
      <c r="B729" s="31"/>
      <c r="C729" s="31"/>
      <c r="D729" s="32"/>
      <c r="F729" s="32"/>
      <c r="G729" s="41"/>
      <c r="H729" s="32"/>
      <c r="I729" s="41"/>
      <c r="J729" s="315"/>
      <c r="K729" s="315"/>
      <c r="L729" s="315"/>
    </row>
    <row r="730" spans="1:12" s="30" customFormat="1" x14ac:dyDescent="0.25">
      <c r="A730" s="36"/>
      <c r="B730" s="31"/>
      <c r="C730" s="31"/>
      <c r="D730" s="32"/>
      <c r="F730" s="32"/>
      <c r="G730" s="41"/>
      <c r="H730" s="32"/>
      <c r="I730" s="41"/>
      <c r="J730" s="315"/>
      <c r="K730" s="315"/>
      <c r="L730" s="315"/>
    </row>
    <row r="731" spans="1:12" s="30" customFormat="1" x14ac:dyDescent="0.25">
      <c r="A731" s="36"/>
      <c r="B731" s="31"/>
      <c r="C731" s="31"/>
      <c r="D731" s="32"/>
      <c r="F731" s="32"/>
      <c r="G731" s="41"/>
      <c r="H731" s="32"/>
      <c r="I731" s="41"/>
      <c r="J731" s="315"/>
      <c r="K731" s="315"/>
      <c r="L731" s="315"/>
    </row>
    <row r="732" spans="1:12" s="30" customFormat="1" x14ac:dyDescent="0.25">
      <c r="A732" s="36"/>
      <c r="B732" s="31"/>
      <c r="C732" s="31"/>
      <c r="D732" s="32"/>
      <c r="F732" s="32"/>
      <c r="G732" s="41"/>
      <c r="H732" s="32"/>
      <c r="I732" s="41"/>
      <c r="J732" s="315"/>
      <c r="K732" s="315"/>
      <c r="L732" s="315"/>
    </row>
    <row r="733" spans="1:12" s="30" customFormat="1" x14ac:dyDescent="0.25">
      <c r="A733" s="36"/>
      <c r="B733" s="31"/>
      <c r="C733" s="31"/>
      <c r="D733" s="32"/>
      <c r="F733" s="32"/>
      <c r="G733" s="41"/>
      <c r="H733" s="32"/>
      <c r="I733" s="41"/>
      <c r="J733" s="315"/>
      <c r="K733" s="315"/>
      <c r="L733" s="315"/>
    </row>
    <row r="734" spans="1:12" s="30" customFormat="1" x14ac:dyDescent="0.25">
      <c r="A734" s="36"/>
      <c r="B734" s="31"/>
      <c r="C734" s="31"/>
      <c r="D734" s="32"/>
      <c r="F734" s="32"/>
      <c r="G734" s="41"/>
      <c r="H734" s="32"/>
      <c r="I734" s="41"/>
      <c r="J734" s="315"/>
      <c r="K734" s="315"/>
      <c r="L734" s="315"/>
    </row>
    <row r="735" spans="1:12" s="30" customFormat="1" x14ac:dyDescent="0.25">
      <c r="A735" s="36"/>
      <c r="B735" s="31"/>
      <c r="C735" s="31"/>
      <c r="D735" s="32"/>
      <c r="F735" s="32"/>
      <c r="G735" s="41"/>
      <c r="H735" s="32"/>
      <c r="I735" s="41"/>
      <c r="J735" s="315"/>
      <c r="K735" s="315"/>
      <c r="L735" s="315"/>
    </row>
    <row r="736" spans="1:12" s="30" customFormat="1" x14ac:dyDescent="0.25">
      <c r="A736" s="36"/>
      <c r="B736" s="31"/>
      <c r="C736" s="31"/>
      <c r="D736" s="32"/>
      <c r="F736" s="32"/>
      <c r="G736" s="41"/>
      <c r="H736" s="32"/>
      <c r="I736" s="41"/>
      <c r="J736" s="315"/>
      <c r="K736" s="315"/>
      <c r="L736" s="315"/>
    </row>
    <row r="737" spans="1:12" s="30" customFormat="1" x14ac:dyDescent="0.25">
      <c r="A737" s="36"/>
      <c r="B737" s="31"/>
      <c r="C737" s="31"/>
      <c r="D737" s="32"/>
      <c r="F737" s="32"/>
      <c r="G737" s="41"/>
      <c r="H737" s="32"/>
      <c r="I737" s="41"/>
      <c r="J737" s="315"/>
      <c r="K737" s="315"/>
      <c r="L737" s="315"/>
    </row>
    <row r="738" spans="1:12" s="30" customFormat="1" x14ac:dyDescent="0.25">
      <c r="A738" s="36"/>
      <c r="B738" s="31"/>
      <c r="C738" s="31"/>
      <c r="D738" s="32"/>
      <c r="F738" s="32"/>
      <c r="G738" s="41"/>
      <c r="H738" s="32"/>
      <c r="I738" s="41"/>
      <c r="J738" s="315"/>
      <c r="K738" s="315"/>
      <c r="L738" s="315"/>
    </row>
    <row r="739" spans="1:12" s="30" customFormat="1" x14ac:dyDescent="0.25">
      <c r="A739" s="36"/>
      <c r="B739" s="31"/>
      <c r="C739" s="31"/>
      <c r="D739" s="32"/>
      <c r="F739" s="32"/>
      <c r="G739" s="41"/>
      <c r="H739" s="32"/>
      <c r="I739" s="41"/>
      <c r="J739" s="315"/>
      <c r="K739" s="315"/>
      <c r="L739" s="315"/>
    </row>
    <row r="740" spans="1:12" s="30" customFormat="1" x14ac:dyDescent="0.25">
      <c r="A740" s="36"/>
      <c r="B740" s="31"/>
      <c r="C740" s="31"/>
      <c r="D740" s="32"/>
      <c r="F740" s="32"/>
      <c r="G740" s="41"/>
      <c r="H740" s="32"/>
      <c r="I740" s="41"/>
      <c r="J740" s="315"/>
      <c r="K740" s="315"/>
      <c r="L740" s="315"/>
    </row>
    <row r="741" spans="1:12" s="30" customFormat="1" x14ac:dyDescent="0.25">
      <c r="A741" s="36"/>
      <c r="B741" s="31"/>
      <c r="C741" s="31"/>
      <c r="D741" s="32"/>
      <c r="F741" s="32"/>
      <c r="G741" s="41"/>
      <c r="H741" s="32"/>
      <c r="I741" s="41"/>
      <c r="J741" s="315"/>
      <c r="K741" s="315"/>
      <c r="L741" s="315"/>
    </row>
    <row r="742" spans="1:12" s="30" customFormat="1" x14ac:dyDescent="0.25">
      <c r="A742" s="36"/>
      <c r="B742" s="31"/>
      <c r="C742" s="31"/>
      <c r="D742" s="32"/>
      <c r="F742" s="32"/>
      <c r="G742" s="41"/>
      <c r="H742" s="32"/>
      <c r="I742" s="41"/>
      <c r="J742" s="315"/>
      <c r="K742" s="315"/>
      <c r="L742" s="315"/>
    </row>
    <row r="743" spans="1:12" s="30" customFormat="1" x14ac:dyDescent="0.25">
      <c r="A743" s="36"/>
      <c r="B743" s="31"/>
      <c r="C743" s="31"/>
      <c r="D743" s="32"/>
      <c r="F743" s="32"/>
      <c r="G743" s="41"/>
      <c r="H743" s="32"/>
      <c r="I743" s="41"/>
      <c r="J743" s="315"/>
      <c r="K743" s="315"/>
      <c r="L743" s="315"/>
    </row>
    <row r="744" spans="1:12" s="30" customFormat="1" x14ac:dyDescent="0.25">
      <c r="A744" s="36"/>
      <c r="B744" s="31"/>
      <c r="C744" s="31"/>
      <c r="D744" s="32"/>
      <c r="F744" s="32"/>
      <c r="G744" s="41"/>
      <c r="H744" s="32"/>
      <c r="I744" s="41"/>
      <c r="J744" s="315"/>
      <c r="K744" s="315"/>
      <c r="L744" s="315"/>
    </row>
    <row r="745" spans="1:12" s="30" customFormat="1" x14ac:dyDescent="0.25">
      <c r="A745" s="36"/>
      <c r="B745" s="31"/>
      <c r="C745" s="31"/>
      <c r="D745" s="32"/>
      <c r="F745" s="32"/>
      <c r="G745" s="41"/>
      <c r="H745" s="32"/>
      <c r="I745" s="41"/>
      <c r="J745" s="315"/>
      <c r="K745" s="315"/>
      <c r="L745" s="315"/>
    </row>
    <row r="746" spans="1:12" s="30" customFormat="1" x14ac:dyDescent="0.25">
      <c r="A746" s="36"/>
      <c r="B746" s="31"/>
      <c r="C746" s="31"/>
      <c r="D746" s="32"/>
      <c r="F746" s="32"/>
      <c r="G746" s="41"/>
      <c r="H746" s="32"/>
      <c r="I746" s="41"/>
      <c r="J746" s="315"/>
      <c r="K746" s="315"/>
      <c r="L746" s="315"/>
    </row>
    <row r="747" spans="1:12" s="30" customFormat="1" x14ac:dyDescent="0.25">
      <c r="A747" s="36"/>
      <c r="B747" s="31"/>
      <c r="C747" s="31"/>
      <c r="D747" s="32"/>
      <c r="F747" s="32"/>
      <c r="G747" s="41"/>
      <c r="H747" s="32"/>
      <c r="I747" s="41"/>
      <c r="J747" s="315"/>
      <c r="K747" s="315"/>
      <c r="L747" s="315"/>
    </row>
    <row r="748" spans="1:12" s="30" customFormat="1" x14ac:dyDescent="0.25">
      <c r="A748" s="36"/>
      <c r="B748" s="31"/>
      <c r="C748" s="31"/>
      <c r="D748" s="32"/>
      <c r="F748" s="32"/>
      <c r="G748" s="41"/>
      <c r="H748" s="32"/>
      <c r="I748" s="41"/>
      <c r="J748" s="315"/>
      <c r="K748" s="315"/>
      <c r="L748" s="315"/>
    </row>
    <row r="749" spans="1:12" s="30" customFormat="1" x14ac:dyDescent="0.25">
      <c r="A749" s="36"/>
      <c r="B749" s="31"/>
      <c r="C749" s="31"/>
      <c r="D749" s="32"/>
      <c r="F749" s="32"/>
      <c r="G749" s="41"/>
      <c r="H749" s="32"/>
      <c r="I749" s="41"/>
      <c r="J749" s="315"/>
      <c r="K749" s="315"/>
      <c r="L749" s="315"/>
    </row>
    <row r="750" spans="1:12" s="30" customFormat="1" x14ac:dyDescent="0.25">
      <c r="A750" s="36"/>
      <c r="B750" s="31"/>
      <c r="C750" s="31"/>
      <c r="D750" s="32"/>
      <c r="F750" s="32"/>
      <c r="G750" s="41"/>
      <c r="H750" s="32"/>
      <c r="I750" s="41"/>
      <c r="J750" s="315"/>
      <c r="K750" s="315"/>
      <c r="L750" s="315"/>
    </row>
    <row r="751" spans="1:12" s="30" customFormat="1" x14ac:dyDescent="0.25">
      <c r="A751" s="36"/>
      <c r="B751" s="31"/>
      <c r="C751" s="31"/>
      <c r="D751" s="32"/>
      <c r="F751" s="32"/>
      <c r="G751" s="41"/>
      <c r="H751" s="32"/>
      <c r="I751" s="41"/>
      <c r="J751" s="315"/>
      <c r="K751" s="315"/>
      <c r="L751" s="315"/>
    </row>
    <row r="752" spans="1:12" s="30" customFormat="1" x14ac:dyDescent="0.25">
      <c r="A752" s="36"/>
      <c r="B752" s="31"/>
      <c r="C752" s="31"/>
      <c r="D752" s="32"/>
      <c r="F752" s="32"/>
      <c r="G752" s="41"/>
      <c r="H752" s="32"/>
      <c r="I752" s="41"/>
      <c r="J752" s="315"/>
      <c r="K752" s="315"/>
      <c r="L752" s="315"/>
    </row>
    <row r="753" spans="1:12" s="30" customFormat="1" x14ac:dyDescent="0.25">
      <c r="A753" s="36"/>
      <c r="B753" s="31"/>
      <c r="C753" s="31"/>
      <c r="D753" s="32"/>
      <c r="F753" s="32"/>
      <c r="G753" s="41"/>
      <c r="H753" s="32"/>
      <c r="I753" s="41"/>
      <c r="J753" s="315"/>
      <c r="K753" s="315"/>
      <c r="L753" s="315"/>
    </row>
    <row r="754" spans="1:12" s="30" customFormat="1" x14ac:dyDescent="0.25">
      <c r="A754" s="36"/>
      <c r="B754" s="31"/>
      <c r="C754" s="31"/>
      <c r="D754" s="32"/>
      <c r="F754" s="32"/>
      <c r="G754" s="41"/>
      <c r="H754" s="32"/>
      <c r="I754" s="41"/>
      <c r="J754" s="315"/>
      <c r="K754" s="315"/>
      <c r="L754" s="315"/>
    </row>
    <row r="755" spans="1:12" s="30" customFormat="1" x14ac:dyDescent="0.25">
      <c r="A755" s="36"/>
      <c r="B755" s="31"/>
      <c r="C755" s="31"/>
      <c r="D755" s="32"/>
      <c r="F755" s="32"/>
      <c r="G755" s="41"/>
      <c r="H755" s="32"/>
      <c r="I755" s="41"/>
      <c r="J755" s="315"/>
      <c r="K755" s="315"/>
      <c r="L755" s="315"/>
    </row>
    <row r="756" spans="1:12" s="30" customFormat="1" x14ac:dyDescent="0.25">
      <c r="A756" s="36"/>
      <c r="B756" s="31"/>
      <c r="C756" s="31"/>
      <c r="D756" s="32"/>
      <c r="F756" s="32"/>
      <c r="G756" s="41"/>
      <c r="H756" s="32"/>
      <c r="I756" s="41"/>
      <c r="J756" s="315"/>
      <c r="K756" s="315"/>
      <c r="L756" s="315"/>
    </row>
    <row r="757" spans="1:12" s="30" customFormat="1" x14ac:dyDescent="0.25">
      <c r="A757" s="36"/>
      <c r="B757" s="31"/>
      <c r="C757" s="31"/>
      <c r="D757" s="32"/>
      <c r="F757" s="32"/>
      <c r="G757" s="41"/>
      <c r="H757" s="32"/>
      <c r="I757" s="41"/>
      <c r="J757" s="315"/>
      <c r="K757" s="315"/>
      <c r="L757" s="315"/>
    </row>
    <row r="758" spans="1:12" s="30" customFormat="1" x14ac:dyDescent="0.25">
      <c r="A758" s="36"/>
      <c r="B758" s="31"/>
      <c r="C758" s="31"/>
      <c r="D758" s="32"/>
      <c r="F758" s="32"/>
      <c r="G758" s="41"/>
      <c r="H758" s="32"/>
      <c r="I758" s="41"/>
      <c r="J758" s="315"/>
      <c r="K758" s="315"/>
      <c r="L758" s="315"/>
    </row>
    <row r="759" spans="1:12" s="30" customFormat="1" x14ac:dyDescent="0.25">
      <c r="A759" s="36"/>
      <c r="B759" s="31"/>
      <c r="C759" s="31"/>
      <c r="D759" s="32"/>
      <c r="F759" s="32"/>
      <c r="G759" s="41"/>
      <c r="H759" s="32"/>
      <c r="I759" s="41"/>
      <c r="J759" s="315"/>
      <c r="K759" s="315"/>
      <c r="L759" s="315"/>
    </row>
    <row r="760" spans="1:12" s="30" customFormat="1" x14ac:dyDescent="0.25">
      <c r="A760" s="36"/>
      <c r="B760" s="31"/>
      <c r="C760" s="31"/>
      <c r="D760" s="32"/>
      <c r="F760" s="32"/>
      <c r="G760" s="41"/>
      <c r="H760" s="32"/>
      <c r="I760" s="41"/>
      <c r="J760" s="315"/>
      <c r="K760" s="315"/>
      <c r="L760" s="315"/>
    </row>
    <row r="761" spans="1:12" s="30" customFormat="1" x14ac:dyDescent="0.25">
      <c r="A761" s="36"/>
      <c r="B761" s="31"/>
      <c r="C761" s="31"/>
      <c r="D761" s="32"/>
      <c r="F761" s="32"/>
      <c r="G761" s="41"/>
      <c r="H761" s="32"/>
      <c r="I761" s="41"/>
      <c r="J761" s="315"/>
      <c r="K761" s="315"/>
      <c r="L761" s="315"/>
    </row>
    <row r="762" spans="1:12" s="30" customFormat="1" x14ac:dyDescent="0.25">
      <c r="A762" s="36"/>
      <c r="B762" s="31"/>
      <c r="C762" s="31"/>
      <c r="D762" s="32"/>
      <c r="F762" s="32"/>
      <c r="G762" s="41"/>
      <c r="H762" s="32"/>
      <c r="I762" s="41"/>
      <c r="J762" s="315"/>
      <c r="K762" s="315"/>
      <c r="L762" s="315"/>
    </row>
    <row r="763" spans="1:12" s="30" customFormat="1" x14ac:dyDescent="0.25">
      <c r="A763" s="36"/>
      <c r="B763" s="31"/>
      <c r="C763" s="31"/>
      <c r="D763" s="32"/>
      <c r="F763" s="32"/>
      <c r="G763" s="41"/>
      <c r="H763" s="32"/>
      <c r="I763" s="41"/>
      <c r="J763" s="315"/>
      <c r="K763" s="315"/>
      <c r="L763" s="315"/>
    </row>
    <row r="764" spans="1:12" s="30" customFormat="1" x14ac:dyDescent="0.25">
      <c r="A764" s="36"/>
      <c r="B764" s="31"/>
      <c r="C764" s="31"/>
      <c r="D764" s="32"/>
      <c r="F764" s="32"/>
      <c r="G764" s="41"/>
      <c r="H764" s="32"/>
      <c r="I764" s="41"/>
      <c r="J764" s="315"/>
      <c r="K764" s="315"/>
      <c r="L764" s="315"/>
    </row>
    <row r="765" spans="1:12" s="30" customFormat="1" x14ac:dyDescent="0.25">
      <c r="A765" s="36"/>
      <c r="B765" s="31"/>
      <c r="C765" s="31"/>
      <c r="D765" s="32"/>
      <c r="F765" s="32"/>
      <c r="G765" s="41"/>
      <c r="H765" s="32"/>
      <c r="I765" s="41"/>
      <c r="J765" s="315"/>
      <c r="K765" s="315"/>
      <c r="L765" s="315"/>
    </row>
    <row r="766" spans="1:12" s="30" customFormat="1" x14ac:dyDescent="0.25">
      <c r="A766" s="36"/>
      <c r="B766" s="31"/>
      <c r="C766" s="31"/>
      <c r="D766" s="32"/>
      <c r="F766" s="32"/>
      <c r="G766" s="41"/>
      <c r="H766" s="32"/>
      <c r="I766" s="41"/>
      <c r="J766" s="315"/>
      <c r="K766" s="315"/>
      <c r="L766" s="315"/>
    </row>
    <row r="767" spans="1:12" s="30" customFormat="1" x14ac:dyDescent="0.25">
      <c r="A767" s="36"/>
      <c r="B767" s="31"/>
      <c r="C767" s="31"/>
      <c r="D767" s="32"/>
      <c r="F767" s="32"/>
      <c r="G767" s="41"/>
      <c r="H767" s="32"/>
      <c r="I767" s="41"/>
      <c r="J767" s="315"/>
      <c r="K767" s="315"/>
      <c r="L767" s="315"/>
    </row>
    <row r="768" spans="1:12" s="30" customFormat="1" x14ac:dyDescent="0.25">
      <c r="A768" s="36"/>
      <c r="B768" s="31"/>
      <c r="C768" s="31"/>
      <c r="D768" s="32"/>
      <c r="F768" s="32"/>
      <c r="G768" s="41"/>
      <c r="H768" s="32"/>
      <c r="I768" s="41"/>
      <c r="J768" s="315"/>
      <c r="K768" s="315"/>
      <c r="L768" s="315"/>
    </row>
    <row r="769" spans="1:12" s="30" customFormat="1" x14ac:dyDescent="0.25">
      <c r="A769" s="36"/>
      <c r="B769" s="31"/>
      <c r="C769" s="31"/>
      <c r="D769" s="32"/>
      <c r="F769" s="32"/>
      <c r="G769" s="41"/>
      <c r="H769" s="32"/>
      <c r="I769" s="41"/>
      <c r="J769" s="315"/>
      <c r="K769" s="315"/>
      <c r="L769" s="315"/>
    </row>
    <row r="770" spans="1:12" s="30" customFormat="1" x14ac:dyDescent="0.25">
      <c r="A770" s="36"/>
      <c r="B770" s="31"/>
      <c r="C770" s="31"/>
      <c r="D770" s="32"/>
      <c r="F770" s="32"/>
      <c r="G770" s="41"/>
      <c r="H770" s="32"/>
      <c r="I770" s="41"/>
      <c r="J770" s="315"/>
      <c r="K770" s="315"/>
      <c r="L770" s="315"/>
    </row>
    <row r="771" spans="1:12" s="30" customFormat="1" x14ac:dyDescent="0.25">
      <c r="A771" s="36"/>
      <c r="B771" s="31"/>
      <c r="C771" s="31"/>
      <c r="D771" s="32"/>
      <c r="F771" s="32"/>
      <c r="G771" s="41"/>
      <c r="H771" s="32"/>
      <c r="I771" s="41"/>
      <c r="J771" s="315"/>
      <c r="K771" s="315"/>
      <c r="L771" s="315"/>
    </row>
    <row r="772" spans="1:12" s="30" customFormat="1" x14ac:dyDescent="0.25">
      <c r="A772" s="36"/>
      <c r="B772" s="31"/>
      <c r="C772" s="31"/>
      <c r="D772" s="32"/>
      <c r="F772" s="32"/>
      <c r="G772" s="41"/>
      <c r="H772" s="32"/>
      <c r="I772" s="41"/>
      <c r="J772" s="315"/>
      <c r="K772" s="315"/>
      <c r="L772" s="315"/>
    </row>
    <row r="773" spans="1:12" s="30" customFormat="1" x14ac:dyDescent="0.25">
      <c r="A773" s="36"/>
      <c r="B773" s="31"/>
      <c r="C773" s="31"/>
      <c r="D773" s="32"/>
      <c r="F773" s="32"/>
      <c r="G773" s="41"/>
      <c r="H773" s="32"/>
      <c r="I773" s="41"/>
      <c r="J773" s="315"/>
      <c r="K773" s="315"/>
      <c r="L773" s="315"/>
    </row>
    <row r="774" spans="1:12" s="30" customFormat="1" x14ac:dyDescent="0.25">
      <c r="A774" s="36"/>
      <c r="B774" s="31"/>
      <c r="C774" s="31"/>
      <c r="D774" s="32"/>
      <c r="F774" s="32"/>
      <c r="G774" s="41"/>
      <c r="H774" s="32"/>
      <c r="I774" s="41"/>
      <c r="J774" s="315"/>
      <c r="K774" s="315"/>
      <c r="L774" s="315"/>
    </row>
    <row r="775" spans="1:12" s="30" customFormat="1" x14ac:dyDescent="0.25">
      <c r="A775" s="36"/>
      <c r="B775" s="31"/>
      <c r="C775" s="31"/>
      <c r="D775" s="32"/>
      <c r="F775" s="32"/>
      <c r="G775" s="41"/>
      <c r="H775" s="32"/>
      <c r="I775" s="41"/>
      <c r="J775" s="315"/>
      <c r="K775" s="315"/>
      <c r="L775" s="315"/>
    </row>
    <row r="776" spans="1:12" s="30" customFormat="1" x14ac:dyDescent="0.25">
      <c r="A776" s="36"/>
      <c r="B776" s="31"/>
      <c r="C776" s="31"/>
      <c r="D776" s="32"/>
      <c r="F776" s="32"/>
      <c r="G776" s="41"/>
      <c r="H776" s="32"/>
      <c r="I776" s="41"/>
      <c r="J776" s="315"/>
      <c r="K776" s="315"/>
      <c r="L776" s="315"/>
    </row>
  </sheetData>
  <mergeCells count="2">
    <mergeCell ref="A8:C8"/>
    <mergeCell ref="A37:C37"/>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578DB9-65A5-4687-9F3E-F63F9621548C}">
  <sheetPr>
    <tabColor rgb="FFFFFF00"/>
  </sheetPr>
  <dimension ref="A1:O776"/>
  <sheetViews>
    <sheetView topLeftCell="A6" zoomScale="90" zoomScaleNormal="90" workbookViewId="0">
      <pane xSplit="3" topLeftCell="D1" activePane="topRight" state="frozen"/>
      <selection pane="topRight" activeCell="E29" sqref="E29:M29"/>
    </sheetView>
    <sheetView tabSelected="1" topLeftCell="A11" workbookViewId="1">
      <selection activeCell="M29" sqref="M29:M33"/>
    </sheetView>
  </sheetViews>
  <sheetFormatPr defaultColWidth="9.140625" defaultRowHeight="15" x14ac:dyDescent="0.25"/>
  <cols>
    <col min="1" max="1" width="20.5703125" style="47" customWidth="1"/>
    <col min="2" max="2" width="29" style="48" customWidth="1"/>
    <col min="3" max="3" width="52.28515625" style="48" bestFit="1" customWidth="1"/>
    <col min="4" max="4" width="7.5703125" style="5" customWidth="1"/>
    <col min="5" max="5" width="19.140625" style="10" customWidth="1"/>
    <col min="6" max="6" width="1.5703125" style="5" customWidth="1"/>
    <col min="7" max="7" width="18.7109375" style="50" customWidth="1"/>
    <col min="8" max="8" width="1.42578125" style="5" customWidth="1"/>
    <col min="9" max="9" width="19.140625" style="50" customWidth="1"/>
    <col min="10" max="10" width="1.5703125" style="315" customWidth="1"/>
    <col min="11" max="11" width="19.5703125" style="315" customWidth="1"/>
    <col min="12" max="12" width="1.28515625" style="315" customWidth="1"/>
    <col min="13" max="13" width="22.7109375" style="10" customWidth="1"/>
    <col min="14" max="14" width="18.28515625" style="51" customWidth="1"/>
    <col min="15" max="15" width="15.7109375" style="10" customWidth="1"/>
    <col min="16" max="16384" width="9.140625" style="10"/>
  </cols>
  <sheetData>
    <row r="1" spans="1:14" ht="15.75" thickBot="1" x14ac:dyDescent="0.3">
      <c r="B1" s="126" t="s">
        <v>626</v>
      </c>
      <c r="C1" s="264" t="str">
        <f>'FFP CLINs X007-X021'!B1</f>
        <v>NAME</v>
      </c>
      <c r="N1" s="30"/>
    </row>
    <row r="2" spans="1:14" x14ac:dyDescent="0.25">
      <c r="A2" s="126"/>
      <c r="B2" s="270"/>
      <c r="C2" s="270"/>
      <c r="N2" s="30"/>
    </row>
    <row r="3" spans="1:14" x14ac:dyDescent="0.25">
      <c r="A3" s="126"/>
      <c r="B3" s="76" t="s">
        <v>404</v>
      </c>
      <c r="C3" s="270"/>
      <c r="N3" s="30"/>
    </row>
    <row r="4" spans="1:14" s="425" customFormat="1" x14ac:dyDescent="0.25">
      <c r="A4" s="421"/>
      <c r="B4" s="397" t="s">
        <v>603</v>
      </c>
      <c r="C4" s="423"/>
      <c r="D4" s="424"/>
      <c r="F4" s="424"/>
      <c r="G4" s="426"/>
      <c r="H4" s="424"/>
      <c r="I4" s="426"/>
      <c r="J4" s="319"/>
      <c r="K4" s="319"/>
      <c r="L4" s="319"/>
      <c r="N4" s="35"/>
    </row>
    <row r="5" spans="1:14" s="425" customFormat="1" x14ac:dyDescent="0.25">
      <c r="A5" s="421"/>
      <c r="B5" s="397" t="s">
        <v>469</v>
      </c>
      <c r="C5" s="423"/>
      <c r="D5" s="424"/>
      <c r="F5" s="424"/>
      <c r="G5" s="426"/>
      <c r="H5" s="424"/>
      <c r="I5" s="426"/>
      <c r="J5" s="319"/>
      <c r="K5" s="319"/>
      <c r="L5" s="319"/>
      <c r="N5" s="35"/>
    </row>
    <row r="6" spans="1:14" s="425" customFormat="1" x14ac:dyDescent="0.25">
      <c r="A6" s="427"/>
      <c r="B6" s="397" t="s">
        <v>604</v>
      </c>
      <c r="C6" s="428"/>
      <c r="D6" s="424"/>
      <c r="F6" s="424"/>
      <c r="G6" s="426"/>
      <c r="H6" s="424"/>
      <c r="I6" s="426"/>
      <c r="J6" s="319"/>
      <c r="K6" s="319"/>
      <c r="L6" s="319"/>
      <c r="N6" s="35"/>
    </row>
    <row r="7" spans="1:14" ht="15.75" thickBot="1" x14ac:dyDescent="0.3">
      <c r="B7" s="76"/>
      <c r="N7" s="30"/>
    </row>
    <row r="8" spans="1:14" ht="48" customHeight="1" thickBot="1" x14ac:dyDescent="0.3">
      <c r="A8" s="557" t="s">
        <v>331</v>
      </c>
      <c r="B8" s="558"/>
      <c r="C8" s="559"/>
      <c r="D8" s="8"/>
      <c r="E8" s="355" t="s">
        <v>332</v>
      </c>
      <c r="F8" s="8"/>
      <c r="G8" s="355" t="s">
        <v>333</v>
      </c>
      <c r="H8" s="8"/>
      <c r="I8" s="355" t="s">
        <v>334</v>
      </c>
      <c r="J8" s="7"/>
      <c r="K8" s="355" t="s">
        <v>335</v>
      </c>
      <c r="L8" s="7"/>
      <c r="M8" s="8"/>
      <c r="N8" s="9"/>
    </row>
    <row r="9" spans="1:14" ht="45.75" thickBot="1" x14ac:dyDescent="0.3">
      <c r="A9" s="68" t="s">
        <v>450</v>
      </c>
      <c r="B9" s="68" t="s">
        <v>5</v>
      </c>
      <c r="C9" s="69"/>
      <c r="D9" s="98" t="s">
        <v>5</v>
      </c>
      <c r="E9" s="322" t="s">
        <v>342</v>
      </c>
      <c r="F9" s="328"/>
      <c r="G9" s="322" t="s">
        <v>342</v>
      </c>
      <c r="H9" s="328"/>
      <c r="I9" s="322" t="s">
        <v>342</v>
      </c>
      <c r="J9" s="7"/>
      <c r="K9" s="322" t="s">
        <v>342</v>
      </c>
      <c r="L9" s="7"/>
      <c r="M9" s="370" t="s">
        <v>341</v>
      </c>
      <c r="N9" s="10"/>
    </row>
    <row r="10" spans="1:14" ht="16.5" thickBot="1" x14ac:dyDescent="0.3">
      <c r="A10" s="120" t="s">
        <v>109</v>
      </c>
      <c r="B10" s="119" t="s">
        <v>26</v>
      </c>
      <c r="C10" s="119"/>
      <c r="D10" s="99"/>
      <c r="E10" s="322"/>
      <c r="F10" s="328"/>
      <c r="G10" s="322"/>
      <c r="H10" s="328"/>
      <c r="I10" s="105"/>
      <c r="J10" s="7"/>
      <c r="K10" s="105"/>
      <c r="L10" s="7"/>
      <c r="M10" s="366"/>
      <c r="N10" s="10"/>
    </row>
    <row r="11" spans="1:14" x14ac:dyDescent="0.25">
      <c r="A11" s="122">
        <v>1.01</v>
      </c>
      <c r="B11" s="17"/>
      <c r="C11" s="125" t="s">
        <v>92</v>
      </c>
      <c r="D11" s="320" t="s">
        <v>68</v>
      </c>
      <c r="E11" s="357"/>
      <c r="F11" s="329"/>
      <c r="G11" s="357"/>
      <c r="H11" s="329"/>
      <c r="I11" s="357"/>
      <c r="J11" s="7"/>
      <c r="K11" s="357"/>
      <c r="L11" s="7"/>
      <c r="M11" s="367">
        <f t="shared" ref="M11:M22" si="0">E11+G11+I11+K11</f>
        <v>0</v>
      </c>
      <c r="N11" s="10"/>
    </row>
    <row r="12" spans="1:14" x14ac:dyDescent="0.25">
      <c r="A12" s="121">
        <v>1.02</v>
      </c>
      <c r="B12" s="119"/>
      <c r="C12" s="125" t="s">
        <v>93</v>
      </c>
      <c r="D12" s="321" t="s">
        <v>68</v>
      </c>
      <c r="E12" s="357"/>
      <c r="F12" s="329"/>
      <c r="G12" s="357"/>
      <c r="H12" s="329"/>
      <c r="I12" s="357"/>
      <c r="J12" s="7"/>
      <c r="K12" s="357"/>
      <c r="L12" s="7"/>
      <c r="M12" s="368">
        <f t="shared" si="0"/>
        <v>0</v>
      </c>
      <c r="N12" s="10"/>
    </row>
    <row r="13" spans="1:14" x14ac:dyDescent="0.25">
      <c r="A13" s="123">
        <v>1.03</v>
      </c>
      <c r="B13" s="65"/>
      <c r="C13" s="125" t="s">
        <v>94</v>
      </c>
      <c r="D13" s="313" t="s">
        <v>68</v>
      </c>
      <c r="E13" s="357"/>
      <c r="F13" s="329"/>
      <c r="G13" s="357"/>
      <c r="H13" s="329"/>
      <c r="I13" s="357"/>
      <c r="J13" s="7"/>
      <c r="K13" s="357"/>
      <c r="L13" s="7"/>
      <c r="M13" s="368">
        <f t="shared" si="0"/>
        <v>0</v>
      </c>
      <c r="N13" s="10"/>
    </row>
    <row r="14" spans="1:14" x14ac:dyDescent="0.25">
      <c r="A14" s="122">
        <v>1.04</v>
      </c>
      <c r="B14" s="17"/>
      <c r="C14" s="125" t="s">
        <v>95</v>
      </c>
      <c r="D14" s="313" t="s">
        <v>68</v>
      </c>
      <c r="E14" s="357"/>
      <c r="F14" s="329"/>
      <c r="G14" s="357"/>
      <c r="H14" s="329"/>
      <c r="I14" s="357"/>
      <c r="J14" s="7"/>
      <c r="K14" s="357"/>
      <c r="L14" s="7"/>
      <c r="M14" s="368">
        <f t="shared" si="0"/>
        <v>0</v>
      </c>
      <c r="N14" s="10"/>
    </row>
    <row r="15" spans="1:14" x14ac:dyDescent="0.25">
      <c r="A15" s="122">
        <v>1.05</v>
      </c>
      <c r="B15" s="17"/>
      <c r="C15" s="125" t="s">
        <v>96</v>
      </c>
      <c r="D15" s="313" t="s">
        <v>68</v>
      </c>
      <c r="E15" s="357"/>
      <c r="F15" s="329"/>
      <c r="G15" s="357"/>
      <c r="H15" s="329"/>
      <c r="I15" s="357"/>
      <c r="J15" s="7"/>
      <c r="K15" s="357"/>
      <c r="L15" s="7"/>
      <c r="M15" s="368">
        <f t="shared" si="0"/>
        <v>0</v>
      </c>
      <c r="N15" s="10"/>
    </row>
    <row r="16" spans="1:14" x14ac:dyDescent="0.25">
      <c r="A16" s="122">
        <v>1.06</v>
      </c>
      <c r="B16" s="17"/>
      <c r="C16" s="125" t="s">
        <v>97</v>
      </c>
      <c r="D16" s="313" t="s">
        <v>68</v>
      </c>
      <c r="E16" s="357"/>
      <c r="F16" s="330"/>
      <c r="G16" s="357"/>
      <c r="H16" s="330"/>
      <c r="I16" s="357"/>
      <c r="J16" s="7"/>
      <c r="K16" s="357"/>
      <c r="L16" s="7"/>
      <c r="M16" s="368">
        <f t="shared" si="0"/>
        <v>0</v>
      </c>
      <c r="N16" s="10"/>
    </row>
    <row r="17" spans="1:14" x14ac:dyDescent="0.25">
      <c r="A17" s="122">
        <v>1.07</v>
      </c>
      <c r="B17" s="17"/>
      <c r="C17" s="125" t="s">
        <v>98</v>
      </c>
      <c r="D17" s="313" t="s">
        <v>68</v>
      </c>
      <c r="E17" s="357"/>
      <c r="F17" s="330"/>
      <c r="G17" s="357"/>
      <c r="H17" s="330"/>
      <c r="I17" s="357"/>
      <c r="J17" s="7"/>
      <c r="K17" s="357"/>
      <c r="L17" s="7"/>
      <c r="M17" s="368">
        <f t="shared" si="0"/>
        <v>0</v>
      </c>
      <c r="N17" s="10"/>
    </row>
    <row r="18" spans="1:14" x14ac:dyDescent="0.25">
      <c r="A18" s="122">
        <v>1.08</v>
      </c>
      <c r="B18" s="17"/>
      <c r="C18" s="125" t="s">
        <v>99</v>
      </c>
      <c r="D18" s="313" t="s">
        <v>68</v>
      </c>
      <c r="E18" s="357"/>
      <c r="F18" s="330"/>
      <c r="G18" s="357"/>
      <c r="H18" s="330"/>
      <c r="I18" s="357"/>
      <c r="J18" s="7"/>
      <c r="K18" s="357"/>
      <c r="L18" s="7"/>
      <c r="M18" s="368">
        <f t="shared" si="0"/>
        <v>0</v>
      </c>
      <c r="N18" s="10"/>
    </row>
    <row r="19" spans="1:14" x14ac:dyDescent="0.25">
      <c r="A19" s="122">
        <v>1.0900000000000001</v>
      </c>
      <c r="B19" s="17"/>
      <c r="C19" s="125" t="s">
        <v>100</v>
      </c>
      <c r="D19" s="313" t="s">
        <v>68</v>
      </c>
      <c r="E19" s="357"/>
      <c r="F19" s="330"/>
      <c r="G19" s="357"/>
      <c r="H19" s="330"/>
      <c r="I19" s="357"/>
      <c r="J19" s="7"/>
      <c r="K19" s="357"/>
      <c r="L19" s="7"/>
      <c r="M19" s="368">
        <f t="shared" si="0"/>
        <v>0</v>
      </c>
      <c r="N19" s="10"/>
    </row>
    <row r="20" spans="1:14" x14ac:dyDescent="0.25">
      <c r="A20" s="124">
        <v>1.1000000000000001</v>
      </c>
      <c r="B20" s="17"/>
      <c r="C20" s="125" t="s">
        <v>101</v>
      </c>
      <c r="D20" s="313" t="s">
        <v>68</v>
      </c>
      <c r="E20" s="357"/>
      <c r="F20" s="329"/>
      <c r="G20" s="357"/>
      <c r="H20" s="329"/>
      <c r="I20" s="357"/>
      <c r="J20" s="7"/>
      <c r="K20" s="357"/>
      <c r="L20" s="7"/>
      <c r="M20" s="368">
        <f t="shared" si="0"/>
        <v>0</v>
      </c>
      <c r="N20" s="10"/>
    </row>
    <row r="21" spans="1:14" ht="15.75" thickBot="1" x14ac:dyDescent="0.3">
      <c r="A21" s="124">
        <v>1.1100000000000001</v>
      </c>
      <c r="B21" s="17"/>
      <c r="C21" s="363" t="s">
        <v>17</v>
      </c>
      <c r="D21" s="313" t="s">
        <v>68</v>
      </c>
      <c r="E21" s="357"/>
      <c r="F21" s="329"/>
      <c r="G21" s="357"/>
      <c r="H21" s="329"/>
      <c r="I21" s="357"/>
      <c r="J21" s="7"/>
      <c r="K21" s="357"/>
      <c r="L21" s="7"/>
      <c r="M21" s="369">
        <f t="shared" si="0"/>
        <v>0</v>
      </c>
      <c r="N21" s="10"/>
    </row>
    <row r="22" spans="1:14" ht="15.75" thickBot="1" x14ac:dyDescent="0.3">
      <c r="A22" s="124"/>
      <c r="B22" s="17"/>
      <c r="C22" s="375" t="s">
        <v>343</v>
      </c>
      <c r="D22" s="359"/>
      <c r="E22" s="2">
        <f>SUM(E11:E21)</f>
        <v>0</v>
      </c>
      <c r="F22" s="330"/>
      <c r="G22" s="2">
        <f>SUM(G11:G21)</f>
        <v>0</v>
      </c>
      <c r="H22" s="330"/>
      <c r="I22" s="2">
        <f>SUM(I11:I21)</f>
        <v>0</v>
      </c>
      <c r="J22" s="7"/>
      <c r="K22" s="2">
        <f>SUM(K11:K21)</f>
        <v>0</v>
      </c>
      <c r="L22" s="7"/>
      <c r="M22" s="376">
        <f t="shared" si="0"/>
        <v>0</v>
      </c>
      <c r="N22" s="10"/>
    </row>
    <row r="23" spans="1:14" s="315" customFormat="1" ht="15.75" thickBot="1" x14ac:dyDescent="0.3">
      <c r="A23" s="371" t="s">
        <v>109</v>
      </c>
      <c r="B23" s="119" t="s">
        <v>27</v>
      </c>
      <c r="C23" s="119"/>
      <c r="D23" s="362"/>
      <c r="E23" s="364"/>
      <c r="F23" s="330"/>
      <c r="G23" s="364"/>
      <c r="H23" s="330"/>
      <c r="I23" s="364"/>
      <c r="J23" s="7"/>
      <c r="K23" s="364"/>
      <c r="L23" s="7"/>
      <c r="M23" s="365"/>
    </row>
    <row r="24" spans="1:14" s="315" customFormat="1" x14ac:dyDescent="0.25">
      <c r="A24" s="122">
        <v>1.01</v>
      </c>
      <c r="B24" s="17"/>
      <c r="C24" s="125" t="s">
        <v>102</v>
      </c>
      <c r="D24" s="313" t="s">
        <v>69</v>
      </c>
      <c r="E24" s="357"/>
      <c r="F24" s="330"/>
      <c r="G24" s="357"/>
      <c r="H24" s="330"/>
      <c r="I24" s="357"/>
      <c r="J24" s="7"/>
      <c r="K24" s="357"/>
      <c r="L24" s="7"/>
      <c r="M24" s="367">
        <f>E24+G24+I24+K24</f>
        <v>0</v>
      </c>
    </row>
    <row r="25" spans="1:14" s="315" customFormat="1" x14ac:dyDescent="0.25">
      <c r="A25" s="372">
        <v>1.02</v>
      </c>
      <c r="B25" s="119"/>
      <c r="C25" s="125" t="s">
        <v>103</v>
      </c>
      <c r="D25" s="321" t="s">
        <v>69</v>
      </c>
      <c r="E25" s="357"/>
      <c r="F25" s="329"/>
      <c r="G25" s="357"/>
      <c r="H25" s="329"/>
      <c r="I25" s="357"/>
      <c r="J25" s="7"/>
      <c r="K25" s="357"/>
      <c r="L25" s="7"/>
      <c r="M25" s="368">
        <f>E25+G25+I25+K25</f>
        <v>0</v>
      </c>
    </row>
    <row r="26" spans="1:14" s="315" customFormat="1" ht="15.75" thickBot="1" x14ac:dyDescent="0.3">
      <c r="A26" s="123">
        <v>1.03</v>
      </c>
      <c r="B26" s="65"/>
      <c r="C26" s="125" t="s">
        <v>104</v>
      </c>
      <c r="D26" s="313" t="s">
        <v>69</v>
      </c>
      <c r="E26" s="357"/>
      <c r="F26" s="329"/>
      <c r="G26" s="357"/>
      <c r="H26" s="329"/>
      <c r="I26" s="357"/>
      <c r="J26" s="7"/>
      <c r="K26" s="357"/>
      <c r="L26" s="7"/>
      <c r="M26" s="369">
        <f>E26+G26+I26+K26</f>
        <v>0</v>
      </c>
    </row>
    <row r="27" spans="1:14" s="315" customFormat="1" ht="15.75" thickBot="1" x14ac:dyDescent="0.3">
      <c r="A27" s="123"/>
      <c r="B27" s="65"/>
      <c r="C27" s="375" t="s">
        <v>349</v>
      </c>
      <c r="D27" s="359"/>
      <c r="E27" s="2">
        <f>E24+E25+E26</f>
        <v>0</v>
      </c>
      <c r="F27" s="330"/>
      <c r="G27" s="2">
        <f>G24+G25+G26</f>
        <v>0</v>
      </c>
      <c r="H27" s="330"/>
      <c r="I27" s="2">
        <f>I24+I25+I26</f>
        <v>0</v>
      </c>
      <c r="J27" s="7"/>
      <c r="K27" s="2">
        <f>K24+K25+K26</f>
        <v>0</v>
      </c>
      <c r="L27" s="7"/>
      <c r="M27" s="376">
        <f t="shared" ref="M27" si="1">E27+G27+I27+K27</f>
        <v>0</v>
      </c>
    </row>
    <row r="28" spans="1:14" s="315" customFormat="1" ht="15.75" thickBot="1" x14ac:dyDescent="0.3">
      <c r="A28" s="371" t="s">
        <v>109</v>
      </c>
      <c r="B28" s="119" t="s">
        <v>105</v>
      </c>
      <c r="C28" s="119"/>
      <c r="D28" s="362"/>
      <c r="E28" s="364"/>
      <c r="F28" s="330"/>
      <c r="G28" s="364"/>
      <c r="H28" s="330"/>
      <c r="I28" s="364"/>
      <c r="J28" s="7"/>
      <c r="K28" s="364"/>
      <c r="L28" s="7"/>
      <c r="M28" s="365"/>
    </row>
    <row r="29" spans="1:14" s="315" customFormat="1" x14ac:dyDescent="0.25">
      <c r="A29" s="122">
        <v>1.01</v>
      </c>
      <c r="B29" s="17"/>
      <c r="C29" s="373" t="s">
        <v>160</v>
      </c>
      <c r="D29" s="374" t="s">
        <v>70</v>
      </c>
      <c r="E29" s="357"/>
      <c r="F29" s="330"/>
      <c r="G29" s="357"/>
      <c r="H29" s="330"/>
      <c r="I29" s="357"/>
      <c r="J29" s="7"/>
      <c r="K29" s="357"/>
      <c r="L29" s="7"/>
      <c r="M29" s="367">
        <f>E29+G29+I29+K29</f>
        <v>0</v>
      </c>
    </row>
    <row r="30" spans="1:14" s="315" customFormat="1" x14ac:dyDescent="0.25">
      <c r="A30" s="121">
        <v>1.02</v>
      </c>
      <c r="B30" s="119"/>
      <c r="C30" s="373" t="s">
        <v>161</v>
      </c>
      <c r="D30" s="374" t="s">
        <v>70</v>
      </c>
      <c r="E30" s="357"/>
      <c r="F30" s="330"/>
      <c r="G30" s="357"/>
      <c r="H30" s="330"/>
      <c r="I30" s="357"/>
      <c r="J30" s="7"/>
      <c r="K30" s="357"/>
      <c r="L30" s="7"/>
      <c r="M30" s="368">
        <f>E30+G30+I30+K30</f>
        <v>0</v>
      </c>
    </row>
    <row r="31" spans="1:14" s="315" customFormat="1" x14ac:dyDescent="0.25">
      <c r="A31" s="123">
        <v>1.03</v>
      </c>
      <c r="B31" s="65"/>
      <c r="C31" s="373" t="s">
        <v>162</v>
      </c>
      <c r="D31" s="374" t="s">
        <v>70</v>
      </c>
      <c r="E31" s="357"/>
      <c r="F31" s="329"/>
      <c r="G31" s="357"/>
      <c r="H31" s="329"/>
      <c r="I31" s="357"/>
      <c r="J31" s="7"/>
      <c r="K31" s="357"/>
      <c r="L31" s="7"/>
      <c r="M31" s="368">
        <f>E31+G31+I31+K31</f>
        <v>0</v>
      </c>
    </row>
    <row r="32" spans="1:14" s="315" customFormat="1" ht="15.75" thickBot="1" x14ac:dyDescent="0.3">
      <c r="A32" s="123">
        <v>1.04</v>
      </c>
      <c r="B32" s="65"/>
      <c r="C32" s="373" t="s">
        <v>106</v>
      </c>
      <c r="D32" s="374" t="s">
        <v>70</v>
      </c>
      <c r="E32" s="357"/>
      <c r="F32" s="329"/>
      <c r="G32" s="357"/>
      <c r="H32" s="329"/>
      <c r="I32" s="357"/>
      <c r="J32" s="7"/>
      <c r="K32" s="357"/>
      <c r="L32" s="7"/>
      <c r="M32" s="369">
        <f>E32+G32+I32+K32</f>
        <v>0</v>
      </c>
    </row>
    <row r="33" spans="1:15" s="315" customFormat="1" ht="15.75" thickBot="1" x14ac:dyDescent="0.3">
      <c r="A33" s="380"/>
      <c r="B33" s="381"/>
      <c r="C33" s="375" t="s">
        <v>350</v>
      </c>
      <c r="D33" s="359"/>
      <c r="E33" s="2">
        <f>E29+E30+E31+E32</f>
        <v>0</v>
      </c>
      <c r="F33" s="330"/>
      <c r="G33" s="2">
        <f>G29+G30+G31+G32</f>
        <v>0</v>
      </c>
      <c r="H33" s="330"/>
      <c r="I33" s="2">
        <f>I29+I30+I31+I32</f>
        <v>0</v>
      </c>
      <c r="J33" s="7"/>
      <c r="K33" s="2">
        <f>K29+K30+K31+K32</f>
        <v>0</v>
      </c>
      <c r="L33" s="7"/>
      <c r="M33" s="376">
        <f t="shared" ref="M33" si="2">E33+G33+I33+K33</f>
        <v>0</v>
      </c>
    </row>
    <row r="34" spans="1:15" s="315" customFormat="1" ht="15.75" thickBot="1" x14ac:dyDescent="0.3">
      <c r="A34" s="360"/>
      <c r="B34" s="361"/>
      <c r="C34" s="358"/>
      <c r="D34" s="362"/>
      <c r="E34" s="364"/>
      <c r="F34" s="330"/>
      <c r="G34" s="364"/>
      <c r="H34" s="330"/>
      <c r="I34" s="364"/>
      <c r="J34" s="7"/>
      <c r="K34" s="364"/>
      <c r="L34" s="7"/>
      <c r="M34" s="365"/>
    </row>
    <row r="35" spans="1:15" ht="31.5" customHeight="1" thickBot="1" x14ac:dyDescent="0.3">
      <c r="A35" s="7"/>
      <c r="B35" s="21"/>
      <c r="C35" s="11"/>
      <c r="D35" s="22"/>
      <c r="E35" s="356">
        <f>E22+E27+E33</f>
        <v>0</v>
      </c>
      <c r="F35" s="22"/>
      <c r="G35" s="356">
        <f>G22+G27+G33</f>
        <v>0</v>
      </c>
      <c r="H35" s="22"/>
      <c r="I35" s="356">
        <f>I22+I27+I33</f>
        <v>0</v>
      </c>
      <c r="J35" s="139"/>
      <c r="K35" s="356">
        <f>K22+K27+K33</f>
        <v>0</v>
      </c>
      <c r="L35" s="139"/>
      <c r="M35" s="90">
        <f>M22+M27+M33</f>
        <v>0</v>
      </c>
      <c r="N35" s="91" t="s">
        <v>341</v>
      </c>
      <c r="O35" s="30"/>
    </row>
    <row r="36" spans="1:15" s="30" customFormat="1" ht="15.75" thickBot="1" x14ac:dyDescent="0.3">
      <c r="A36" s="196"/>
      <c r="B36" s="197"/>
      <c r="C36" s="198"/>
      <c r="D36" s="32"/>
      <c r="F36" s="32"/>
      <c r="G36" s="34"/>
      <c r="H36" s="32"/>
      <c r="I36" s="34"/>
      <c r="J36" s="319"/>
      <c r="K36" s="319"/>
      <c r="L36" s="319"/>
      <c r="M36" s="35"/>
    </row>
    <row r="37" spans="1:15" s="30" customFormat="1" ht="39.75" customHeight="1" thickBot="1" x14ac:dyDescent="0.3">
      <c r="A37" s="613"/>
      <c r="B37" s="613"/>
      <c r="C37" s="613"/>
      <c r="D37" s="32"/>
      <c r="F37" s="32"/>
      <c r="G37" s="41"/>
      <c r="H37" s="32"/>
      <c r="I37" s="41"/>
      <c r="J37" s="315"/>
      <c r="K37" s="315"/>
      <c r="L37" s="315"/>
      <c r="M37" s="90">
        <f>E35+G35+I35+K35</f>
        <v>0</v>
      </c>
      <c r="N37" s="91" t="s">
        <v>22</v>
      </c>
    </row>
    <row r="38" spans="1:15" s="30" customFormat="1" ht="27.75" customHeight="1" x14ac:dyDescent="0.25">
      <c r="A38" s="613"/>
      <c r="B38" s="613"/>
      <c r="C38" s="613"/>
      <c r="D38" s="32"/>
      <c r="F38" s="32"/>
      <c r="G38" s="41"/>
      <c r="H38" s="32"/>
      <c r="I38" s="41"/>
      <c r="J38" s="315"/>
      <c r="K38" s="315"/>
      <c r="L38" s="315"/>
      <c r="M38" s="44">
        <f>M35-M37</f>
        <v>0</v>
      </c>
      <c r="N38" s="45" t="s">
        <v>23</v>
      </c>
    </row>
    <row r="39" spans="1:15" s="30" customFormat="1" x14ac:dyDescent="0.25">
      <c r="A39" s="36"/>
      <c r="B39" s="31"/>
      <c r="C39" s="31"/>
      <c r="D39" s="32"/>
      <c r="F39" s="32"/>
      <c r="G39" s="41"/>
      <c r="H39" s="32"/>
      <c r="I39" s="41"/>
      <c r="J39" s="315"/>
      <c r="K39" s="315"/>
      <c r="L39" s="315"/>
    </row>
    <row r="40" spans="1:15" s="30" customFormat="1" x14ac:dyDescent="0.25">
      <c r="A40" s="36"/>
      <c r="B40" s="31"/>
      <c r="C40" s="31"/>
      <c r="D40" s="32"/>
      <c r="F40" s="32"/>
      <c r="G40" s="41"/>
      <c r="H40" s="32"/>
      <c r="I40" s="41"/>
      <c r="J40" s="315"/>
      <c r="K40" s="315"/>
      <c r="L40" s="315"/>
    </row>
    <row r="41" spans="1:15" s="30" customFormat="1" x14ac:dyDescent="0.25">
      <c r="A41" s="36"/>
      <c r="B41" s="31"/>
      <c r="C41" s="31"/>
      <c r="D41" s="32"/>
      <c r="F41" s="32"/>
      <c r="G41" s="41"/>
      <c r="H41" s="32"/>
      <c r="I41" s="41"/>
      <c r="J41" s="315"/>
      <c r="K41" s="315"/>
      <c r="L41" s="315"/>
    </row>
    <row r="42" spans="1:15" s="30" customFormat="1" x14ac:dyDescent="0.25">
      <c r="A42" s="36"/>
      <c r="B42" s="31"/>
      <c r="C42" s="31"/>
      <c r="D42" s="32"/>
      <c r="F42" s="32"/>
      <c r="G42" s="41"/>
      <c r="H42" s="32"/>
      <c r="I42" s="41"/>
      <c r="J42" s="315"/>
      <c r="K42" s="315"/>
      <c r="L42" s="315"/>
    </row>
    <row r="43" spans="1:15" s="30" customFormat="1" x14ac:dyDescent="0.25">
      <c r="A43" s="36"/>
      <c r="B43" s="31"/>
      <c r="C43" s="31"/>
      <c r="D43" s="32"/>
      <c r="F43" s="32"/>
      <c r="G43" s="41"/>
      <c r="H43" s="32"/>
      <c r="I43" s="41"/>
      <c r="J43" s="315"/>
      <c r="K43" s="315"/>
      <c r="L43" s="315"/>
    </row>
    <row r="44" spans="1:15" s="30" customFormat="1" x14ac:dyDescent="0.25">
      <c r="A44" s="36"/>
      <c r="B44" s="31"/>
      <c r="C44" s="31"/>
      <c r="D44" s="32"/>
      <c r="F44" s="32"/>
      <c r="G44" s="41"/>
      <c r="H44" s="32"/>
      <c r="I44" s="41"/>
      <c r="J44" s="315"/>
      <c r="K44" s="315"/>
      <c r="L44" s="315"/>
    </row>
    <row r="45" spans="1:15" s="30" customFormat="1" x14ac:dyDescent="0.25">
      <c r="A45" s="36"/>
      <c r="B45" s="31"/>
      <c r="C45" s="31"/>
      <c r="D45" s="32"/>
      <c r="F45" s="32"/>
      <c r="G45" s="41"/>
      <c r="H45" s="32"/>
      <c r="I45" s="41"/>
      <c r="J45" s="315"/>
      <c r="K45" s="315"/>
      <c r="L45" s="315"/>
    </row>
    <row r="46" spans="1:15" s="30" customFormat="1" x14ac:dyDescent="0.25">
      <c r="A46" s="36"/>
      <c r="B46" s="31"/>
      <c r="C46" s="31"/>
      <c r="D46" s="32"/>
      <c r="F46" s="32"/>
      <c r="G46" s="41"/>
      <c r="H46" s="32"/>
      <c r="I46" s="41"/>
      <c r="J46" s="315"/>
      <c r="K46" s="315"/>
      <c r="L46" s="315"/>
    </row>
    <row r="47" spans="1:15" s="30" customFormat="1" x14ac:dyDescent="0.25">
      <c r="A47" s="36"/>
      <c r="B47" s="31"/>
      <c r="C47" s="31"/>
      <c r="D47" s="32"/>
      <c r="F47" s="32"/>
      <c r="G47" s="41"/>
      <c r="H47" s="32"/>
      <c r="I47" s="41"/>
      <c r="J47" s="315"/>
      <c r="K47" s="315"/>
      <c r="L47" s="315"/>
    </row>
    <row r="48" spans="1:15" s="30" customFormat="1" x14ac:dyDescent="0.25">
      <c r="A48" s="36"/>
      <c r="B48" s="31"/>
      <c r="C48" s="31"/>
      <c r="D48" s="32"/>
      <c r="F48" s="32"/>
      <c r="G48" s="41"/>
      <c r="H48" s="32"/>
      <c r="I48" s="41"/>
      <c r="J48" s="315"/>
      <c r="K48" s="315"/>
      <c r="L48" s="315"/>
    </row>
    <row r="49" spans="1:12" s="30" customFormat="1" x14ac:dyDescent="0.25">
      <c r="A49" s="36"/>
      <c r="B49" s="31"/>
      <c r="C49" s="31"/>
      <c r="D49" s="32"/>
      <c r="F49" s="32"/>
      <c r="G49" s="41"/>
      <c r="H49" s="32"/>
      <c r="I49" s="41"/>
      <c r="J49" s="315"/>
      <c r="K49" s="315"/>
      <c r="L49" s="315"/>
    </row>
    <row r="50" spans="1:12" s="30" customFormat="1" x14ac:dyDescent="0.25">
      <c r="A50" s="36"/>
      <c r="B50" s="31"/>
      <c r="C50" s="31"/>
      <c r="D50" s="32"/>
      <c r="F50" s="32"/>
      <c r="G50" s="41"/>
      <c r="H50" s="32"/>
      <c r="I50" s="41"/>
      <c r="J50" s="315"/>
      <c r="K50" s="315"/>
      <c r="L50" s="315"/>
    </row>
    <row r="51" spans="1:12" s="30" customFormat="1" x14ac:dyDescent="0.25">
      <c r="A51" s="36"/>
      <c r="B51" s="31"/>
      <c r="C51" s="31"/>
      <c r="D51" s="32"/>
      <c r="F51" s="32"/>
      <c r="G51" s="41"/>
      <c r="H51" s="32"/>
      <c r="I51" s="41"/>
      <c r="J51" s="315"/>
      <c r="K51" s="315"/>
      <c r="L51" s="315"/>
    </row>
    <row r="52" spans="1:12" s="30" customFormat="1" x14ac:dyDescent="0.25">
      <c r="A52" s="36"/>
      <c r="B52" s="31"/>
      <c r="C52" s="31"/>
      <c r="D52" s="32"/>
      <c r="F52" s="32"/>
      <c r="G52" s="41"/>
      <c r="H52" s="32"/>
      <c r="I52" s="41"/>
      <c r="J52" s="315"/>
      <c r="K52" s="315"/>
      <c r="L52" s="315"/>
    </row>
    <row r="53" spans="1:12" s="30" customFormat="1" x14ac:dyDescent="0.25">
      <c r="A53" s="36"/>
      <c r="B53" s="31"/>
      <c r="C53" s="31"/>
      <c r="D53" s="32"/>
      <c r="F53" s="32"/>
      <c r="G53" s="41"/>
      <c r="H53" s="32"/>
      <c r="I53" s="41"/>
      <c r="J53" s="315"/>
      <c r="K53" s="315"/>
      <c r="L53" s="315"/>
    </row>
    <row r="54" spans="1:12" s="30" customFormat="1" x14ac:dyDescent="0.25">
      <c r="A54" s="36"/>
      <c r="B54" s="31"/>
      <c r="C54" s="31"/>
      <c r="D54" s="32"/>
      <c r="F54" s="32"/>
      <c r="G54" s="41"/>
      <c r="H54" s="32"/>
      <c r="I54" s="41"/>
      <c r="J54" s="315"/>
      <c r="K54" s="315"/>
      <c r="L54" s="315"/>
    </row>
    <row r="55" spans="1:12" s="30" customFormat="1" x14ac:dyDescent="0.25">
      <c r="A55" s="36"/>
      <c r="B55" s="31"/>
      <c r="C55" s="31"/>
      <c r="D55" s="32"/>
      <c r="F55" s="32"/>
      <c r="G55" s="41"/>
      <c r="H55" s="32"/>
      <c r="I55" s="41"/>
      <c r="J55" s="315"/>
      <c r="K55" s="315"/>
      <c r="L55" s="315"/>
    </row>
    <row r="56" spans="1:12" s="30" customFormat="1" x14ac:dyDescent="0.25">
      <c r="A56" s="36"/>
      <c r="B56" s="31"/>
      <c r="C56" s="31"/>
      <c r="D56" s="32"/>
      <c r="F56" s="32"/>
      <c r="G56" s="41"/>
      <c r="H56" s="32"/>
      <c r="I56" s="41"/>
      <c r="J56" s="315"/>
      <c r="K56" s="315"/>
      <c r="L56" s="315"/>
    </row>
    <row r="57" spans="1:12" s="30" customFormat="1" x14ac:dyDescent="0.25">
      <c r="A57" s="36"/>
      <c r="B57" s="31"/>
      <c r="C57" s="31"/>
      <c r="D57" s="32"/>
      <c r="F57" s="32"/>
      <c r="G57" s="41"/>
      <c r="H57" s="32"/>
      <c r="I57" s="41"/>
      <c r="J57" s="315"/>
      <c r="K57" s="315"/>
      <c r="L57" s="315"/>
    </row>
    <row r="58" spans="1:12" s="30" customFormat="1" x14ac:dyDescent="0.25">
      <c r="A58" s="36"/>
      <c r="B58" s="31"/>
      <c r="C58" s="31"/>
      <c r="D58" s="32"/>
      <c r="F58" s="32"/>
      <c r="G58" s="41"/>
      <c r="H58" s="32"/>
      <c r="I58" s="41"/>
      <c r="J58" s="315"/>
      <c r="K58" s="315"/>
      <c r="L58" s="315"/>
    </row>
    <row r="59" spans="1:12" s="30" customFormat="1" x14ac:dyDescent="0.25">
      <c r="A59" s="36"/>
      <c r="B59" s="31"/>
      <c r="C59" s="31"/>
      <c r="D59" s="32"/>
      <c r="F59" s="32"/>
      <c r="G59" s="41"/>
      <c r="H59" s="32"/>
      <c r="I59" s="41"/>
      <c r="J59" s="315"/>
      <c r="K59" s="315"/>
      <c r="L59" s="315"/>
    </row>
    <row r="60" spans="1:12" s="30" customFormat="1" x14ac:dyDescent="0.25">
      <c r="A60" s="36"/>
      <c r="B60" s="31"/>
      <c r="C60" s="31"/>
      <c r="D60" s="32"/>
      <c r="F60" s="32"/>
      <c r="G60" s="41"/>
      <c r="H60" s="32"/>
      <c r="I60" s="41"/>
      <c r="J60" s="315"/>
      <c r="K60" s="315"/>
      <c r="L60" s="315"/>
    </row>
    <row r="61" spans="1:12" s="30" customFormat="1" x14ac:dyDescent="0.25">
      <c r="A61" s="36"/>
      <c r="B61" s="31"/>
      <c r="C61" s="31"/>
      <c r="D61" s="32"/>
      <c r="F61" s="32"/>
      <c r="G61" s="41"/>
      <c r="H61" s="32"/>
      <c r="I61" s="41"/>
      <c r="J61" s="315"/>
      <c r="K61" s="315"/>
      <c r="L61" s="315"/>
    </row>
    <row r="62" spans="1:12" s="30" customFormat="1" x14ac:dyDescent="0.25">
      <c r="A62" s="36"/>
      <c r="B62" s="31"/>
      <c r="C62" s="31"/>
      <c r="D62" s="32"/>
      <c r="F62" s="32"/>
      <c r="G62" s="41"/>
      <c r="H62" s="32"/>
      <c r="I62" s="41"/>
      <c r="J62" s="315"/>
      <c r="K62" s="315"/>
      <c r="L62" s="315"/>
    </row>
    <row r="63" spans="1:12" s="30" customFormat="1" x14ac:dyDescent="0.25">
      <c r="A63" s="36"/>
      <c r="B63" s="31"/>
      <c r="C63" s="31"/>
      <c r="D63" s="32"/>
      <c r="F63" s="32"/>
      <c r="G63" s="41"/>
      <c r="H63" s="32"/>
      <c r="I63" s="41"/>
      <c r="J63" s="315"/>
      <c r="K63" s="315"/>
      <c r="L63" s="315"/>
    </row>
    <row r="64" spans="1:12" s="30" customFormat="1" x14ac:dyDescent="0.25">
      <c r="A64" s="36"/>
      <c r="B64" s="31"/>
      <c r="C64" s="31"/>
      <c r="D64" s="32"/>
      <c r="F64" s="32"/>
      <c r="G64" s="41"/>
      <c r="H64" s="32"/>
      <c r="I64" s="41"/>
      <c r="J64" s="315"/>
      <c r="K64" s="315"/>
      <c r="L64" s="315"/>
    </row>
    <row r="65" spans="1:12" s="30" customFormat="1" x14ac:dyDescent="0.25">
      <c r="A65" s="36"/>
      <c r="B65" s="31"/>
      <c r="C65" s="31"/>
      <c r="D65" s="32"/>
      <c r="F65" s="32"/>
      <c r="G65" s="41"/>
      <c r="H65" s="32"/>
      <c r="I65" s="41"/>
      <c r="J65" s="315"/>
      <c r="K65" s="315"/>
      <c r="L65" s="315"/>
    </row>
    <row r="66" spans="1:12" s="30" customFormat="1" x14ac:dyDescent="0.25">
      <c r="A66" s="36"/>
      <c r="B66" s="31"/>
      <c r="C66" s="31"/>
      <c r="D66" s="32"/>
      <c r="F66" s="32"/>
      <c r="G66" s="41"/>
      <c r="H66" s="32"/>
      <c r="I66" s="41"/>
      <c r="J66" s="315"/>
      <c r="K66" s="315"/>
      <c r="L66" s="315"/>
    </row>
    <row r="67" spans="1:12" s="30" customFormat="1" x14ac:dyDescent="0.25">
      <c r="A67" s="36"/>
      <c r="B67" s="31"/>
      <c r="C67" s="31"/>
      <c r="D67" s="32"/>
      <c r="F67" s="32"/>
      <c r="G67" s="41"/>
      <c r="H67" s="32"/>
      <c r="I67" s="41"/>
      <c r="J67" s="315"/>
      <c r="K67" s="315"/>
      <c r="L67" s="315"/>
    </row>
    <row r="68" spans="1:12" s="30" customFormat="1" x14ac:dyDescent="0.25">
      <c r="A68" s="36"/>
      <c r="B68" s="31"/>
      <c r="C68" s="31"/>
      <c r="D68" s="32"/>
      <c r="F68" s="32"/>
      <c r="G68" s="41"/>
      <c r="H68" s="32"/>
      <c r="I68" s="41"/>
      <c r="J68" s="315"/>
      <c r="K68" s="315"/>
      <c r="L68" s="315"/>
    </row>
    <row r="69" spans="1:12" s="30" customFormat="1" x14ac:dyDescent="0.25">
      <c r="A69" s="36"/>
      <c r="B69" s="31"/>
      <c r="C69" s="31"/>
      <c r="D69" s="32"/>
      <c r="F69" s="32"/>
      <c r="G69" s="41"/>
      <c r="H69" s="32"/>
      <c r="I69" s="41"/>
      <c r="J69" s="315"/>
      <c r="K69" s="315"/>
      <c r="L69" s="315"/>
    </row>
    <row r="70" spans="1:12" s="30" customFormat="1" x14ac:dyDescent="0.25">
      <c r="A70" s="36"/>
      <c r="B70" s="31"/>
      <c r="C70" s="31"/>
      <c r="D70" s="32"/>
      <c r="F70" s="32"/>
      <c r="G70" s="41"/>
      <c r="H70" s="32"/>
      <c r="I70" s="41"/>
      <c r="J70" s="315"/>
      <c r="K70" s="315"/>
      <c r="L70" s="315"/>
    </row>
    <row r="71" spans="1:12" s="30" customFormat="1" x14ac:dyDescent="0.25">
      <c r="A71" s="36"/>
      <c r="B71" s="31"/>
      <c r="C71" s="31"/>
      <c r="D71" s="32"/>
      <c r="F71" s="32"/>
      <c r="G71" s="41"/>
      <c r="H71" s="32"/>
      <c r="I71" s="41"/>
      <c r="J71" s="315"/>
      <c r="K71" s="315"/>
      <c r="L71" s="315"/>
    </row>
    <row r="72" spans="1:12" s="30" customFormat="1" x14ac:dyDescent="0.25">
      <c r="A72" s="36"/>
      <c r="B72" s="31"/>
      <c r="C72" s="31"/>
      <c r="D72" s="32"/>
      <c r="F72" s="32"/>
      <c r="G72" s="41"/>
      <c r="H72" s="32"/>
      <c r="I72" s="41"/>
      <c r="J72" s="315"/>
      <c r="K72" s="315"/>
      <c r="L72" s="315"/>
    </row>
    <row r="73" spans="1:12" s="30" customFormat="1" x14ac:dyDescent="0.25">
      <c r="A73" s="36"/>
      <c r="B73" s="31"/>
      <c r="C73" s="31"/>
      <c r="D73" s="32"/>
      <c r="F73" s="32"/>
      <c r="G73" s="41"/>
      <c r="H73" s="32"/>
      <c r="I73" s="41"/>
      <c r="J73" s="315"/>
      <c r="K73" s="315"/>
      <c r="L73" s="315"/>
    </row>
    <row r="74" spans="1:12" s="30" customFormat="1" x14ac:dyDescent="0.25">
      <c r="A74" s="36"/>
      <c r="B74" s="31"/>
      <c r="C74" s="31"/>
      <c r="D74" s="32"/>
      <c r="F74" s="32"/>
      <c r="G74" s="41"/>
      <c r="H74" s="32"/>
      <c r="I74" s="41"/>
      <c r="J74" s="315"/>
      <c r="K74" s="315"/>
      <c r="L74" s="315"/>
    </row>
    <row r="75" spans="1:12" s="30" customFormat="1" x14ac:dyDescent="0.25">
      <c r="A75" s="36"/>
      <c r="B75" s="31"/>
      <c r="C75" s="31"/>
      <c r="D75" s="32"/>
      <c r="F75" s="32"/>
      <c r="G75" s="41"/>
      <c r="H75" s="32"/>
      <c r="I75" s="41"/>
      <c r="J75" s="315"/>
      <c r="K75" s="315"/>
      <c r="L75" s="315"/>
    </row>
    <row r="76" spans="1:12" s="30" customFormat="1" x14ac:dyDescent="0.25">
      <c r="A76" s="36"/>
      <c r="B76" s="31"/>
      <c r="C76" s="31"/>
      <c r="D76" s="32"/>
      <c r="F76" s="32"/>
      <c r="G76" s="41"/>
      <c r="H76" s="32"/>
      <c r="I76" s="41"/>
      <c r="J76" s="315"/>
      <c r="K76" s="315"/>
      <c r="L76" s="315"/>
    </row>
    <row r="77" spans="1:12" s="30" customFormat="1" x14ac:dyDescent="0.25">
      <c r="A77" s="36"/>
      <c r="B77" s="31"/>
      <c r="C77" s="31"/>
      <c r="D77" s="32"/>
      <c r="F77" s="32"/>
      <c r="G77" s="41"/>
      <c r="H77" s="32"/>
      <c r="I77" s="41"/>
      <c r="J77" s="315"/>
      <c r="K77" s="315"/>
      <c r="L77" s="315"/>
    </row>
    <row r="78" spans="1:12" s="30" customFormat="1" x14ac:dyDescent="0.25">
      <c r="A78" s="36"/>
      <c r="B78" s="31"/>
      <c r="C78" s="31"/>
      <c r="D78" s="32"/>
      <c r="F78" s="32"/>
      <c r="G78" s="41"/>
      <c r="H78" s="32"/>
      <c r="I78" s="41"/>
      <c r="J78" s="315"/>
      <c r="K78" s="315"/>
      <c r="L78" s="315"/>
    </row>
    <row r="79" spans="1:12" s="30" customFormat="1" x14ac:dyDescent="0.25">
      <c r="A79" s="36"/>
      <c r="B79" s="31"/>
      <c r="C79" s="31"/>
      <c r="D79" s="32"/>
      <c r="F79" s="32"/>
      <c r="G79" s="41"/>
      <c r="H79" s="32"/>
      <c r="I79" s="41"/>
      <c r="J79" s="315"/>
      <c r="K79" s="315"/>
      <c r="L79" s="315"/>
    </row>
    <row r="80" spans="1:12" s="30" customFormat="1" x14ac:dyDescent="0.25">
      <c r="A80" s="36"/>
      <c r="B80" s="31"/>
      <c r="C80" s="31"/>
      <c r="D80" s="32"/>
      <c r="F80" s="32"/>
      <c r="G80" s="41"/>
      <c r="H80" s="32"/>
      <c r="I80" s="41"/>
      <c r="J80" s="315"/>
      <c r="K80" s="315"/>
      <c r="L80" s="315"/>
    </row>
    <row r="81" spans="1:12" s="30" customFormat="1" x14ac:dyDescent="0.25">
      <c r="A81" s="36"/>
      <c r="B81" s="31"/>
      <c r="C81" s="31"/>
      <c r="D81" s="32"/>
      <c r="F81" s="32"/>
      <c r="G81" s="41"/>
      <c r="H81" s="32"/>
      <c r="I81" s="41"/>
      <c r="J81" s="315"/>
      <c r="K81" s="315"/>
      <c r="L81" s="315"/>
    </row>
    <row r="82" spans="1:12" s="30" customFormat="1" x14ac:dyDescent="0.25">
      <c r="A82" s="36"/>
      <c r="B82" s="31"/>
      <c r="C82" s="31"/>
      <c r="D82" s="32"/>
      <c r="F82" s="32"/>
      <c r="G82" s="41"/>
      <c r="H82" s="32"/>
      <c r="I82" s="41"/>
      <c r="J82" s="315"/>
      <c r="K82" s="315"/>
      <c r="L82" s="315"/>
    </row>
    <row r="83" spans="1:12" s="30" customFormat="1" x14ac:dyDescent="0.25">
      <c r="A83" s="36"/>
      <c r="B83" s="31"/>
      <c r="C83" s="31"/>
      <c r="D83" s="32"/>
      <c r="F83" s="32"/>
      <c r="G83" s="41"/>
      <c r="H83" s="32"/>
      <c r="I83" s="41"/>
      <c r="J83" s="315"/>
      <c r="K83" s="315"/>
      <c r="L83" s="315"/>
    </row>
    <row r="84" spans="1:12" s="30" customFormat="1" x14ac:dyDescent="0.25">
      <c r="A84" s="36"/>
      <c r="B84" s="31"/>
      <c r="C84" s="31"/>
      <c r="D84" s="32"/>
      <c r="F84" s="32"/>
      <c r="G84" s="41"/>
      <c r="H84" s="32"/>
      <c r="I84" s="41"/>
      <c r="J84" s="315"/>
      <c r="K84" s="315"/>
      <c r="L84" s="315"/>
    </row>
    <row r="85" spans="1:12" s="30" customFormat="1" x14ac:dyDescent="0.25">
      <c r="A85" s="36"/>
      <c r="B85" s="31"/>
      <c r="C85" s="31"/>
      <c r="D85" s="32"/>
      <c r="F85" s="32"/>
      <c r="G85" s="41"/>
      <c r="H85" s="32"/>
      <c r="I85" s="41"/>
      <c r="J85" s="315"/>
      <c r="K85" s="315"/>
      <c r="L85" s="315"/>
    </row>
    <row r="86" spans="1:12" s="30" customFormat="1" x14ac:dyDescent="0.25">
      <c r="A86" s="36"/>
      <c r="B86" s="31"/>
      <c r="C86" s="31"/>
      <c r="D86" s="32"/>
      <c r="F86" s="32"/>
      <c r="G86" s="41"/>
      <c r="H86" s="32"/>
      <c r="I86" s="41"/>
      <c r="J86" s="315"/>
      <c r="K86" s="315"/>
      <c r="L86" s="315"/>
    </row>
    <row r="87" spans="1:12" s="30" customFormat="1" x14ac:dyDescent="0.25">
      <c r="A87" s="36"/>
      <c r="B87" s="31"/>
      <c r="C87" s="31"/>
      <c r="D87" s="32"/>
      <c r="F87" s="32"/>
      <c r="G87" s="41"/>
      <c r="H87" s="32"/>
      <c r="I87" s="41"/>
      <c r="J87" s="315"/>
      <c r="K87" s="315"/>
      <c r="L87" s="315"/>
    </row>
    <row r="88" spans="1:12" s="30" customFormat="1" x14ac:dyDescent="0.25">
      <c r="A88" s="36"/>
      <c r="B88" s="31"/>
      <c r="C88" s="31"/>
      <c r="D88" s="32"/>
      <c r="F88" s="32"/>
      <c r="G88" s="41"/>
      <c r="H88" s="32"/>
      <c r="I88" s="41"/>
      <c r="J88" s="315"/>
      <c r="K88" s="315"/>
      <c r="L88" s="315"/>
    </row>
    <row r="89" spans="1:12" s="30" customFormat="1" x14ac:dyDescent="0.25">
      <c r="A89" s="36"/>
      <c r="B89" s="31"/>
      <c r="C89" s="31"/>
      <c r="D89" s="32"/>
      <c r="F89" s="32"/>
      <c r="G89" s="41"/>
      <c r="H89" s="32"/>
      <c r="I89" s="41"/>
      <c r="J89" s="315"/>
      <c r="K89" s="315"/>
      <c r="L89" s="315"/>
    </row>
    <row r="90" spans="1:12" s="30" customFormat="1" x14ac:dyDescent="0.25">
      <c r="A90" s="36"/>
      <c r="B90" s="31"/>
      <c r="C90" s="31"/>
      <c r="D90" s="32"/>
      <c r="F90" s="32"/>
      <c r="G90" s="41"/>
      <c r="H90" s="32"/>
      <c r="I90" s="41"/>
      <c r="J90" s="315"/>
      <c r="K90" s="315"/>
      <c r="L90" s="315"/>
    </row>
    <row r="91" spans="1:12" s="30" customFormat="1" x14ac:dyDescent="0.25">
      <c r="A91" s="36"/>
      <c r="B91" s="31"/>
      <c r="C91" s="31"/>
      <c r="D91" s="32"/>
      <c r="F91" s="32"/>
      <c r="G91" s="41"/>
      <c r="H91" s="32"/>
      <c r="I91" s="41"/>
      <c r="J91" s="315"/>
      <c r="K91" s="315"/>
      <c r="L91" s="315"/>
    </row>
    <row r="92" spans="1:12" s="30" customFormat="1" x14ac:dyDescent="0.25">
      <c r="A92" s="36"/>
      <c r="B92" s="31"/>
      <c r="C92" s="31"/>
      <c r="D92" s="32"/>
      <c r="F92" s="32"/>
      <c r="G92" s="41"/>
      <c r="H92" s="32"/>
      <c r="I92" s="41"/>
      <c r="J92" s="315"/>
      <c r="K92" s="315"/>
      <c r="L92" s="315"/>
    </row>
    <row r="93" spans="1:12" s="30" customFormat="1" x14ac:dyDescent="0.25">
      <c r="A93" s="36"/>
      <c r="B93" s="31"/>
      <c r="C93" s="31"/>
      <c r="D93" s="32"/>
      <c r="F93" s="32"/>
      <c r="G93" s="41"/>
      <c r="H93" s="32"/>
      <c r="I93" s="41"/>
      <c r="J93" s="315"/>
      <c r="K93" s="315"/>
      <c r="L93" s="315"/>
    </row>
    <row r="94" spans="1:12" s="30" customFormat="1" x14ac:dyDescent="0.25">
      <c r="A94" s="36"/>
      <c r="B94" s="31"/>
      <c r="C94" s="31"/>
      <c r="D94" s="32"/>
      <c r="F94" s="32"/>
      <c r="G94" s="41"/>
      <c r="H94" s="32"/>
      <c r="I94" s="41"/>
      <c r="J94" s="315"/>
      <c r="K94" s="315"/>
      <c r="L94" s="315"/>
    </row>
    <row r="95" spans="1:12" s="30" customFormat="1" x14ac:dyDescent="0.25">
      <c r="A95" s="36"/>
      <c r="B95" s="31"/>
      <c r="C95" s="31"/>
      <c r="D95" s="32"/>
      <c r="F95" s="32"/>
      <c r="G95" s="41"/>
      <c r="H95" s="32"/>
      <c r="I95" s="41"/>
      <c r="J95" s="315"/>
      <c r="K95" s="315"/>
      <c r="L95" s="315"/>
    </row>
    <row r="96" spans="1:12" s="30" customFormat="1" x14ac:dyDescent="0.25">
      <c r="A96" s="36"/>
      <c r="B96" s="31"/>
      <c r="C96" s="31"/>
      <c r="D96" s="32"/>
      <c r="F96" s="32"/>
      <c r="G96" s="41"/>
      <c r="H96" s="32"/>
      <c r="I96" s="41"/>
      <c r="J96" s="315"/>
      <c r="K96" s="315"/>
      <c r="L96" s="315"/>
    </row>
    <row r="97" spans="1:12" s="30" customFormat="1" x14ac:dyDescent="0.25">
      <c r="A97" s="36"/>
      <c r="B97" s="31"/>
      <c r="C97" s="31"/>
      <c r="D97" s="32"/>
      <c r="F97" s="32"/>
      <c r="G97" s="41"/>
      <c r="H97" s="32"/>
      <c r="I97" s="41"/>
      <c r="J97" s="315"/>
      <c r="K97" s="315"/>
      <c r="L97" s="315"/>
    </row>
    <row r="98" spans="1:12" s="30" customFormat="1" x14ac:dyDescent="0.25">
      <c r="A98" s="36"/>
      <c r="B98" s="31"/>
      <c r="C98" s="31"/>
      <c r="D98" s="32"/>
      <c r="F98" s="32"/>
      <c r="G98" s="41"/>
      <c r="H98" s="32"/>
      <c r="I98" s="41"/>
      <c r="J98" s="315"/>
      <c r="K98" s="315"/>
      <c r="L98" s="315"/>
    </row>
    <row r="99" spans="1:12" s="30" customFormat="1" x14ac:dyDescent="0.25">
      <c r="A99" s="36"/>
      <c r="B99" s="31"/>
      <c r="C99" s="31"/>
      <c r="D99" s="32"/>
      <c r="F99" s="32"/>
      <c r="G99" s="41"/>
      <c r="H99" s="32"/>
      <c r="I99" s="41"/>
      <c r="J99" s="315"/>
      <c r="K99" s="315"/>
      <c r="L99" s="315"/>
    </row>
    <row r="100" spans="1:12" s="30" customFormat="1" x14ac:dyDescent="0.25">
      <c r="A100" s="36"/>
      <c r="B100" s="31"/>
      <c r="C100" s="31"/>
      <c r="D100" s="32"/>
      <c r="F100" s="32"/>
      <c r="G100" s="41"/>
      <c r="H100" s="32"/>
      <c r="I100" s="41"/>
      <c r="J100" s="315"/>
      <c r="K100" s="315"/>
      <c r="L100" s="315"/>
    </row>
    <row r="101" spans="1:12" s="30" customFormat="1" x14ac:dyDescent="0.25">
      <c r="A101" s="36"/>
      <c r="B101" s="31"/>
      <c r="C101" s="31"/>
      <c r="D101" s="32"/>
      <c r="F101" s="32"/>
      <c r="G101" s="41"/>
      <c r="H101" s="32"/>
      <c r="I101" s="41"/>
      <c r="J101" s="315"/>
      <c r="K101" s="315"/>
      <c r="L101" s="315"/>
    </row>
    <row r="102" spans="1:12" s="30" customFormat="1" x14ac:dyDescent="0.25">
      <c r="A102" s="36"/>
      <c r="B102" s="31"/>
      <c r="C102" s="31"/>
      <c r="D102" s="32"/>
      <c r="F102" s="32"/>
      <c r="G102" s="41"/>
      <c r="H102" s="32"/>
      <c r="I102" s="41"/>
      <c r="J102" s="315"/>
      <c r="K102" s="315"/>
      <c r="L102" s="315"/>
    </row>
    <row r="103" spans="1:12" s="30" customFormat="1" x14ac:dyDescent="0.25">
      <c r="A103" s="36"/>
      <c r="B103" s="31"/>
      <c r="C103" s="31"/>
      <c r="D103" s="32"/>
      <c r="F103" s="32"/>
      <c r="G103" s="41"/>
      <c r="H103" s="32"/>
      <c r="I103" s="41"/>
      <c r="J103" s="315"/>
      <c r="K103" s="315"/>
      <c r="L103" s="315"/>
    </row>
    <row r="104" spans="1:12" s="30" customFormat="1" x14ac:dyDescent="0.25">
      <c r="A104" s="36"/>
      <c r="B104" s="31"/>
      <c r="C104" s="31"/>
      <c r="D104" s="32"/>
      <c r="F104" s="32"/>
      <c r="G104" s="41"/>
      <c r="H104" s="32"/>
      <c r="I104" s="41"/>
      <c r="J104" s="315"/>
      <c r="K104" s="315"/>
      <c r="L104" s="315"/>
    </row>
    <row r="105" spans="1:12" s="30" customFormat="1" x14ac:dyDescent="0.25">
      <c r="A105" s="36"/>
      <c r="B105" s="31"/>
      <c r="C105" s="31"/>
      <c r="D105" s="32"/>
      <c r="F105" s="32"/>
      <c r="G105" s="41"/>
      <c r="H105" s="32"/>
      <c r="I105" s="41"/>
      <c r="J105" s="315"/>
      <c r="K105" s="315"/>
      <c r="L105" s="315"/>
    </row>
    <row r="106" spans="1:12" s="30" customFormat="1" x14ac:dyDescent="0.25">
      <c r="A106" s="36"/>
      <c r="B106" s="31"/>
      <c r="C106" s="31"/>
      <c r="D106" s="32"/>
      <c r="F106" s="32"/>
      <c r="G106" s="41"/>
      <c r="H106" s="32"/>
      <c r="I106" s="41"/>
      <c r="J106" s="315"/>
      <c r="K106" s="315"/>
      <c r="L106" s="315"/>
    </row>
    <row r="107" spans="1:12" s="30" customFormat="1" x14ac:dyDescent="0.25">
      <c r="A107" s="36"/>
      <c r="B107" s="31"/>
      <c r="C107" s="31"/>
      <c r="D107" s="32"/>
      <c r="F107" s="32"/>
      <c r="G107" s="41"/>
      <c r="H107" s="32"/>
      <c r="I107" s="41"/>
      <c r="J107" s="315"/>
      <c r="K107" s="315"/>
      <c r="L107" s="315"/>
    </row>
    <row r="108" spans="1:12" s="30" customFormat="1" x14ac:dyDescent="0.25">
      <c r="A108" s="36"/>
      <c r="B108" s="31"/>
      <c r="C108" s="31"/>
      <c r="D108" s="32"/>
      <c r="F108" s="32"/>
      <c r="G108" s="41"/>
      <c r="H108" s="32"/>
      <c r="I108" s="41"/>
      <c r="J108" s="315"/>
      <c r="K108" s="315"/>
      <c r="L108" s="315"/>
    </row>
    <row r="109" spans="1:12" s="30" customFormat="1" x14ac:dyDescent="0.25">
      <c r="A109" s="36"/>
      <c r="B109" s="31"/>
      <c r="C109" s="31"/>
      <c r="D109" s="32"/>
      <c r="F109" s="32"/>
      <c r="G109" s="41"/>
      <c r="H109" s="32"/>
      <c r="I109" s="41"/>
      <c r="J109" s="315"/>
      <c r="K109" s="315"/>
      <c r="L109" s="315"/>
    </row>
    <row r="110" spans="1:12" s="30" customFormat="1" x14ac:dyDescent="0.25">
      <c r="A110" s="36"/>
      <c r="B110" s="31"/>
      <c r="C110" s="31"/>
      <c r="D110" s="32"/>
      <c r="F110" s="32"/>
      <c r="G110" s="41"/>
      <c r="H110" s="32"/>
      <c r="I110" s="41"/>
      <c r="J110" s="315"/>
      <c r="K110" s="315"/>
      <c r="L110" s="315"/>
    </row>
    <row r="111" spans="1:12" s="30" customFormat="1" x14ac:dyDescent="0.25">
      <c r="A111" s="36"/>
      <c r="B111" s="31"/>
      <c r="C111" s="31"/>
      <c r="D111" s="32"/>
      <c r="F111" s="32"/>
      <c r="G111" s="41"/>
      <c r="H111" s="32"/>
      <c r="I111" s="41"/>
      <c r="J111" s="315"/>
      <c r="K111" s="315"/>
      <c r="L111" s="315"/>
    </row>
    <row r="112" spans="1:12" s="30" customFormat="1" x14ac:dyDescent="0.25">
      <c r="A112" s="36"/>
      <c r="B112" s="31"/>
      <c r="C112" s="31"/>
      <c r="D112" s="32"/>
      <c r="F112" s="32"/>
      <c r="G112" s="41"/>
      <c r="H112" s="32"/>
      <c r="I112" s="41"/>
      <c r="J112" s="315"/>
      <c r="K112" s="315"/>
      <c r="L112" s="315"/>
    </row>
    <row r="113" spans="1:12" s="30" customFormat="1" x14ac:dyDescent="0.25">
      <c r="A113" s="36"/>
      <c r="B113" s="31"/>
      <c r="C113" s="31"/>
      <c r="D113" s="32"/>
      <c r="F113" s="32"/>
      <c r="G113" s="41"/>
      <c r="H113" s="32"/>
      <c r="I113" s="41"/>
      <c r="J113" s="315"/>
      <c r="K113" s="315"/>
      <c r="L113" s="315"/>
    </row>
    <row r="114" spans="1:12" s="30" customFormat="1" x14ac:dyDescent="0.25">
      <c r="A114" s="36"/>
      <c r="B114" s="31"/>
      <c r="C114" s="31"/>
      <c r="D114" s="32"/>
      <c r="F114" s="32"/>
      <c r="G114" s="41"/>
      <c r="H114" s="32"/>
      <c r="I114" s="41"/>
      <c r="J114" s="315"/>
      <c r="K114" s="315"/>
      <c r="L114" s="315"/>
    </row>
    <row r="115" spans="1:12" s="30" customFormat="1" x14ac:dyDescent="0.25">
      <c r="A115" s="36"/>
      <c r="B115" s="31"/>
      <c r="C115" s="31"/>
      <c r="D115" s="32"/>
      <c r="F115" s="32"/>
      <c r="G115" s="41"/>
      <c r="H115" s="32"/>
      <c r="I115" s="41"/>
      <c r="J115" s="315"/>
      <c r="K115" s="315"/>
      <c r="L115" s="315"/>
    </row>
    <row r="116" spans="1:12" s="30" customFormat="1" x14ac:dyDescent="0.25">
      <c r="A116" s="36"/>
      <c r="B116" s="31"/>
      <c r="C116" s="31"/>
      <c r="D116" s="32"/>
      <c r="F116" s="32"/>
      <c r="G116" s="41"/>
      <c r="H116" s="32"/>
      <c r="I116" s="41"/>
      <c r="J116" s="315"/>
      <c r="K116" s="315"/>
      <c r="L116" s="315"/>
    </row>
    <row r="117" spans="1:12" s="30" customFormat="1" x14ac:dyDescent="0.25">
      <c r="A117" s="36"/>
      <c r="B117" s="31"/>
      <c r="C117" s="31"/>
      <c r="D117" s="32"/>
      <c r="F117" s="32"/>
      <c r="G117" s="41"/>
      <c r="H117" s="32"/>
      <c r="I117" s="41"/>
      <c r="J117" s="315"/>
      <c r="K117" s="315"/>
      <c r="L117" s="315"/>
    </row>
    <row r="118" spans="1:12" s="30" customFormat="1" x14ac:dyDescent="0.25">
      <c r="A118" s="36"/>
      <c r="B118" s="31"/>
      <c r="C118" s="31"/>
      <c r="D118" s="32"/>
      <c r="F118" s="32"/>
      <c r="G118" s="41"/>
      <c r="H118" s="32"/>
      <c r="I118" s="41"/>
      <c r="J118" s="315"/>
      <c r="K118" s="315"/>
      <c r="L118" s="315"/>
    </row>
    <row r="119" spans="1:12" s="30" customFormat="1" x14ac:dyDescent="0.25">
      <c r="A119" s="36"/>
      <c r="B119" s="31"/>
      <c r="C119" s="31"/>
      <c r="D119" s="32"/>
      <c r="F119" s="32"/>
      <c r="G119" s="41"/>
      <c r="H119" s="32"/>
      <c r="I119" s="41"/>
      <c r="J119" s="315"/>
      <c r="K119" s="315"/>
      <c r="L119" s="315"/>
    </row>
    <row r="120" spans="1:12" s="30" customFormat="1" x14ac:dyDescent="0.25">
      <c r="A120" s="36"/>
      <c r="B120" s="31"/>
      <c r="C120" s="31"/>
      <c r="D120" s="32"/>
      <c r="F120" s="32"/>
      <c r="G120" s="41"/>
      <c r="H120" s="32"/>
      <c r="I120" s="41"/>
      <c r="J120" s="315"/>
      <c r="K120" s="315"/>
      <c r="L120" s="315"/>
    </row>
    <row r="121" spans="1:12" s="30" customFormat="1" x14ac:dyDescent="0.25">
      <c r="A121" s="36"/>
      <c r="B121" s="31"/>
      <c r="C121" s="31"/>
      <c r="D121" s="32"/>
      <c r="F121" s="32"/>
      <c r="G121" s="41"/>
      <c r="H121" s="32"/>
      <c r="I121" s="41"/>
      <c r="J121" s="315"/>
      <c r="K121" s="315"/>
      <c r="L121" s="315"/>
    </row>
    <row r="122" spans="1:12" s="30" customFormat="1" x14ac:dyDescent="0.25">
      <c r="A122" s="36"/>
      <c r="B122" s="31"/>
      <c r="C122" s="31"/>
      <c r="D122" s="32"/>
      <c r="F122" s="32"/>
      <c r="G122" s="41"/>
      <c r="H122" s="32"/>
      <c r="I122" s="41"/>
      <c r="J122" s="315"/>
      <c r="K122" s="315"/>
      <c r="L122" s="315"/>
    </row>
    <row r="123" spans="1:12" s="30" customFormat="1" x14ac:dyDescent="0.25">
      <c r="A123" s="36"/>
      <c r="B123" s="31"/>
      <c r="C123" s="31"/>
      <c r="D123" s="32"/>
      <c r="F123" s="32"/>
      <c r="G123" s="41"/>
      <c r="H123" s="32"/>
      <c r="I123" s="41"/>
      <c r="J123" s="315"/>
      <c r="K123" s="315"/>
      <c r="L123" s="315"/>
    </row>
    <row r="124" spans="1:12" s="30" customFormat="1" x14ac:dyDescent="0.25">
      <c r="A124" s="36"/>
      <c r="B124" s="31"/>
      <c r="C124" s="31"/>
      <c r="D124" s="32"/>
      <c r="F124" s="32"/>
      <c r="G124" s="41"/>
      <c r="H124" s="32"/>
      <c r="I124" s="41"/>
      <c r="J124" s="315"/>
      <c r="K124" s="315"/>
      <c r="L124" s="315"/>
    </row>
    <row r="125" spans="1:12" s="30" customFormat="1" x14ac:dyDescent="0.25">
      <c r="A125" s="36"/>
      <c r="B125" s="31"/>
      <c r="C125" s="31"/>
      <c r="D125" s="32"/>
      <c r="F125" s="32"/>
      <c r="G125" s="41"/>
      <c r="H125" s="32"/>
      <c r="I125" s="41"/>
      <c r="J125" s="315"/>
      <c r="K125" s="315"/>
      <c r="L125" s="315"/>
    </row>
    <row r="126" spans="1:12" s="30" customFormat="1" x14ac:dyDescent="0.25">
      <c r="A126" s="36"/>
      <c r="B126" s="31"/>
      <c r="C126" s="31"/>
      <c r="D126" s="32"/>
      <c r="F126" s="32"/>
      <c r="G126" s="41"/>
      <c r="H126" s="32"/>
      <c r="I126" s="41"/>
      <c r="J126" s="315"/>
      <c r="K126" s="315"/>
      <c r="L126" s="315"/>
    </row>
    <row r="127" spans="1:12" s="30" customFormat="1" x14ac:dyDescent="0.25">
      <c r="A127" s="36"/>
      <c r="B127" s="31"/>
      <c r="C127" s="31"/>
      <c r="D127" s="32"/>
      <c r="F127" s="32"/>
      <c r="G127" s="41"/>
      <c r="H127" s="32"/>
      <c r="I127" s="41"/>
      <c r="J127" s="315"/>
      <c r="K127" s="315"/>
      <c r="L127" s="315"/>
    </row>
    <row r="128" spans="1:12" s="30" customFormat="1" x14ac:dyDescent="0.25">
      <c r="A128" s="36"/>
      <c r="B128" s="31"/>
      <c r="C128" s="31"/>
      <c r="D128" s="32"/>
      <c r="F128" s="32"/>
      <c r="G128" s="41"/>
      <c r="H128" s="32"/>
      <c r="I128" s="41"/>
      <c r="J128" s="315"/>
      <c r="K128" s="315"/>
      <c r="L128" s="315"/>
    </row>
    <row r="129" spans="1:12" s="30" customFormat="1" x14ac:dyDescent="0.25">
      <c r="A129" s="36"/>
      <c r="B129" s="31"/>
      <c r="C129" s="31"/>
      <c r="D129" s="32"/>
      <c r="F129" s="32"/>
      <c r="G129" s="41"/>
      <c r="H129" s="32"/>
      <c r="I129" s="41"/>
      <c r="J129" s="315"/>
      <c r="K129" s="315"/>
      <c r="L129" s="315"/>
    </row>
    <row r="130" spans="1:12" s="30" customFormat="1" x14ac:dyDescent="0.25">
      <c r="A130" s="36"/>
      <c r="B130" s="31"/>
      <c r="C130" s="31"/>
      <c r="D130" s="32"/>
      <c r="F130" s="32"/>
      <c r="G130" s="41"/>
      <c r="H130" s="32"/>
      <c r="I130" s="41"/>
      <c r="J130" s="315"/>
      <c r="K130" s="315"/>
      <c r="L130" s="315"/>
    </row>
    <row r="131" spans="1:12" s="30" customFormat="1" x14ac:dyDescent="0.25">
      <c r="A131" s="36"/>
      <c r="B131" s="31"/>
      <c r="C131" s="31"/>
      <c r="D131" s="32"/>
      <c r="F131" s="32"/>
      <c r="G131" s="41"/>
      <c r="H131" s="32"/>
      <c r="I131" s="41"/>
      <c r="J131" s="315"/>
      <c r="K131" s="315"/>
      <c r="L131" s="315"/>
    </row>
    <row r="132" spans="1:12" s="30" customFormat="1" x14ac:dyDescent="0.25">
      <c r="A132" s="36"/>
      <c r="B132" s="31"/>
      <c r="C132" s="31"/>
      <c r="D132" s="32"/>
      <c r="F132" s="32"/>
      <c r="G132" s="41"/>
      <c r="H132" s="32"/>
      <c r="I132" s="41"/>
      <c r="J132" s="315"/>
      <c r="K132" s="315"/>
      <c r="L132" s="315"/>
    </row>
    <row r="133" spans="1:12" s="30" customFormat="1" x14ac:dyDescent="0.25">
      <c r="A133" s="36"/>
      <c r="B133" s="31"/>
      <c r="C133" s="31"/>
      <c r="D133" s="32"/>
      <c r="F133" s="32"/>
      <c r="G133" s="41"/>
      <c r="H133" s="32"/>
      <c r="I133" s="41"/>
      <c r="J133" s="315"/>
      <c r="K133" s="315"/>
      <c r="L133" s="315"/>
    </row>
    <row r="134" spans="1:12" s="30" customFormat="1" x14ac:dyDescent="0.25">
      <c r="A134" s="36"/>
      <c r="B134" s="31"/>
      <c r="C134" s="31"/>
      <c r="D134" s="32"/>
      <c r="F134" s="32"/>
      <c r="G134" s="41"/>
      <c r="H134" s="32"/>
      <c r="I134" s="41"/>
      <c r="J134" s="315"/>
      <c r="K134" s="315"/>
      <c r="L134" s="315"/>
    </row>
    <row r="135" spans="1:12" s="30" customFormat="1" x14ac:dyDescent="0.25">
      <c r="A135" s="36"/>
      <c r="B135" s="31"/>
      <c r="C135" s="31"/>
      <c r="D135" s="32"/>
      <c r="F135" s="32"/>
      <c r="G135" s="41"/>
      <c r="H135" s="32"/>
      <c r="I135" s="41"/>
      <c r="J135" s="315"/>
      <c r="K135" s="315"/>
      <c r="L135" s="315"/>
    </row>
    <row r="136" spans="1:12" s="30" customFormat="1" x14ac:dyDescent="0.25">
      <c r="A136" s="36"/>
      <c r="B136" s="31"/>
      <c r="C136" s="31"/>
      <c r="D136" s="32"/>
      <c r="F136" s="32"/>
      <c r="G136" s="41"/>
      <c r="H136" s="32"/>
      <c r="I136" s="41"/>
      <c r="J136" s="315"/>
      <c r="K136" s="315"/>
      <c r="L136" s="315"/>
    </row>
    <row r="137" spans="1:12" s="30" customFormat="1" x14ac:dyDescent="0.25">
      <c r="A137" s="36"/>
      <c r="B137" s="31"/>
      <c r="C137" s="31"/>
      <c r="D137" s="32"/>
      <c r="F137" s="32"/>
      <c r="G137" s="41"/>
      <c r="H137" s="32"/>
      <c r="I137" s="41"/>
      <c r="J137" s="315"/>
      <c r="K137" s="315"/>
      <c r="L137" s="315"/>
    </row>
    <row r="138" spans="1:12" s="30" customFormat="1" x14ac:dyDescent="0.25">
      <c r="A138" s="36"/>
      <c r="B138" s="31"/>
      <c r="C138" s="31"/>
      <c r="D138" s="32"/>
      <c r="F138" s="32"/>
      <c r="G138" s="41"/>
      <c r="H138" s="32"/>
      <c r="I138" s="41"/>
      <c r="J138" s="315"/>
      <c r="K138" s="315"/>
      <c r="L138" s="315"/>
    </row>
    <row r="139" spans="1:12" s="30" customFormat="1" x14ac:dyDescent="0.25">
      <c r="A139" s="36"/>
      <c r="B139" s="31"/>
      <c r="C139" s="31"/>
      <c r="D139" s="32"/>
      <c r="F139" s="32"/>
      <c r="G139" s="41"/>
      <c r="H139" s="32"/>
      <c r="I139" s="41"/>
      <c r="J139" s="315"/>
      <c r="K139" s="315"/>
      <c r="L139" s="315"/>
    </row>
    <row r="140" spans="1:12" s="30" customFormat="1" x14ac:dyDescent="0.25">
      <c r="A140" s="36"/>
      <c r="B140" s="31"/>
      <c r="C140" s="31"/>
      <c r="D140" s="32"/>
      <c r="F140" s="32"/>
      <c r="G140" s="41"/>
      <c r="H140" s="32"/>
      <c r="I140" s="41"/>
      <c r="J140" s="315"/>
      <c r="K140" s="315"/>
      <c r="L140" s="315"/>
    </row>
    <row r="141" spans="1:12" s="30" customFormat="1" x14ac:dyDescent="0.25">
      <c r="A141" s="36"/>
      <c r="B141" s="31"/>
      <c r="C141" s="31"/>
      <c r="D141" s="32"/>
      <c r="F141" s="32"/>
      <c r="G141" s="41"/>
      <c r="H141" s="32"/>
      <c r="I141" s="41"/>
      <c r="J141" s="315"/>
      <c r="K141" s="315"/>
      <c r="L141" s="315"/>
    </row>
    <row r="142" spans="1:12" s="30" customFormat="1" x14ac:dyDescent="0.25">
      <c r="A142" s="36"/>
      <c r="B142" s="31"/>
      <c r="C142" s="31"/>
      <c r="D142" s="32"/>
      <c r="F142" s="32"/>
      <c r="G142" s="41"/>
      <c r="H142" s="32"/>
      <c r="I142" s="41"/>
      <c r="J142" s="315"/>
      <c r="K142" s="315"/>
      <c r="L142" s="315"/>
    </row>
    <row r="143" spans="1:12" s="30" customFormat="1" x14ac:dyDescent="0.25">
      <c r="A143" s="36"/>
      <c r="B143" s="31"/>
      <c r="C143" s="31"/>
      <c r="D143" s="32"/>
      <c r="F143" s="32"/>
      <c r="G143" s="41"/>
      <c r="H143" s="32"/>
      <c r="I143" s="41"/>
      <c r="J143" s="315"/>
      <c r="K143" s="315"/>
      <c r="L143" s="315"/>
    </row>
    <row r="144" spans="1:12" s="30" customFormat="1" x14ac:dyDescent="0.25">
      <c r="A144" s="36"/>
      <c r="B144" s="31"/>
      <c r="C144" s="31"/>
      <c r="D144" s="32"/>
      <c r="F144" s="32"/>
      <c r="G144" s="41"/>
      <c r="H144" s="32"/>
      <c r="I144" s="41"/>
      <c r="J144" s="315"/>
      <c r="K144" s="315"/>
      <c r="L144" s="315"/>
    </row>
    <row r="145" spans="1:12" s="30" customFormat="1" x14ac:dyDescent="0.25">
      <c r="A145" s="36"/>
      <c r="B145" s="31"/>
      <c r="C145" s="31"/>
      <c r="D145" s="32"/>
      <c r="F145" s="32"/>
      <c r="G145" s="41"/>
      <c r="H145" s="32"/>
      <c r="I145" s="41"/>
      <c r="J145" s="315"/>
      <c r="K145" s="315"/>
      <c r="L145" s="315"/>
    </row>
    <row r="146" spans="1:12" s="30" customFormat="1" x14ac:dyDescent="0.25">
      <c r="A146" s="36"/>
      <c r="B146" s="31"/>
      <c r="C146" s="31"/>
      <c r="D146" s="32"/>
      <c r="F146" s="32"/>
      <c r="G146" s="41"/>
      <c r="H146" s="32"/>
      <c r="I146" s="41"/>
      <c r="J146" s="315"/>
      <c r="K146" s="315"/>
      <c r="L146" s="315"/>
    </row>
    <row r="147" spans="1:12" s="30" customFormat="1" x14ac:dyDescent="0.25">
      <c r="A147" s="36"/>
      <c r="B147" s="31"/>
      <c r="C147" s="31"/>
      <c r="D147" s="32"/>
      <c r="F147" s="32"/>
      <c r="G147" s="41"/>
      <c r="H147" s="32"/>
      <c r="I147" s="41"/>
      <c r="J147" s="315"/>
      <c r="K147" s="315"/>
      <c r="L147" s="315"/>
    </row>
    <row r="148" spans="1:12" s="30" customFormat="1" x14ac:dyDescent="0.25">
      <c r="A148" s="36"/>
      <c r="B148" s="31"/>
      <c r="C148" s="31"/>
      <c r="D148" s="32"/>
      <c r="F148" s="32"/>
      <c r="G148" s="41"/>
      <c r="H148" s="32"/>
      <c r="I148" s="41"/>
      <c r="J148" s="315"/>
      <c r="K148" s="315"/>
      <c r="L148" s="315"/>
    </row>
    <row r="149" spans="1:12" s="30" customFormat="1" x14ac:dyDescent="0.25">
      <c r="A149" s="36"/>
      <c r="B149" s="31"/>
      <c r="C149" s="31"/>
      <c r="D149" s="32"/>
      <c r="F149" s="32"/>
      <c r="G149" s="41"/>
      <c r="H149" s="32"/>
      <c r="I149" s="41"/>
      <c r="J149" s="315"/>
      <c r="K149" s="315"/>
      <c r="L149" s="315"/>
    </row>
    <row r="150" spans="1:12" s="30" customFormat="1" x14ac:dyDescent="0.25">
      <c r="A150" s="36"/>
      <c r="B150" s="31"/>
      <c r="C150" s="31"/>
      <c r="D150" s="32"/>
      <c r="F150" s="32"/>
      <c r="G150" s="41"/>
      <c r="H150" s="32"/>
      <c r="I150" s="41"/>
      <c r="J150" s="315"/>
      <c r="K150" s="315"/>
      <c r="L150" s="315"/>
    </row>
    <row r="151" spans="1:12" s="30" customFormat="1" x14ac:dyDescent="0.25">
      <c r="A151" s="36"/>
      <c r="B151" s="31"/>
      <c r="C151" s="31"/>
      <c r="D151" s="32"/>
      <c r="F151" s="32"/>
      <c r="G151" s="41"/>
      <c r="H151" s="32"/>
      <c r="I151" s="41"/>
      <c r="J151" s="315"/>
      <c r="K151" s="315"/>
      <c r="L151" s="315"/>
    </row>
    <row r="152" spans="1:12" s="30" customFormat="1" x14ac:dyDescent="0.25">
      <c r="A152" s="36"/>
      <c r="B152" s="31"/>
      <c r="C152" s="31"/>
      <c r="D152" s="32"/>
      <c r="F152" s="32"/>
      <c r="G152" s="41"/>
      <c r="H152" s="32"/>
      <c r="I152" s="41"/>
      <c r="J152" s="315"/>
      <c r="K152" s="315"/>
      <c r="L152" s="315"/>
    </row>
    <row r="153" spans="1:12" s="30" customFormat="1" x14ac:dyDescent="0.25">
      <c r="A153" s="36"/>
      <c r="B153" s="31"/>
      <c r="C153" s="31"/>
      <c r="D153" s="32"/>
      <c r="F153" s="32"/>
      <c r="G153" s="41"/>
      <c r="H153" s="32"/>
      <c r="I153" s="41"/>
      <c r="J153" s="315"/>
      <c r="K153" s="315"/>
      <c r="L153" s="315"/>
    </row>
    <row r="154" spans="1:12" s="30" customFormat="1" x14ac:dyDescent="0.25">
      <c r="A154" s="36"/>
      <c r="B154" s="31"/>
      <c r="C154" s="31"/>
      <c r="D154" s="32"/>
      <c r="F154" s="32"/>
      <c r="G154" s="41"/>
      <c r="H154" s="32"/>
      <c r="I154" s="41"/>
      <c r="J154" s="315"/>
      <c r="K154" s="315"/>
      <c r="L154" s="315"/>
    </row>
    <row r="155" spans="1:12" s="30" customFormat="1" x14ac:dyDescent="0.25">
      <c r="A155" s="36"/>
      <c r="B155" s="31"/>
      <c r="C155" s="31"/>
      <c r="D155" s="32"/>
      <c r="F155" s="32"/>
      <c r="G155" s="41"/>
      <c r="H155" s="32"/>
      <c r="I155" s="41"/>
      <c r="J155" s="315"/>
      <c r="K155" s="315"/>
      <c r="L155" s="315"/>
    </row>
    <row r="156" spans="1:12" s="30" customFormat="1" x14ac:dyDescent="0.25">
      <c r="A156" s="36"/>
      <c r="B156" s="31"/>
      <c r="C156" s="31"/>
      <c r="D156" s="32"/>
      <c r="F156" s="32"/>
      <c r="G156" s="41"/>
      <c r="H156" s="32"/>
      <c r="I156" s="41"/>
      <c r="J156" s="315"/>
      <c r="K156" s="315"/>
      <c r="L156" s="315"/>
    </row>
    <row r="157" spans="1:12" s="30" customFormat="1" x14ac:dyDescent="0.25">
      <c r="A157" s="36"/>
      <c r="B157" s="31"/>
      <c r="C157" s="31"/>
      <c r="D157" s="32"/>
      <c r="F157" s="32"/>
      <c r="G157" s="41"/>
      <c r="H157" s="32"/>
      <c r="I157" s="41"/>
      <c r="J157" s="315"/>
      <c r="K157" s="315"/>
      <c r="L157" s="315"/>
    </row>
    <row r="158" spans="1:12" s="30" customFormat="1" x14ac:dyDescent="0.25">
      <c r="A158" s="36"/>
      <c r="B158" s="31"/>
      <c r="C158" s="31"/>
      <c r="D158" s="32"/>
      <c r="F158" s="32"/>
      <c r="G158" s="41"/>
      <c r="H158" s="32"/>
      <c r="I158" s="41"/>
      <c r="J158" s="315"/>
      <c r="K158" s="315"/>
      <c r="L158" s="315"/>
    </row>
    <row r="159" spans="1:12" s="30" customFormat="1" x14ac:dyDescent="0.25">
      <c r="A159" s="36"/>
      <c r="B159" s="31"/>
      <c r="C159" s="31"/>
      <c r="D159" s="32"/>
      <c r="F159" s="32"/>
      <c r="G159" s="41"/>
      <c r="H159" s="32"/>
      <c r="I159" s="41"/>
      <c r="J159" s="315"/>
      <c r="K159" s="315"/>
      <c r="L159" s="315"/>
    </row>
    <row r="160" spans="1:12" s="30" customFormat="1" x14ac:dyDescent="0.25">
      <c r="A160" s="36"/>
      <c r="B160" s="31"/>
      <c r="C160" s="31"/>
      <c r="D160" s="32"/>
      <c r="F160" s="32"/>
      <c r="G160" s="41"/>
      <c r="H160" s="32"/>
      <c r="I160" s="41"/>
      <c r="J160" s="315"/>
      <c r="K160" s="315"/>
      <c r="L160" s="315"/>
    </row>
    <row r="161" spans="1:12" s="30" customFormat="1" x14ac:dyDescent="0.25">
      <c r="A161" s="36"/>
      <c r="B161" s="31"/>
      <c r="C161" s="31"/>
      <c r="D161" s="32"/>
      <c r="F161" s="32"/>
      <c r="G161" s="41"/>
      <c r="H161" s="32"/>
      <c r="I161" s="41"/>
      <c r="J161" s="315"/>
      <c r="K161" s="315"/>
      <c r="L161" s="315"/>
    </row>
    <row r="162" spans="1:12" s="30" customFormat="1" x14ac:dyDescent="0.25">
      <c r="A162" s="36"/>
      <c r="B162" s="31"/>
      <c r="C162" s="31"/>
      <c r="D162" s="32"/>
      <c r="F162" s="32"/>
      <c r="G162" s="41"/>
      <c r="H162" s="32"/>
      <c r="I162" s="41"/>
      <c r="J162" s="315"/>
      <c r="K162" s="315"/>
      <c r="L162" s="315"/>
    </row>
    <row r="163" spans="1:12" s="30" customFormat="1" x14ac:dyDescent="0.25">
      <c r="A163" s="36"/>
      <c r="B163" s="31"/>
      <c r="C163" s="31"/>
      <c r="D163" s="32"/>
      <c r="F163" s="32"/>
      <c r="G163" s="41"/>
      <c r="H163" s="32"/>
      <c r="I163" s="41"/>
      <c r="J163" s="315"/>
      <c r="K163" s="315"/>
      <c r="L163" s="315"/>
    </row>
    <row r="164" spans="1:12" s="30" customFormat="1" x14ac:dyDescent="0.25">
      <c r="A164" s="36"/>
      <c r="B164" s="31"/>
      <c r="C164" s="31"/>
      <c r="D164" s="32"/>
      <c r="F164" s="32"/>
      <c r="G164" s="41"/>
      <c r="H164" s="32"/>
      <c r="I164" s="41"/>
      <c r="J164" s="315"/>
      <c r="K164" s="315"/>
      <c r="L164" s="315"/>
    </row>
    <row r="165" spans="1:12" s="30" customFormat="1" x14ac:dyDescent="0.25">
      <c r="A165" s="36"/>
      <c r="B165" s="31"/>
      <c r="C165" s="31"/>
      <c r="D165" s="32"/>
      <c r="F165" s="32"/>
      <c r="G165" s="41"/>
      <c r="H165" s="32"/>
      <c r="I165" s="41"/>
      <c r="J165" s="315"/>
      <c r="K165" s="315"/>
      <c r="L165" s="315"/>
    </row>
    <row r="166" spans="1:12" s="30" customFormat="1" x14ac:dyDescent="0.25">
      <c r="A166" s="36"/>
      <c r="B166" s="31"/>
      <c r="C166" s="31"/>
      <c r="D166" s="32"/>
      <c r="F166" s="32"/>
      <c r="G166" s="41"/>
      <c r="H166" s="32"/>
      <c r="I166" s="41"/>
      <c r="J166" s="315"/>
      <c r="K166" s="315"/>
      <c r="L166" s="315"/>
    </row>
    <row r="167" spans="1:12" s="30" customFormat="1" x14ac:dyDescent="0.25">
      <c r="A167" s="36"/>
      <c r="B167" s="31"/>
      <c r="C167" s="31"/>
      <c r="D167" s="32"/>
      <c r="F167" s="32"/>
      <c r="G167" s="41"/>
      <c r="H167" s="32"/>
      <c r="I167" s="41"/>
      <c r="J167" s="315"/>
      <c r="K167" s="315"/>
      <c r="L167" s="315"/>
    </row>
    <row r="168" spans="1:12" s="30" customFormat="1" x14ac:dyDescent="0.25">
      <c r="A168" s="36"/>
      <c r="B168" s="31"/>
      <c r="C168" s="31"/>
      <c r="D168" s="32"/>
      <c r="F168" s="32"/>
      <c r="G168" s="41"/>
      <c r="H168" s="32"/>
      <c r="I168" s="41"/>
      <c r="J168" s="315"/>
      <c r="K168" s="315"/>
      <c r="L168" s="315"/>
    </row>
    <row r="169" spans="1:12" s="30" customFormat="1" x14ac:dyDescent="0.25">
      <c r="A169" s="36"/>
      <c r="B169" s="31"/>
      <c r="C169" s="31"/>
      <c r="D169" s="32"/>
      <c r="F169" s="32"/>
      <c r="G169" s="41"/>
      <c r="H169" s="32"/>
      <c r="I169" s="41"/>
      <c r="J169" s="315"/>
      <c r="K169" s="315"/>
      <c r="L169" s="315"/>
    </row>
    <row r="170" spans="1:12" s="30" customFormat="1" x14ac:dyDescent="0.25">
      <c r="A170" s="36"/>
      <c r="B170" s="31"/>
      <c r="C170" s="31"/>
      <c r="D170" s="32"/>
      <c r="F170" s="32"/>
      <c r="G170" s="41"/>
      <c r="H170" s="32"/>
      <c r="I170" s="41"/>
      <c r="J170" s="315"/>
      <c r="K170" s="315"/>
      <c r="L170" s="315"/>
    </row>
    <row r="171" spans="1:12" s="30" customFormat="1" x14ac:dyDescent="0.25">
      <c r="A171" s="36"/>
      <c r="B171" s="31"/>
      <c r="C171" s="31"/>
      <c r="D171" s="32"/>
      <c r="F171" s="32"/>
      <c r="G171" s="41"/>
      <c r="H171" s="32"/>
      <c r="I171" s="41"/>
      <c r="J171" s="315"/>
      <c r="K171" s="315"/>
      <c r="L171" s="315"/>
    </row>
    <row r="172" spans="1:12" s="30" customFormat="1" x14ac:dyDescent="0.25">
      <c r="A172" s="36"/>
      <c r="B172" s="31"/>
      <c r="C172" s="31"/>
      <c r="D172" s="32"/>
      <c r="F172" s="32"/>
      <c r="G172" s="41"/>
      <c r="H172" s="32"/>
      <c r="I172" s="41"/>
      <c r="J172" s="315"/>
      <c r="K172" s="315"/>
      <c r="L172" s="315"/>
    </row>
    <row r="173" spans="1:12" s="30" customFormat="1" x14ac:dyDescent="0.25">
      <c r="A173" s="36"/>
      <c r="B173" s="31"/>
      <c r="C173" s="31"/>
      <c r="D173" s="32"/>
      <c r="F173" s="32"/>
      <c r="G173" s="41"/>
      <c r="H173" s="32"/>
      <c r="I173" s="41"/>
      <c r="J173" s="315"/>
      <c r="K173" s="315"/>
      <c r="L173" s="315"/>
    </row>
    <row r="174" spans="1:12" s="30" customFormat="1" x14ac:dyDescent="0.25">
      <c r="A174" s="36"/>
      <c r="B174" s="31"/>
      <c r="C174" s="31"/>
      <c r="D174" s="32"/>
      <c r="F174" s="32"/>
      <c r="G174" s="41"/>
      <c r="H174" s="32"/>
      <c r="I174" s="41"/>
      <c r="J174" s="315"/>
      <c r="K174" s="315"/>
      <c r="L174" s="315"/>
    </row>
    <row r="175" spans="1:12" s="30" customFormat="1" x14ac:dyDescent="0.25">
      <c r="A175" s="36"/>
      <c r="B175" s="31"/>
      <c r="C175" s="31"/>
      <c r="D175" s="32"/>
      <c r="F175" s="32"/>
      <c r="G175" s="41"/>
      <c r="H175" s="32"/>
      <c r="I175" s="41"/>
      <c r="J175" s="315"/>
      <c r="K175" s="315"/>
      <c r="L175" s="315"/>
    </row>
    <row r="176" spans="1:12" s="30" customFormat="1" x14ac:dyDescent="0.25">
      <c r="A176" s="36"/>
      <c r="B176" s="31"/>
      <c r="C176" s="31"/>
      <c r="D176" s="32"/>
      <c r="F176" s="32"/>
      <c r="G176" s="41"/>
      <c r="H176" s="32"/>
      <c r="I176" s="41"/>
      <c r="J176" s="315"/>
      <c r="K176" s="315"/>
      <c r="L176" s="315"/>
    </row>
    <row r="177" spans="1:12" s="30" customFormat="1" x14ac:dyDescent="0.25">
      <c r="A177" s="36"/>
      <c r="B177" s="31"/>
      <c r="C177" s="31"/>
      <c r="D177" s="32"/>
      <c r="F177" s="32"/>
      <c r="G177" s="41"/>
      <c r="H177" s="32"/>
      <c r="I177" s="41"/>
      <c r="J177" s="315"/>
      <c r="K177" s="315"/>
      <c r="L177" s="315"/>
    </row>
    <row r="178" spans="1:12" s="30" customFormat="1" x14ac:dyDescent="0.25">
      <c r="A178" s="36"/>
      <c r="B178" s="31"/>
      <c r="C178" s="31"/>
      <c r="D178" s="32"/>
      <c r="F178" s="32"/>
      <c r="G178" s="41"/>
      <c r="H178" s="32"/>
      <c r="I178" s="41"/>
      <c r="J178" s="315"/>
      <c r="K178" s="315"/>
      <c r="L178" s="315"/>
    </row>
    <row r="179" spans="1:12" s="30" customFormat="1" x14ac:dyDescent="0.25">
      <c r="A179" s="36"/>
      <c r="B179" s="31"/>
      <c r="C179" s="31"/>
      <c r="D179" s="32"/>
      <c r="F179" s="32"/>
      <c r="G179" s="41"/>
      <c r="H179" s="32"/>
      <c r="I179" s="41"/>
      <c r="J179" s="315"/>
      <c r="K179" s="315"/>
      <c r="L179" s="315"/>
    </row>
    <row r="180" spans="1:12" s="30" customFormat="1" x14ac:dyDescent="0.25">
      <c r="A180" s="36"/>
      <c r="B180" s="31"/>
      <c r="C180" s="31"/>
      <c r="D180" s="32"/>
      <c r="F180" s="32"/>
      <c r="G180" s="41"/>
      <c r="H180" s="32"/>
      <c r="I180" s="41"/>
      <c r="J180" s="315"/>
      <c r="K180" s="315"/>
      <c r="L180" s="315"/>
    </row>
    <row r="181" spans="1:12" s="30" customFormat="1" x14ac:dyDescent="0.25">
      <c r="A181" s="36"/>
      <c r="B181" s="31"/>
      <c r="C181" s="31"/>
      <c r="D181" s="32"/>
      <c r="F181" s="32"/>
      <c r="G181" s="41"/>
      <c r="H181" s="32"/>
      <c r="I181" s="41"/>
      <c r="J181" s="315"/>
      <c r="K181" s="315"/>
      <c r="L181" s="315"/>
    </row>
    <row r="182" spans="1:12" s="30" customFormat="1" x14ac:dyDescent="0.25">
      <c r="A182" s="36"/>
      <c r="B182" s="31"/>
      <c r="C182" s="31"/>
      <c r="D182" s="32"/>
      <c r="F182" s="32"/>
      <c r="G182" s="41"/>
      <c r="H182" s="32"/>
      <c r="I182" s="41"/>
      <c r="J182" s="315"/>
      <c r="K182" s="315"/>
      <c r="L182" s="315"/>
    </row>
    <row r="183" spans="1:12" s="30" customFormat="1" x14ac:dyDescent="0.25">
      <c r="A183" s="36"/>
      <c r="B183" s="31"/>
      <c r="C183" s="31"/>
      <c r="D183" s="32"/>
      <c r="F183" s="32"/>
      <c r="G183" s="41"/>
      <c r="H183" s="32"/>
      <c r="I183" s="41"/>
      <c r="J183" s="315"/>
      <c r="K183" s="315"/>
      <c r="L183" s="315"/>
    </row>
    <row r="184" spans="1:12" s="30" customFormat="1" x14ac:dyDescent="0.25">
      <c r="A184" s="36"/>
      <c r="B184" s="31"/>
      <c r="C184" s="31"/>
      <c r="D184" s="32"/>
      <c r="F184" s="32"/>
      <c r="G184" s="41"/>
      <c r="H184" s="32"/>
      <c r="I184" s="41"/>
      <c r="J184" s="315"/>
      <c r="K184" s="315"/>
      <c r="L184" s="315"/>
    </row>
    <row r="185" spans="1:12" s="30" customFormat="1" x14ac:dyDescent="0.25">
      <c r="A185" s="36"/>
      <c r="B185" s="31"/>
      <c r="C185" s="31"/>
      <c r="D185" s="32"/>
      <c r="F185" s="32"/>
      <c r="G185" s="41"/>
      <c r="H185" s="32"/>
      <c r="I185" s="41"/>
      <c r="J185" s="315"/>
      <c r="K185" s="315"/>
      <c r="L185" s="315"/>
    </row>
    <row r="186" spans="1:12" s="30" customFormat="1" x14ac:dyDescent="0.25">
      <c r="A186" s="36"/>
      <c r="B186" s="31"/>
      <c r="C186" s="31"/>
      <c r="D186" s="32"/>
      <c r="F186" s="32"/>
      <c r="G186" s="41"/>
      <c r="H186" s="32"/>
      <c r="I186" s="41"/>
      <c r="J186" s="315"/>
      <c r="K186" s="315"/>
      <c r="L186" s="315"/>
    </row>
    <row r="187" spans="1:12" s="30" customFormat="1" x14ac:dyDescent="0.25">
      <c r="A187" s="36"/>
      <c r="B187" s="31"/>
      <c r="C187" s="31"/>
      <c r="D187" s="32"/>
      <c r="F187" s="32"/>
      <c r="G187" s="41"/>
      <c r="H187" s="32"/>
      <c r="I187" s="41"/>
      <c r="J187" s="315"/>
      <c r="K187" s="315"/>
      <c r="L187" s="315"/>
    </row>
    <row r="188" spans="1:12" s="30" customFormat="1" x14ac:dyDescent="0.25">
      <c r="A188" s="36"/>
      <c r="B188" s="31"/>
      <c r="C188" s="31"/>
      <c r="D188" s="32"/>
      <c r="F188" s="32"/>
      <c r="G188" s="41"/>
      <c r="H188" s="32"/>
      <c r="I188" s="41"/>
      <c r="J188" s="315"/>
      <c r="K188" s="315"/>
      <c r="L188" s="315"/>
    </row>
    <row r="189" spans="1:12" s="30" customFormat="1" x14ac:dyDescent="0.25">
      <c r="A189" s="36"/>
      <c r="B189" s="31"/>
      <c r="C189" s="31"/>
      <c r="D189" s="32"/>
      <c r="F189" s="32"/>
      <c r="G189" s="41"/>
      <c r="H189" s="32"/>
      <c r="I189" s="41"/>
      <c r="J189" s="315"/>
      <c r="K189" s="315"/>
      <c r="L189" s="315"/>
    </row>
    <row r="190" spans="1:12" s="30" customFormat="1" x14ac:dyDescent="0.25">
      <c r="A190" s="36"/>
      <c r="B190" s="31"/>
      <c r="C190" s="31"/>
      <c r="D190" s="32"/>
      <c r="F190" s="32"/>
      <c r="G190" s="41"/>
      <c r="H190" s="32"/>
      <c r="I190" s="41"/>
      <c r="J190" s="315"/>
      <c r="K190" s="315"/>
      <c r="L190" s="315"/>
    </row>
    <row r="191" spans="1:12" s="30" customFormat="1" x14ac:dyDescent="0.25">
      <c r="A191" s="36"/>
      <c r="B191" s="31"/>
      <c r="C191" s="31"/>
      <c r="D191" s="32"/>
      <c r="F191" s="32"/>
      <c r="G191" s="41"/>
      <c r="H191" s="32"/>
      <c r="I191" s="41"/>
      <c r="J191" s="315"/>
      <c r="K191" s="315"/>
      <c r="L191" s="315"/>
    </row>
    <row r="192" spans="1:12" s="30" customFormat="1" x14ac:dyDescent="0.25">
      <c r="A192" s="36"/>
      <c r="B192" s="31"/>
      <c r="C192" s="31"/>
      <c r="D192" s="32"/>
      <c r="F192" s="32"/>
      <c r="G192" s="41"/>
      <c r="H192" s="32"/>
      <c r="I192" s="41"/>
      <c r="J192" s="315"/>
      <c r="K192" s="315"/>
      <c r="L192" s="315"/>
    </row>
    <row r="193" spans="1:12" s="30" customFormat="1" x14ac:dyDescent="0.25">
      <c r="A193" s="36"/>
      <c r="B193" s="31"/>
      <c r="C193" s="31"/>
      <c r="D193" s="32"/>
      <c r="F193" s="32"/>
      <c r="G193" s="41"/>
      <c r="H193" s="32"/>
      <c r="I193" s="41"/>
      <c r="J193" s="315"/>
      <c r="K193" s="315"/>
      <c r="L193" s="315"/>
    </row>
    <row r="194" spans="1:12" s="30" customFormat="1" x14ac:dyDescent="0.25">
      <c r="A194" s="36"/>
      <c r="B194" s="31"/>
      <c r="C194" s="31"/>
      <c r="D194" s="32"/>
      <c r="F194" s="32"/>
      <c r="G194" s="41"/>
      <c r="H194" s="32"/>
      <c r="I194" s="41"/>
      <c r="J194" s="315"/>
      <c r="K194" s="315"/>
      <c r="L194" s="315"/>
    </row>
    <row r="195" spans="1:12" s="30" customFormat="1" x14ac:dyDescent="0.25">
      <c r="A195" s="36"/>
      <c r="B195" s="31"/>
      <c r="C195" s="31"/>
      <c r="D195" s="32"/>
      <c r="F195" s="32"/>
      <c r="G195" s="41"/>
      <c r="H195" s="32"/>
      <c r="I195" s="41"/>
      <c r="J195" s="315"/>
      <c r="K195" s="315"/>
      <c r="L195" s="315"/>
    </row>
    <row r="196" spans="1:12" s="30" customFormat="1" x14ac:dyDescent="0.25">
      <c r="A196" s="36"/>
      <c r="B196" s="31"/>
      <c r="C196" s="31"/>
      <c r="D196" s="32"/>
      <c r="F196" s="32"/>
      <c r="G196" s="41"/>
      <c r="H196" s="32"/>
      <c r="I196" s="41"/>
      <c r="J196" s="315"/>
      <c r="K196" s="315"/>
      <c r="L196" s="315"/>
    </row>
    <row r="197" spans="1:12" s="30" customFormat="1" x14ac:dyDescent="0.25">
      <c r="A197" s="36"/>
      <c r="B197" s="31"/>
      <c r="C197" s="31"/>
      <c r="D197" s="32"/>
      <c r="F197" s="32"/>
      <c r="G197" s="41"/>
      <c r="H197" s="32"/>
      <c r="I197" s="41"/>
      <c r="J197" s="315"/>
      <c r="K197" s="315"/>
      <c r="L197" s="315"/>
    </row>
    <row r="198" spans="1:12" s="30" customFormat="1" x14ac:dyDescent="0.25">
      <c r="A198" s="36"/>
      <c r="B198" s="31"/>
      <c r="C198" s="31"/>
      <c r="D198" s="32"/>
      <c r="F198" s="32"/>
      <c r="G198" s="41"/>
      <c r="H198" s="32"/>
      <c r="I198" s="41"/>
      <c r="J198" s="315"/>
      <c r="K198" s="315"/>
      <c r="L198" s="315"/>
    </row>
    <row r="199" spans="1:12" s="30" customFormat="1" x14ac:dyDescent="0.25">
      <c r="A199" s="36"/>
      <c r="B199" s="31"/>
      <c r="C199" s="31"/>
      <c r="D199" s="32"/>
      <c r="F199" s="32"/>
      <c r="G199" s="41"/>
      <c r="H199" s="32"/>
      <c r="I199" s="41"/>
      <c r="J199" s="315"/>
      <c r="K199" s="315"/>
      <c r="L199" s="315"/>
    </row>
    <row r="200" spans="1:12" s="30" customFormat="1" x14ac:dyDescent="0.25">
      <c r="A200" s="36"/>
      <c r="B200" s="31"/>
      <c r="C200" s="31"/>
      <c r="D200" s="32"/>
      <c r="F200" s="32"/>
      <c r="G200" s="41"/>
      <c r="H200" s="32"/>
      <c r="I200" s="41"/>
      <c r="J200" s="315"/>
      <c r="K200" s="315"/>
      <c r="L200" s="315"/>
    </row>
    <row r="201" spans="1:12" s="30" customFormat="1" x14ac:dyDescent="0.25">
      <c r="A201" s="36"/>
      <c r="B201" s="31"/>
      <c r="C201" s="31"/>
      <c r="D201" s="32"/>
      <c r="F201" s="32"/>
      <c r="G201" s="41"/>
      <c r="H201" s="32"/>
      <c r="I201" s="41"/>
      <c r="J201" s="315"/>
      <c r="K201" s="315"/>
      <c r="L201" s="315"/>
    </row>
    <row r="202" spans="1:12" s="30" customFormat="1" x14ac:dyDescent="0.25">
      <c r="A202" s="36"/>
      <c r="B202" s="31"/>
      <c r="C202" s="31"/>
      <c r="D202" s="32"/>
      <c r="F202" s="32"/>
      <c r="G202" s="41"/>
      <c r="H202" s="32"/>
      <c r="I202" s="41"/>
      <c r="J202" s="315"/>
      <c r="K202" s="315"/>
      <c r="L202" s="315"/>
    </row>
    <row r="203" spans="1:12" s="30" customFormat="1" x14ac:dyDescent="0.25">
      <c r="A203" s="36"/>
      <c r="B203" s="31"/>
      <c r="C203" s="31"/>
      <c r="D203" s="32"/>
      <c r="F203" s="32"/>
      <c r="G203" s="41"/>
      <c r="H203" s="32"/>
      <c r="I203" s="41"/>
      <c r="J203" s="315"/>
      <c r="K203" s="315"/>
      <c r="L203" s="315"/>
    </row>
    <row r="204" spans="1:12" s="30" customFormat="1" x14ac:dyDescent="0.25">
      <c r="A204" s="36"/>
      <c r="B204" s="31"/>
      <c r="C204" s="31"/>
      <c r="D204" s="32"/>
      <c r="F204" s="32"/>
      <c r="G204" s="41"/>
      <c r="H204" s="32"/>
      <c r="I204" s="41"/>
      <c r="J204" s="315"/>
      <c r="K204" s="315"/>
      <c r="L204" s="315"/>
    </row>
    <row r="205" spans="1:12" s="30" customFormat="1" x14ac:dyDescent="0.25">
      <c r="A205" s="36"/>
      <c r="B205" s="31"/>
      <c r="C205" s="31"/>
      <c r="D205" s="32"/>
      <c r="F205" s="32"/>
      <c r="G205" s="41"/>
      <c r="H205" s="32"/>
      <c r="I205" s="41"/>
      <c r="J205" s="315"/>
      <c r="K205" s="315"/>
      <c r="L205" s="315"/>
    </row>
    <row r="206" spans="1:12" s="30" customFormat="1" x14ac:dyDescent="0.25">
      <c r="A206" s="36"/>
      <c r="B206" s="31"/>
      <c r="C206" s="31"/>
      <c r="D206" s="32"/>
      <c r="F206" s="32"/>
      <c r="G206" s="41"/>
      <c r="H206" s="32"/>
      <c r="I206" s="41"/>
      <c r="J206" s="315"/>
      <c r="K206" s="315"/>
      <c r="L206" s="315"/>
    </row>
    <row r="207" spans="1:12" s="30" customFormat="1" x14ac:dyDescent="0.25">
      <c r="A207" s="36"/>
      <c r="B207" s="31"/>
      <c r="C207" s="31"/>
      <c r="D207" s="32"/>
      <c r="F207" s="32"/>
      <c r="G207" s="41"/>
      <c r="H207" s="32"/>
      <c r="I207" s="41"/>
      <c r="J207" s="315"/>
      <c r="K207" s="315"/>
      <c r="L207" s="315"/>
    </row>
    <row r="208" spans="1:12" s="30" customFormat="1" x14ac:dyDescent="0.25">
      <c r="A208" s="36"/>
      <c r="B208" s="31"/>
      <c r="C208" s="31"/>
      <c r="D208" s="32"/>
      <c r="F208" s="32"/>
      <c r="G208" s="41"/>
      <c r="H208" s="32"/>
      <c r="I208" s="41"/>
      <c r="J208" s="315"/>
      <c r="K208" s="315"/>
      <c r="L208" s="315"/>
    </row>
    <row r="209" spans="1:12" s="30" customFormat="1" x14ac:dyDescent="0.25">
      <c r="A209" s="36"/>
      <c r="B209" s="31"/>
      <c r="C209" s="31"/>
      <c r="D209" s="32"/>
      <c r="F209" s="32"/>
      <c r="G209" s="41"/>
      <c r="H209" s="32"/>
      <c r="I209" s="41"/>
      <c r="J209" s="315"/>
      <c r="K209" s="315"/>
      <c r="L209" s="315"/>
    </row>
    <row r="210" spans="1:12" s="30" customFormat="1" x14ac:dyDescent="0.25">
      <c r="A210" s="36"/>
      <c r="B210" s="31"/>
      <c r="C210" s="31"/>
      <c r="D210" s="32"/>
      <c r="F210" s="32"/>
      <c r="G210" s="41"/>
      <c r="H210" s="32"/>
      <c r="I210" s="41"/>
      <c r="J210" s="315"/>
      <c r="K210" s="315"/>
      <c r="L210" s="315"/>
    </row>
    <row r="211" spans="1:12" s="30" customFormat="1" x14ac:dyDescent="0.25">
      <c r="A211" s="36"/>
      <c r="B211" s="31"/>
      <c r="C211" s="31"/>
      <c r="D211" s="32"/>
      <c r="F211" s="32"/>
      <c r="G211" s="41"/>
      <c r="H211" s="32"/>
      <c r="I211" s="41"/>
      <c r="J211" s="315"/>
      <c r="K211" s="315"/>
      <c r="L211" s="315"/>
    </row>
    <row r="212" spans="1:12" s="30" customFormat="1" x14ac:dyDescent="0.25">
      <c r="A212" s="36"/>
      <c r="B212" s="31"/>
      <c r="C212" s="31"/>
      <c r="D212" s="32"/>
      <c r="F212" s="32"/>
      <c r="G212" s="41"/>
      <c r="H212" s="32"/>
      <c r="I212" s="41"/>
      <c r="J212" s="315"/>
      <c r="K212" s="315"/>
      <c r="L212" s="315"/>
    </row>
    <row r="213" spans="1:12" s="30" customFormat="1" x14ac:dyDescent="0.25">
      <c r="A213" s="36"/>
      <c r="B213" s="31"/>
      <c r="C213" s="31"/>
      <c r="D213" s="32"/>
      <c r="F213" s="32"/>
      <c r="G213" s="41"/>
      <c r="H213" s="32"/>
      <c r="I213" s="41"/>
      <c r="J213" s="315"/>
      <c r="K213" s="315"/>
      <c r="L213" s="315"/>
    </row>
    <row r="214" spans="1:12" s="30" customFormat="1" x14ac:dyDescent="0.25">
      <c r="A214" s="36"/>
      <c r="B214" s="31"/>
      <c r="C214" s="31"/>
      <c r="D214" s="32"/>
      <c r="F214" s="32"/>
      <c r="G214" s="41"/>
      <c r="H214" s="32"/>
      <c r="I214" s="41"/>
      <c r="J214" s="315"/>
      <c r="K214" s="315"/>
      <c r="L214" s="315"/>
    </row>
    <row r="215" spans="1:12" s="30" customFormat="1" x14ac:dyDescent="0.25">
      <c r="A215" s="36"/>
      <c r="B215" s="31"/>
      <c r="C215" s="31"/>
      <c r="D215" s="32"/>
      <c r="F215" s="32"/>
      <c r="G215" s="41"/>
      <c r="H215" s="32"/>
      <c r="I215" s="41"/>
      <c r="J215" s="315"/>
      <c r="K215" s="315"/>
      <c r="L215" s="315"/>
    </row>
    <row r="216" spans="1:12" s="30" customFormat="1" x14ac:dyDescent="0.25">
      <c r="A216" s="36"/>
      <c r="B216" s="31"/>
      <c r="C216" s="31"/>
      <c r="D216" s="32"/>
      <c r="F216" s="32"/>
      <c r="G216" s="41"/>
      <c r="H216" s="32"/>
      <c r="I216" s="41"/>
      <c r="J216" s="315"/>
      <c r="K216" s="315"/>
      <c r="L216" s="315"/>
    </row>
    <row r="217" spans="1:12" s="30" customFormat="1" x14ac:dyDescent="0.25">
      <c r="A217" s="36"/>
      <c r="B217" s="31"/>
      <c r="C217" s="31"/>
      <c r="D217" s="32"/>
      <c r="F217" s="32"/>
      <c r="G217" s="41"/>
      <c r="H217" s="32"/>
      <c r="I217" s="41"/>
      <c r="J217" s="315"/>
      <c r="K217" s="315"/>
      <c r="L217" s="315"/>
    </row>
    <row r="218" spans="1:12" s="30" customFormat="1" x14ac:dyDescent="0.25">
      <c r="A218" s="36"/>
      <c r="B218" s="31"/>
      <c r="C218" s="31"/>
      <c r="D218" s="32"/>
      <c r="F218" s="32"/>
      <c r="G218" s="41"/>
      <c r="H218" s="32"/>
      <c r="I218" s="41"/>
      <c r="J218" s="315"/>
      <c r="K218" s="315"/>
      <c r="L218" s="315"/>
    </row>
    <row r="219" spans="1:12" s="30" customFormat="1" x14ac:dyDescent="0.25">
      <c r="A219" s="36"/>
      <c r="B219" s="31"/>
      <c r="C219" s="31"/>
      <c r="D219" s="32"/>
      <c r="F219" s="32"/>
      <c r="G219" s="41"/>
      <c r="H219" s="32"/>
      <c r="I219" s="41"/>
      <c r="J219" s="315"/>
      <c r="K219" s="315"/>
      <c r="L219" s="315"/>
    </row>
    <row r="220" spans="1:12" s="30" customFormat="1" x14ac:dyDescent="0.25">
      <c r="A220" s="36"/>
      <c r="B220" s="31"/>
      <c r="C220" s="31"/>
      <c r="D220" s="32"/>
      <c r="F220" s="32"/>
      <c r="G220" s="41"/>
      <c r="H220" s="32"/>
      <c r="I220" s="41"/>
      <c r="J220" s="315"/>
      <c r="K220" s="315"/>
      <c r="L220" s="315"/>
    </row>
    <row r="221" spans="1:12" s="30" customFormat="1" x14ac:dyDescent="0.25">
      <c r="A221" s="36"/>
      <c r="B221" s="31"/>
      <c r="C221" s="31"/>
      <c r="D221" s="32"/>
      <c r="F221" s="32"/>
      <c r="G221" s="41"/>
      <c r="H221" s="32"/>
      <c r="I221" s="41"/>
      <c r="J221" s="315"/>
      <c r="K221" s="315"/>
      <c r="L221" s="315"/>
    </row>
    <row r="222" spans="1:12" s="30" customFormat="1" x14ac:dyDescent="0.25">
      <c r="A222" s="36"/>
      <c r="B222" s="31"/>
      <c r="C222" s="31"/>
      <c r="D222" s="32"/>
      <c r="F222" s="32"/>
      <c r="G222" s="41"/>
      <c r="H222" s="32"/>
      <c r="I222" s="41"/>
      <c r="J222" s="315"/>
      <c r="K222" s="315"/>
      <c r="L222" s="315"/>
    </row>
    <row r="223" spans="1:12" s="30" customFormat="1" x14ac:dyDescent="0.25">
      <c r="A223" s="36"/>
      <c r="B223" s="31"/>
      <c r="C223" s="31"/>
      <c r="D223" s="32"/>
      <c r="F223" s="32"/>
      <c r="G223" s="41"/>
      <c r="H223" s="32"/>
      <c r="I223" s="41"/>
      <c r="J223" s="315"/>
      <c r="K223" s="315"/>
      <c r="L223" s="315"/>
    </row>
    <row r="224" spans="1:12" s="30" customFormat="1" x14ac:dyDescent="0.25">
      <c r="A224" s="36"/>
      <c r="B224" s="31"/>
      <c r="C224" s="31"/>
      <c r="D224" s="32"/>
      <c r="F224" s="32"/>
      <c r="G224" s="41"/>
      <c r="H224" s="32"/>
      <c r="I224" s="41"/>
      <c r="J224" s="315"/>
      <c r="K224" s="315"/>
      <c r="L224" s="315"/>
    </row>
    <row r="225" spans="1:12" s="30" customFormat="1" x14ac:dyDescent="0.25">
      <c r="A225" s="36"/>
      <c r="B225" s="31"/>
      <c r="C225" s="31"/>
      <c r="D225" s="32"/>
      <c r="F225" s="32"/>
      <c r="G225" s="41"/>
      <c r="H225" s="32"/>
      <c r="I225" s="41"/>
      <c r="J225" s="315"/>
      <c r="K225" s="315"/>
      <c r="L225" s="315"/>
    </row>
    <row r="226" spans="1:12" s="30" customFormat="1" x14ac:dyDescent="0.25">
      <c r="A226" s="36"/>
      <c r="B226" s="31"/>
      <c r="C226" s="31"/>
      <c r="D226" s="32"/>
      <c r="F226" s="32"/>
      <c r="G226" s="41"/>
      <c r="H226" s="32"/>
      <c r="I226" s="41"/>
      <c r="J226" s="315"/>
      <c r="K226" s="315"/>
      <c r="L226" s="315"/>
    </row>
    <row r="227" spans="1:12" s="30" customFormat="1" x14ac:dyDescent="0.25">
      <c r="A227" s="36"/>
      <c r="B227" s="31"/>
      <c r="C227" s="31"/>
      <c r="D227" s="32"/>
      <c r="F227" s="32"/>
      <c r="G227" s="41"/>
      <c r="H227" s="32"/>
      <c r="I227" s="41"/>
      <c r="J227" s="315"/>
      <c r="K227" s="315"/>
      <c r="L227" s="315"/>
    </row>
    <row r="228" spans="1:12" s="30" customFormat="1" x14ac:dyDescent="0.25">
      <c r="A228" s="36"/>
      <c r="B228" s="31"/>
      <c r="C228" s="31"/>
      <c r="D228" s="32"/>
      <c r="F228" s="32"/>
      <c r="G228" s="41"/>
      <c r="H228" s="32"/>
      <c r="I228" s="41"/>
      <c r="J228" s="315"/>
      <c r="K228" s="315"/>
      <c r="L228" s="315"/>
    </row>
    <row r="229" spans="1:12" s="30" customFormat="1" x14ac:dyDescent="0.25">
      <c r="A229" s="36"/>
      <c r="B229" s="31"/>
      <c r="C229" s="31"/>
      <c r="D229" s="32"/>
      <c r="F229" s="32"/>
      <c r="G229" s="41"/>
      <c r="H229" s="32"/>
      <c r="I229" s="41"/>
      <c r="J229" s="315"/>
      <c r="K229" s="315"/>
      <c r="L229" s="315"/>
    </row>
    <row r="230" spans="1:12" s="30" customFormat="1" x14ac:dyDescent="0.25">
      <c r="A230" s="36"/>
      <c r="B230" s="31"/>
      <c r="C230" s="31"/>
      <c r="D230" s="32"/>
      <c r="F230" s="32"/>
      <c r="G230" s="41"/>
      <c r="H230" s="32"/>
      <c r="I230" s="41"/>
      <c r="J230" s="315"/>
      <c r="K230" s="315"/>
      <c r="L230" s="315"/>
    </row>
    <row r="231" spans="1:12" s="30" customFormat="1" x14ac:dyDescent="0.25">
      <c r="A231" s="36"/>
      <c r="B231" s="31"/>
      <c r="C231" s="31"/>
      <c r="D231" s="32"/>
      <c r="F231" s="32"/>
      <c r="G231" s="41"/>
      <c r="H231" s="32"/>
      <c r="I231" s="41"/>
      <c r="J231" s="315"/>
      <c r="K231" s="315"/>
      <c r="L231" s="315"/>
    </row>
    <row r="232" spans="1:12" s="30" customFormat="1" x14ac:dyDescent="0.25">
      <c r="A232" s="36"/>
      <c r="B232" s="31"/>
      <c r="C232" s="31"/>
      <c r="D232" s="32"/>
      <c r="F232" s="32"/>
      <c r="G232" s="41"/>
      <c r="H232" s="32"/>
      <c r="I232" s="41"/>
      <c r="J232" s="315"/>
      <c r="K232" s="315"/>
      <c r="L232" s="315"/>
    </row>
    <row r="233" spans="1:12" s="30" customFormat="1" x14ac:dyDescent="0.25">
      <c r="A233" s="36"/>
      <c r="B233" s="31"/>
      <c r="C233" s="31"/>
      <c r="D233" s="32"/>
      <c r="F233" s="32"/>
      <c r="G233" s="41"/>
      <c r="H233" s="32"/>
      <c r="I233" s="41"/>
      <c r="J233" s="315"/>
      <c r="K233" s="315"/>
      <c r="L233" s="315"/>
    </row>
    <row r="234" spans="1:12" s="30" customFormat="1" x14ac:dyDescent="0.25">
      <c r="A234" s="36"/>
      <c r="B234" s="31"/>
      <c r="C234" s="31"/>
      <c r="D234" s="32"/>
      <c r="F234" s="32"/>
      <c r="G234" s="41"/>
      <c r="H234" s="32"/>
      <c r="I234" s="41"/>
      <c r="J234" s="315"/>
      <c r="K234" s="315"/>
      <c r="L234" s="315"/>
    </row>
    <row r="235" spans="1:12" s="30" customFormat="1" x14ac:dyDescent="0.25">
      <c r="A235" s="36"/>
      <c r="B235" s="31"/>
      <c r="C235" s="31"/>
      <c r="D235" s="32"/>
      <c r="F235" s="32"/>
      <c r="G235" s="41"/>
      <c r="H235" s="32"/>
      <c r="I235" s="41"/>
      <c r="J235" s="315"/>
      <c r="K235" s="315"/>
      <c r="L235" s="315"/>
    </row>
    <row r="236" spans="1:12" s="30" customFormat="1" x14ac:dyDescent="0.25">
      <c r="A236" s="36"/>
      <c r="B236" s="31"/>
      <c r="C236" s="31"/>
      <c r="D236" s="32"/>
      <c r="F236" s="32"/>
      <c r="G236" s="41"/>
      <c r="H236" s="32"/>
      <c r="I236" s="41"/>
      <c r="J236" s="315"/>
      <c r="K236" s="315"/>
      <c r="L236" s="315"/>
    </row>
    <row r="237" spans="1:12" s="30" customFormat="1" x14ac:dyDescent="0.25">
      <c r="A237" s="36"/>
      <c r="B237" s="31"/>
      <c r="C237" s="31"/>
      <c r="D237" s="32"/>
      <c r="F237" s="32"/>
      <c r="G237" s="41"/>
      <c r="H237" s="32"/>
      <c r="I237" s="41"/>
      <c r="J237" s="315"/>
      <c r="K237" s="315"/>
      <c r="L237" s="315"/>
    </row>
    <row r="238" spans="1:12" s="30" customFormat="1" x14ac:dyDescent="0.25">
      <c r="A238" s="36"/>
      <c r="B238" s="31"/>
      <c r="C238" s="31"/>
      <c r="D238" s="32"/>
      <c r="F238" s="32"/>
      <c r="G238" s="41"/>
      <c r="H238" s="32"/>
      <c r="I238" s="41"/>
      <c r="J238" s="315"/>
      <c r="K238" s="315"/>
      <c r="L238" s="315"/>
    </row>
    <row r="239" spans="1:12" s="30" customFormat="1" x14ac:dyDescent="0.25">
      <c r="A239" s="36"/>
      <c r="B239" s="31"/>
      <c r="C239" s="31"/>
      <c r="D239" s="32"/>
      <c r="F239" s="32"/>
      <c r="G239" s="41"/>
      <c r="H239" s="32"/>
      <c r="I239" s="41"/>
      <c r="J239" s="315"/>
      <c r="K239" s="315"/>
      <c r="L239" s="315"/>
    </row>
    <row r="240" spans="1:12" s="30" customFormat="1" x14ac:dyDescent="0.25">
      <c r="A240" s="36"/>
      <c r="B240" s="31"/>
      <c r="C240" s="31"/>
      <c r="D240" s="32"/>
      <c r="F240" s="32"/>
      <c r="G240" s="41"/>
      <c r="H240" s="32"/>
      <c r="I240" s="41"/>
      <c r="J240" s="315"/>
      <c r="K240" s="315"/>
      <c r="L240" s="315"/>
    </row>
    <row r="241" spans="1:12" s="30" customFormat="1" x14ac:dyDescent="0.25">
      <c r="A241" s="36"/>
      <c r="B241" s="31"/>
      <c r="C241" s="31"/>
      <c r="D241" s="32"/>
      <c r="F241" s="32"/>
      <c r="G241" s="41"/>
      <c r="H241" s="32"/>
      <c r="I241" s="41"/>
      <c r="J241" s="315"/>
      <c r="K241" s="315"/>
      <c r="L241" s="315"/>
    </row>
    <row r="242" spans="1:12" s="30" customFormat="1" x14ac:dyDescent="0.25">
      <c r="A242" s="36"/>
      <c r="B242" s="31"/>
      <c r="C242" s="31"/>
      <c r="D242" s="32"/>
      <c r="F242" s="32"/>
      <c r="G242" s="41"/>
      <c r="H242" s="32"/>
      <c r="I242" s="41"/>
      <c r="J242" s="315"/>
      <c r="K242" s="315"/>
      <c r="L242" s="315"/>
    </row>
    <row r="243" spans="1:12" s="30" customFormat="1" x14ac:dyDescent="0.25">
      <c r="A243" s="36"/>
      <c r="B243" s="31"/>
      <c r="C243" s="31"/>
      <c r="D243" s="32"/>
      <c r="F243" s="32"/>
      <c r="G243" s="41"/>
      <c r="H243" s="32"/>
      <c r="I243" s="41"/>
      <c r="J243" s="315"/>
      <c r="K243" s="315"/>
      <c r="L243" s="315"/>
    </row>
    <row r="244" spans="1:12" s="30" customFormat="1" x14ac:dyDescent="0.25">
      <c r="A244" s="36"/>
      <c r="B244" s="31"/>
      <c r="C244" s="31"/>
      <c r="D244" s="32"/>
      <c r="F244" s="32"/>
      <c r="G244" s="41"/>
      <c r="H244" s="32"/>
      <c r="I244" s="41"/>
      <c r="J244" s="315"/>
      <c r="K244" s="315"/>
      <c r="L244" s="315"/>
    </row>
    <row r="245" spans="1:12" s="30" customFormat="1" x14ac:dyDescent="0.25">
      <c r="A245" s="36"/>
      <c r="B245" s="31"/>
      <c r="C245" s="31"/>
      <c r="D245" s="32"/>
      <c r="F245" s="32"/>
      <c r="G245" s="41"/>
      <c r="H245" s="32"/>
      <c r="I245" s="41"/>
      <c r="J245" s="315"/>
      <c r="K245" s="315"/>
      <c r="L245" s="315"/>
    </row>
    <row r="246" spans="1:12" s="30" customFormat="1" x14ac:dyDescent="0.25">
      <c r="A246" s="36"/>
      <c r="B246" s="31"/>
      <c r="C246" s="31"/>
      <c r="D246" s="32"/>
      <c r="F246" s="32"/>
      <c r="G246" s="41"/>
      <c r="H246" s="32"/>
      <c r="I246" s="41"/>
      <c r="J246" s="315"/>
      <c r="K246" s="315"/>
      <c r="L246" s="315"/>
    </row>
    <row r="247" spans="1:12" s="30" customFormat="1" x14ac:dyDescent="0.25">
      <c r="A247" s="36"/>
      <c r="B247" s="31"/>
      <c r="C247" s="31"/>
      <c r="D247" s="32"/>
      <c r="F247" s="32"/>
      <c r="G247" s="41"/>
      <c r="H247" s="32"/>
      <c r="I247" s="41"/>
      <c r="J247" s="315"/>
      <c r="K247" s="315"/>
      <c r="L247" s="315"/>
    </row>
    <row r="248" spans="1:12" s="30" customFormat="1" x14ac:dyDescent="0.25">
      <c r="A248" s="36"/>
      <c r="B248" s="31"/>
      <c r="C248" s="31"/>
      <c r="D248" s="32"/>
      <c r="F248" s="32"/>
      <c r="G248" s="41"/>
      <c r="H248" s="32"/>
      <c r="I248" s="41"/>
      <c r="J248" s="315"/>
      <c r="K248" s="315"/>
      <c r="L248" s="315"/>
    </row>
    <row r="249" spans="1:12" s="30" customFormat="1" x14ac:dyDescent="0.25">
      <c r="A249" s="36"/>
      <c r="B249" s="31"/>
      <c r="C249" s="31"/>
      <c r="D249" s="32"/>
      <c r="F249" s="32"/>
      <c r="G249" s="41"/>
      <c r="H249" s="32"/>
      <c r="I249" s="41"/>
      <c r="J249" s="315"/>
      <c r="K249" s="315"/>
      <c r="L249" s="315"/>
    </row>
    <row r="250" spans="1:12" s="30" customFormat="1" x14ac:dyDescent="0.25">
      <c r="A250" s="36"/>
      <c r="B250" s="31"/>
      <c r="C250" s="31"/>
      <c r="D250" s="32"/>
      <c r="F250" s="32"/>
      <c r="G250" s="41"/>
      <c r="H250" s="32"/>
      <c r="I250" s="41"/>
      <c r="J250" s="315"/>
      <c r="K250" s="315"/>
      <c r="L250" s="315"/>
    </row>
    <row r="251" spans="1:12" s="30" customFormat="1" x14ac:dyDescent="0.25">
      <c r="A251" s="36"/>
      <c r="B251" s="31"/>
      <c r="C251" s="31"/>
      <c r="D251" s="32"/>
      <c r="F251" s="32"/>
      <c r="G251" s="41"/>
      <c r="H251" s="32"/>
      <c r="I251" s="41"/>
      <c r="J251" s="315"/>
      <c r="K251" s="315"/>
      <c r="L251" s="315"/>
    </row>
    <row r="252" spans="1:12" s="30" customFormat="1" x14ac:dyDescent="0.25">
      <c r="A252" s="36"/>
      <c r="B252" s="31"/>
      <c r="C252" s="31"/>
      <c r="D252" s="32"/>
      <c r="F252" s="32"/>
      <c r="G252" s="41"/>
      <c r="H252" s="32"/>
      <c r="I252" s="41"/>
      <c r="J252" s="315"/>
      <c r="K252" s="315"/>
      <c r="L252" s="315"/>
    </row>
    <row r="253" spans="1:12" s="30" customFormat="1" x14ac:dyDescent="0.25">
      <c r="A253" s="36"/>
      <c r="B253" s="31"/>
      <c r="C253" s="31"/>
      <c r="D253" s="32"/>
      <c r="F253" s="32"/>
      <c r="G253" s="41"/>
      <c r="H253" s="32"/>
      <c r="I253" s="41"/>
      <c r="J253" s="315"/>
      <c r="K253" s="315"/>
      <c r="L253" s="315"/>
    </row>
    <row r="254" spans="1:12" s="30" customFormat="1" x14ac:dyDescent="0.25">
      <c r="A254" s="36"/>
      <c r="B254" s="31"/>
      <c r="C254" s="31"/>
      <c r="D254" s="32"/>
      <c r="F254" s="32"/>
      <c r="G254" s="41"/>
      <c r="H254" s="32"/>
      <c r="I254" s="41"/>
      <c r="J254" s="315"/>
      <c r="K254" s="315"/>
      <c r="L254" s="315"/>
    </row>
    <row r="255" spans="1:12" s="30" customFormat="1" x14ac:dyDescent="0.25">
      <c r="A255" s="36"/>
      <c r="B255" s="31"/>
      <c r="C255" s="31"/>
      <c r="D255" s="32"/>
      <c r="F255" s="32"/>
      <c r="G255" s="41"/>
      <c r="H255" s="32"/>
      <c r="I255" s="41"/>
      <c r="J255" s="315"/>
      <c r="K255" s="315"/>
      <c r="L255" s="315"/>
    </row>
    <row r="256" spans="1:12" s="30" customFormat="1" x14ac:dyDescent="0.25">
      <c r="A256" s="36"/>
      <c r="B256" s="31"/>
      <c r="C256" s="31"/>
      <c r="D256" s="32"/>
      <c r="F256" s="32"/>
      <c r="G256" s="41"/>
      <c r="H256" s="32"/>
      <c r="I256" s="41"/>
      <c r="J256" s="315"/>
      <c r="K256" s="315"/>
      <c r="L256" s="315"/>
    </row>
    <row r="257" spans="1:12" s="30" customFormat="1" x14ac:dyDescent="0.25">
      <c r="A257" s="36"/>
      <c r="B257" s="31"/>
      <c r="C257" s="31"/>
      <c r="D257" s="32"/>
      <c r="F257" s="32"/>
      <c r="G257" s="41"/>
      <c r="H257" s="32"/>
      <c r="I257" s="41"/>
      <c r="J257" s="315"/>
      <c r="K257" s="315"/>
      <c r="L257" s="315"/>
    </row>
    <row r="258" spans="1:12" s="30" customFormat="1" x14ac:dyDescent="0.25">
      <c r="A258" s="36"/>
      <c r="B258" s="31"/>
      <c r="C258" s="31"/>
      <c r="D258" s="32"/>
      <c r="F258" s="32"/>
      <c r="G258" s="41"/>
      <c r="H258" s="32"/>
      <c r="I258" s="41"/>
      <c r="J258" s="315"/>
      <c r="K258" s="315"/>
      <c r="L258" s="315"/>
    </row>
    <row r="259" spans="1:12" s="30" customFormat="1" x14ac:dyDescent="0.25">
      <c r="A259" s="36"/>
      <c r="B259" s="31"/>
      <c r="C259" s="31"/>
      <c r="D259" s="32"/>
      <c r="F259" s="32"/>
      <c r="G259" s="41"/>
      <c r="H259" s="32"/>
      <c r="I259" s="41"/>
      <c r="J259" s="315"/>
      <c r="K259" s="315"/>
      <c r="L259" s="315"/>
    </row>
    <row r="260" spans="1:12" s="30" customFormat="1" x14ac:dyDescent="0.25">
      <c r="A260" s="36"/>
      <c r="B260" s="31"/>
      <c r="C260" s="31"/>
      <c r="D260" s="32"/>
      <c r="F260" s="32"/>
      <c r="G260" s="41"/>
      <c r="H260" s="32"/>
      <c r="I260" s="41"/>
      <c r="J260" s="315"/>
      <c r="K260" s="315"/>
      <c r="L260" s="315"/>
    </row>
    <row r="261" spans="1:12" s="30" customFormat="1" x14ac:dyDescent="0.25">
      <c r="A261" s="36"/>
      <c r="B261" s="31"/>
      <c r="C261" s="31"/>
      <c r="D261" s="32"/>
      <c r="F261" s="32"/>
      <c r="G261" s="41"/>
      <c r="H261" s="32"/>
      <c r="I261" s="41"/>
      <c r="J261" s="315"/>
      <c r="K261" s="315"/>
      <c r="L261" s="315"/>
    </row>
    <row r="262" spans="1:12" s="30" customFormat="1" x14ac:dyDescent="0.25">
      <c r="A262" s="36"/>
      <c r="B262" s="31"/>
      <c r="C262" s="31"/>
      <c r="D262" s="32"/>
      <c r="F262" s="32"/>
      <c r="G262" s="41"/>
      <c r="H262" s="32"/>
      <c r="I262" s="41"/>
      <c r="J262" s="315"/>
      <c r="K262" s="315"/>
      <c r="L262" s="315"/>
    </row>
    <row r="263" spans="1:12" s="30" customFormat="1" x14ac:dyDescent="0.25">
      <c r="A263" s="36"/>
      <c r="B263" s="31"/>
      <c r="C263" s="31"/>
      <c r="D263" s="32"/>
      <c r="F263" s="32"/>
      <c r="G263" s="41"/>
      <c r="H263" s="32"/>
      <c r="I263" s="41"/>
      <c r="J263" s="315"/>
      <c r="K263" s="315"/>
      <c r="L263" s="315"/>
    </row>
    <row r="264" spans="1:12" s="30" customFormat="1" x14ac:dyDescent="0.25">
      <c r="A264" s="36"/>
      <c r="B264" s="31"/>
      <c r="C264" s="31"/>
      <c r="D264" s="32"/>
      <c r="F264" s="32"/>
      <c r="G264" s="41"/>
      <c r="H264" s="32"/>
      <c r="I264" s="41"/>
      <c r="J264" s="315"/>
      <c r="K264" s="315"/>
      <c r="L264" s="315"/>
    </row>
    <row r="265" spans="1:12" s="30" customFormat="1" x14ac:dyDescent="0.25">
      <c r="A265" s="36"/>
      <c r="B265" s="31"/>
      <c r="C265" s="31"/>
      <c r="D265" s="32"/>
      <c r="F265" s="32"/>
      <c r="G265" s="41"/>
      <c r="H265" s="32"/>
      <c r="I265" s="41"/>
      <c r="J265" s="315"/>
      <c r="K265" s="315"/>
      <c r="L265" s="315"/>
    </row>
    <row r="266" spans="1:12" s="30" customFormat="1" x14ac:dyDescent="0.25">
      <c r="A266" s="36"/>
      <c r="B266" s="31"/>
      <c r="C266" s="31"/>
      <c r="D266" s="32"/>
      <c r="F266" s="32"/>
      <c r="G266" s="41"/>
      <c r="H266" s="32"/>
      <c r="I266" s="41"/>
      <c r="J266" s="315"/>
      <c r="K266" s="315"/>
      <c r="L266" s="315"/>
    </row>
    <row r="267" spans="1:12" s="30" customFormat="1" x14ac:dyDescent="0.25">
      <c r="A267" s="36"/>
      <c r="B267" s="31"/>
      <c r="C267" s="31"/>
      <c r="D267" s="32"/>
      <c r="F267" s="32"/>
      <c r="G267" s="41"/>
      <c r="H267" s="32"/>
      <c r="I267" s="41"/>
      <c r="J267" s="315"/>
      <c r="K267" s="315"/>
      <c r="L267" s="315"/>
    </row>
    <row r="268" spans="1:12" s="30" customFormat="1" x14ac:dyDescent="0.25">
      <c r="A268" s="36"/>
      <c r="B268" s="31"/>
      <c r="C268" s="31"/>
      <c r="D268" s="32"/>
      <c r="F268" s="32"/>
      <c r="G268" s="41"/>
      <c r="H268" s="32"/>
      <c r="I268" s="41"/>
      <c r="J268" s="315"/>
      <c r="K268" s="315"/>
      <c r="L268" s="315"/>
    </row>
    <row r="269" spans="1:12" s="30" customFormat="1" x14ac:dyDescent="0.25">
      <c r="A269" s="36"/>
      <c r="B269" s="31"/>
      <c r="C269" s="31"/>
      <c r="D269" s="32"/>
      <c r="F269" s="32"/>
      <c r="G269" s="41"/>
      <c r="H269" s="32"/>
      <c r="I269" s="41"/>
      <c r="J269" s="315"/>
      <c r="K269" s="315"/>
      <c r="L269" s="315"/>
    </row>
    <row r="270" spans="1:12" s="30" customFormat="1" x14ac:dyDescent="0.25">
      <c r="A270" s="36"/>
      <c r="B270" s="31"/>
      <c r="C270" s="31"/>
      <c r="D270" s="32"/>
      <c r="F270" s="32"/>
      <c r="G270" s="41"/>
      <c r="H270" s="32"/>
      <c r="I270" s="41"/>
      <c r="J270" s="315"/>
      <c r="K270" s="315"/>
      <c r="L270" s="315"/>
    </row>
    <row r="271" spans="1:12" s="30" customFormat="1" x14ac:dyDescent="0.25">
      <c r="A271" s="36"/>
      <c r="B271" s="31"/>
      <c r="C271" s="31"/>
      <c r="D271" s="32"/>
      <c r="F271" s="32"/>
      <c r="G271" s="41"/>
      <c r="H271" s="32"/>
      <c r="I271" s="41"/>
      <c r="J271" s="315"/>
      <c r="K271" s="315"/>
      <c r="L271" s="315"/>
    </row>
    <row r="272" spans="1:12" s="30" customFormat="1" x14ac:dyDescent="0.25">
      <c r="A272" s="36"/>
      <c r="B272" s="31"/>
      <c r="C272" s="31"/>
      <c r="D272" s="32"/>
      <c r="F272" s="32"/>
      <c r="G272" s="41"/>
      <c r="H272" s="32"/>
      <c r="I272" s="41"/>
      <c r="J272" s="315"/>
      <c r="K272" s="315"/>
      <c r="L272" s="315"/>
    </row>
    <row r="273" spans="1:12" s="30" customFormat="1" x14ac:dyDescent="0.25">
      <c r="A273" s="36"/>
      <c r="B273" s="31"/>
      <c r="C273" s="31"/>
      <c r="D273" s="32"/>
      <c r="F273" s="32"/>
      <c r="G273" s="41"/>
      <c r="H273" s="32"/>
      <c r="I273" s="41"/>
      <c r="J273" s="315"/>
      <c r="K273" s="315"/>
      <c r="L273" s="315"/>
    </row>
    <row r="274" spans="1:12" s="30" customFormat="1" x14ac:dyDescent="0.25">
      <c r="A274" s="36"/>
      <c r="B274" s="31"/>
      <c r="C274" s="31"/>
      <c r="D274" s="32"/>
      <c r="F274" s="32"/>
      <c r="G274" s="41"/>
      <c r="H274" s="32"/>
      <c r="I274" s="41"/>
      <c r="J274" s="315"/>
      <c r="K274" s="315"/>
      <c r="L274" s="315"/>
    </row>
    <row r="275" spans="1:12" s="30" customFormat="1" x14ac:dyDescent="0.25">
      <c r="A275" s="36"/>
      <c r="B275" s="31"/>
      <c r="C275" s="31"/>
      <c r="D275" s="32"/>
      <c r="F275" s="32"/>
      <c r="G275" s="41"/>
      <c r="H275" s="32"/>
      <c r="I275" s="41"/>
      <c r="J275" s="315"/>
      <c r="K275" s="315"/>
      <c r="L275" s="315"/>
    </row>
    <row r="276" spans="1:12" s="30" customFormat="1" x14ac:dyDescent="0.25">
      <c r="A276" s="36"/>
      <c r="B276" s="31"/>
      <c r="C276" s="31"/>
      <c r="D276" s="32"/>
      <c r="F276" s="32"/>
      <c r="G276" s="41"/>
      <c r="H276" s="32"/>
      <c r="I276" s="41"/>
      <c r="J276" s="315"/>
      <c r="K276" s="315"/>
      <c r="L276" s="315"/>
    </row>
    <row r="277" spans="1:12" s="30" customFormat="1" x14ac:dyDescent="0.25">
      <c r="A277" s="36"/>
      <c r="B277" s="31"/>
      <c r="C277" s="31"/>
      <c r="D277" s="32"/>
      <c r="F277" s="32"/>
      <c r="G277" s="41"/>
      <c r="H277" s="32"/>
      <c r="I277" s="41"/>
      <c r="J277" s="315"/>
      <c r="K277" s="315"/>
      <c r="L277" s="315"/>
    </row>
    <row r="278" spans="1:12" s="30" customFormat="1" x14ac:dyDescent="0.25">
      <c r="A278" s="36"/>
      <c r="B278" s="31"/>
      <c r="C278" s="31"/>
      <c r="D278" s="32"/>
      <c r="F278" s="32"/>
      <c r="G278" s="41"/>
      <c r="H278" s="32"/>
      <c r="I278" s="41"/>
      <c r="J278" s="315"/>
      <c r="K278" s="315"/>
      <c r="L278" s="315"/>
    </row>
    <row r="279" spans="1:12" s="30" customFormat="1" x14ac:dyDescent="0.25">
      <c r="A279" s="36"/>
      <c r="B279" s="31"/>
      <c r="C279" s="31"/>
      <c r="D279" s="32"/>
      <c r="F279" s="32"/>
      <c r="G279" s="41"/>
      <c r="H279" s="32"/>
      <c r="I279" s="41"/>
      <c r="J279" s="315"/>
      <c r="K279" s="315"/>
      <c r="L279" s="315"/>
    </row>
    <row r="280" spans="1:12" s="30" customFormat="1" x14ac:dyDescent="0.25">
      <c r="A280" s="36"/>
      <c r="B280" s="31"/>
      <c r="C280" s="31"/>
      <c r="D280" s="32"/>
      <c r="F280" s="32"/>
      <c r="G280" s="41"/>
      <c r="H280" s="32"/>
      <c r="I280" s="41"/>
      <c r="J280" s="315"/>
      <c r="K280" s="315"/>
      <c r="L280" s="315"/>
    </row>
    <row r="281" spans="1:12" s="30" customFormat="1" x14ac:dyDescent="0.25">
      <c r="A281" s="36"/>
      <c r="B281" s="31"/>
      <c r="C281" s="31"/>
      <c r="D281" s="32"/>
      <c r="F281" s="32"/>
      <c r="G281" s="41"/>
      <c r="H281" s="32"/>
      <c r="I281" s="41"/>
      <c r="J281" s="315"/>
      <c r="K281" s="315"/>
      <c r="L281" s="315"/>
    </row>
    <row r="282" spans="1:12" s="30" customFormat="1" x14ac:dyDescent="0.25">
      <c r="A282" s="36"/>
      <c r="B282" s="31"/>
      <c r="C282" s="31"/>
      <c r="D282" s="32"/>
      <c r="F282" s="32"/>
      <c r="G282" s="41"/>
      <c r="H282" s="32"/>
      <c r="I282" s="41"/>
      <c r="J282" s="315"/>
      <c r="K282" s="315"/>
      <c r="L282" s="315"/>
    </row>
    <row r="283" spans="1:12" s="30" customFormat="1" x14ac:dyDescent="0.25">
      <c r="A283" s="36"/>
      <c r="B283" s="31"/>
      <c r="C283" s="31"/>
      <c r="D283" s="32"/>
      <c r="F283" s="32"/>
      <c r="G283" s="41"/>
      <c r="H283" s="32"/>
      <c r="I283" s="41"/>
      <c r="J283" s="315"/>
      <c r="K283" s="315"/>
      <c r="L283" s="315"/>
    </row>
    <row r="284" spans="1:12" s="30" customFormat="1" x14ac:dyDescent="0.25">
      <c r="A284" s="36"/>
      <c r="B284" s="31"/>
      <c r="C284" s="31"/>
      <c r="D284" s="32"/>
      <c r="F284" s="32"/>
      <c r="G284" s="41"/>
      <c r="H284" s="32"/>
      <c r="I284" s="41"/>
      <c r="J284" s="315"/>
      <c r="K284" s="315"/>
      <c r="L284" s="315"/>
    </row>
    <row r="285" spans="1:12" s="30" customFormat="1" x14ac:dyDescent="0.25">
      <c r="A285" s="36"/>
      <c r="B285" s="31"/>
      <c r="C285" s="31"/>
      <c r="D285" s="32"/>
      <c r="F285" s="32"/>
      <c r="G285" s="41"/>
      <c r="H285" s="32"/>
      <c r="I285" s="41"/>
      <c r="J285" s="315"/>
      <c r="K285" s="315"/>
      <c r="L285" s="315"/>
    </row>
    <row r="286" spans="1:12" s="30" customFormat="1" x14ac:dyDescent="0.25">
      <c r="A286" s="36"/>
      <c r="B286" s="31"/>
      <c r="C286" s="31"/>
      <c r="D286" s="32"/>
      <c r="F286" s="32"/>
      <c r="G286" s="41"/>
      <c r="H286" s="32"/>
      <c r="I286" s="41"/>
      <c r="J286" s="315"/>
      <c r="K286" s="315"/>
      <c r="L286" s="315"/>
    </row>
    <row r="287" spans="1:12" s="30" customFormat="1" x14ac:dyDescent="0.25">
      <c r="A287" s="36"/>
      <c r="B287" s="31"/>
      <c r="C287" s="31"/>
      <c r="D287" s="32"/>
      <c r="F287" s="32"/>
      <c r="G287" s="41"/>
      <c r="H287" s="32"/>
      <c r="I287" s="41"/>
      <c r="J287" s="315"/>
      <c r="K287" s="315"/>
      <c r="L287" s="315"/>
    </row>
    <row r="288" spans="1:12" s="30" customFormat="1" x14ac:dyDescent="0.25">
      <c r="A288" s="36"/>
      <c r="B288" s="31"/>
      <c r="C288" s="31"/>
      <c r="D288" s="32"/>
      <c r="F288" s="32"/>
      <c r="G288" s="41"/>
      <c r="H288" s="32"/>
      <c r="I288" s="41"/>
      <c r="J288" s="315"/>
      <c r="K288" s="315"/>
      <c r="L288" s="315"/>
    </row>
    <row r="289" spans="1:12" s="30" customFormat="1" x14ac:dyDescent="0.25">
      <c r="A289" s="36"/>
      <c r="B289" s="31"/>
      <c r="C289" s="31"/>
      <c r="D289" s="32"/>
      <c r="F289" s="32"/>
      <c r="G289" s="41"/>
      <c r="H289" s="32"/>
      <c r="I289" s="41"/>
      <c r="J289" s="315"/>
      <c r="K289" s="315"/>
      <c r="L289" s="315"/>
    </row>
    <row r="290" spans="1:12" s="30" customFormat="1" x14ac:dyDescent="0.25">
      <c r="A290" s="36"/>
      <c r="B290" s="31"/>
      <c r="C290" s="31"/>
      <c r="D290" s="32"/>
      <c r="F290" s="32"/>
      <c r="G290" s="41"/>
      <c r="H290" s="32"/>
      <c r="I290" s="41"/>
      <c r="J290" s="315"/>
      <c r="K290" s="315"/>
      <c r="L290" s="315"/>
    </row>
    <row r="291" spans="1:12" s="30" customFormat="1" x14ac:dyDescent="0.25">
      <c r="A291" s="36"/>
      <c r="B291" s="31"/>
      <c r="C291" s="31"/>
      <c r="D291" s="32"/>
      <c r="F291" s="32"/>
      <c r="G291" s="41"/>
      <c r="H291" s="32"/>
      <c r="I291" s="41"/>
      <c r="J291" s="315"/>
      <c r="K291" s="315"/>
      <c r="L291" s="315"/>
    </row>
    <row r="292" spans="1:12" s="30" customFormat="1" x14ac:dyDescent="0.25">
      <c r="A292" s="36"/>
      <c r="B292" s="31"/>
      <c r="C292" s="31"/>
      <c r="D292" s="32"/>
      <c r="F292" s="32"/>
      <c r="G292" s="41"/>
      <c r="H292" s="32"/>
      <c r="I292" s="41"/>
      <c r="J292" s="315"/>
      <c r="K292" s="315"/>
      <c r="L292" s="315"/>
    </row>
    <row r="293" spans="1:12" s="30" customFormat="1" x14ac:dyDescent="0.25">
      <c r="A293" s="36"/>
      <c r="B293" s="31"/>
      <c r="C293" s="31"/>
      <c r="D293" s="32"/>
      <c r="F293" s="32"/>
      <c r="G293" s="41"/>
      <c r="H293" s="32"/>
      <c r="I293" s="41"/>
      <c r="J293" s="315"/>
      <c r="K293" s="315"/>
      <c r="L293" s="315"/>
    </row>
    <row r="294" spans="1:12" s="30" customFormat="1" x14ac:dyDescent="0.25">
      <c r="A294" s="36"/>
      <c r="B294" s="31"/>
      <c r="C294" s="31"/>
      <c r="D294" s="32"/>
      <c r="F294" s="32"/>
      <c r="G294" s="41"/>
      <c r="H294" s="32"/>
      <c r="I294" s="41"/>
      <c r="J294" s="315"/>
      <c r="K294" s="315"/>
      <c r="L294" s="315"/>
    </row>
    <row r="295" spans="1:12" s="30" customFormat="1" x14ac:dyDescent="0.25">
      <c r="A295" s="36"/>
      <c r="B295" s="31"/>
      <c r="C295" s="31"/>
      <c r="D295" s="32"/>
      <c r="F295" s="32"/>
      <c r="G295" s="41"/>
      <c r="H295" s="32"/>
      <c r="I295" s="41"/>
      <c r="J295" s="315"/>
      <c r="K295" s="315"/>
      <c r="L295" s="315"/>
    </row>
    <row r="296" spans="1:12" s="30" customFormat="1" x14ac:dyDescent="0.25">
      <c r="A296" s="36"/>
      <c r="B296" s="31"/>
      <c r="C296" s="31"/>
      <c r="D296" s="32"/>
      <c r="F296" s="32"/>
      <c r="G296" s="41"/>
      <c r="H296" s="32"/>
      <c r="I296" s="41"/>
      <c r="J296" s="315"/>
      <c r="K296" s="315"/>
      <c r="L296" s="315"/>
    </row>
    <row r="297" spans="1:12" s="30" customFormat="1" x14ac:dyDescent="0.25">
      <c r="A297" s="36"/>
      <c r="B297" s="31"/>
      <c r="C297" s="31"/>
      <c r="D297" s="32"/>
      <c r="F297" s="32"/>
      <c r="G297" s="41"/>
      <c r="H297" s="32"/>
      <c r="I297" s="41"/>
      <c r="J297" s="315"/>
      <c r="K297" s="315"/>
      <c r="L297" s="315"/>
    </row>
    <row r="298" spans="1:12" s="30" customFormat="1" x14ac:dyDescent="0.25">
      <c r="A298" s="36"/>
      <c r="B298" s="31"/>
      <c r="C298" s="31"/>
      <c r="D298" s="32"/>
      <c r="F298" s="32"/>
      <c r="G298" s="41"/>
      <c r="H298" s="32"/>
      <c r="I298" s="41"/>
      <c r="J298" s="315"/>
      <c r="K298" s="315"/>
      <c r="L298" s="315"/>
    </row>
    <row r="299" spans="1:12" s="30" customFormat="1" x14ac:dyDescent="0.25">
      <c r="A299" s="36"/>
      <c r="B299" s="31"/>
      <c r="C299" s="31"/>
      <c r="D299" s="32"/>
      <c r="F299" s="32"/>
      <c r="G299" s="41"/>
      <c r="H299" s="32"/>
      <c r="I299" s="41"/>
      <c r="J299" s="315"/>
      <c r="K299" s="315"/>
      <c r="L299" s="315"/>
    </row>
    <row r="300" spans="1:12" s="30" customFormat="1" x14ac:dyDescent="0.25">
      <c r="A300" s="36"/>
      <c r="B300" s="31"/>
      <c r="C300" s="31"/>
      <c r="D300" s="32"/>
      <c r="F300" s="32"/>
      <c r="G300" s="41"/>
      <c r="H300" s="32"/>
      <c r="I300" s="41"/>
      <c r="J300" s="315"/>
      <c r="K300" s="315"/>
      <c r="L300" s="315"/>
    </row>
    <row r="301" spans="1:12" s="30" customFormat="1" x14ac:dyDescent="0.25">
      <c r="A301" s="36"/>
      <c r="B301" s="31"/>
      <c r="C301" s="31"/>
      <c r="D301" s="32"/>
      <c r="F301" s="32"/>
      <c r="G301" s="41"/>
      <c r="H301" s="32"/>
      <c r="I301" s="41"/>
      <c r="J301" s="315"/>
      <c r="K301" s="315"/>
      <c r="L301" s="315"/>
    </row>
    <row r="302" spans="1:12" s="30" customFormat="1" x14ac:dyDescent="0.25">
      <c r="A302" s="36"/>
      <c r="B302" s="31"/>
      <c r="C302" s="31"/>
      <c r="D302" s="32"/>
      <c r="F302" s="32"/>
      <c r="G302" s="41"/>
      <c r="H302" s="32"/>
      <c r="I302" s="41"/>
      <c r="J302" s="315"/>
      <c r="K302" s="315"/>
      <c r="L302" s="315"/>
    </row>
    <row r="303" spans="1:12" s="30" customFormat="1" x14ac:dyDescent="0.25">
      <c r="A303" s="36"/>
      <c r="B303" s="31"/>
      <c r="C303" s="31"/>
      <c r="D303" s="32"/>
      <c r="F303" s="32"/>
      <c r="G303" s="41"/>
      <c r="H303" s="32"/>
      <c r="I303" s="41"/>
      <c r="J303" s="315"/>
      <c r="K303" s="315"/>
      <c r="L303" s="315"/>
    </row>
    <row r="304" spans="1:12" s="30" customFormat="1" x14ac:dyDescent="0.25">
      <c r="A304" s="36"/>
      <c r="B304" s="31"/>
      <c r="C304" s="31"/>
      <c r="D304" s="32"/>
      <c r="F304" s="32"/>
      <c r="G304" s="41"/>
      <c r="H304" s="32"/>
      <c r="I304" s="41"/>
      <c r="J304" s="315"/>
      <c r="K304" s="315"/>
      <c r="L304" s="315"/>
    </row>
    <row r="305" spans="1:12" s="30" customFormat="1" x14ac:dyDescent="0.25">
      <c r="A305" s="36"/>
      <c r="B305" s="31"/>
      <c r="C305" s="31"/>
      <c r="D305" s="32"/>
      <c r="F305" s="32"/>
      <c r="G305" s="41"/>
      <c r="H305" s="32"/>
      <c r="I305" s="41"/>
      <c r="J305" s="315"/>
      <c r="K305" s="315"/>
      <c r="L305" s="315"/>
    </row>
    <row r="306" spans="1:12" s="30" customFormat="1" x14ac:dyDescent="0.25">
      <c r="A306" s="36"/>
      <c r="B306" s="31"/>
      <c r="C306" s="31"/>
      <c r="D306" s="32"/>
      <c r="F306" s="32"/>
      <c r="G306" s="41"/>
      <c r="H306" s="32"/>
      <c r="I306" s="41"/>
      <c r="J306" s="315"/>
      <c r="K306" s="315"/>
      <c r="L306" s="315"/>
    </row>
    <row r="307" spans="1:12" s="30" customFormat="1" x14ac:dyDescent="0.25">
      <c r="A307" s="36"/>
      <c r="B307" s="31"/>
      <c r="C307" s="31"/>
      <c r="D307" s="32"/>
      <c r="F307" s="32"/>
      <c r="G307" s="41"/>
      <c r="H307" s="32"/>
      <c r="I307" s="41"/>
      <c r="J307" s="315"/>
      <c r="K307" s="315"/>
      <c r="L307" s="315"/>
    </row>
    <row r="308" spans="1:12" s="30" customFormat="1" x14ac:dyDescent="0.25">
      <c r="A308" s="36"/>
      <c r="B308" s="31"/>
      <c r="C308" s="31"/>
      <c r="D308" s="32"/>
      <c r="F308" s="32"/>
      <c r="G308" s="41"/>
      <c r="H308" s="32"/>
      <c r="I308" s="41"/>
      <c r="J308" s="315"/>
      <c r="K308" s="315"/>
      <c r="L308" s="315"/>
    </row>
    <row r="309" spans="1:12" s="30" customFormat="1" x14ac:dyDescent="0.25">
      <c r="A309" s="36"/>
      <c r="B309" s="31"/>
      <c r="C309" s="31"/>
      <c r="D309" s="32"/>
      <c r="F309" s="32"/>
      <c r="G309" s="41"/>
      <c r="H309" s="32"/>
      <c r="I309" s="41"/>
      <c r="J309" s="315"/>
      <c r="K309" s="315"/>
      <c r="L309" s="315"/>
    </row>
    <row r="310" spans="1:12" s="30" customFormat="1" x14ac:dyDescent="0.25">
      <c r="A310" s="36"/>
      <c r="B310" s="31"/>
      <c r="C310" s="31"/>
      <c r="D310" s="32"/>
      <c r="F310" s="32"/>
      <c r="G310" s="41"/>
      <c r="H310" s="32"/>
      <c r="I310" s="41"/>
      <c r="J310" s="315"/>
      <c r="K310" s="315"/>
      <c r="L310" s="315"/>
    </row>
    <row r="311" spans="1:12" s="30" customFormat="1" x14ac:dyDescent="0.25">
      <c r="A311" s="36"/>
      <c r="B311" s="31"/>
      <c r="C311" s="31"/>
      <c r="D311" s="32"/>
      <c r="F311" s="32"/>
      <c r="G311" s="41"/>
      <c r="H311" s="32"/>
      <c r="I311" s="41"/>
      <c r="J311" s="315"/>
      <c r="K311" s="315"/>
      <c r="L311" s="315"/>
    </row>
    <row r="312" spans="1:12" s="30" customFormat="1" x14ac:dyDescent="0.25">
      <c r="A312" s="36"/>
      <c r="B312" s="31"/>
      <c r="C312" s="31"/>
      <c r="D312" s="32"/>
      <c r="F312" s="32"/>
      <c r="G312" s="41"/>
      <c r="H312" s="32"/>
      <c r="I312" s="41"/>
      <c r="J312" s="315"/>
      <c r="K312" s="315"/>
      <c r="L312" s="315"/>
    </row>
    <row r="313" spans="1:12" s="30" customFormat="1" x14ac:dyDescent="0.25">
      <c r="A313" s="36"/>
      <c r="B313" s="31"/>
      <c r="C313" s="31"/>
      <c r="D313" s="32"/>
      <c r="F313" s="32"/>
      <c r="G313" s="41"/>
      <c r="H313" s="32"/>
      <c r="I313" s="41"/>
      <c r="J313" s="315"/>
      <c r="K313" s="315"/>
      <c r="L313" s="315"/>
    </row>
    <row r="314" spans="1:12" s="30" customFormat="1" x14ac:dyDescent="0.25">
      <c r="A314" s="36"/>
      <c r="B314" s="31"/>
      <c r="C314" s="31"/>
      <c r="D314" s="32"/>
      <c r="F314" s="32"/>
      <c r="G314" s="41"/>
      <c r="H314" s="32"/>
      <c r="I314" s="41"/>
      <c r="J314" s="315"/>
      <c r="K314" s="315"/>
      <c r="L314" s="315"/>
    </row>
    <row r="315" spans="1:12" s="30" customFormat="1" x14ac:dyDescent="0.25">
      <c r="A315" s="36"/>
      <c r="B315" s="31"/>
      <c r="C315" s="31"/>
      <c r="D315" s="32"/>
      <c r="F315" s="32"/>
      <c r="G315" s="41"/>
      <c r="H315" s="32"/>
      <c r="I315" s="41"/>
      <c r="J315" s="315"/>
      <c r="K315" s="315"/>
      <c r="L315" s="315"/>
    </row>
    <row r="316" spans="1:12" s="30" customFormat="1" x14ac:dyDescent="0.25">
      <c r="A316" s="36"/>
      <c r="B316" s="31"/>
      <c r="C316" s="31"/>
      <c r="D316" s="32"/>
      <c r="F316" s="32"/>
      <c r="G316" s="41"/>
      <c r="H316" s="32"/>
      <c r="I316" s="41"/>
      <c r="J316" s="315"/>
      <c r="K316" s="315"/>
      <c r="L316" s="315"/>
    </row>
    <row r="317" spans="1:12" s="30" customFormat="1" x14ac:dyDescent="0.25">
      <c r="A317" s="36"/>
      <c r="B317" s="31"/>
      <c r="C317" s="31"/>
      <c r="D317" s="32"/>
      <c r="F317" s="32"/>
      <c r="G317" s="41"/>
      <c r="H317" s="32"/>
      <c r="I317" s="41"/>
      <c r="J317" s="315"/>
      <c r="K317" s="315"/>
      <c r="L317" s="315"/>
    </row>
    <row r="318" spans="1:12" s="30" customFormat="1" x14ac:dyDescent="0.25">
      <c r="A318" s="36"/>
      <c r="B318" s="31"/>
      <c r="C318" s="31"/>
      <c r="D318" s="32"/>
      <c r="F318" s="32"/>
      <c r="G318" s="41"/>
      <c r="H318" s="32"/>
      <c r="I318" s="41"/>
      <c r="J318" s="315"/>
      <c r="K318" s="315"/>
      <c r="L318" s="315"/>
    </row>
    <row r="319" spans="1:12" s="30" customFormat="1" x14ac:dyDescent="0.25">
      <c r="A319" s="36"/>
      <c r="B319" s="31"/>
      <c r="C319" s="31"/>
      <c r="D319" s="32"/>
      <c r="F319" s="32"/>
      <c r="G319" s="41"/>
      <c r="H319" s="32"/>
      <c r="I319" s="41"/>
      <c r="J319" s="315"/>
      <c r="K319" s="315"/>
      <c r="L319" s="315"/>
    </row>
    <row r="320" spans="1:12" s="30" customFormat="1" x14ac:dyDescent="0.25">
      <c r="A320" s="36"/>
      <c r="B320" s="31"/>
      <c r="C320" s="31"/>
      <c r="D320" s="32"/>
      <c r="F320" s="32"/>
      <c r="G320" s="41"/>
      <c r="H320" s="32"/>
      <c r="I320" s="41"/>
      <c r="J320" s="315"/>
      <c r="K320" s="315"/>
      <c r="L320" s="315"/>
    </row>
    <row r="321" spans="1:12" s="30" customFormat="1" x14ac:dyDescent="0.25">
      <c r="A321" s="36"/>
      <c r="B321" s="31"/>
      <c r="C321" s="31"/>
      <c r="D321" s="32"/>
      <c r="F321" s="32"/>
      <c r="G321" s="41"/>
      <c r="H321" s="32"/>
      <c r="I321" s="41"/>
      <c r="J321" s="315"/>
      <c r="K321" s="315"/>
      <c r="L321" s="315"/>
    </row>
    <row r="322" spans="1:12" s="30" customFormat="1" x14ac:dyDescent="0.25">
      <c r="A322" s="36"/>
      <c r="B322" s="31"/>
      <c r="C322" s="31"/>
      <c r="D322" s="32"/>
      <c r="F322" s="32"/>
      <c r="G322" s="41"/>
      <c r="H322" s="32"/>
      <c r="I322" s="41"/>
      <c r="J322" s="315"/>
      <c r="K322" s="315"/>
      <c r="L322" s="315"/>
    </row>
    <row r="323" spans="1:12" s="30" customFormat="1" x14ac:dyDescent="0.25">
      <c r="A323" s="36"/>
      <c r="B323" s="31"/>
      <c r="C323" s="31"/>
      <c r="D323" s="32"/>
      <c r="F323" s="32"/>
      <c r="G323" s="41"/>
      <c r="H323" s="32"/>
      <c r="I323" s="41"/>
      <c r="J323" s="315"/>
      <c r="K323" s="315"/>
      <c r="L323" s="315"/>
    </row>
    <row r="324" spans="1:12" s="30" customFormat="1" x14ac:dyDescent="0.25">
      <c r="A324" s="36"/>
      <c r="B324" s="31"/>
      <c r="C324" s="31"/>
      <c r="D324" s="32"/>
      <c r="F324" s="32"/>
      <c r="G324" s="41"/>
      <c r="H324" s="32"/>
      <c r="I324" s="41"/>
      <c r="J324" s="315"/>
      <c r="K324" s="315"/>
      <c r="L324" s="315"/>
    </row>
    <row r="325" spans="1:12" s="30" customFormat="1" x14ac:dyDescent="0.25">
      <c r="A325" s="36"/>
      <c r="B325" s="31"/>
      <c r="C325" s="31"/>
      <c r="D325" s="32"/>
      <c r="F325" s="32"/>
      <c r="G325" s="41"/>
      <c r="H325" s="32"/>
      <c r="I325" s="41"/>
      <c r="J325" s="315"/>
      <c r="K325" s="315"/>
      <c r="L325" s="315"/>
    </row>
    <row r="326" spans="1:12" s="30" customFormat="1" x14ac:dyDescent="0.25">
      <c r="A326" s="36"/>
      <c r="B326" s="31"/>
      <c r="C326" s="31"/>
      <c r="D326" s="32"/>
      <c r="F326" s="32"/>
      <c r="G326" s="41"/>
      <c r="H326" s="32"/>
      <c r="I326" s="41"/>
      <c r="J326" s="315"/>
      <c r="K326" s="315"/>
      <c r="L326" s="315"/>
    </row>
    <row r="327" spans="1:12" s="30" customFormat="1" x14ac:dyDescent="0.25">
      <c r="A327" s="36"/>
      <c r="B327" s="31"/>
      <c r="C327" s="31"/>
      <c r="D327" s="32"/>
      <c r="F327" s="32"/>
      <c r="G327" s="41"/>
      <c r="H327" s="32"/>
      <c r="I327" s="41"/>
      <c r="J327" s="315"/>
      <c r="K327" s="315"/>
      <c r="L327" s="315"/>
    </row>
    <row r="328" spans="1:12" s="30" customFormat="1" x14ac:dyDescent="0.25">
      <c r="A328" s="36"/>
      <c r="B328" s="31"/>
      <c r="C328" s="31"/>
      <c r="D328" s="32"/>
      <c r="F328" s="32"/>
      <c r="G328" s="41"/>
      <c r="H328" s="32"/>
      <c r="I328" s="41"/>
      <c r="J328" s="315"/>
      <c r="K328" s="315"/>
      <c r="L328" s="315"/>
    </row>
    <row r="329" spans="1:12" s="30" customFormat="1" x14ac:dyDescent="0.25">
      <c r="A329" s="36"/>
      <c r="B329" s="31"/>
      <c r="C329" s="31"/>
      <c r="D329" s="32"/>
      <c r="F329" s="32"/>
      <c r="G329" s="41"/>
      <c r="H329" s="32"/>
      <c r="I329" s="41"/>
      <c r="J329" s="315"/>
      <c r="K329" s="315"/>
      <c r="L329" s="315"/>
    </row>
    <row r="330" spans="1:12" s="30" customFormat="1" x14ac:dyDescent="0.25">
      <c r="A330" s="36"/>
      <c r="B330" s="31"/>
      <c r="C330" s="31"/>
      <c r="D330" s="32"/>
      <c r="F330" s="32"/>
      <c r="G330" s="41"/>
      <c r="H330" s="32"/>
      <c r="I330" s="41"/>
      <c r="J330" s="315"/>
      <c r="K330" s="315"/>
      <c r="L330" s="315"/>
    </row>
    <row r="331" spans="1:12" s="30" customFormat="1" x14ac:dyDescent="0.25">
      <c r="A331" s="36"/>
      <c r="B331" s="31"/>
      <c r="C331" s="31"/>
      <c r="D331" s="32"/>
      <c r="F331" s="32"/>
      <c r="G331" s="41"/>
      <c r="H331" s="32"/>
      <c r="I331" s="41"/>
      <c r="J331" s="315"/>
      <c r="K331" s="315"/>
      <c r="L331" s="315"/>
    </row>
    <row r="332" spans="1:12" s="30" customFormat="1" x14ac:dyDescent="0.25">
      <c r="A332" s="36"/>
      <c r="B332" s="31"/>
      <c r="C332" s="31"/>
      <c r="D332" s="32"/>
      <c r="F332" s="32"/>
      <c r="G332" s="41"/>
      <c r="H332" s="32"/>
      <c r="I332" s="41"/>
      <c r="J332" s="315"/>
      <c r="K332" s="315"/>
      <c r="L332" s="315"/>
    </row>
    <row r="333" spans="1:12" s="30" customFormat="1" x14ac:dyDescent="0.25">
      <c r="A333" s="36"/>
      <c r="B333" s="31"/>
      <c r="C333" s="31"/>
      <c r="D333" s="32"/>
      <c r="F333" s="32"/>
      <c r="G333" s="41"/>
      <c r="H333" s="32"/>
      <c r="I333" s="41"/>
      <c r="J333" s="315"/>
      <c r="K333" s="315"/>
      <c r="L333" s="315"/>
    </row>
    <row r="334" spans="1:12" s="30" customFormat="1" x14ac:dyDescent="0.25">
      <c r="A334" s="36"/>
      <c r="B334" s="31"/>
      <c r="C334" s="31"/>
      <c r="D334" s="32"/>
      <c r="F334" s="32"/>
      <c r="G334" s="41"/>
      <c r="H334" s="32"/>
      <c r="I334" s="41"/>
      <c r="J334" s="315"/>
      <c r="K334" s="315"/>
      <c r="L334" s="315"/>
    </row>
    <row r="335" spans="1:12" s="30" customFormat="1" x14ac:dyDescent="0.25">
      <c r="A335" s="36"/>
      <c r="B335" s="31"/>
      <c r="C335" s="31"/>
      <c r="D335" s="32"/>
      <c r="F335" s="32"/>
      <c r="G335" s="41"/>
      <c r="H335" s="32"/>
      <c r="I335" s="41"/>
      <c r="J335" s="315"/>
      <c r="K335" s="315"/>
      <c r="L335" s="315"/>
    </row>
    <row r="336" spans="1:12" s="30" customFormat="1" x14ac:dyDescent="0.25">
      <c r="A336" s="36"/>
      <c r="B336" s="31"/>
      <c r="C336" s="31"/>
      <c r="D336" s="32"/>
      <c r="F336" s="32"/>
      <c r="G336" s="41"/>
      <c r="H336" s="32"/>
      <c r="I336" s="41"/>
      <c r="J336" s="315"/>
      <c r="K336" s="315"/>
      <c r="L336" s="315"/>
    </row>
    <row r="337" spans="1:12" s="30" customFormat="1" x14ac:dyDescent="0.25">
      <c r="A337" s="36"/>
      <c r="B337" s="31"/>
      <c r="C337" s="31"/>
      <c r="D337" s="32"/>
      <c r="F337" s="32"/>
      <c r="G337" s="41"/>
      <c r="H337" s="32"/>
      <c r="I337" s="41"/>
      <c r="J337" s="315"/>
      <c r="K337" s="315"/>
      <c r="L337" s="315"/>
    </row>
    <row r="338" spans="1:12" s="30" customFormat="1" x14ac:dyDescent="0.25">
      <c r="A338" s="36"/>
      <c r="B338" s="31"/>
      <c r="C338" s="31"/>
      <c r="D338" s="32"/>
      <c r="F338" s="32"/>
      <c r="G338" s="41"/>
      <c r="H338" s="32"/>
      <c r="I338" s="41"/>
      <c r="J338" s="315"/>
      <c r="K338" s="315"/>
      <c r="L338" s="315"/>
    </row>
    <row r="339" spans="1:12" s="30" customFormat="1" x14ac:dyDescent="0.25">
      <c r="A339" s="36"/>
      <c r="B339" s="31"/>
      <c r="C339" s="31"/>
      <c r="D339" s="32"/>
      <c r="F339" s="32"/>
      <c r="G339" s="41"/>
      <c r="H339" s="32"/>
      <c r="I339" s="41"/>
      <c r="J339" s="315"/>
      <c r="K339" s="315"/>
      <c r="L339" s="315"/>
    </row>
    <row r="340" spans="1:12" s="30" customFormat="1" x14ac:dyDescent="0.25">
      <c r="A340" s="36"/>
      <c r="B340" s="31"/>
      <c r="C340" s="31"/>
      <c r="D340" s="32"/>
      <c r="F340" s="32"/>
      <c r="G340" s="41"/>
      <c r="H340" s="32"/>
      <c r="I340" s="41"/>
      <c r="J340" s="315"/>
      <c r="K340" s="315"/>
      <c r="L340" s="315"/>
    </row>
    <row r="341" spans="1:12" s="30" customFormat="1" x14ac:dyDescent="0.25">
      <c r="A341" s="36"/>
      <c r="B341" s="31"/>
      <c r="C341" s="31"/>
      <c r="D341" s="32"/>
      <c r="F341" s="32"/>
      <c r="G341" s="41"/>
      <c r="H341" s="32"/>
      <c r="I341" s="41"/>
      <c r="J341" s="315"/>
      <c r="K341" s="315"/>
      <c r="L341" s="315"/>
    </row>
    <row r="342" spans="1:12" s="30" customFormat="1" x14ac:dyDescent="0.25">
      <c r="A342" s="36"/>
      <c r="B342" s="31"/>
      <c r="C342" s="31"/>
      <c r="D342" s="32"/>
      <c r="F342" s="32"/>
      <c r="G342" s="41"/>
      <c r="H342" s="32"/>
      <c r="I342" s="41"/>
      <c r="J342" s="315"/>
      <c r="K342" s="315"/>
      <c r="L342" s="315"/>
    </row>
    <row r="343" spans="1:12" s="30" customFormat="1" x14ac:dyDescent="0.25">
      <c r="A343" s="36"/>
      <c r="B343" s="31"/>
      <c r="C343" s="31"/>
      <c r="D343" s="32"/>
      <c r="F343" s="32"/>
      <c r="G343" s="41"/>
      <c r="H343" s="32"/>
      <c r="I343" s="41"/>
      <c r="J343" s="315"/>
      <c r="K343" s="315"/>
      <c r="L343" s="315"/>
    </row>
    <row r="344" spans="1:12" s="30" customFormat="1" x14ac:dyDescent="0.25">
      <c r="A344" s="36"/>
      <c r="B344" s="31"/>
      <c r="C344" s="31"/>
      <c r="D344" s="32"/>
      <c r="F344" s="32"/>
      <c r="G344" s="41"/>
      <c r="H344" s="32"/>
      <c r="I344" s="41"/>
      <c r="J344" s="315"/>
      <c r="K344" s="315"/>
      <c r="L344" s="315"/>
    </row>
    <row r="345" spans="1:12" s="30" customFormat="1" x14ac:dyDescent="0.25">
      <c r="A345" s="36"/>
      <c r="B345" s="31"/>
      <c r="C345" s="31"/>
      <c r="D345" s="32"/>
      <c r="F345" s="32"/>
      <c r="G345" s="41"/>
      <c r="H345" s="32"/>
      <c r="I345" s="41"/>
      <c r="J345" s="315"/>
      <c r="K345" s="315"/>
      <c r="L345" s="315"/>
    </row>
    <row r="346" spans="1:12" s="30" customFormat="1" x14ac:dyDescent="0.25">
      <c r="A346" s="36"/>
      <c r="B346" s="31"/>
      <c r="C346" s="31"/>
      <c r="D346" s="32"/>
      <c r="F346" s="32"/>
      <c r="G346" s="41"/>
      <c r="H346" s="32"/>
      <c r="I346" s="41"/>
      <c r="J346" s="315"/>
      <c r="K346" s="315"/>
      <c r="L346" s="315"/>
    </row>
    <row r="347" spans="1:12" s="30" customFormat="1" x14ac:dyDescent="0.25">
      <c r="A347" s="36"/>
      <c r="B347" s="31"/>
      <c r="C347" s="31"/>
      <c r="D347" s="32"/>
      <c r="F347" s="32"/>
      <c r="G347" s="41"/>
      <c r="H347" s="32"/>
      <c r="I347" s="41"/>
      <c r="J347" s="315"/>
      <c r="K347" s="315"/>
      <c r="L347" s="315"/>
    </row>
    <row r="348" spans="1:12" s="30" customFormat="1" x14ac:dyDescent="0.25">
      <c r="A348" s="36"/>
      <c r="B348" s="31"/>
      <c r="C348" s="31"/>
      <c r="D348" s="32"/>
      <c r="F348" s="32"/>
      <c r="G348" s="41"/>
      <c r="H348" s="32"/>
      <c r="I348" s="41"/>
      <c r="J348" s="315"/>
      <c r="K348" s="315"/>
      <c r="L348" s="315"/>
    </row>
    <row r="349" spans="1:12" s="30" customFormat="1" x14ac:dyDescent="0.25">
      <c r="A349" s="36"/>
      <c r="B349" s="31"/>
      <c r="C349" s="31"/>
      <c r="D349" s="32"/>
      <c r="F349" s="32"/>
      <c r="G349" s="41"/>
      <c r="H349" s="32"/>
      <c r="I349" s="41"/>
      <c r="J349" s="315"/>
      <c r="K349" s="315"/>
      <c r="L349" s="315"/>
    </row>
    <row r="350" spans="1:12" s="30" customFormat="1" x14ac:dyDescent="0.25">
      <c r="A350" s="36"/>
      <c r="B350" s="31"/>
      <c r="C350" s="31"/>
      <c r="D350" s="32"/>
      <c r="F350" s="32"/>
      <c r="G350" s="41"/>
      <c r="H350" s="32"/>
      <c r="I350" s="41"/>
      <c r="J350" s="315"/>
      <c r="K350" s="315"/>
      <c r="L350" s="315"/>
    </row>
    <row r="351" spans="1:12" s="30" customFormat="1" x14ac:dyDescent="0.25">
      <c r="A351" s="36"/>
      <c r="B351" s="31"/>
      <c r="C351" s="31"/>
      <c r="D351" s="32"/>
      <c r="F351" s="32"/>
      <c r="G351" s="41"/>
      <c r="H351" s="32"/>
      <c r="I351" s="41"/>
      <c r="J351" s="315"/>
      <c r="K351" s="315"/>
      <c r="L351" s="315"/>
    </row>
    <row r="352" spans="1:12" s="30" customFormat="1" x14ac:dyDescent="0.25">
      <c r="A352" s="36"/>
      <c r="B352" s="31"/>
      <c r="C352" s="31"/>
      <c r="D352" s="32"/>
      <c r="F352" s="32"/>
      <c r="G352" s="41"/>
      <c r="H352" s="32"/>
      <c r="I352" s="41"/>
      <c r="J352" s="315"/>
      <c r="K352" s="315"/>
      <c r="L352" s="315"/>
    </row>
    <row r="353" spans="1:12" s="30" customFormat="1" x14ac:dyDescent="0.25">
      <c r="A353" s="36"/>
      <c r="B353" s="31"/>
      <c r="C353" s="31"/>
      <c r="D353" s="32"/>
      <c r="F353" s="32"/>
      <c r="G353" s="41"/>
      <c r="H353" s="32"/>
      <c r="I353" s="41"/>
      <c r="J353" s="315"/>
      <c r="K353" s="315"/>
      <c r="L353" s="315"/>
    </row>
    <row r="354" spans="1:12" s="30" customFormat="1" x14ac:dyDescent="0.25">
      <c r="A354" s="36"/>
      <c r="B354" s="31"/>
      <c r="C354" s="31"/>
      <c r="D354" s="32"/>
      <c r="F354" s="32"/>
      <c r="G354" s="41"/>
      <c r="H354" s="32"/>
      <c r="I354" s="41"/>
      <c r="J354" s="315"/>
      <c r="K354" s="315"/>
      <c r="L354" s="315"/>
    </row>
    <row r="355" spans="1:12" s="30" customFormat="1" x14ac:dyDescent="0.25">
      <c r="A355" s="36"/>
      <c r="B355" s="31"/>
      <c r="C355" s="31"/>
      <c r="D355" s="32"/>
      <c r="F355" s="32"/>
      <c r="G355" s="41"/>
      <c r="H355" s="32"/>
      <c r="I355" s="41"/>
      <c r="J355" s="315"/>
      <c r="K355" s="315"/>
      <c r="L355" s="315"/>
    </row>
    <row r="356" spans="1:12" s="30" customFormat="1" x14ac:dyDescent="0.25">
      <c r="A356" s="36"/>
      <c r="B356" s="31"/>
      <c r="C356" s="31"/>
      <c r="D356" s="32"/>
      <c r="F356" s="32"/>
      <c r="G356" s="41"/>
      <c r="H356" s="32"/>
      <c r="I356" s="41"/>
      <c r="J356" s="315"/>
      <c r="K356" s="315"/>
      <c r="L356" s="315"/>
    </row>
    <row r="357" spans="1:12" s="30" customFormat="1" x14ac:dyDescent="0.25">
      <c r="A357" s="36"/>
      <c r="B357" s="31"/>
      <c r="C357" s="31"/>
      <c r="D357" s="32"/>
      <c r="F357" s="32"/>
      <c r="G357" s="41"/>
      <c r="H357" s="32"/>
      <c r="I357" s="41"/>
      <c r="J357" s="315"/>
      <c r="K357" s="315"/>
      <c r="L357" s="315"/>
    </row>
    <row r="358" spans="1:12" s="30" customFormat="1" x14ac:dyDescent="0.25">
      <c r="A358" s="36"/>
      <c r="B358" s="31"/>
      <c r="C358" s="31"/>
      <c r="D358" s="32"/>
      <c r="F358" s="32"/>
      <c r="G358" s="41"/>
      <c r="H358" s="32"/>
      <c r="I358" s="41"/>
      <c r="J358" s="315"/>
      <c r="K358" s="315"/>
      <c r="L358" s="315"/>
    </row>
    <row r="359" spans="1:12" s="30" customFormat="1" x14ac:dyDescent="0.25">
      <c r="A359" s="36"/>
      <c r="B359" s="31"/>
      <c r="C359" s="31"/>
      <c r="D359" s="32"/>
      <c r="F359" s="32"/>
      <c r="G359" s="41"/>
      <c r="H359" s="32"/>
      <c r="I359" s="41"/>
      <c r="J359" s="315"/>
      <c r="K359" s="315"/>
      <c r="L359" s="315"/>
    </row>
    <row r="360" spans="1:12" s="30" customFormat="1" x14ac:dyDescent="0.25">
      <c r="A360" s="36"/>
      <c r="B360" s="31"/>
      <c r="C360" s="31"/>
      <c r="D360" s="32"/>
      <c r="F360" s="32"/>
      <c r="G360" s="41"/>
      <c r="H360" s="32"/>
      <c r="I360" s="41"/>
      <c r="J360" s="315"/>
      <c r="K360" s="315"/>
      <c r="L360" s="315"/>
    </row>
    <row r="361" spans="1:12" s="30" customFormat="1" x14ac:dyDescent="0.25">
      <c r="A361" s="36"/>
      <c r="B361" s="31"/>
      <c r="C361" s="31"/>
      <c r="D361" s="32"/>
      <c r="F361" s="32"/>
      <c r="G361" s="41"/>
      <c r="H361" s="32"/>
      <c r="I361" s="41"/>
      <c r="J361" s="315"/>
      <c r="K361" s="315"/>
      <c r="L361" s="315"/>
    </row>
    <row r="362" spans="1:12" s="30" customFormat="1" x14ac:dyDescent="0.25">
      <c r="A362" s="36"/>
      <c r="B362" s="31"/>
      <c r="C362" s="31"/>
      <c r="D362" s="32"/>
      <c r="F362" s="32"/>
      <c r="G362" s="41"/>
      <c r="H362" s="32"/>
      <c r="I362" s="41"/>
      <c r="J362" s="315"/>
      <c r="K362" s="315"/>
      <c r="L362" s="315"/>
    </row>
    <row r="363" spans="1:12" s="30" customFormat="1" x14ac:dyDescent="0.25">
      <c r="A363" s="36"/>
      <c r="B363" s="31"/>
      <c r="C363" s="31"/>
      <c r="D363" s="32"/>
      <c r="F363" s="32"/>
      <c r="G363" s="41"/>
      <c r="H363" s="32"/>
      <c r="I363" s="41"/>
      <c r="J363" s="315"/>
      <c r="K363" s="315"/>
      <c r="L363" s="315"/>
    </row>
    <row r="364" spans="1:12" s="30" customFormat="1" x14ac:dyDescent="0.25">
      <c r="A364" s="36"/>
      <c r="B364" s="31"/>
      <c r="C364" s="31"/>
      <c r="D364" s="32"/>
      <c r="F364" s="32"/>
      <c r="G364" s="41"/>
      <c r="H364" s="32"/>
      <c r="I364" s="41"/>
      <c r="J364" s="315"/>
      <c r="K364" s="315"/>
      <c r="L364" s="315"/>
    </row>
    <row r="365" spans="1:12" s="30" customFormat="1" x14ac:dyDescent="0.25">
      <c r="A365" s="36"/>
      <c r="B365" s="31"/>
      <c r="C365" s="31"/>
      <c r="D365" s="32"/>
      <c r="F365" s="32"/>
      <c r="G365" s="41"/>
      <c r="H365" s="32"/>
      <c r="I365" s="41"/>
      <c r="J365" s="315"/>
      <c r="K365" s="315"/>
      <c r="L365" s="315"/>
    </row>
    <row r="366" spans="1:12" s="30" customFormat="1" x14ac:dyDescent="0.25">
      <c r="A366" s="36"/>
      <c r="B366" s="31"/>
      <c r="C366" s="31"/>
      <c r="D366" s="32"/>
      <c r="F366" s="32"/>
      <c r="G366" s="41"/>
      <c r="H366" s="32"/>
      <c r="I366" s="41"/>
      <c r="J366" s="315"/>
      <c r="K366" s="315"/>
      <c r="L366" s="315"/>
    </row>
    <row r="367" spans="1:12" s="30" customFormat="1" x14ac:dyDescent="0.25">
      <c r="A367" s="36"/>
      <c r="B367" s="31"/>
      <c r="C367" s="31"/>
      <c r="D367" s="32"/>
      <c r="F367" s="32"/>
      <c r="G367" s="41"/>
      <c r="H367" s="32"/>
      <c r="I367" s="41"/>
      <c r="J367" s="315"/>
      <c r="K367" s="315"/>
      <c r="L367" s="315"/>
    </row>
    <row r="368" spans="1:12" s="30" customFormat="1" x14ac:dyDescent="0.25">
      <c r="A368" s="36"/>
      <c r="B368" s="31"/>
      <c r="C368" s="31"/>
      <c r="D368" s="32"/>
      <c r="F368" s="32"/>
      <c r="G368" s="41"/>
      <c r="H368" s="32"/>
      <c r="I368" s="41"/>
      <c r="J368" s="315"/>
      <c r="K368" s="315"/>
      <c r="L368" s="315"/>
    </row>
    <row r="369" spans="1:12" s="30" customFormat="1" x14ac:dyDescent="0.25">
      <c r="A369" s="36"/>
      <c r="B369" s="31"/>
      <c r="C369" s="31"/>
      <c r="D369" s="32"/>
      <c r="F369" s="32"/>
      <c r="G369" s="41"/>
      <c r="H369" s="32"/>
      <c r="I369" s="41"/>
      <c r="J369" s="315"/>
      <c r="K369" s="315"/>
      <c r="L369" s="315"/>
    </row>
    <row r="370" spans="1:12" s="30" customFormat="1" x14ac:dyDescent="0.25">
      <c r="A370" s="36"/>
      <c r="B370" s="31"/>
      <c r="C370" s="31"/>
      <c r="D370" s="32"/>
      <c r="F370" s="32"/>
      <c r="G370" s="41"/>
      <c r="H370" s="32"/>
      <c r="I370" s="41"/>
      <c r="J370" s="315"/>
      <c r="K370" s="315"/>
      <c r="L370" s="315"/>
    </row>
    <row r="371" spans="1:12" s="30" customFormat="1" x14ac:dyDescent="0.25">
      <c r="A371" s="36"/>
      <c r="B371" s="31"/>
      <c r="C371" s="31"/>
      <c r="D371" s="32"/>
      <c r="F371" s="32"/>
      <c r="G371" s="41"/>
      <c r="H371" s="32"/>
      <c r="I371" s="41"/>
      <c r="J371" s="315"/>
      <c r="K371" s="315"/>
      <c r="L371" s="315"/>
    </row>
    <row r="372" spans="1:12" s="30" customFormat="1" x14ac:dyDescent="0.25">
      <c r="A372" s="36"/>
      <c r="B372" s="31"/>
      <c r="C372" s="31"/>
      <c r="D372" s="32"/>
      <c r="F372" s="32"/>
      <c r="G372" s="41"/>
      <c r="H372" s="32"/>
      <c r="I372" s="41"/>
      <c r="J372" s="315"/>
      <c r="K372" s="315"/>
      <c r="L372" s="315"/>
    </row>
    <row r="373" spans="1:12" s="30" customFormat="1" x14ac:dyDescent="0.25">
      <c r="A373" s="36"/>
      <c r="B373" s="31"/>
      <c r="C373" s="31"/>
      <c r="D373" s="32"/>
      <c r="F373" s="32"/>
      <c r="G373" s="41"/>
      <c r="H373" s="32"/>
      <c r="I373" s="41"/>
      <c r="J373" s="315"/>
      <c r="K373" s="315"/>
      <c r="L373" s="315"/>
    </row>
    <row r="374" spans="1:12" s="30" customFormat="1" x14ac:dyDescent="0.25">
      <c r="A374" s="36"/>
      <c r="B374" s="31"/>
      <c r="C374" s="31"/>
      <c r="D374" s="32"/>
      <c r="F374" s="32"/>
      <c r="G374" s="41"/>
      <c r="H374" s="32"/>
      <c r="I374" s="41"/>
      <c r="J374" s="315"/>
      <c r="K374" s="315"/>
      <c r="L374" s="315"/>
    </row>
    <row r="375" spans="1:12" s="30" customFormat="1" x14ac:dyDescent="0.25">
      <c r="A375" s="36"/>
      <c r="B375" s="31"/>
      <c r="C375" s="31"/>
      <c r="D375" s="32"/>
      <c r="F375" s="32"/>
      <c r="G375" s="41"/>
      <c r="H375" s="32"/>
      <c r="I375" s="41"/>
      <c r="J375" s="315"/>
      <c r="K375" s="315"/>
      <c r="L375" s="315"/>
    </row>
    <row r="376" spans="1:12" s="30" customFormat="1" x14ac:dyDescent="0.25">
      <c r="A376" s="36"/>
      <c r="B376" s="31"/>
      <c r="C376" s="31"/>
      <c r="D376" s="32"/>
      <c r="F376" s="32"/>
      <c r="G376" s="41"/>
      <c r="H376" s="32"/>
      <c r="I376" s="41"/>
      <c r="J376" s="315"/>
      <c r="K376" s="315"/>
      <c r="L376" s="315"/>
    </row>
    <row r="377" spans="1:12" s="30" customFormat="1" x14ac:dyDescent="0.25">
      <c r="A377" s="36"/>
      <c r="B377" s="31"/>
      <c r="C377" s="31"/>
      <c r="D377" s="32"/>
      <c r="F377" s="32"/>
      <c r="G377" s="41"/>
      <c r="H377" s="32"/>
      <c r="I377" s="41"/>
      <c r="J377" s="315"/>
      <c r="K377" s="315"/>
      <c r="L377" s="315"/>
    </row>
    <row r="378" spans="1:12" s="30" customFormat="1" x14ac:dyDescent="0.25">
      <c r="A378" s="36"/>
      <c r="B378" s="31"/>
      <c r="C378" s="31"/>
      <c r="D378" s="32"/>
      <c r="F378" s="32"/>
      <c r="G378" s="41"/>
      <c r="H378" s="32"/>
      <c r="I378" s="41"/>
      <c r="J378" s="315"/>
      <c r="K378" s="315"/>
      <c r="L378" s="315"/>
    </row>
    <row r="379" spans="1:12" s="30" customFormat="1" x14ac:dyDescent="0.25">
      <c r="A379" s="36"/>
      <c r="B379" s="31"/>
      <c r="C379" s="31"/>
      <c r="D379" s="32"/>
      <c r="F379" s="32"/>
      <c r="G379" s="41"/>
      <c r="H379" s="32"/>
      <c r="I379" s="41"/>
      <c r="J379" s="315"/>
      <c r="K379" s="315"/>
      <c r="L379" s="315"/>
    </row>
    <row r="380" spans="1:12" s="30" customFormat="1" x14ac:dyDescent="0.25">
      <c r="A380" s="36"/>
      <c r="B380" s="31"/>
      <c r="C380" s="31"/>
      <c r="D380" s="32"/>
      <c r="F380" s="32"/>
      <c r="G380" s="41"/>
      <c r="H380" s="32"/>
      <c r="I380" s="41"/>
      <c r="J380" s="315"/>
      <c r="K380" s="315"/>
      <c r="L380" s="315"/>
    </row>
    <row r="381" spans="1:12" s="30" customFormat="1" x14ac:dyDescent="0.25">
      <c r="A381" s="36"/>
      <c r="B381" s="31"/>
      <c r="C381" s="31"/>
      <c r="D381" s="32"/>
      <c r="F381" s="32"/>
      <c r="G381" s="41"/>
      <c r="H381" s="32"/>
      <c r="I381" s="41"/>
      <c r="J381" s="315"/>
      <c r="K381" s="315"/>
      <c r="L381" s="315"/>
    </row>
    <row r="382" spans="1:12" s="30" customFormat="1" x14ac:dyDescent="0.25">
      <c r="A382" s="36"/>
      <c r="B382" s="31"/>
      <c r="C382" s="31"/>
      <c r="D382" s="32"/>
      <c r="F382" s="32"/>
      <c r="G382" s="41"/>
      <c r="H382" s="32"/>
      <c r="I382" s="41"/>
      <c r="J382" s="315"/>
      <c r="K382" s="315"/>
      <c r="L382" s="315"/>
    </row>
    <row r="383" spans="1:12" s="30" customFormat="1" x14ac:dyDescent="0.25">
      <c r="A383" s="36"/>
      <c r="B383" s="31"/>
      <c r="C383" s="31"/>
      <c r="D383" s="32"/>
      <c r="F383" s="32"/>
      <c r="G383" s="41"/>
      <c r="H383" s="32"/>
      <c r="I383" s="41"/>
      <c r="J383" s="315"/>
      <c r="K383" s="315"/>
      <c r="L383" s="315"/>
    </row>
    <row r="384" spans="1:12" s="30" customFormat="1" x14ac:dyDescent="0.25">
      <c r="A384" s="36"/>
      <c r="B384" s="31"/>
      <c r="C384" s="31"/>
      <c r="D384" s="32"/>
      <c r="F384" s="32"/>
      <c r="G384" s="41"/>
      <c r="H384" s="32"/>
      <c r="I384" s="41"/>
      <c r="J384" s="315"/>
      <c r="K384" s="315"/>
      <c r="L384" s="315"/>
    </row>
    <row r="385" spans="1:12" s="30" customFormat="1" x14ac:dyDescent="0.25">
      <c r="A385" s="36"/>
      <c r="B385" s="31"/>
      <c r="C385" s="31"/>
      <c r="D385" s="32"/>
      <c r="F385" s="32"/>
      <c r="G385" s="41"/>
      <c r="H385" s="32"/>
      <c r="I385" s="41"/>
      <c r="J385" s="315"/>
      <c r="K385" s="315"/>
      <c r="L385" s="315"/>
    </row>
    <row r="386" spans="1:12" s="30" customFormat="1" x14ac:dyDescent="0.25">
      <c r="A386" s="36"/>
      <c r="B386" s="31"/>
      <c r="C386" s="31"/>
      <c r="D386" s="32"/>
      <c r="F386" s="32"/>
      <c r="G386" s="41"/>
      <c r="H386" s="32"/>
      <c r="I386" s="41"/>
      <c r="J386" s="315"/>
      <c r="K386" s="315"/>
      <c r="L386" s="315"/>
    </row>
    <row r="387" spans="1:12" s="30" customFormat="1" x14ac:dyDescent="0.25">
      <c r="A387" s="36"/>
      <c r="B387" s="31"/>
      <c r="C387" s="31"/>
      <c r="D387" s="32"/>
      <c r="F387" s="32"/>
      <c r="G387" s="41"/>
      <c r="H387" s="32"/>
      <c r="I387" s="41"/>
      <c r="J387" s="315"/>
      <c r="K387" s="315"/>
      <c r="L387" s="315"/>
    </row>
    <row r="388" spans="1:12" s="30" customFormat="1" x14ac:dyDescent="0.25">
      <c r="A388" s="36"/>
      <c r="B388" s="31"/>
      <c r="C388" s="31"/>
      <c r="D388" s="32"/>
      <c r="F388" s="32"/>
      <c r="G388" s="41"/>
      <c r="H388" s="32"/>
      <c r="I388" s="41"/>
      <c r="J388" s="315"/>
      <c r="K388" s="315"/>
      <c r="L388" s="315"/>
    </row>
    <row r="389" spans="1:12" s="30" customFormat="1" x14ac:dyDescent="0.25">
      <c r="A389" s="36"/>
      <c r="B389" s="31"/>
      <c r="C389" s="31"/>
      <c r="D389" s="32"/>
      <c r="F389" s="32"/>
      <c r="G389" s="41"/>
      <c r="H389" s="32"/>
      <c r="I389" s="41"/>
      <c r="J389" s="315"/>
      <c r="K389" s="315"/>
      <c r="L389" s="315"/>
    </row>
    <row r="390" spans="1:12" s="30" customFormat="1" x14ac:dyDescent="0.25">
      <c r="A390" s="36"/>
      <c r="B390" s="31"/>
      <c r="C390" s="31"/>
      <c r="D390" s="32"/>
      <c r="F390" s="32"/>
      <c r="G390" s="41"/>
      <c r="H390" s="32"/>
      <c r="I390" s="41"/>
      <c r="J390" s="315"/>
      <c r="K390" s="315"/>
      <c r="L390" s="315"/>
    </row>
    <row r="391" spans="1:12" s="30" customFormat="1" x14ac:dyDescent="0.25">
      <c r="A391" s="36"/>
      <c r="B391" s="31"/>
      <c r="C391" s="31"/>
      <c r="D391" s="32"/>
      <c r="F391" s="32"/>
      <c r="G391" s="41"/>
      <c r="H391" s="32"/>
      <c r="I391" s="41"/>
      <c r="J391" s="315"/>
      <c r="K391" s="315"/>
      <c r="L391" s="315"/>
    </row>
    <row r="392" spans="1:12" s="30" customFormat="1" x14ac:dyDescent="0.25">
      <c r="A392" s="36"/>
      <c r="B392" s="31"/>
      <c r="C392" s="31"/>
      <c r="D392" s="32"/>
      <c r="F392" s="32"/>
      <c r="G392" s="41"/>
      <c r="H392" s="32"/>
      <c r="I392" s="41"/>
      <c r="J392" s="315"/>
      <c r="K392" s="315"/>
      <c r="L392" s="315"/>
    </row>
    <row r="393" spans="1:12" s="30" customFormat="1" x14ac:dyDescent="0.25">
      <c r="A393" s="36"/>
      <c r="B393" s="31"/>
      <c r="C393" s="31"/>
      <c r="D393" s="32"/>
      <c r="F393" s="32"/>
      <c r="G393" s="41"/>
      <c r="H393" s="32"/>
      <c r="I393" s="41"/>
      <c r="J393" s="315"/>
      <c r="K393" s="315"/>
      <c r="L393" s="315"/>
    </row>
    <row r="394" spans="1:12" s="30" customFormat="1" x14ac:dyDescent="0.25">
      <c r="A394" s="36"/>
      <c r="B394" s="31"/>
      <c r="C394" s="31"/>
      <c r="D394" s="32"/>
      <c r="F394" s="32"/>
      <c r="G394" s="41"/>
      <c r="H394" s="32"/>
      <c r="I394" s="41"/>
      <c r="J394" s="315"/>
      <c r="K394" s="315"/>
      <c r="L394" s="315"/>
    </row>
    <row r="395" spans="1:12" s="30" customFormat="1" x14ac:dyDescent="0.25">
      <c r="A395" s="36"/>
      <c r="B395" s="31"/>
      <c r="C395" s="31"/>
      <c r="D395" s="32"/>
      <c r="F395" s="32"/>
      <c r="G395" s="41"/>
      <c r="H395" s="32"/>
      <c r="I395" s="41"/>
      <c r="J395" s="315"/>
      <c r="K395" s="315"/>
      <c r="L395" s="315"/>
    </row>
    <row r="396" spans="1:12" s="30" customFormat="1" x14ac:dyDescent="0.25">
      <c r="A396" s="36"/>
      <c r="B396" s="31"/>
      <c r="C396" s="31"/>
      <c r="D396" s="32"/>
      <c r="F396" s="32"/>
      <c r="G396" s="41"/>
      <c r="H396" s="32"/>
      <c r="I396" s="41"/>
      <c r="J396" s="315"/>
      <c r="K396" s="315"/>
      <c r="L396" s="315"/>
    </row>
    <row r="397" spans="1:12" s="30" customFormat="1" x14ac:dyDescent="0.25">
      <c r="A397" s="36"/>
      <c r="B397" s="31"/>
      <c r="C397" s="31"/>
      <c r="D397" s="32"/>
      <c r="F397" s="32"/>
      <c r="G397" s="41"/>
      <c r="H397" s="32"/>
      <c r="I397" s="41"/>
      <c r="J397" s="315"/>
      <c r="K397" s="315"/>
      <c r="L397" s="315"/>
    </row>
    <row r="398" spans="1:12" s="30" customFormat="1" x14ac:dyDescent="0.25">
      <c r="A398" s="36"/>
      <c r="B398" s="31"/>
      <c r="C398" s="31"/>
      <c r="D398" s="32"/>
      <c r="F398" s="32"/>
      <c r="G398" s="41"/>
      <c r="H398" s="32"/>
      <c r="I398" s="41"/>
      <c r="J398" s="315"/>
      <c r="K398" s="315"/>
      <c r="L398" s="315"/>
    </row>
    <row r="399" spans="1:12" s="30" customFormat="1" x14ac:dyDescent="0.25">
      <c r="A399" s="36"/>
      <c r="B399" s="31"/>
      <c r="C399" s="31"/>
      <c r="D399" s="32"/>
      <c r="F399" s="32"/>
      <c r="G399" s="41"/>
      <c r="H399" s="32"/>
      <c r="I399" s="41"/>
      <c r="J399" s="315"/>
      <c r="K399" s="315"/>
      <c r="L399" s="315"/>
    </row>
    <row r="400" spans="1:12" s="30" customFormat="1" x14ac:dyDescent="0.25">
      <c r="A400" s="36"/>
      <c r="B400" s="31"/>
      <c r="C400" s="31"/>
      <c r="D400" s="32"/>
      <c r="F400" s="32"/>
      <c r="G400" s="41"/>
      <c r="H400" s="32"/>
      <c r="I400" s="41"/>
      <c r="J400" s="315"/>
      <c r="K400" s="315"/>
      <c r="L400" s="315"/>
    </row>
    <row r="401" spans="1:12" s="30" customFormat="1" x14ac:dyDescent="0.25">
      <c r="A401" s="36"/>
      <c r="B401" s="31"/>
      <c r="C401" s="31"/>
      <c r="D401" s="32"/>
      <c r="F401" s="32"/>
      <c r="G401" s="41"/>
      <c r="H401" s="32"/>
      <c r="I401" s="41"/>
      <c r="J401" s="315"/>
      <c r="K401" s="315"/>
      <c r="L401" s="315"/>
    </row>
    <row r="402" spans="1:12" s="30" customFormat="1" x14ac:dyDescent="0.25">
      <c r="A402" s="36"/>
      <c r="B402" s="31"/>
      <c r="C402" s="31"/>
      <c r="D402" s="32"/>
      <c r="F402" s="32"/>
      <c r="G402" s="41"/>
      <c r="H402" s="32"/>
      <c r="I402" s="41"/>
      <c r="J402" s="315"/>
      <c r="K402" s="315"/>
      <c r="L402" s="315"/>
    </row>
    <row r="403" spans="1:12" s="30" customFormat="1" x14ac:dyDescent="0.25">
      <c r="A403" s="36"/>
      <c r="B403" s="31"/>
      <c r="C403" s="31"/>
      <c r="D403" s="32"/>
      <c r="F403" s="32"/>
      <c r="G403" s="41"/>
      <c r="H403" s="32"/>
      <c r="I403" s="41"/>
      <c r="J403" s="315"/>
      <c r="K403" s="315"/>
      <c r="L403" s="315"/>
    </row>
    <row r="404" spans="1:12" s="30" customFormat="1" x14ac:dyDescent="0.25">
      <c r="A404" s="36"/>
      <c r="B404" s="31"/>
      <c r="C404" s="31"/>
      <c r="D404" s="32"/>
      <c r="F404" s="32"/>
      <c r="G404" s="41"/>
      <c r="H404" s="32"/>
      <c r="I404" s="41"/>
      <c r="J404" s="315"/>
      <c r="K404" s="315"/>
      <c r="L404" s="315"/>
    </row>
    <row r="405" spans="1:12" s="30" customFormat="1" x14ac:dyDescent="0.25">
      <c r="A405" s="36"/>
      <c r="B405" s="31"/>
      <c r="C405" s="31"/>
      <c r="D405" s="32"/>
      <c r="F405" s="32"/>
      <c r="G405" s="41"/>
      <c r="H405" s="32"/>
      <c r="I405" s="41"/>
      <c r="J405" s="315"/>
      <c r="K405" s="315"/>
      <c r="L405" s="315"/>
    </row>
    <row r="406" spans="1:12" s="30" customFormat="1" x14ac:dyDescent="0.25">
      <c r="A406" s="36"/>
      <c r="B406" s="31"/>
      <c r="C406" s="31"/>
      <c r="D406" s="32"/>
      <c r="F406" s="32"/>
      <c r="G406" s="41"/>
      <c r="H406" s="32"/>
      <c r="I406" s="41"/>
      <c r="J406" s="315"/>
      <c r="K406" s="315"/>
      <c r="L406" s="315"/>
    </row>
    <row r="407" spans="1:12" s="30" customFormat="1" x14ac:dyDescent="0.25">
      <c r="A407" s="36"/>
      <c r="B407" s="31"/>
      <c r="C407" s="31"/>
      <c r="D407" s="32"/>
      <c r="F407" s="32"/>
      <c r="G407" s="41"/>
      <c r="H407" s="32"/>
      <c r="I407" s="41"/>
      <c r="J407" s="315"/>
      <c r="K407" s="315"/>
      <c r="L407" s="315"/>
    </row>
    <row r="408" spans="1:12" s="30" customFormat="1" x14ac:dyDescent="0.25">
      <c r="A408" s="36"/>
      <c r="B408" s="31"/>
      <c r="C408" s="31"/>
      <c r="D408" s="32"/>
      <c r="F408" s="32"/>
      <c r="G408" s="41"/>
      <c r="H408" s="32"/>
      <c r="I408" s="41"/>
      <c r="J408" s="315"/>
      <c r="K408" s="315"/>
      <c r="L408" s="315"/>
    </row>
    <row r="409" spans="1:12" s="30" customFormat="1" x14ac:dyDescent="0.25">
      <c r="A409" s="36"/>
      <c r="B409" s="31"/>
      <c r="C409" s="31"/>
      <c r="D409" s="32"/>
      <c r="F409" s="32"/>
      <c r="G409" s="41"/>
      <c r="H409" s="32"/>
      <c r="I409" s="41"/>
      <c r="J409" s="315"/>
      <c r="K409" s="315"/>
      <c r="L409" s="315"/>
    </row>
    <row r="410" spans="1:12" s="30" customFormat="1" x14ac:dyDescent="0.25">
      <c r="A410" s="36"/>
      <c r="B410" s="31"/>
      <c r="C410" s="31"/>
      <c r="D410" s="32"/>
      <c r="F410" s="32"/>
      <c r="G410" s="41"/>
      <c r="H410" s="32"/>
      <c r="I410" s="41"/>
      <c r="J410" s="315"/>
      <c r="K410" s="315"/>
      <c r="L410" s="315"/>
    </row>
    <row r="411" spans="1:12" s="30" customFormat="1" x14ac:dyDescent="0.25">
      <c r="A411" s="36"/>
      <c r="B411" s="31"/>
      <c r="C411" s="31"/>
      <c r="D411" s="32"/>
      <c r="F411" s="32"/>
      <c r="G411" s="41"/>
      <c r="H411" s="32"/>
      <c r="I411" s="41"/>
      <c r="J411" s="315"/>
      <c r="K411" s="315"/>
      <c r="L411" s="315"/>
    </row>
    <row r="412" spans="1:12" s="30" customFormat="1" x14ac:dyDescent="0.25">
      <c r="A412" s="36"/>
      <c r="B412" s="31"/>
      <c r="C412" s="31"/>
      <c r="D412" s="32"/>
      <c r="F412" s="32"/>
      <c r="G412" s="41"/>
      <c r="H412" s="32"/>
      <c r="I412" s="41"/>
      <c r="J412" s="315"/>
      <c r="K412" s="315"/>
      <c r="L412" s="315"/>
    </row>
    <row r="413" spans="1:12" s="30" customFormat="1" x14ac:dyDescent="0.25">
      <c r="A413" s="36"/>
      <c r="B413" s="31"/>
      <c r="C413" s="31"/>
      <c r="D413" s="32"/>
      <c r="F413" s="32"/>
      <c r="G413" s="41"/>
      <c r="H413" s="32"/>
      <c r="I413" s="41"/>
      <c r="J413" s="315"/>
      <c r="K413" s="315"/>
      <c r="L413" s="315"/>
    </row>
    <row r="414" spans="1:12" s="30" customFormat="1" x14ac:dyDescent="0.25">
      <c r="A414" s="36"/>
      <c r="B414" s="31"/>
      <c r="C414" s="31"/>
      <c r="D414" s="32"/>
      <c r="F414" s="32"/>
      <c r="G414" s="41"/>
      <c r="H414" s="32"/>
      <c r="I414" s="41"/>
      <c r="J414" s="315"/>
      <c r="K414" s="315"/>
      <c r="L414" s="315"/>
    </row>
    <row r="415" spans="1:12" s="30" customFormat="1" x14ac:dyDescent="0.25">
      <c r="A415" s="36"/>
      <c r="B415" s="31"/>
      <c r="C415" s="31"/>
      <c r="D415" s="32"/>
      <c r="F415" s="32"/>
      <c r="G415" s="41"/>
      <c r="H415" s="32"/>
      <c r="I415" s="41"/>
      <c r="J415" s="315"/>
      <c r="K415" s="315"/>
      <c r="L415" s="315"/>
    </row>
    <row r="416" spans="1:12" s="30" customFormat="1" x14ac:dyDescent="0.25">
      <c r="A416" s="36"/>
      <c r="B416" s="31"/>
      <c r="C416" s="31"/>
      <c r="D416" s="32"/>
      <c r="F416" s="32"/>
      <c r="G416" s="41"/>
      <c r="H416" s="32"/>
      <c r="I416" s="41"/>
      <c r="J416" s="315"/>
      <c r="K416" s="315"/>
      <c r="L416" s="315"/>
    </row>
    <row r="417" spans="1:12" s="30" customFormat="1" x14ac:dyDescent="0.25">
      <c r="A417" s="36"/>
      <c r="B417" s="31"/>
      <c r="C417" s="31"/>
      <c r="D417" s="32"/>
      <c r="F417" s="32"/>
      <c r="G417" s="41"/>
      <c r="H417" s="32"/>
      <c r="I417" s="41"/>
      <c r="J417" s="315"/>
      <c r="K417" s="315"/>
      <c r="L417" s="315"/>
    </row>
    <row r="418" spans="1:12" s="30" customFormat="1" x14ac:dyDescent="0.25">
      <c r="A418" s="36"/>
      <c r="B418" s="31"/>
      <c r="C418" s="31"/>
      <c r="D418" s="32"/>
      <c r="F418" s="32"/>
      <c r="G418" s="41"/>
      <c r="H418" s="32"/>
      <c r="I418" s="41"/>
      <c r="J418" s="315"/>
      <c r="K418" s="315"/>
      <c r="L418" s="315"/>
    </row>
    <row r="419" spans="1:12" s="30" customFormat="1" x14ac:dyDescent="0.25">
      <c r="A419" s="36"/>
      <c r="B419" s="31"/>
      <c r="C419" s="31"/>
      <c r="D419" s="32"/>
      <c r="F419" s="32"/>
      <c r="G419" s="41"/>
      <c r="H419" s="32"/>
      <c r="I419" s="41"/>
      <c r="J419" s="315"/>
      <c r="K419" s="315"/>
      <c r="L419" s="315"/>
    </row>
    <row r="420" spans="1:12" s="30" customFormat="1" x14ac:dyDescent="0.25">
      <c r="A420" s="36"/>
      <c r="B420" s="31"/>
      <c r="C420" s="31"/>
      <c r="D420" s="32"/>
      <c r="F420" s="32"/>
      <c r="G420" s="41"/>
      <c r="H420" s="32"/>
      <c r="I420" s="41"/>
      <c r="J420" s="315"/>
      <c r="K420" s="315"/>
      <c r="L420" s="315"/>
    </row>
    <row r="421" spans="1:12" s="30" customFormat="1" x14ac:dyDescent="0.25">
      <c r="A421" s="36"/>
      <c r="B421" s="31"/>
      <c r="C421" s="31"/>
      <c r="D421" s="32"/>
      <c r="F421" s="32"/>
      <c r="G421" s="41"/>
      <c r="H421" s="32"/>
      <c r="I421" s="41"/>
      <c r="J421" s="315"/>
      <c r="K421" s="315"/>
      <c r="L421" s="315"/>
    </row>
    <row r="422" spans="1:12" s="30" customFormat="1" x14ac:dyDescent="0.25">
      <c r="A422" s="36"/>
      <c r="B422" s="31"/>
      <c r="C422" s="31"/>
      <c r="D422" s="32"/>
      <c r="F422" s="32"/>
      <c r="G422" s="41"/>
      <c r="H422" s="32"/>
      <c r="I422" s="41"/>
      <c r="J422" s="315"/>
      <c r="K422" s="315"/>
      <c r="L422" s="315"/>
    </row>
    <row r="423" spans="1:12" s="30" customFormat="1" x14ac:dyDescent="0.25">
      <c r="A423" s="36"/>
      <c r="B423" s="31"/>
      <c r="C423" s="31"/>
      <c r="D423" s="32"/>
      <c r="F423" s="32"/>
      <c r="G423" s="41"/>
      <c r="H423" s="32"/>
      <c r="I423" s="41"/>
      <c r="J423" s="315"/>
      <c r="K423" s="315"/>
      <c r="L423" s="315"/>
    </row>
    <row r="424" spans="1:12" s="30" customFormat="1" x14ac:dyDescent="0.25">
      <c r="A424" s="36"/>
      <c r="B424" s="31"/>
      <c r="C424" s="31"/>
      <c r="D424" s="32"/>
      <c r="F424" s="32"/>
      <c r="G424" s="41"/>
      <c r="H424" s="32"/>
      <c r="I424" s="41"/>
      <c r="J424" s="315"/>
      <c r="K424" s="315"/>
      <c r="L424" s="315"/>
    </row>
    <row r="425" spans="1:12" s="30" customFormat="1" x14ac:dyDescent="0.25">
      <c r="A425" s="36"/>
      <c r="B425" s="31"/>
      <c r="C425" s="31"/>
      <c r="D425" s="32"/>
      <c r="F425" s="32"/>
      <c r="G425" s="41"/>
      <c r="H425" s="32"/>
      <c r="I425" s="41"/>
      <c r="J425" s="315"/>
      <c r="K425" s="315"/>
      <c r="L425" s="315"/>
    </row>
    <row r="426" spans="1:12" s="30" customFormat="1" x14ac:dyDescent="0.25">
      <c r="A426" s="36"/>
      <c r="B426" s="31"/>
      <c r="C426" s="31"/>
      <c r="D426" s="32"/>
      <c r="F426" s="32"/>
      <c r="G426" s="41"/>
      <c r="H426" s="32"/>
      <c r="I426" s="41"/>
      <c r="J426" s="315"/>
      <c r="K426" s="315"/>
      <c r="L426" s="315"/>
    </row>
    <row r="427" spans="1:12" s="30" customFormat="1" x14ac:dyDescent="0.25">
      <c r="A427" s="36"/>
      <c r="B427" s="31"/>
      <c r="C427" s="31"/>
      <c r="D427" s="32"/>
      <c r="F427" s="32"/>
      <c r="G427" s="41"/>
      <c r="H427" s="32"/>
      <c r="I427" s="41"/>
      <c r="J427" s="315"/>
      <c r="K427" s="315"/>
      <c r="L427" s="315"/>
    </row>
    <row r="428" spans="1:12" s="30" customFormat="1" x14ac:dyDescent="0.25">
      <c r="A428" s="36"/>
      <c r="B428" s="31"/>
      <c r="C428" s="31"/>
      <c r="D428" s="32"/>
      <c r="F428" s="32"/>
      <c r="G428" s="41"/>
      <c r="H428" s="32"/>
      <c r="I428" s="41"/>
      <c r="J428" s="315"/>
      <c r="K428" s="315"/>
      <c r="L428" s="315"/>
    </row>
    <row r="429" spans="1:12" s="30" customFormat="1" x14ac:dyDescent="0.25">
      <c r="A429" s="36"/>
      <c r="B429" s="31"/>
      <c r="C429" s="31"/>
      <c r="D429" s="32"/>
      <c r="F429" s="32"/>
      <c r="G429" s="41"/>
      <c r="H429" s="32"/>
      <c r="I429" s="41"/>
      <c r="J429" s="315"/>
      <c r="K429" s="315"/>
      <c r="L429" s="315"/>
    </row>
    <row r="430" spans="1:12" s="30" customFormat="1" x14ac:dyDescent="0.25">
      <c r="A430" s="36"/>
      <c r="B430" s="31"/>
      <c r="C430" s="31"/>
      <c r="D430" s="32"/>
      <c r="F430" s="32"/>
      <c r="G430" s="41"/>
      <c r="H430" s="32"/>
      <c r="I430" s="41"/>
      <c r="J430" s="315"/>
      <c r="K430" s="315"/>
      <c r="L430" s="315"/>
    </row>
    <row r="431" spans="1:12" s="30" customFormat="1" x14ac:dyDescent="0.25">
      <c r="A431" s="36"/>
      <c r="B431" s="31"/>
      <c r="C431" s="31"/>
      <c r="D431" s="32"/>
      <c r="F431" s="32"/>
      <c r="G431" s="41"/>
      <c r="H431" s="32"/>
      <c r="I431" s="41"/>
      <c r="J431" s="315"/>
      <c r="K431" s="315"/>
      <c r="L431" s="315"/>
    </row>
    <row r="432" spans="1:12" s="30" customFormat="1" x14ac:dyDescent="0.25">
      <c r="A432" s="36"/>
      <c r="B432" s="31"/>
      <c r="C432" s="31"/>
      <c r="D432" s="32"/>
      <c r="F432" s="32"/>
      <c r="G432" s="41"/>
      <c r="H432" s="32"/>
      <c r="I432" s="41"/>
      <c r="J432" s="315"/>
      <c r="K432" s="315"/>
      <c r="L432" s="315"/>
    </row>
    <row r="433" spans="1:12" s="30" customFormat="1" x14ac:dyDescent="0.25">
      <c r="A433" s="36"/>
      <c r="B433" s="31"/>
      <c r="C433" s="31"/>
      <c r="D433" s="32"/>
      <c r="F433" s="32"/>
      <c r="G433" s="41"/>
      <c r="H433" s="32"/>
      <c r="I433" s="41"/>
      <c r="J433" s="315"/>
      <c r="K433" s="315"/>
      <c r="L433" s="315"/>
    </row>
    <row r="434" spans="1:12" s="30" customFormat="1" x14ac:dyDescent="0.25">
      <c r="A434" s="36"/>
      <c r="B434" s="31"/>
      <c r="C434" s="31"/>
      <c r="D434" s="32"/>
      <c r="F434" s="32"/>
      <c r="G434" s="41"/>
      <c r="H434" s="32"/>
      <c r="I434" s="41"/>
      <c r="J434" s="315"/>
      <c r="K434" s="315"/>
      <c r="L434" s="315"/>
    </row>
    <row r="435" spans="1:12" s="30" customFormat="1" x14ac:dyDescent="0.25">
      <c r="A435" s="36"/>
      <c r="B435" s="31"/>
      <c r="C435" s="31"/>
      <c r="D435" s="32"/>
      <c r="F435" s="32"/>
      <c r="G435" s="41"/>
      <c r="H435" s="32"/>
      <c r="I435" s="41"/>
      <c r="J435" s="315"/>
      <c r="K435" s="315"/>
      <c r="L435" s="315"/>
    </row>
    <row r="436" spans="1:12" s="30" customFormat="1" x14ac:dyDescent="0.25">
      <c r="A436" s="36"/>
      <c r="B436" s="31"/>
      <c r="C436" s="31"/>
      <c r="D436" s="32"/>
      <c r="F436" s="32"/>
      <c r="G436" s="41"/>
      <c r="H436" s="32"/>
      <c r="I436" s="41"/>
      <c r="J436" s="315"/>
      <c r="K436" s="315"/>
      <c r="L436" s="315"/>
    </row>
    <row r="437" spans="1:12" s="30" customFormat="1" x14ac:dyDescent="0.25">
      <c r="A437" s="36"/>
      <c r="B437" s="31"/>
      <c r="C437" s="31"/>
      <c r="D437" s="32"/>
      <c r="F437" s="32"/>
      <c r="G437" s="41"/>
      <c r="H437" s="32"/>
      <c r="I437" s="41"/>
      <c r="J437" s="315"/>
      <c r="K437" s="315"/>
      <c r="L437" s="315"/>
    </row>
    <row r="438" spans="1:12" s="30" customFormat="1" x14ac:dyDescent="0.25">
      <c r="A438" s="36"/>
      <c r="B438" s="31"/>
      <c r="C438" s="31"/>
      <c r="D438" s="32"/>
      <c r="F438" s="32"/>
      <c r="G438" s="41"/>
      <c r="H438" s="32"/>
      <c r="I438" s="41"/>
      <c r="J438" s="315"/>
      <c r="K438" s="315"/>
      <c r="L438" s="315"/>
    </row>
    <row r="439" spans="1:12" s="30" customFormat="1" x14ac:dyDescent="0.25">
      <c r="A439" s="36"/>
      <c r="B439" s="31"/>
      <c r="C439" s="31"/>
      <c r="D439" s="32"/>
      <c r="F439" s="32"/>
      <c r="G439" s="41"/>
      <c r="H439" s="32"/>
      <c r="I439" s="41"/>
      <c r="J439" s="315"/>
      <c r="K439" s="315"/>
      <c r="L439" s="315"/>
    </row>
    <row r="440" spans="1:12" s="30" customFormat="1" x14ac:dyDescent="0.25">
      <c r="A440" s="36"/>
      <c r="B440" s="31"/>
      <c r="C440" s="31"/>
      <c r="D440" s="32"/>
      <c r="F440" s="32"/>
      <c r="G440" s="41"/>
      <c r="H440" s="32"/>
      <c r="I440" s="41"/>
      <c r="J440" s="315"/>
      <c r="K440" s="315"/>
      <c r="L440" s="315"/>
    </row>
    <row r="441" spans="1:12" s="30" customFormat="1" x14ac:dyDescent="0.25">
      <c r="A441" s="36"/>
      <c r="B441" s="31"/>
      <c r="C441" s="31"/>
      <c r="D441" s="32"/>
      <c r="F441" s="32"/>
      <c r="G441" s="41"/>
      <c r="H441" s="32"/>
      <c r="I441" s="41"/>
      <c r="J441" s="315"/>
      <c r="K441" s="315"/>
      <c r="L441" s="315"/>
    </row>
    <row r="442" spans="1:12" s="30" customFormat="1" x14ac:dyDescent="0.25">
      <c r="A442" s="36"/>
      <c r="B442" s="31"/>
      <c r="C442" s="31"/>
      <c r="D442" s="32"/>
      <c r="F442" s="32"/>
      <c r="G442" s="41"/>
      <c r="H442" s="32"/>
      <c r="I442" s="41"/>
      <c r="J442" s="315"/>
      <c r="K442" s="315"/>
      <c r="L442" s="315"/>
    </row>
    <row r="443" spans="1:12" s="30" customFormat="1" x14ac:dyDescent="0.25">
      <c r="A443" s="36"/>
      <c r="B443" s="31"/>
      <c r="C443" s="31"/>
      <c r="D443" s="32"/>
      <c r="F443" s="32"/>
      <c r="G443" s="41"/>
      <c r="H443" s="32"/>
      <c r="I443" s="41"/>
      <c r="J443" s="315"/>
      <c r="K443" s="315"/>
      <c r="L443" s="315"/>
    </row>
    <row r="444" spans="1:12" s="30" customFormat="1" x14ac:dyDescent="0.25">
      <c r="A444" s="36"/>
      <c r="B444" s="31"/>
      <c r="C444" s="31"/>
      <c r="D444" s="32"/>
      <c r="F444" s="32"/>
      <c r="G444" s="41"/>
      <c r="H444" s="32"/>
      <c r="I444" s="41"/>
      <c r="J444" s="315"/>
      <c r="K444" s="315"/>
      <c r="L444" s="315"/>
    </row>
    <row r="445" spans="1:12" s="30" customFormat="1" x14ac:dyDescent="0.25">
      <c r="A445" s="36"/>
      <c r="B445" s="31"/>
      <c r="C445" s="31"/>
      <c r="D445" s="32"/>
      <c r="F445" s="32"/>
      <c r="G445" s="41"/>
      <c r="H445" s="32"/>
      <c r="I445" s="41"/>
      <c r="J445" s="315"/>
      <c r="K445" s="315"/>
      <c r="L445" s="315"/>
    </row>
    <row r="446" spans="1:12" s="30" customFormat="1" x14ac:dyDescent="0.25">
      <c r="A446" s="36"/>
      <c r="B446" s="31"/>
      <c r="C446" s="31"/>
      <c r="D446" s="32"/>
      <c r="F446" s="32"/>
      <c r="G446" s="41"/>
      <c r="H446" s="32"/>
      <c r="I446" s="41"/>
      <c r="J446" s="315"/>
      <c r="K446" s="315"/>
      <c r="L446" s="315"/>
    </row>
    <row r="447" spans="1:12" s="30" customFormat="1" x14ac:dyDescent="0.25">
      <c r="A447" s="36"/>
      <c r="B447" s="31"/>
      <c r="C447" s="31"/>
      <c r="D447" s="32"/>
      <c r="F447" s="32"/>
      <c r="G447" s="41"/>
      <c r="H447" s="32"/>
      <c r="I447" s="41"/>
      <c r="J447" s="315"/>
      <c r="K447" s="315"/>
      <c r="L447" s="315"/>
    </row>
    <row r="448" spans="1:12" s="30" customFormat="1" x14ac:dyDescent="0.25">
      <c r="A448" s="36"/>
      <c r="B448" s="31"/>
      <c r="C448" s="31"/>
      <c r="D448" s="32"/>
      <c r="F448" s="32"/>
      <c r="G448" s="41"/>
      <c r="H448" s="32"/>
      <c r="I448" s="41"/>
      <c r="J448" s="315"/>
      <c r="K448" s="315"/>
      <c r="L448" s="315"/>
    </row>
    <row r="449" spans="1:12" s="30" customFormat="1" x14ac:dyDescent="0.25">
      <c r="A449" s="36"/>
      <c r="B449" s="31"/>
      <c r="C449" s="31"/>
      <c r="D449" s="32"/>
      <c r="F449" s="32"/>
      <c r="G449" s="41"/>
      <c r="H449" s="32"/>
      <c r="I449" s="41"/>
      <c r="J449" s="315"/>
      <c r="K449" s="315"/>
      <c r="L449" s="315"/>
    </row>
    <row r="450" spans="1:12" s="30" customFormat="1" x14ac:dyDescent="0.25">
      <c r="A450" s="36"/>
      <c r="B450" s="31"/>
      <c r="C450" s="31"/>
      <c r="D450" s="32"/>
      <c r="F450" s="32"/>
      <c r="G450" s="41"/>
      <c r="H450" s="32"/>
      <c r="I450" s="41"/>
      <c r="J450" s="315"/>
      <c r="K450" s="315"/>
      <c r="L450" s="315"/>
    </row>
    <row r="451" spans="1:12" s="30" customFormat="1" x14ac:dyDescent="0.25">
      <c r="A451" s="36"/>
      <c r="B451" s="31"/>
      <c r="C451" s="31"/>
      <c r="D451" s="32"/>
      <c r="F451" s="32"/>
      <c r="G451" s="41"/>
      <c r="H451" s="32"/>
      <c r="I451" s="41"/>
      <c r="J451" s="315"/>
      <c r="K451" s="315"/>
      <c r="L451" s="315"/>
    </row>
    <row r="452" spans="1:12" s="30" customFormat="1" x14ac:dyDescent="0.25">
      <c r="A452" s="36"/>
      <c r="B452" s="31"/>
      <c r="C452" s="31"/>
      <c r="D452" s="32"/>
      <c r="F452" s="32"/>
      <c r="G452" s="41"/>
      <c r="H452" s="32"/>
      <c r="I452" s="41"/>
      <c r="J452" s="315"/>
      <c r="K452" s="315"/>
      <c r="L452" s="315"/>
    </row>
    <row r="453" spans="1:12" s="30" customFormat="1" x14ac:dyDescent="0.25">
      <c r="A453" s="36"/>
      <c r="B453" s="31"/>
      <c r="C453" s="31"/>
      <c r="D453" s="32"/>
      <c r="F453" s="32"/>
      <c r="G453" s="41"/>
      <c r="H453" s="32"/>
      <c r="I453" s="41"/>
      <c r="J453" s="315"/>
      <c r="K453" s="315"/>
      <c r="L453" s="315"/>
    </row>
    <row r="454" spans="1:12" s="30" customFormat="1" x14ac:dyDescent="0.25">
      <c r="A454" s="36"/>
      <c r="B454" s="31"/>
      <c r="C454" s="31"/>
      <c r="D454" s="32"/>
      <c r="F454" s="32"/>
      <c r="G454" s="41"/>
      <c r="H454" s="32"/>
      <c r="I454" s="41"/>
      <c r="J454" s="315"/>
      <c r="K454" s="315"/>
      <c r="L454" s="315"/>
    </row>
    <row r="455" spans="1:12" s="30" customFormat="1" x14ac:dyDescent="0.25">
      <c r="A455" s="36"/>
      <c r="B455" s="31"/>
      <c r="C455" s="31"/>
      <c r="D455" s="32"/>
      <c r="F455" s="32"/>
      <c r="G455" s="41"/>
      <c r="H455" s="32"/>
      <c r="I455" s="41"/>
      <c r="J455" s="315"/>
      <c r="K455" s="315"/>
      <c r="L455" s="315"/>
    </row>
    <row r="456" spans="1:12" s="30" customFormat="1" x14ac:dyDescent="0.25">
      <c r="A456" s="36"/>
      <c r="B456" s="31"/>
      <c r="C456" s="31"/>
      <c r="D456" s="32"/>
      <c r="F456" s="32"/>
      <c r="G456" s="41"/>
      <c r="H456" s="32"/>
      <c r="I456" s="41"/>
      <c r="J456" s="315"/>
      <c r="K456" s="315"/>
      <c r="L456" s="315"/>
    </row>
    <row r="457" spans="1:12" s="30" customFormat="1" x14ac:dyDescent="0.25">
      <c r="A457" s="36"/>
      <c r="B457" s="31"/>
      <c r="C457" s="31"/>
      <c r="D457" s="32"/>
      <c r="F457" s="32"/>
      <c r="G457" s="41"/>
      <c r="H457" s="32"/>
      <c r="I457" s="41"/>
      <c r="J457" s="315"/>
      <c r="K457" s="315"/>
      <c r="L457" s="315"/>
    </row>
    <row r="458" spans="1:12" s="30" customFormat="1" x14ac:dyDescent="0.25">
      <c r="A458" s="36"/>
      <c r="B458" s="31"/>
      <c r="C458" s="31"/>
      <c r="D458" s="32"/>
      <c r="F458" s="32"/>
      <c r="G458" s="41"/>
      <c r="H458" s="32"/>
      <c r="I458" s="41"/>
      <c r="J458" s="315"/>
      <c r="K458" s="315"/>
      <c r="L458" s="315"/>
    </row>
    <row r="459" spans="1:12" s="30" customFormat="1" x14ac:dyDescent="0.25">
      <c r="A459" s="36"/>
      <c r="B459" s="31"/>
      <c r="C459" s="31"/>
      <c r="D459" s="32"/>
      <c r="F459" s="32"/>
      <c r="G459" s="41"/>
      <c r="H459" s="32"/>
      <c r="I459" s="41"/>
      <c r="J459" s="315"/>
      <c r="K459" s="315"/>
      <c r="L459" s="315"/>
    </row>
    <row r="460" spans="1:12" s="30" customFormat="1" x14ac:dyDescent="0.25">
      <c r="A460" s="36"/>
      <c r="B460" s="31"/>
      <c r="C460" s="31"/>
      <c r="D460" s="32"/>
      <c r="F460" s="32"/>
      <c r="G460" s="41"/>
      <c r="H460" s="32"/>
      <c r="I460" s="41"/>
      <c r="J460" s="315"/>
      <c r="K460" s="315"/>
      <c r="L460" s="315"/>
    </row>
    <row r="461" spans="1:12" s="30" customFormat="1" x14ac:dyDescent="0.25">
      <c r="A461" s="36"/>
      <c r="B461" s="31"/>
      <c r="C461" s="31"/>
      <c r="D461" s="32"/>
      <c r="F461" s="32"/>
      <c r="G461" s="41"/>
      <c r="H461" s="32"/>
      <c r="I461" s="41"/>
      <c r="J461" s="315"/>
      <c r="K461" s="315"/>
      <c r="L461" s="315"/>
    </row>
    <row r="462" spans="1:12" s="30" customFormat="1" x14ac:dyDescent="0.25">
      <c r="A462" s="36"/>
      <c r="B462" s="31"/>
      <c r="C462" s="31"/>
      <c r="D462" s="32"/>
      <c r="F462" s="32"/>
      <c r="G462" s="41"/>
      <c r="H462" s="32"/>
      <c r="I462" s="41"/>
      <c r="J462" s="315"/>
      <c r="K462" s="315"/>
      <c r="L462" s="315"/>
    </row>
    <row r="463" spans="1:12" s="30" customFormat="1" x14ac:dyDescent="0.25">
      <c r="A463" s="36"/>
      <c r="B463" s="31"/>
      <c r="C463" s="31"/>
      <c r="D463" s="32"/>
      <c r="F463" s="32"/>
      <c r="G463" s="41"/>
      <c r="H463" s="32"/>
      <c r="I463" s="41"/>
      <c r="J463" s="315"/>
      <c r="K463" s="315"/>
      <c r="L463" s="315"/>
    </row>
    <row r="464" spans="1:12" s="30" customFormat="1" x14ac:dyDescent="0.25">
      <c r="A464" s="36"/>
      <c r="B464" s="31"/>
      <c r="C464" s="31"/>
      <c r="D464" s="32"/>
      <c r="F464" s="32"/>
      <c r="G464" s="41"/>
      <c r="H464" s="32"/>
      <c r="I464" s="41"/>
      <c r="J464" s="315"/>
      <c r="K464" s="315"/>
      <c r="L464" s="315"/>
    </row>
    <row r="465" spans="1:12" s="30" customFormat="1" x14ac:dyDescent="0.25">
      <c r="A465" s="36"/>
      <c r="B465" s="31"/>
      <c r="C465" s="31"/>
      <c r="D465" s="32"/>
      <c r="F465" s="32"/>
      <c r="G465" s="41"/>
      <c r="H465" s="32"/>
      <c r="I465" s="41"/>
      <c r="J465" s="315"/>
      <c r="K465" s="315"/>
      <c r="L465" s="315"/>
    </row>
    <row r="466" spans="1:12" s="30" customFormat="1" x14ac:dyDescent="0.25">
      <c r="A466" s="36"/>
      <c r="B466" s="31"/>
      <c r="C466" s="31"/>
      <c r="D466" s="32"/>
      <c r="F466" s="32"/>
      <c r="G466" s="41"/>
      <c r="H466" s="32"/>
      <c r="I466" s="41"/>
      <c r="J466" s="315"/>
      <c r="K466" s="315"/>
      <c r="L466" s="315"/>
    </row>
    <row r="467" spans="1:12" s="30" customFormat="1" x14ac:dyDescent="0.25">
      <c r="A467" s="36"/>
      <c r="B467" s="31"/>
      <c r="C467" s="31"/>
      <c r="D467" s="32"/>
      <c r="F467" s="32"/>
      <c r="G467" s="41"/>
      <c r="H467" s="32"/>
      <c r="I467" s="41"/>
      <c r="J467" s="315"/>
      <c r="K467" s="315"/>
      <c r="L467" s="315"/>
    </row>
    <row r="468" spans="1:12" s="30" customFormat="1" x14ac:dyDescent="0.25">
      <c r="A468" s="36"/>
      <c r="B468" s="31"/>
      <c r="C468" s="31"/>
      <c r="D468" s="32"/>
      <c r="F468" s="32"/>
      <c r="G468" s="41"/>
      <c r="H468" s="32"/>
      <c r="I468" s="41"/>
      <c r="J468" s="315"/>
      <c r="K468" s="315"/>
      <c r="L468" s="315"/>
    </row>
    <row r="469" spans="1:12" s="30" customFormat="1" x14ac:dyDescent="0.25">
      <c r="A469" s="36"/>
      <c r="B469" s="31"/>
      <c r="C469" s="31"/>
      <c r="D469" s="32"/>
      <c r="F469" s="32"/>
      <c r="G469" s="41"/>
      <c r="H469" s="32"/>
      <c r="I469" s="41"/>
      <c r="J469" s="315"/>
      <c r="K469" s="315"/>
      <c r="L469" s="315"/>
    </row>
    <row r="470" spans="1:12" s="30" customFormat="1" x14ac:dyDescent="0.25">
      <c r="A470" s="36"/>
      <c r="B470" s="31"/>
      <c r="C470" s="31"/>
      <c r="D470" s="32"/>
      <c r="F470" s="32"/>
      <c r="G470" s="41"/>
      <c r="H470" s="32"/>
      <c r="I470" s="41"/>
      <c r="J470" s="315"/>
      <c r="K470" s="315"/>
      <c r="L470" s="315"/>
    </row>
    <row r="471" spans="1:12" s="30" customFormat="1" x14ac:dyDescent="0.25">
      <c r="A471" s="36"/>
      <c r="B471" s="31"/>
      <c r="C471" s="31"/>
      <c r="D471" s="32"/>
      <c r="F471" s="32"/>
      <c r="G471" s="41"/>
      <c r="H471" s="32"/>
      <c r="I471" s="41"/>
      <c r="J471" s="315"/>
      <c r="K471" s="315"/>
      <c r="L471" s="315"/>
    </row>
    <row r="472" spans="1:12" s="30" customFormat="1" x14ac:dyDescent="0.25">
      <c r="A472" s="36"/>
      <c r="B472" s="31"/>
      <c r="C472" s="31"/>
      <c r="D472" s="32"/>
      <c r="F472" s="32"/>
      <c r="G472" s="41"/>
      <c r="H472" s="32"/>
      <c r="I472" s="41"/>
      <c r="J472" s="315"/>
      <c r="K472" s="315"/>
      <c r="L472" s="315"/>
    </row>
    <row r="473" spans="1:12" s="30" customFormat="1" x14ac:dyDescent="0.25">
      <c r="A473" s="36"/>
      <c r="B473" s="31"/>
      <c r="C473" s="31"/>
      <c r="D473" s="32"/>
      <c r="F473" s="32"/>
      <c r="G473" s="41"/>
      <c r="H473" s="32"/>
      <c r="I473" s="41"/>
      <c r="J473" s="315"/>
      <c r="K473" s="315"/>
      <c r="L473" s="315"/>
    </row>
    <row r="474" spans="1:12" s="30" customFormat="1" x14ac:dyDescent="0.25">
      <c r="A474" s="36"/>
      <c r="B474" s="31"/>
      <c r="C474" s="31"/>
      <c r="D474" s="32"/>
      <c r="F474" s="32"/>
      <c r="G474" s="41"/>
      <c r="H474" s="32"/>
      <c r="I474" s="41"/>
      <c r="J474" s="315"/>
      <c r="K474" s="315"/>
      <c r="L474" s="315"/>
    </row>
    <row r="475" spans="1:12" s="30" customFormat="1" x14ac:dyDescent="0.25">
      <c r="A475" s="36"/>
      <c r="B475" s="31"/>
      <c r="C475" s="31"/>
      <c r="D475" s="32"/>
      <c r="F475" s="32"/>
      <c r="G475" s="41"/>
      <c r="H475" s="32"/>
      <c r="I475" s="41"/>
      <c r="J475" s="315"/>
      <c r="K475" s="315"/>
      <c r="L475" s="315"/>
    </row>
    <row r="476" spans="1:12" s="30" customFormat="1" x14ac:dyDescent="0.25">
      <c r="A476" s="36"/>
      <c r="B476" s="31"/>
      <c r="C476" s="31"/>
      <c r="D476" s="32"/>
      <c r="F476" s="32"/>
      <c r="G476" s="41"/>
      <c r="H476" s="32"/>
      <c r="I476" s="41"/>
      <c r="J476" s="315"/>
      <c r="K476" s="315"/>
      <c r="L476" s="315"/>
    </row>
    <row r="477" spans="1:12" s="30" customFormat="1" x14ac:dyDescent="0.25">
      <c r="A477" s="36"/>
      <c r="B477" s="31"/>
      <c r="C477" s="31"/>
      <c r="D477" s="32"/>
      <c r="F477" s="32"/>
      <c r="G477" s="41"/>
      <c r="H477" s="32"/>
      <c r="I477" s="41"/>
      <c r="J477" s="315"/>
      <c r="K477" s="315"/>
      <c r="L477" s="315"/>
    </row>
    <row r="478" spans="1:12" s="30" customFormat="1" x14ac:dyDescent="0.25">
      <c r="A478" s="36"/>
      <c r="B478" s="31"/>
      <c r="C478" s="31"/>
      <c r="D478" s="32"/>
      <c r="F478" s="32"/>
      <c r="G478" s="41"/>
      <c r="H478" s="32"/>
      <c r="I478" s="41"/>
      <c r="J478" s="315"/>
      <c r="K478" s="315"/>
      <c r="L478" s="315"/>
    </row>
    <row r="479" spans="1:12" s="30" customFormat="1" x14ac:dyDescent="0.25">
      <c r="A479" s="36"/>
      <c r="B479" s="31"/>
      <c r="C479" s="31"/>
      <c r="D479" s="32"/>
      <c r="F479" s="32"/>
      <c r="G479" s="41"/>
      <c r="H479" s="32"/>
      <c r="I479" s="41"/>
      <c r="J479" s="315"/>
      <c r="K479" s="315"/>
      <c r="L479" s="315"/>
    </row>
    <row r="480" spans="1:12" s="30" customFormat="1" x14ac:dyDescent="0.25">
      <c r="A480" s="36"/>
      <c r="B480" s="31"/>
      <c r="C480" s="31"/>
      <c r="D480" s="32"/>
      <c r="F480" s="32"/>
      <c r="G480" s="41"/>
      <c r="H480" s="32"/>
      <c r="I480" s="41"/>
      <c r="J480" s="315"/>
      <c r="K480" s="315"/>
      <c r="L480" s="315"/>
    </row>
    <row r="481" spans="1:12" s="30" customFormat="1" x14ac:dyDescent="0.25">
      <c r="A481" s="36"/>
      <c r="B481" s="31"/>
      <c r="C481" s="31"/>
      <c r="D481" s="32"/>
      <c r="F481" s="32"/>
      <c r="G481" s="41"/>
      <c r="H481" s="32"/>
      <c r="I481" s="41"/>
      <c r="J481" s="315"/>
      <c r="K481" s="315"/>
      <c r="L481" s="315"/>
    </row>
    <row r="482" spans="1:12" s="30" customFormat="1" x14ac:dyDescent="0.25">
      <c r="A482" s="36"/>
      <c r="B482" s="31"/>
      <c r="C482" s="31"/>
      <c r="D482" s="32"/>
      <c r="F482" s="32"/>
      <c r="G482" s="41"/>
      <c r="H482" s="32"/>
      <c r="I482" s="41"/>
      <c r="J482" s="315"/>
      <c r="K482" s="315"/>
      <c r="L482" s="315"/>
    </row>
    <row r="483" spans="1:12" s="30" customFormat="1" x14ac:dyDescent="0.25">
      <c r="A483" s="36"/>
      <c r="B483" s="31"/>
      <c r="C483" s="31"/>
      <c r="D483" s="32"/>
      <c r="F483" s="32"/>
      <c r="G483" s="41"/>
      <c r="H483" s="32"/>
      <c r="I483" s="41"/>
      <c r="J483" s="315"/>
      <c r="K483" s="315"/>
      <c r="L483" s="315"/>
    </row>
    <row r="484" spans="1:12" s="30" customFormat="1" x14ac:dyDescent="0.25">
      <c r="A484" s="36"/>
      <c r="B484" s="31"/>
      <c r="C484" s="31"/>
      <c r="D484" s="32"/>
      <c r="F484" s="32"/>
      <c r="G484" s="41"/>
      <c r="H484" s="32"/>
      <c r="I484" s="41"/>
      <c r="J484" s="315"/>
      <c r="K484" s="315"/>
      <c r="L484" s="315"/>
    </row>
    <row r="485" spans="1:12" s="30" customFormat="1" x14ac:dyDescent="0.25">
      <c r="A485" s="36"/>
      <c r="B485" s="31"/>
      <c r="C485" s="31"/>
      <c r="D485" s="32"/>
      <c r="F485" s="32"/>
      <c r="G485" s="41"/>
      <c r="H485" s="32"/>
      <c r="I485" s="41"/>
      <c r="J485" s="315"/>
      <c r="K485" s="315"/>
      <c r="L485" s="315"/>
    </row>
    <row r="486" spans="1:12" s="30" customFormat="1" x14ac:dyDescent="0.25">
      <c r="A486" s="36"/>
      <c r="B486" s="31"/>
      <c r="C486" s="31"/>
      <c r="D486" s="32"/>
      <c r="F486" s="32"/>
      <c r="G486" s="41"/>
      <c r="H486" s="32"/>
      <c r="I486" s="41"/>
      <c r="J486" s="315"/>
      <c r="K486" s="315"/>
      <c r="L486" s="315"/>
    </row>
    <row r="487" spans="1:12" s="30" customFormat="1" x14ac:dyDescent="0.25">
      <c r="A487" s="36"/>
      <c r="B487" s="31"/>
      <c r="C487" s="31"/>
      <c r="D487" s="32"/>
      <c r="F487" s="32"/>
      <c r="G487" s="41"/>
      <c r="H487" s="32"/>
      <c r="I487" s="41"/>
      <c r="J487" s="315"/>
      <c r="K487" s="315"/>
      <c r="L487" s="315"/>
    </row>
    <row r="488" spans="1:12" s="30" customFormat="1" x14ac:dyDescent="0.25">
      <c r="A488" s="36"/>
      <c r="B488" s="31"/>
      <c r="C488" s="31"/>
      <c r="D488" s="32"/>
      <c r="F488" s="32"/>
      <c r="G488" s="41"/>
      <c r="H488" s="32"/>
      <c r="I488" s="41"/>
      <c r="J488" s="315"/>
      <c r="K488" s="315"/>
      <c r="L488" s="315"/>
    </row>
    <row r="489" spans="1:12" s="30" customFormat="1" x14ac:dyDescent="0.25">
      <c r="A489" s="36"/>
      <c r="B489" s="31"/>
      <c r="C489" s="31"/>
      <c r="D489" s="32"/>
      <c r="F489" s="32"/>
      <c r="G489" s="41"/>
      <c r="H489" s="32"/>
      <c r="I489" s="41"/>
      <c r="J489" s="315"/>
      <c r="K489" s="315"/>
      <c r="L489" s="315"/>
    </row>
    <row r="490" spans="1:12" s="30" customFormat="1" x14ac:dyDescent="0.25">
      <c r="A490" s="36"/>
      <c r="B490" s="31"/>
      <c r="C490" s="31"/>
      <c r="D490" s="32"/>
      <c r="F490" s="32"/>
      <c r="G490" s="41"/>
      <c r="H490" s="32"/>
      <c r="I490" s="41"/>
      <c r="J490" s="315"/>
      <c r="K490" s="315"/>
      <c r="L490" s="315"/>
    </row>
    <row r="491" spans="1:12" s="30" customFormat="1" x14ac:dyDescent="0.25">
      <c r="A491" s="36"/>
      <c r="B491" s="31"/>
      <c r="C491" s="31"/>
      <c r="D491" s="32"/>
      <c r="F491" s="32"/>
      <c r="G491" s="41"/>
      <c r="H491" s="32"/>
      <c r="I491" s="41"/>
      <c r="J491" s="315"/>
      <c r="K491" s="315"/>
      <c r="L491" s="315"/>
    </row>
    <row r="492" spans="1:12" s="30" customFormat="1" x14ac:dyDescent="0.25">
      <c r="A492" s="36"/>
      <c r="B492" s="31"/>
      <c r="C492" s="31"/>
      <c r="D492" s="32"/>
      <c r="F492" s="32"/>
      <c r="G492" s="41"/>
      <c r="H492" s="32"/>
      <c r="I492" s="41"/>
      <c r="J492" s="315"/>
      <c r="K492" s="315"/>
      <c r="L492" s="315"/>
    </row>
    <row r="493" spans="1:12" s="30" customFormat="1" x14ac:dyDescent="0.25">
      <c r="A493" s="36"/>
      <c r="B493" s="31"/>
      <c r="C493" s="31"/>
      <c r="D493" s="32"/>
      <c r="F493" s="32"/>
      <c r="G493" s="41"/>
      <c r="H493" s="32"/>
      <c r="I493" s="41"/>
      <c r="J493" s="315"/>
      <c r="K493" s="315"/>
      <c r="L493" s="315"/>
    </row>
    <row r="494" spans="1:12" s="30" customFormat="1" x14ac:dyDescent="0.25">
      <c r="A494" s="36"/>
      <c r="B494" s="31"/>
      <c r="C494" s="31"/>
      <c r="D494" s="32"/>
      <c r="F494" s="32"/>
      <c r="G494" s="41"/>
      <c r="H494" s="32"/>
      <c r="I494" s="41"/>
      <c r="J494" s="315"/>
      <c r="K494" s="315"/>
      <c r="L494" s="315"/>
    </row>
    <row r="495" spans="1:12" s="30" customFormat="1" x14ac:dyDescent="0.25">
      <c r="A495" s="36"/>
      <c r="B495" s="31"/>
      <c r="C495" s="31"/>
      <c r="D495" s="32"/>
      <c r="F495" s="32"/>
      <c r="G495" s="41"/>
      <c r="H495" s="32"/>
      <c r="I495" s="41"/>
      <c r="J495" s="315"/>
      <c r="K495" s="315"/>
      <c r="L495" s="315"/>
    </row>
    <row r="496" spans="1:12" s="30" customFormat="1" x14ac:dyDescent="0.25">
      <c r="A496" s="36"/>
      <c r="B496" s="31"/>
      <c r="C496" s="31"/>
      <c r="D496" s="32"/>
      <c r="F496" s="32"/>
      <c r="G496" s="41"/>
      <c r="H496" s="32"/>
      <c r="I496" s="41"/>
      <c r="J496" s="315"/>
      <c r="K496" s="315"/>
      <c r="L496" s="315"/>
    </row>
    <row r="497" spans="1:12" s="30" customFormat="1" x14ac:dyDescent="0.25">
      <c r="A497" s="36"/>
      <c r="B497" s="31"/>
      <c r="C497" s="31"/>
      <c r="D497" s="32"/>
      <c r="F497" s="32"/>
      <c r="G497" s="41"/>
      <c r="H497" s="32"/>
      <c r="I497" s="41"/>
      <c r="J497" s="315"/>
      <c r="K497" s="315"/>
      <c r="L497" s="315"/>
    </row>
    <row r="498" spans="1:12" s="30" customFormat="1" x14ac:dyDescent="0.25">
      <c r="A498" s="36"/>
      <c r="B498" s="31"/>
      <c r="C498" s="31"/>
      <c r="D498" s="32"/>
      <c r="F498" s="32"/>
      <c r="G498" s="41"/>
      <c r="H498" s="32"/>
      <c r="I498" s="41"/>
      <c r="J498" s="315"/>
      <c r="K498" s="315"/>
      <c r="L498" s="315"/>
    </row>
    <row r="499" spans="1:12" s="30" customFormat="1" x14ac:dyDescent="0.25">
      <c r="A499" s="36"/>
      <c r="B499" s="31"/>
      <c r="C499" s="31"/>
      <c r="D499" s="32"/>
      <c r="F499" s="32"/>
      <c r="G499" s="41"/>
      <c r="H499" s="32"/>
      <c r="I499" s="41"/>
      <c r="J499" s="315"/>
      <c r="K499" s="315"/>
      <c r="L499" s="315"/>
    </row>
    <row r="500" spans="1:12" s="30" customFormat="1" x14ac:dyDescent="0.25">
      <c r="A500" s="36"/>
      <c r="B500" s="31"/>
      <c r="C500" s="31"/>
      <c r="D500" s="32"/>
      <c r="F500" s="32"/>
      <c r="G500" s="41"/>
      <c r="H500" s="32"/>
      <c r="I500" s="41"/>
      <c r="J500" s="315"/>
      <c r="K500" s="315"/>
      <c r="L500" s="315"/>
    </row>
    <row r="501" spans="1:12" s="30" customFormat="1" x14ac:dyDescent="0.25">
      <c r="A501" s="36"/>
      <c r="B501" s="31"/>
      <c r="C501" s="31"/>
      <c r="D501" s="32"/>
      <c r="F501" s="32"/>
      <c r="G501" s="41"/>
      <c r="H501" s="32"/>
      <c r="I501" s="41"/>
      <c r="J501" s="315"/>
      <c r="K501" s="315"/>
      <c r="L501" s="315"/>
    </row>
    <row r="502" spans="1:12" s="30" customFormat="1" x14ac:dyDescent="0.25">
      <c r="A502" s="36"/>
      <c r="B502" s="31"/>
      <c r="C502" s="31"/>
      <c r="D502" s="32"/>
      <c r="F502" s="32"/>
      <c r="G502" s="41"/>
      <c r="H502" s="32"/>
      <c r="I502" s="41"/>
      <c r="J502" s="315"/>
      <c r="K502" s="315"/>
      <c r="L502" s="315"/>
    </row>
    <row r="503" spans="1:12" s="30" customFormat="1" x14ac:dyDescent="0.25">
      <c r="A503" s="36"/>
      <c r="B503" s="31"/>
      <c r="C503" s="31"/>
      <c r="D503" s="32"/>
      <c r="F503" s="32"/>
      <c r="G503" s="41"/>
      <c r="H503" s="32"/>
      <c r="I503" s="41"/>
      <c r="J503" s="315"/>
      <c r="K503" s="315"/>
      <c r="L503" s="315"/>
    </row>
    <row r="504" spans="1:12" s="30" customFormat="1" x14ac:dyDescent="0.25">
      <c r="A504" s="36"/>
      <c r="B504" s="31"/>
      <c r="C504" s="31"/>
      <c r="D504" s="32"/>
      <c r="F504" s="32"/>
      <c r="G504" s="41"/>
      <c r="H504" s="32"/>
      <c r="I504" s="41"/>
      <c r="J504" s="315"/>
      <c r="K504" s="315"/>
      <c r="L504" s="315"/>
    </row>
    <row r="505" spans="1:12" s="30" customFormat="1" x14ac:dyDescent="0.25">
      <c r="A505" s="36"/>
      <c r="B505" s="31"/>
      <c r="C505" s="31"/>
      <c r="D505" s="32"/>
      <c r="F505" s="32"/>
      <c r="G505" s="41"/>
      <c r="H505" s="32"/>
      <c r="I505" s="41"/>
      <c r="J505" s="315"/>
      <c r="K505" s="315"/>
      <c r="L505" s="315"/>
    </row>
    <row r="506" spans="1:12" s="30" customFormat="1" x14ac:dyDescent="0.25">
      <c r="A506" s="36"/>
      <c r="B506" s="31"/>
      <c r="C506" s="31"/>
      <c r="D506" s="32"/>
      <c r="F506" s="32"/>
      <c r="G506" s="41"/>
      <c r="H506" s="32"/>
      <c r="I506" s="41"/>
      <c r="J506" s="315"/>
      <c r="K506" s="315"/>
      <c r="L506" s="315"/>
    </row>
    <row r="507" spans="1:12" s="30" customFormat="1" x14ac:dyDescent="0.25">
      <c r="A507" s="36"/>
      <c r="B507" s="31"/>
      <c r="C507" s="31"/>
      <c r="D507" s="32"/>
      <c r="F507" s="32"/>
      <c r="G507" s="41"/>
      <c r="H507" s="32"/>
      <c r="I507" s="41"/>
      <c r="J507" s="315"/>
      <c r="K507" s="315"/>
      <c r="L507" s="315"/>
    </row>
    <row r="508" spans="1:12" s="30" customFormat="1" x14ac:dyDescent="0.25">
      <c r="A508" s="36"/>
      <c r="B508" s="31"/>
      <c r="C508" s="31"/>
      <c r="D508" s="32"/>
      <c r="F508" s="32"/>
      <c r="G508" s="41"/>
      <c r="H508" s="32"/>
      <c r="I508" s="41"/>
      <c r="J508" s="315"/>
      <c r="K508" s="315"/>
      <c r="L508" s="315"/>
    </row>
    <row r="509" spans="1:12" s="30" customFormat="1" x14ac:dyDescent="0.25">
      <c r="A509" s="36"/>
      <c r="B509" s="31"/>
      <c r="C509" s="31"/>
      <c r="D509" s="32"/>
      <c r="F509" s="32"/>
      <c r="G509" s="41"/>
      <c r="H509" s="32"/>
      <c r="I509" s="41"/>
      <c r="J509" s="315"/>
      <c r="K509" s="315"/>
      <c r="L509" s="315"/>
    </row>
    <row r="510" spans="1:12" s="30" customFormat="1" x14ac:dyDescent="0.25">
      <c r="A510" s="36"/>
      <c r="B510" s="31"/>
      <c r="C510" s="31"/>
      <c r="D510" s="32"/>
      <c r="F510" s="32"/>
      <c r="G510" s="41"/>
      <c r="H510" s="32"/>
      <c r="I510" s="41"/>
      <c r="J510" s="315"/>
      <c r="K510" s="315"/>
      <c r="L510" s="315"/>
    </row>
    <row r="511" spans="1:12" s="30" customFormat="1" x14ac:dyDescent="0.25">
      <c r="A511" s="36"/>
      <c r="B511" s="31"/>
      <c r="C511" s="31"/>
      <c r="D511" s="32"/>
      <c r="F511" s="32"/>
      <c r="G511" s="41"/>
      <c r="H511" s="32"/>
      <c r="I511" s="41"/>
      <c r="J511" s="315"/>
      <c r="K511" s="315"/>
      <c r="L511" s="315"/>
    </row>
    <row r="512" spans="1:12" s="30" customFormat="1" x14ac:dyDescent="0.25">
      <c r="A512" s="36"/>
      <c r="B512" s="31"/>
      <c r="C512" s="31"/>
      <c r="D512" s="32"/>
      <c r="F512" s="32"/>
      <c r="G512" s="41"/>
      <c r="H512" s="32"/>
      <c r="I512" s="41"/>
      <c r="J512" s="315"/>
      <c r="K512" s="315"/>
      <c r="L512" s="315"/>
    </row>
    <row r="513" spans="1:12" s="30" customFormat="1" x14ac:dyDescent="0.25">
      <c r="A513" s="36"/>
      <c r="B513" s="31"/>
      <c r="C513" s="31"/>
      <c r="D513" s="32"/>
      <c r="F513" s="32"/>
      <c r="G513" s="41"/>
      <c r="H513" s="32"/>
      <c r="I513" s="41"/>
      <c r="J513" s="315"/>
      <c r="K513" s="315"/>
      <c r="L513" s="315"/>
    </row>
    <row r="514" spans="1:12" s="30" customFormat="1" x14ac:dyDescent="0.25">
      <c r="A514" s="36"/>
      <c r="B514" s="31"/>
      <c r="C514" s="31"/>
      <c r="D514" s="32"/>
      <c r="F514" s="32"/>
      <c r="G514" s="41"/>
      <c r="H514" s="32"/>
      <c r="I514" s="41"/>
      <c r="J514" s="315"/>
      <c r="K514" s="315"/>
      <c r="L514" s="315"/>
    </row>
    <row r="515" spans="1:12" s="30" customFormat="1" x14ac:dyDescent="0.25">
      <c r="A515" s="36"/>
      <c r="B515" s="31"/>
      <c r="C515" s="31"/>
      <c r="D515" s="32"/>
      <c r="F515" s="32"/>
      <c r="G515" s="41"/>
      <c r="H515" s="32"/>
      <c r="I515" s="41"/>
      <c r="J515" s="315"/>
      <c r="K515" s="315"/>
      <c r="L515" s="315"/>
    </row>
    <row r="516" spans="1:12" s="30" customFormat="1" x14ac:dyDescent="0.25">
      <c r="A516" s="36"/>
      <c r="B516" s="31"/>
      <c r="C516" s="31"/>
      <c r="D516" s="32"/>
      <c r="F516" s="32"/>
      <c r="G516" s="41"/>
      <c r="H516" s="32"/>
      <c r="I516" s="41"/>
      <c r="J516" s="315"/>
      <c r="K516" s="315"/>
      <c r="L516" s="315"/>
    </row>
    <row r="517" spans="1:12" s="30" customFormat="1" x14ac:dyDescent="0.25">
      <c r="A517" s="36"/>
      <c r="B517" s="31"/>
      <c r="C517" s="31"/>
      <c r="D517" s="32"/>
      <c r="F517" s="32"/>
      <c r="G517" s="41"/>
      <c r="H517" s="32"/>
      <c r="I517" s="41"/>
      <c r="J517" s="315"/>
      <c r="K517" s="315"/>
      <c r="L517" s="315"/>
    </row>
    <row r="518" spans="1:12" s="30" customFormat="1" x14ac:dyDescent="0.25">
      <c r="A518" s="36"/>
      <c r="B518" s="31"/>
      <c r="C518" s="31"/>
      <c r="D518" s="32"/>
      <c r="F518" s="32"/>
      <c r="G518" s="41"/>
      <c r="H518" s="32"/>
      <c r="I518" s="41"/>
      <c r="J518" s="315"/>
      <c r="K518" s="315"/>
      <c r="L518" s="315"/>
    </row>
    <row r="519" spans="1:12" s="30" customFormat="1" x14ac:dyDescent="0.25">
      <c r="A519" s="36"/>
      <c r="B519" s="31"/>
      <c r="C519" s="31"/>
      <c r="D519" s="32"/>
      <c r="F519" s="32"/>
      <c r="G519" s="41"/>
      <c r="H519" s="32"/>
      <c r="I519" s="41"/>
      <c r="J519" s="315"/>
      <c r="K519" s="315"/>
      <c r="L519" s="315"/>
    </row>
    <row r="520" spans="1:12" s="30" customFormat="1" x14ac:dyDescent="0.25">
      <c r="A520" s="36"/>
      <c r="B520" s="31"/>
      <c r="C520" s="31"/>
      <c r="D520" s="32"/>
      <c r="F520" s="32"/>
      <c r="G520" s="41"/>
      <c r="H520" s="32"/>
      <c r="I520" s="41"/>
      <c r="J520" s="315"/>
      <c r="K520" s="315"/>
      <c r="L520" s="315"/>
    </row>
    <row r="521" spans="1:12" s="30" customFormat="1" x14ac:dyDescent="0.25">
      <c r="A521" s="36"/>
      <c r="B521" s="31"/>
      <c r="C521" s="31"/>
      <c r="D521" s="32"/>
      <c r="F521" s="32"/>
      <c r="G521" s="41"/>
      <c r="H521" s="32"/>
      <c r="I521" s="41"/>
      <c r="J521" s="315"/>
      <c r="K521" s="315"/>
      <c r="L521" s="315"/>
    </row>
    <row r="522" spans="1:12" s="30" customFormat="1" x14ac:dyDescent="0.25">
      <c r="A522" s="36"/>
      <c r="B522" s="31"/>
      <c r="C522" s="31"/>
      <c r="D522" s="32"/>
      <c r="F522" s="32"/>
      <c r="G522" s="41"/>
      <c r="H522" s="32"/>
      <c r="I522" s="41"/>
      <c r="J522" s="315"/>
      <c r="K522" s="315"/>
      <c r="L522" s="315"/>
    </row>
    <row r="523" spans="1:12" s="30" customFormat="1" x14ac:dyDescent="0.25">
      <c r="A523" s="36"/>
      <c r="B523" s="31"/>
      <c r="C523" s="31"/>
      <c r="D523" s="32"/>
      <c r="F523" s="32"/>
      <c r="G523" s="41"/>
      <c r="H523" s="32"/>
      <c r="I523" s="41"/>
      <c r="J523" s="315"/>
      <c r="K523" s="315"/>
      <c r="L523" s="315"/>
    </row>
    <row r="524" spans="1:12" s="30" customFormat="1" x14ac:dyDescent="0.25">
      <c r="A524" s="36"/>
      <c r="B524" s="31"/>
      <c r="C524" s="31"/>
      <c r="D524" s="32"/>
      <c r="F524" s="32"/>
      <c r="G524" s="41"/>
      <c r="H524" s="32"/>
      <c r="I524" s="41"/>
      <c r="J524" s="315"/>
      <c r="K524" s="315"/>
      <c r="L524" s="315"/>
    </row>
    <row r="525" spans="1:12" s="30" customFormat="1" x14ac:dyDescent="0.25">
      <c r="A525" s="36"/>
      <c r="B525" s="31"/>
      <c r="C525" s="31"/>
      <c r="D525" s="32"/>
      <c r="F525" s="32"/>
      <c r="G525" s="41"/>
      <c r="H525" s="32"/>
      <c r="I525" s="41"/>
      <c r="J525" s="315"/>
      <c r="K525" s="315"/>
      <c r="L525" s="315"/>
    </row>
    <row r="526" spans="1:12" s="30" customFormat="1" x14ac:dyDescent="0.25">
      <c r="A526" s="36"/>
      <c r="B526" s="31"/>
      <c r="C526" s="31"/>
      <c r="D526" s="32"/>
      <c r="F526" s="32"/>
      <c r="G526" s="41"/>
      <c r="H526" s="32"/>
      <c r="I526" s="41"/>
      <c r="J526" s="315"/>
      <c r="K526" s="315"/>
      <c r="L526" s="315"/>
    </row>
    <row r="527" spans="1:12" s="30" customFormat="1" x14ac:dyDescent="0.25">
      <c r="A527" s="36"/>
      <c r="B527" s="31"/>
      <c r="C527" s="31"/>
      <c r="D527" s="32"/>
      <c r="F527" s="32"/>
      <c r="G527" s="41"/>
      <c r="H527" s="32"/>
      <c r="I527" s="41"/>
      <c r="J527" s="315"/>
      <c r="K527" s="315"/>
      <c r="L527" s="315"/>
    </row>
    <row r="528" spans="1:12" s="30" customFormat="1" x14ac:dyDescent="0.25">
      <c r="A528" s="36"/>
      <c r="B528" s="31"/>
      <c r="C528" s="31"/>
      <c r="D528" s="32"/>
      <c r="F528" s="32"/>
      <c r="G528" s="41"/>
      <c r="H528" s="32"/>
      <c r="I528" s="41"/>
      <c r="J528" s="315"/>
      <c r="K528" s="315"/>
      <c r="L528" s="315"/>
    </row>
    <row r="529" spans="1:12" s="30" customFormat="1" x14ac:dyDescent="0.25">
      <c r="A529" s="36"/>
      <c r="B529" s="31"/>
      <c r="C529" s="31"/>
      <c r="D529" s="32"/>
      <c r="F529" s="32"/>
      <c r="G529" s="41"/>
      <c r="H529" s="32"/>
      <c r="I529" s="41"/>
      <c r="J529" s="315"/>
      <c r="K529" s="315"/>
      <c r="L529" s="315"/>
    </row>
    <row r="530" spans="1:12" s="30" customFormat="1" x14ac:dyDescent="0.25">
      <c r="A530" s="36"/>
      <c r="B530" s="31"/>
      <c r="C530" s="31"/>
      <c r="D530" s="32"/>
      <c r="F530" s="32"/>
      <c r="G530" s="41"/>
      <c r="H530" s="32"/>
      <c r="I530" s="41"/>
      <c r="J530" s="315"/>
      <c r="K530" s="315"/>
      <c r="L530" s="315"/>
    </row>
    <row r="531" spans="1:12" s="30" customFormat="1" x14ac:dyDescent="0.25">
      <c r="A531" s="36"/>
      <c r="B531" s="31"/>
      <c r="C531" s="31"/>
      <c r="D531" s="32"/>
      <c r="F531" s="32"/>
      <c r="G531" s="41"/>
      <c r="H531" s="32"/>
      <c r="I531" s="41"/>
      <c r="J531" s="315"/>
      <c r="K531" s="315"/>
      <c r="L531" s="315"/>
    </row>
    <row r="532" spans="1:12" s="30" customFormat="1" x14ac:dyDescent="0.25">
      <c r="A532" s="36"/>
      <c r="B532" s="31"/>
      <c r="C532" s="31"/>
      <c r="D532" s="32"/>
      <c r="F532" s="32"/>
      <c r="G532" s="41"/>
      <c r="H532" s="32"/>
      <c r="I532" s="41"/>
      <c r="J532" s="315"/>
      <c r="K532" s="315"/>
      <c r="L532" s="315"/>
    </row>
    <row r="533" spans="1:12" s="30" customFormat="1" x14ac:dyDescent="0.25">
      <c r="A533" s="36"/>
      <c r="B533" s="31"/>
      <c r="C533" s="31"/>
      <c r="D533" s="32"/>
      <c r="F533" s="32"/>
      <c r="G533" s="41"/>
      <c r="H533" s="32"/>
      <c r="I533" s="41"/>
      <c r="J533" s="315"/>
      <c r="K533" s="315"/>
      <c r="L533" s="315"/>
    </row>
    <row r="534" spans="1:12" s="30" customFormat="1" x14ac:dyDescent="0.25">
      <c r="A534" s="36"/>
      <c r="B534" s="31"/>
      <c r="C534" s="31"/>
      <c r="D534" s="32"/>
      <c r="F534" s="32"/>
      <c r="G534" s="41"/>
      <c r="H534" s="32"/>
      <c r="I534" s="41"/>
      <c r="J534" s="315"/>
      <c r="K534" s="315"/>
      <c r="L534" s="315"/>
    </row>
    <row r="535" spans="1:12" s="30" customFormat="1" x14ac:dyDescent="0.25">
      <c r="A535" s="36"/>
      <c r="B535" s="31"/>
      <c r="C535" s="31"/>
      <c r="D535" s="32"/>
      <c r="F535" s="32"/>
      <c r="G535" s="41"/>
      <c r="H535" s="32"/>
      <c r="I535" s="41"/>
      <c r="J535" s="315"/>
      <c r="K535" s="315"/>
      <c r="L535" s="315"/>
    </row>
    <row r="536" spans="1:12" s="30" customFormat="1" x14ac:dyDescent="0.25">
      <c r="A536" s="36"/>
      <c r="B536" s="31"/>
      <c r="C536" s="31"/>
      <c r="D536" s="32"/>
      <c r="F536" s="32"/>
      <c r="G536" s="41"/>
      <c r="H536" s="32"/>
      <c r="I536" s="41"/>
      <c r="J536" s="315"/>
      <c r="K536" s="315"/>
      <c r="L536" s="315"/>
    </row>
    <row r="537" spans="1:12" s="30" customFormat="1" x14ac:dyDescent="0.25">
      <c r="A537" s="36"/>
      <c r="B537" s="31"/>
      <c r="C537" s="31"/>
      <c r="D537" s="32"/>
      <c r="F537" s="32"/>
      <c r="G537" s="41"/>
      <c r="H537" s="32"/>
      <c r="I537" s="41"/>
      <c r="J537" s="315"/>
      <c r="K537" s="315"/>
      <c r="L537" s="315"/>
    </row>
    <row r="538" spans="1:12" s="30" customFormat="1" x14ac:dyDescent="0.25">
      <c r="A538" s="36"/>
      <c r="B538" s="31"/>
      <c r="C538" s="31"/>
      <c r="D538" s="32"/>
      <c r="F538" s="32"/>
      <c r="G538" s="41"/>
      <c r="H538" s="32"/>
      <c r="I538" s="41"/>
      <c r="J538" s="315"/>
      <c r="K538" s="315"/>
      <c r="L538" s="315"/>
    </row>
    <row r="539" spans="1:12" s="30" customFormat="1" x14ac:dyDescent="0.25">
      <c r="A539" s="36"/>
      <c r="B539" s="31"/>
      <c r="C539" s="31"/>
      <c r="D539" s="32"/>
      <c r="F539" s="32"/>
      <c r="G539" s="41"/>
      <c r="H539" s="32"/>
      <c r="I539" s="41"/>
      <c r="J539" s="315"/>
      <c r="K539" s="315"/>
      <c r="L539" s="315"/>
    </row>
    <row r="540" spans="1:12" s="30" customFormat="1" x14ac:dyDescent="0.25">
      <c r="A540" s="36"/>
      <c r="B540" s="31"/>
      <c r="C540" s="31"/>
      <c r="D540" s="32"/>
      <c r="F540" s="32"/>
      <c r="G540" s="41"/>
      <c r="H540" s="32"/>
      <c r="I540" s="41"/>
      <c r="J540" s="315"/>
      <c r="K540" s="315"/>
      <c r="L540" s="315"/>
    </row>
    <row r="541" spans="1:12" s="30" customFormat="1" x14ac:dyDescent="0.25">
      <c r="A541" s="36"/>
      <c r="B541" s="31"/>
      <c r="C541" s="31"/>
      <c r="D541" s="32"/>
      <c r="F541" s="32"/>
      <c r="G541" s="41"/>
      <c r="H541" s="32"/>
      <c r="I541" s="41"/>
      <c r="J541" s="315"/>
      <c r="K541" s="315"/>
      <c r="L541" s="315"/>
    </row>
    <row r="542" spans="1:12" s="30" customFormat="1" x14ac:dyDescent="0.25">
      <c r="A542" s="36"/>
      <c r="B542" s="31"/>
      <c r="C542" s="31"/>
      <c r="D542" s="32"/>
      <c r="F542" s="32"/>
      <c r="G542" s="41"/>
      <c r="H542" s="32"/>
      <c r="I542" s="41"/>
      <c r="J542" s="315"/>
      <c r="K542" s="315"/>
      <c r="L542" s="315"/>
    </row>
    <row r="543" spans="1:12" s="30" customFormat="1" x14ac:dyDescent="0.25">
      <c r="A543" s="36"/>
      <c r="B543" s="31"/>
      <c r="C543" s="31"/>
      <c r="D543" s="32"/>
      <c r="F543" s="32"/>
      <c r="G543" s="41"/>
      <c r="H543" s="32"/>
      <c r="I543" s="41"/>
      <c r="J543" s="315"/>
      <c r="K543" s="315"/>
      <c r="L543" s="315"/>
    </row>
    <row r="544" spans="1:12" s="30" customFormat="1" x14ac:dyDescent="0.25">
      <c r="A544" s="36"/>
      <c r="B544" s="31"/>
      <c r="C544" s="31"/>
      <c r="D544" s="32"/>
      <c r="F544" s="32"/>
      <c r="G544" s="41"/>
      <c r="H544" s="32"/>
      <c r="I544" s="41"/>
      <c r="J544" s="315"/>
      <c r="K544" s="315"/>
      <c r="L544" s="315"/>
    </row>
    <row r="545" spans="1:12" s="30" customFormat="1" x14ac:dyDescent="0.25">
      <c r="A545" s="36"/>
      <c r="B545" s="31"/>
      <c r="C545" s="31"/>
      <c r="D545" s="32"/>
      <c r="F545" s="32"/>
      <c r="G545" s="41"/>
      <c r="H545" s="32"/>
      <c r="I545" s="41"/>
      <c r="J545" s="315"/>
      <c r="K545" s="315"/>
      <c r="L545" s="315"/>
    </row>
    <row r="546" spans="1:12" s="30" customFormat="1" x14ac:dyDescent="0.25">
      <c r="A546" s="36"/>
      <c r="B546" s="31"/>
      <c r="C546" s="31"/>
      <c r="D546" s="32"/>
      <c r="F546" s="32"/>
      <c r="G546" s="41"/>
      <c r="H546" s="32"/>
      <c r="I546" s="41"/>
      <c r="J546" s="315"/>
      <c r="K546" s="315"/>
      <c r="L546" s="315"/>
    </row>
    <row r="547" spans="1:12" s="30" customFormat="1" x14ac:dyDescent="0.25">
      <c r="A547" s="36"/>
      <c r="B547" s="31"/>
      <c r="C547" s="31"/>
      <c r="D547" s="32"/>
      <c r="F547" s="32"/>
      <c r="G547" s="41"/>
      <c r="H547" s="32"/>
      <c r="I547" s="41"/>
      <c r="J547" s="315"/>
      <c r="K547" s="315"/>
      <c r="L547" s="315"/>
    </row>
    <row r="548" spans="1:12" s="30" customFormat="1" x14ac:dyDescent="0.25">
      <c r="A548" s="36"/>
      <c r="B548" s="31"/>
      <c r="C548" s="31"/>
      <c r="D548" s="32"/>
      <c r="F548" s="32"/>
      <c r="G548" s="41"/>
      <c r="H548" s="32"/>
      <c r="I548" s="41"/>
      <c r="J548" s="315"/>
      <c r="K548" s="315"/>
      <c r="L548" s="315"/>
    </row>
    <row r="549" spans="1:12" s="30" customFormat="1" x14ac:dyDescent="0.25">
      <c r="A549" s="36"/>
      <c r="B549" s="31"/>
      <c r="C549" s="31"/>
      <c r="D549" s="32"/>
      <c r="F549" s="32"/>
      <c r="G549" s="41"/>
      <c r="H549" s="32"/>
      <c r="I549" s="41"/>
      <c r="J549" s="315"/>
      <c r="K549" s="315"/>
      <c r="L549" s="315"/>
    </row>
    <row r="550" spans="1:12" s="30" customFormat="1" x14ac:dyDescent="0.25">
      <c r="A550" s="36"/>
      <c r="B550" s="31"/>
      <c r="C550" s="31"/>
      <c r="D550" s="32"/>
      <c r="F550" s="32"/>
      <c r="G550" s="41"/>
      <c r="H550" s="32"/>
      <c r="I550" s="41"/>
      <c r="J550" s="315"/>
      <c r="K550" s="315"/>
      <c r="L550" s="315"/>
    </row>
    <row r="551" spans="1:12" s="30" customFormat="1" x14ac:dyDescent="0.25">
      <c r="A551" s="36"/>
      <c r="B551" s="31"/>
      <c r="C551" s="31"/>
      <c r="D551" s="32"/>
      <c r="F551" s="32"/>
      <c r="G551" s="41"/>
      <c r="H551" s="32"/>
      <c r="I551" s="41"/>
      <c r="J551" s="315"/>
      <c r="K551" s="315"/>
      <c r="L551" s="315"/>
    </row>
    <row r="552" spans="1:12" s="30" customFormat="1" x14ac:dyDescent="0.25">
      <c r="A552" s="36"/>
      <c r="B552" s="31"/>
      <c r="C552" s="31"/>
      <c r="D552" s="32"/>
      <c r="F552" s="32"/>
      <c r="G552" s="41"/>
      <c r="H552" s="32"/>
      <c r="I552" s="41"/>
      <c r="J552" s="315"/>
      <c r="K552" s="315"/>
      <c r="L552" s="315"/>
    </row>
    <row r="553" spans="1:12" s="30" customFormat="1" x14ac:dyDescent="0.25">
      <c r="A553" s="36"/>
      <c r="B553" s="31"/>
      <c r="C553" s="31"/>
      <c r="D553" s="32"/>
      <c r="F553" s="32"/>
      <c r="G553" s="41"/>
      <c r="H553" s="32"/>
      <c r="I553" s="41"/>
      <c r="J553" s="315"/>
      <c r="K553" s="315"/>
      <c r="L553" s="315"/>
    </row>
    <row r="554" spans="1:12" s="30" customFormat="1" x14ac:dyDescent="0.25">
      <c r="A554" s="36"/>
      <c r="B554" s="31"/>
      <c r="C554" s="31"/>
      <c r="D554" s="32"/>
      <c r="F554" s="32"/>
      <c r="G554" s="41"/>
      <c r="H554" s="32"/>
      <c r="I554" s="41"/>
      <c r="J554" s="315"/>
      <c r="K554" s="315"/>
      <c r="L554" s="315"/>
    </row>
    <row r="555" spans="1:12" s="30" customFormat="1" x14ac:dyDescent="0.25">
      <c r="A555" s="36"/>
      <c r="B555" s="31"/>
      <c r="C555" s="31"/>
      <c r="D555" s="32"/>
      <c r="F555" s="32"/>
      <c r="G555" s="41"/>
      <c r="H555" s="32"/>
      <c r="I555" s="41"/>
      <c r="J555" s="315"/>
      <c r="K555" s="315"/>
      <c r="L555" s="315"/>
    </row>
    <row r="556" spans="1:12" s="30" customFormat="1" x14ac:dyDescent="0.25">
      <c r="A556" s="36"/>
      <c r="B556" s="31"/>
      <c r="C556" s="31"/>
      <c r="D556" s="32"/>
      <c r="F556" s="32"/>
      <c r="G556" s="41"/>
      <c r="H556" s="32"/>
      <c r="I556" s="41"/>
      <c r="J556" s="315"/>
      <c r="K556" s="315"/>
      <c r="L556" s="315"/>
    </row>
    <row r="557" spans="1:12" s="30" customFormat="1" x14ac:dyDescent="0.25">
      <c r="A557" s="36"/>
      <c r="B557" s="31"/>
      <c r="C557" s="31"/>
      <c r="D557" s="32"/>
      <c r="F557" s="32"/>
      <c r="G557" s="41"/>
      <c r="H557" s="32"/>
      <c r="I557" s="41"/>
      <c r="J557" s="315"/>
      <c r="K557" s="315"/>
      <c r="L557" s="315"/>
    </row>
    <row r="558" spans="1:12" s="30" customFormat="1" x14ac:dyDescent="0.25">
      <c r="A558" s="36"/>
      <c r="B558" s="31"/>
      <c r="C558" s="31"/>
      <c r="D558" s="32"/>
      <c r="F558" s="32"/>
      <c r="G558" s="41"/>
      <c r="H558" s="32"/>
      <c r="I558" s="41"/>
      <c r="J558" s="315"/>
      <c r="K558" s="315"/>
      <c r="L558" s="315"/>
    </row>
    <row r="559" spans="1:12" s="30" customFormat="1" x14ac:dyDescent="0.25">
      <c r="A559" s="36"/>
      <c r="B559" s="31"/>
      <c r="C559" s="31"/>
      <c r="D559" s="32"/>
      <c r="F559" s="32"/>
      <c r="G559" s="41"/>
      <c r="H559" s="32"/>
      <c r="I559" s="41"/>
      <c r="J559" s="315"/>
      <c r="K559" s="315"/>
      <c r="L559" s="315"/>
    </row>
    <row r="560" spans="1:12" s="30" customFormat="1" x14ac:dyDescent="0.25">
      <c r="A560" s="36"/>
      <c r="B560" s="31"/>
      <c r="C560" s="31"/>
      <c r="D560" s="32"/>
      <c r="F560" s="32"/>
      <c r="G560" s="41"/>
      <c r="H560" s="32"/>
      <c r="I560" s="41"/>
      <c r="J560" s="315"/>
      <c r="K560" s="315"/>
      <c r="L560" s="315"/>
    </row>
    <row r="561" spans="1:12" s="30" customFormat="1" x14ac:dyDescent="0.25">
      <c r="A561" s="36"/>
      <c r="B561" s="31"/>
      <c r="C561" s="31"/>
      <c r="D561" s="32"/>
      <c r="F561" s="32"/>
      <c r="G561" s="41"/>
      <c r="H561" s="32"/>
      <c r="I561" s="41"/>
      <c r="J561" s="315"/>
      <c r="K561" s="315"/>
      <c r="L561" s="315"/>
    </row>
    <row r="562" spans="1:12" s="30" customFormat="1" x14ac:dyDescent="0.25">
      <c r="A562" s="36"/>
      <c r="B562" s="31"/>
      <c r="C562" s="31"/>
      <c r="D562" s="32"/>
      <c r="F562" s="32"/>
      <c r="G562" s="41"/>
      <c r="H562" s="32"/>
      <c r="I562" s="41"/>
      <c r="J562" s="315"/>
      <c r="K562" s="315"/>
      <c r="L562" s="315"/>
    </row>
    <row r="563" spans="1:12" s="30" customFormat="1" x14ac:dyDescent="0.25">
      <c r="A563" s="36"/>
      <c r="B563" s="31"/>
      <c r="C563" s="31"/>
      <c r="D563" s="32"/>
      <c r="F563" s="32"/>
      <c r="G563" s="41"/>
      <c r="H563" s="32"/>
      <c r="I563" s="41"/>
      <c r="J563" s="315"/>
      <c r="K563" s="315"/>
      <c r="L563" s="315"/>
    </row>
    <row r="564" spans="1:12" s="30" customFormat="1" x14ac:dyDescent="0.25">
      <c r="A564" s="36"/>
      <c r="B564" s="31"/>
      <c r="C564" s="31"/>
      <c r="D564" s="32"/>
      <c r="F564" s="32"/>
      <c r="G564" s="41"/>
      <c r="H564" s="32"/>
      <c r="I564" s="41"/>
      <c r="J564" s="315"/>
      <c r="K564" s="315"/>
      <c r="L564" s="315"/>
    </row>
    <row r="565" spans="1:12" s="30" customFormat="1" x14ac:dyDescent="0.25">
      <c r="A565" s="36"/>
      <c r="B565" s="31"/>
      <c r="C565" s="31"/>
      <c r="D565" s="32"/>
      <c r="F565" s="32"/>
      <c r="G565" s="41"/>
      <c r="H565" s="32"/>
      <c r="I565" s="41"/>
      <c r="J565" s="315"/>
      <c r="K565" s="315"/>
      <c r="L565" s="315"/>
    </row>
    <row r="566" spans="1:12" s="30" customFormat="1" x14ac:dyDescent="0.25">
      <c r="A566" s="36"/>
      <c r="B566" s="31"/>
      <c r="C566" s="31"/>
      <c r="D566" s="32"/>
      <c r="F566" s="32"/>
      <c r="G566" s="41"/>
      <c r="H566" s="32"/>
      <c r="I566" s="41"/>
      <c r="J566" s="315"/>
      <c r="K566" s="315"/>
      <c r="L566" s="315"/>
    </row>
    <row r="567" spans="1:12" s="30" customFormat="1" x14ac:dyDescent="0.25">
      <c r="A567" s="36"/>
      <c r="B567" s="31"/>
      <c r="C567" s="31"/>
      <c r="D567" s="32"/>
      <c r="F567" s="32"/>
      <c r="G567" s="41"/>
      <c r="H567" s="32"/>
      <c r="I567" s="41"/>
      <c r="J567" s="315"/>
      <c r="K567" s="315"/>
      <c r="L567" s="315"/>
    </row>
    <row r="568" spans="1:12" s="30" customFormat="1" x14ac:dyDescent="0.25">
      <c r="A568" s="36"/>
      <c r="B568" s="31"/>
      <c r="C568" s="31"/>
      <c r="D568" s="32"/>
      <c r="F568" s="32"/>
      <c r="G568" s="41"/>
      <c r="H568" s="32"/>
      <c r="I568" s="41"/>
      <c r="J568" s="315"/>
      <c r="K568" s="315"/>
      <c r="L568" s="315"/>
    </row>
    <row r="569" spans="1:12" s="30" customFormat="1" x14ac:dyDescent="0.25">
      <c r="A569" s="36"/>
      <c r="B569" s="31"/>
      <c r="C569" s="31"/>
      <c r="D569" s="32"/>
      <c r="F569" s="32"/>
      <c r="G569" s="41"/>
      <c r="H569" s="32"/>
      <c r="I569" s="41"/>
      <c r="J569" s="315"/>
      <c r="K569" s="315"/>
      <c r="L569" s="315"/>
    </row>
    <row r="570" spans="1:12" s="30" customFormat="1" x14ac:dyDescent="0.25">
      <c r="A570" s="36"/>
      <c r="B570" s="31"/>
      <c r="C570" s="31"/>
      <c r="D570" s="32"/>
      <c r="F570" s="32"/>
      <c r="G570" s="41"/>
      <c r="H570" s="32"/>
      <c r="I570" s="41"/>
      <c r="J570" s="315"/>
      <c r="K570" s="315"/>
      <c r="L570" s="315"/>
    </row>
    <row r="571" spans="1:12" s="30" customFormat="1" x14ac:dyDescent="0.25">
      <c r="A571" s="36"/>
      <c r="B571" s="31"/>
      <c r="C571" s="31"/>
      <c r="D571" s="32"/>
      <c r="F571" s="32"/>
      <c r="G571" s="41"/>
      <c r="H571" s="32"/>
      <c r="I571" s="41"/>
      <c r="J571" s="315"/>
      <c r="K571" s="315"/>
      <c r="L571" s="315"/>
    </row>
    <row r="572" spans="1:12" s="30" customFormat="1" x14ac:dyDescent="0.25">
      <c r="A572" s="36"/>
      <c r="B572" s="31"/>
      <c r="C572" s="31"/>
      <c r="D572" s="32"/>
      <c r="F572" s="32"/>
      <c r="G572" s="41"/>
      <c r="H572" s="32"/>
      <c r="I572" s="41"/>
      <c r="J572" s="315"/>
      <c r="K572" s="315"/>
      <c r="L572" s="315"/>
    </row>
    <row r="573" spans="1:12" s="30" customFormat="1" x14ac:dyDescent="0.25">
      <c r="A573" s="36"/>
      <c r="B573" s="31"/>
      <c r="C573" s="31"/>
      <c r="D573" s="32"/>
      <c r="F573" s="32"/>
      <c r="G573" s="41"/>
      <c r="H573" s="32"/>
      <c r="I573" s="41"/>
      <c r="J573" s="315"/>
      <c r="K573" s="315"/>
      <c r="L573" s="315"/>
    </row>
    <row r="574" spans="1:12" s="30" customFormat="1" x14ac:dyDescent="0.25">
      <c r="A574" s="36"/>
      <c r="B574" s="31"/>
      <c r="C574" s="31"/>
      <c r="D574" s="32"/>
      <c r="F574" s="32"/>
      <c r="G574" s="41"/>
      <c r="H574" s="32"/>
      <c r="I574" s="41"/>
      <c r="J574" s="315"/>
      <c r="K574" s="315"/>
      <c r="L574" s="315"/>
    </row>
    <row r="575" spans="1:12" s="30" customFormat="1" x14ac:dyDescent="0.25">
      <c r="A575" s="36"/>
      <c r="B575" s="31"/>
      <c r="C575" s="31"/>
      <c r="D575" s="32"/>
      <c r="F575" s="32"/>
      <c r="G575" s="41"/>
      <c r="H575" s="32"/>
      <c r="I575" s="41"/>
      <c r="J575" s="315"/>
      <c r="K575" s="315"/>
      <c r="L575" s="315"/>
    </row>
    <row r="576" spans="1:12" s="30" customFormat="1" x14ac:dyDescent="0.25">
      <c r="A576" s="36"/>
      <c r="B576" s="31"/>
      <c r="C576" s="31"/>
      <c r="D576" s="32"/>
      <c r="F576" s="32"/>
      <c r="G576" s="41"/>
      <c r="H576" s="32"/>
      <c r="I576" s="41"/>
      <c r="J576" s="315"/>
      <c r="K576" s="315"/>
      <c r="L576" s="315"/>
    </row>
    <row r="577" spans="1:12" s="30" customFormat="1" x14ac:dyDescent="0.25">
      <c r="A577" s="36"/>
      <c r="B577" s="31"/>
      <c r="C577" s="31"/>
      <c r="D577" s="32"/>
      <c r="F577" s="32"/>
      <c r="G577" s="41"/>
      <c r="H577" s="32"/>
      <c r="I577" s="41"/>
      <c r="J577" s="315"/>
      <c r="K577" s="315"/>
      <c r="L577" s="315"/>
    </row>
    <row r="578" spans="1:12" s="30" customFormat="1" x14ac:dyDescent="0.25">
      <c r="A578" s="36"/>
      <c r="B578" s="31"/>
      <c r="C578" s="31"/>
      <c r="D578" s="32"/>
      <c r="F578" s="32"/>
      <c r="G578" s="41"/>
      <c r="H578" s="32"/>
      <c r="I578" s="41"/>
      <c r="J578" s="315"/>
      <c r="K578" s="315"/>
      <c r="L578" s="315"/>
    </row>
    <row r="579" spans="1:12" s="30" customFormat="1" x14ac:dyDescent="0.25">
      <c r="A579" s="36"/>
      <c r="B579" s="31"/>
      <c r="C579" s="31"/>
      <c r="D579" s="32"/>
      <c r="F579" s="32"/>
      <c r="G579" s="41"/>
      <c r="H579" s="32"/>
      <c r="I579" s="41"/>
      <c r="J579" s="315"/>
      <c r="K579" s="315"/>
      <c r="L579" s="315"/>
    </row>
    <row r="580" spans="1:12" s="30" customFormat="1" x14ac:dyDescent="0.25">
      <c r="A580" s="36"/>
      <c r="B580" s="31"/>
      <c r="C580" s="31"/>
      <c r="D580" s="32"/>
      <c r="F580" s="32"/>
      <c r="G580" s="41"/>
      <c r="H580" s="32"/>
      <c r="I580" s="41"/>
      <c r="J580" s="315"/>
      <c r="K580" s="315"/>
      <c r="L580" s="315"/>
    </row>
    <row r="581" spans="1:12" s="30" customFormat="1" x14ac:dyDescent="0.25">
      <c r="A581" s="36"/>
      <c r="B581" s="31"/>
      <c r="C581" s="31"/>
      <c r="D581" s="32"/>
      <c r="F581" s="32"/>
      <c r="G581" s="41"/>
      <c r="H581" s="32"/>
      <c r="I581" s="41"/>
      <c r="J581" s="315"/>
      <c r="K581" s="315"/>
      <c r="L581" s="315"/>
    </row>
    <row r="582" spans="1:12" s="30" customFormat="1" x14ac:dyDescent="0.25">
      <c r="A582" s="36"/>
      <c r="B582" s="31"/>
      <c r="C582" s="31"/>
      <c r="D582" s="32"/>
      <c r="F582" s="32"/>
      <c r="G582" s="41"/>
      <c r="H582" s="32"/>
      <c r="I582" s="41"/>
      <c r="J582" s="315"/>
      <c r="K582" s="315"/>
      <c r="L582" s="315"/>
    </row>
    <row r="583" spans="1:12" s="30" customFormat="1" x14ac:dyDescent="0.25">
      <c r="A583" s="36"/>
      <c r="B583" s="31"/>
      <c r="C583" s="31"/>
      <c r="D583" s="32"/>
      <c r="F583" s="32"/>
      <c r="G583" s="41"/>
      <c r="H583" s="32"/>
      <c r="I583" s="41"/>
      <c r="J583" s="315"/>
      <c r="K583" s="315"/>
      <c r="L583" s="315"/>
    </row>
    <row r="584" spans="1:12" s="30" customFormat="1" x14ac:dyDescent="0.25">
      <c r="A584" s="36"/>
      <c r="B584" s="31"/>
      <c r="C584" s="31"/>
      <c r="D584" s="32"/>
      <c r="F584" s="32"/>
      <c r="G584" s="41"/>
      <c r="H584" s="32"/>
      <c r="I584" s="41"/>
      <c r="J584" s="315"/>
      <c r="K584" s="315"/>
      <c r="L584" s="315"/>
    </row>
    <row r="585" spans="1:12" s="30" customFormat="1" x14ac:dyDescent="0.25">
      <c r="A585" s="36"/>
      <c r="B585" s="31"/>
      <c r="C585" s="31"/>
      <c r="D585" s="32"/>
      <c r="F585" s="32"/>
      <c r="G585" s="41"/>
      <c r="H585" s="32"/>
      <c r="I585" s="41"/>
      <c r="J585" s="315"/>
      <c r="K585" s="315"/>
      <c r="L585" s="315"/>
    </row>
    <row r="586" spans="1:12" s="30" customFormat="1" x14ac:dyDescent="0.25">
      <c r="A586" s="36"/>
      <c r="B586" s="31"/>
      <c r="C586" s="31"/>
      <c r="D586" s="32"/>
      <c r="F586" s="32"/>
      <c r="G586" s="41"/>
      <c r="H586" s="32"/>
      <c r="I586" s="41"/>
      <c r="J586" s="315"/>
      <c r="K586" s="315"/>
      <c r="L586" s="315"/>
    </row>
    <row r="587" spans="1:12" s="30" customFormat="1" x14ac:dyDescent="0.25">
      <c r="A587" s="36"/>
      <c r="B587" s="31"/>
      <c r="C587" s="31"/>
      <c r="D587" s="32"/>
      <c r="F587" s="32"/>
      <c r="G587" s="41"/>
      <c r="H587" s="32"/>
      <c r="I587" s="41"/>
      <c r="J587" s="315"/>
      <c r="K587" s="315"/>
      <c r="L587" s="315"/>
    </row>
    <row r="588" spans="1:12" s="30" customFormat="1" x14ac:dyDescent="0.25">
      <c r="A588" s="36"/>
      <c r="B588" s="31"/>
      <c r="C588" s="31"/>
      <c r="D588" s="32"/>
      <c r="F588" s="32"/>
      <c r="G588" s="41"/>
      <c r="H588" s="32"/>
      <c r="I588" s="41"/>
      <c r="J588" s="315"/>
      <c r="K588" s="315"/>
      <c r="L588" s="315"/>
    </row>
    <row r="589" spans="1:12" s="30" customFormat="1" x14ac:dyDescent="0.25">
      <c r="A589" s="36"/>
      <c r="B589" s="31"/>
      <c r="C589" s="31"/>
      <c r="D589" s="32"/>
      <c r="F589" s="32"/>
      <c r="G589" s="41"/>
      <c r="H589" s="32"/>
      <c r="I589" s="41"/>
      <c r="J589" s="315"/>
      <c r="K589" s="315"/>
      <c r="L589" s="315"/>
    </row>
    <row r="590" spans="1:12" s="30" customFormat="1" x14ac:dyDescent="0.25">
      <c r="A590" s="36"/>
      <c r="B590" s="31"/>
      <c r="C590" s="31"/>
      <c r="D590" s="32"/>
      <c r="F590" s="32"/>
      <c r="G590" s="41"/>
      <c r="H590" s="32"/>
      <c r="I590" s="41"/>
      <c r="J590" s="315"/>
      <c r="K590" s="315"/>
      <c r="L590" s="315"/>
    </row>
    <row r="591" spans="1:12" s="30" customFormat="1" x14ac:dyDescent="0.25">
      <c r="A591" s="36"/>
      <c r="B591" s="31"/>
      <c r="C591" s="31"/>
      <c r="D591" s="32"/>
      <c r="F591" s="32"/>
      <c r="G591" s="41"/>
      <c r="H591" s="32"/>
      <c r="I591" s="41"/>
      <c r="J591" s="315"/>
      <c r="K591" s="315"/>
      <c r="L591" s="315"/>
    </row>
    <row r="592" spans="1:12" s="30" customFormat="1" x14ac:dyDescent="0.25">
      <c r="A592" s="36"/>
      <c r="B592" s="31"/>
      <c r="C592" s="31"/>
      <c r="D592" s="32"/>
      <c r="F592" s="32"/>
      <c r="G592" s="41"/>
      <c r="H592" s="32"/>
      <c r="I592" s="41"/>
      <c r="J592" s="315"/>
      <c r="K592" s="315"/>
      <c r="L592" s="315"/>
    </row>
    <row r="593" spans="1:12" s="30" customFormat="1" x14ac:dyDescent="0.25">
      <c r="A593" s="36"/>
      <c r="B593" s="31"/>
      <c r="C593" s="31"/>
      <c r="D593" s="32"/>
      <c r="F593" s="32"/>
      <c r="G593" s="41"/>
      <c r="H593" s="32"/>
      <c r="I593" s="41"/>
      <c r="J593" s="315"/>
      <c r="K593" s="315"/>
      <c r="L593" s="315"/>
    </row>
    <row r="594" spans="1:12" s="30" customFormat="1" x14ac:dyDescent="0.25">
      <c r="A594" s="36"/>
      <c r="B594" s="31"/>
      <c r="C594" s="31"/>
      <c r="D594" s="32"/>
      <c r="F594" s="32"/>
      <c r="G594" s="41"/>
      <c r="H594" s="32"/>
      <c r="I594" s="41"/>
      <c r="J594" s="315"/>
      <c r="K594" s="315"/>
      <c r="L594" s="315"/>
    </row>
    <row r="595" spans="1:12" s="30" customFormat="1" x14ac:dyDescent="0.25">
      <c r="A595" s="36"/>
      <c r="B595" s="31"/>
      <c r="C595" s="31"/>
      <c r="D595" s="32"/>
      <c r="F595" s="32"/>
      <c r="G595" s="41"/>
      <c r="H595" s="32"/>
      <c r="I595" s="41"/>
      <c r="J595" s="315"/>
      <c r="K595" s="315"/>
      <c r="L595" s="315"/>
    </row>
    <row r="596" spans="1:12" s="30" customFormat="1" x14ac:dyDescent="0.25">
      <c r="A596" s="36"/>
      <c r="B596" s="31"/>
      <c r="C596" s="31"/>
      <c r="D596" s="32"/>
      <c r="F596" s="32"/>
      <c r="G596" s="41"/>
      <c r="H596" s="32"/>
      <c r="I596" s="41"/>
      <c r="J596" s="315"/>
      <c r="K596" s="315"/>
      <c r="L596" s="315"/>
    </row>
    <row r="597" spans="1:12" s="30" customFormat="1" x14ac:dyDescent="0.25">
      <c r="A597" s="36"/>
      <c r="B597" s="31"/>
      <c r="C597" s="31"/>
      <c r="D597" s="32"/>
      <c r="F597" s="32"/>
      <c r="G597" s="41"/>
      <c r="H597" s="32"/>
      <c r="I597" s="41"/>
      <c r="J597" s="315"/>
      <c r="K597" s="315"/>
      <c r="L597" s="315"/>
    </row>
    <row r="598" spans="1:12" s="30" customFormat="1" x14ac:dyDescent="0.25">
      <c r="A598" s="36"/>
      <c r="B598" s="31"/>
      <c r="C598" s="31"/>
      <c r="D598" s="32"/>
      <c r="F598" s="32"/>
      <c r="G598" s="41"/>
      <c r="H598" s="32"/>
      <c r="I598" s="41"/>
      <c r="J598" s="315"/>
      <c r="K598" s="315"/>
      <c r="L598" s="315"/>
    </row>
    <row r="599" spans="1:12" s="30" customFormat="1" x14ac:dyDescent="0.25">
      <c r="A599" s="36"/>
      <c r="B599" s="31"/>
      <c r="C599" s="31"/>
      <c r="D599" s="32"/>
      <c r="F599" s="32"/>
      <c r="G599" s="41"/>
      <c r="H599" s="32"/>
      <c r="I599" s="41"/>
      <c r="J599" s="315"/>
      <c r="K599" s="315"/>
      <c r="L599" s="315"/>
    </row>
    <row r="600" spans="1:12" s="30" customFormat="1" x14ac:dyDescent="0.25">
      <c r="A600" s="36"/>
      <c r="B600" s="31"/>
      <c r="C600" s="31"/>
      <c r="D600" s="32"/>
      <c r="F600" s="32"/>
      <c r="G600" s="41"/>
      <c r="H600" s="32"/>
      <c r="I600" s="41"/>
      <c r="J600" s="315"/>
      <c r="K600" s="315"/>
      <c r="L600" s="315"/>
    </row>
    <row r="601" spans="1:12" s="30" customFormat="1" x14ac:dyDescent="0.25">
      <c r="A601" s="36"/>
      <c r="B601" s="31"/>
      <c r="C601" s="31"/>
      <c r="D601" s="32"/>
      <c r="F601" s="32"/>
      <c r="G601" s="41"/>
      <c r="H601" s="32"/>
      <c r="I601" s="41"/>
      <c r="J601" s="315"/>
      <c r="K601" s="315"/>
      <c r="L601" s="315"/>
    </row>
    <row r="602" spans="1:12" s="30" customFormat="1" x14ac:dyDescent="0.25">
      <c r="A602" s="36"/>
      <c r="B602" s="31"/>
      <c r="C602" s="31"/>
      <c r="D602" s="32"/>
      <c r="F602" s="32"/>
      <c r="G602" s="41"/>
      <c r="H602" s="32"/>
      <c r="I602" s="41"/>
      <c r="J602" s="315"/>
      <c r="K602" s="315"/>
      <c r="L602" s="315"/>
    </row>
    <row r="603" spans="1:12" s="30" customFormat="1" x14ac:dyDescent="0.25">
      <c r="A603" s="36"/>
      <c r="B603" s="31"/>
      <c r="C603" s="31"/>
      <c r="D603" s="32"/>
      <c r="F603" s="32"/>
      <c r="G603" s="41"/>
      <c r="H603" s="32"/>
      <c r="I603" s="41"/>
      <c r="J603" s="315"/>
      <c r="K603" s="315"/>
      <c r="L603" s="315"/>
    </row>
    <row r="604" spans="1:12" s="30" customFormat="1" x14ac:dyDescent="0.25">
      <c r="A604" s="36"/>
      <c r="B604" s="31"/>
      <c r="C604" s="31"/>
      <c r="D604" s="32"/>
      <c r="F604" s="32"/>
      <c r="G604" s="41"/>
      <c r="H604" s="32"/>
      <c r="I604" s="41"/>
      <c r="J604" s="315"/>
      <c r="K604" s="315"/>
      <c r="L604" s="315"/>
    </row>
    <row r="605" spans="1:12" s="30" customFormat="1" x14ac:dyDescent="0.25">
      <c r="A605" s="36"/>
      <c r="B605" s="31"/>
      <c r="C605" s="31"/>
      <c r="D605" s="32"/>
      <c r="F605" s="32"/>
      <c r="G605" s="41"/>
      <c r="H605" s="32"/>
      <c r="I605" s="41"/>
      <c r="J605" s="315"/>
      <c r="K605" s="315"/>
      <c r="L605" s="315"/>
    </row>
    <row r="606" spans="1:12" s="30" customFormat="1" x14ac:dyDescent="0.25">
      <c r="A606" s="36"/>
      <c r="B606" s="31"/>
      <c r="C606" s="31"/>
      <c r="D606" s="32"/>
      <c r="F606" s="32"/>
      <c r="G606" s="41"/>
      <c r="H606" s="32"/>
      <c r="I606" s="41"/>
      <c r="J606" s="315"/>
      <c r="K606" s="315"/>
      <c r="L606" s="315"/>
    </row>
    <row r="607" spans="1:12" s="30" customFormat="1" x14ac:dyDescent="0.25">
      <c r="A607" s="36"/>
      <c r="B607" s="31"/>
      <c r="C607" s="31"/>
      <c r="D607" s="32"/>
      <c r="F607" s="32"/>
      <c r="G607" s="41"/>
      <c r="H607" s="32"/>
      <c r="I607" s="41"/>
      <c r="J607" s="315"/>
      <c r="K607" s="315"/>
      <c r="L607" s="315"/>
    </row>
    <row r="608" spans="1:12" s="30" customFormat="1" x14ac:dyDescent="0.25">
      <c r="A608" s="36"/>
      <c r="B608" s="31"/>
      <c r="C608" s="31"/>
      <c r="D608" s="32"/>
      <c r="F608" s="32"/>
      <c r="G608" s="41"/>
      <c r="H608" s="32"/>
      <c r="I608" s="41"/>
      <c r="J608" s="315"/>
      <c r="K608" s="315"/>
      <c r="L608" s="315"/>
    </row>
    <row r="609" spans="1:12" s="30" customFormat="1" x14ac:dyDescent="0.25">
      <c r="A609" s="36"/>
      <c r="B609" s="31"/>
      <c r="C609" s="31"/>
      <c r="D609" s="32"/>
      <c r="F609" s="32"/>
      <c r="G609" s="41"/>
      <c r="H609" s="32"/>
      <c r="I609" s="41"/>
      <c r="J609" s="315"/>
      <c r="K609" s="315"/>
      <c r="L609" s="315"/>
    </row>
    <row r="610" spans="1:12" s="30" customFormat="1" x14ac:dyDescent="0.25">
      <c r="A610" s="36"/>
      <c r="B610" s="31"/>
      <c r="C610" s="31"/>
      <c r="D610" s="32"/>
      <c r="F610" s="32"/>
      <c r="G610" s="41"/>
      <c r="H610" s="32"/>
      <c r="I610" s="41"/>
      <c r="J610" s="315"/>
      <c r="K610" s="315"/>
      <c r="L610" s="315"/>
    </row>
    <row r="611" spans="1:12" s="30" customFormat="1" x14ac:dyDescent="0.25">
      <c r="A611" s="36"/>
      <c r="B611" s="31"/>
      <c r="C611" s="31"/>
      <c r="D611" s="32"/>
      <c r="F611" s="32"/>
      <c r="G611" s="41"/>
      <c r="H611" s="32"/>
      <c r="I611" s="41"/>
      <c r="J611" s="315"/>
      <c r="K611" s="315"/>
      <c r="L611" s="315"/>
    </row>
    <row r="612" spans="1:12" s="30" customFormat="1" x14ac:dyDescent="0.25">
      <c r="A612" s="36"/>
      <c r="B612" s="31"/>
      <c r="C612" s="31"/>
      <c r="D612" s="32"/>
      <c r="F612" s="32"/>
      <c r="G612" s="41"/>
      <c r="H612" s="32"/>
      <c r="I612" s="41"/>
      <c r="J612" s="315"/>
      <c r="K612" s="315"/>
      <c r="L612" s="315"/>
    </row>
    <row r="613" spans="1:12" s="30" customFormat="1" x14ac:dyDescent="0.25">
      <c r="A613" s="36"/>
      <c r="B613" s="31"/>
      <c r="C613" s="31"/>
      <c r="D613" s="32"/>
      <c r="F613" s="32"/>
      <c r="G613" s="41"/>
      <c r="H613" s="32"/>
      <c r="I613" s="41"/>
      <c r="J613" s="315"/>
      <c r="K613" s="315"/>
      <c r="L613" s="315"/>
    </row>
    <row r="614" spans="1:12" s="30" customFormat="1" x14ac:dyDescent="0.25">
      <c r="A614" s="36"/>
      <c r="B614" s="31"/>
      <c r="C614" s="31"/>
      <c r="D614" s="32"/>
      <c r="F614" s="32"/>
      <c r="G614" s="41"/>
      <c r="H614" s="32"/>
      <c r="I614" s="41"/>
      <c r="J614" s="315"/>
      <c r="K614" s="315"/>
      <c r="L614" s="315"/>
    </row>
    <row r="615" spans="1:12" s="30" customFormat="1" x14ac:dyDescent="0.25">
      <c r="A615" s="36"/>
      <c r="B615" s="31"/>
      <c r="C615" s="31"/>
      <c r="D615" s="32"/>
      <c r="F615" s="32"/>
      <c r="G615" s="41"/>
      <c r="H615" s="32"/>
      <c r="I615" s="41"/>
      <c r="J615" s="315"/>
      <c r="K615" s="315"/>
      <c r="L615" s="315"/>
    </row>
    <row r="616" spans="1:12" s="30" customFormat="1" x14ac:dyDescent="0.25">
      <c r="A616" s="36"/>
      <c r="B616" s="31"/>
      <c r="C616" s="31"/>
      <c r="D616" s="32"/>
      <c r="F616" s="32"/>
      <c r="G616" s="41"/>
      <c r="H616" s="32"/>
      <c r="I616" s="41"/>
      <c r="J616" s="315"/>
      <c r="K616" s="315"/>
      <c r="L616" s="315"/>
    </row>
    <row r="617" spans="1:12" s="30" customFormat="1" x14ac:dyDescent="0.25">
      <c r="A617" s="36"/>
      <c r="B617" s="31"/>
      <c r="C617" s="31"/>
      <c r="D617" s="32"/>
      <c r="F617" s="32"/>
      <c r="G617" s="41"/>
      <c r="H617" s="32"/>
      <c r="I617" s="41"/>
      <c r="J617" s="315"/>
      <c r="K617" s="315"/>
      <c r="L617" s="315"/>
    </row>
    <row r="618" spans="1:12" s="30" customFormat="1" x14ac:dyDescent="0.25">
      <c r="A618" s="36"/>
      <c r="B618" s="31"/>
      <c r="C618" s="31"/>
      <c r="D618" s="32"/>
      <c r="F618" s="32"/>
      <c r="G618" s="41"/>
      <c r="H618" s="32"/>
      <c r="I618" s="41"/>
      <c r="J618" s="315"/>
      <c r="K618" s="315"/>
      <c r="L618" s="315"/>
    </row>
    <row r="619" spans="1:12" s="30" customFormat="1" x14ac:dyDescent="0.25">
      <c r="A619" s="36"/>
      <c r="B619" s="31"/>
      <c r="C619" s="31"/>
      <c r="D619" s="32"/>
      <c r="F619" s="32"/>
      <c r="G619" s="41"/>
      <c r="H619" s="32"/>
      <c r="I619" s="41"/>
      <c r="J619" s="315"/>
      <c r="K619" s="315"/>
      <c r="L619" s="315"/>
    </row>
    <row r="620" spans="1:12" s="30" customFormat="1" x14ac:dyDescent="0.25">
      <c r="A620" s="36"/>
      <c r="B620" s="31"/>
      <c r="C620" s="31"/>
      <c r="D620" s="32"/>
      <c r="F620" s="32"/>
      <c r="G620" s="41"/>
      <c r="H620" s="32"/>
      <c r="I620" s="41"/>
      <c r="J620" s="315"/>
      <c r="K620" s="315"/>
      <c r="L620" s="315"/>
    </row>
    <row r="621" spans="1:12" s="30" customFormat="1" x14ac:dyDescent="0.25">
      <c r="A621" s="36"/>
      <c r="B621" s="31"/>
      <c r="C621" s="31"/>
      <c r="D621" s="32"/>
      <c r="F621" s="32"/>
      <c r="G621" s="41"/>
      <c r="H621" s="32"/>
      <c r="I621" s="41"/>
      <c r="J621" s="315"/>
      <c r="K621" s="315"/>
      <c r="L621" s="315"/>
    </row>
    <row r="622" spans="1:12" s="30" customFormat="1" x14ac:dyDescent="0.25">
      <c r="A622" s="36"/>
      <c r="B622" s="31"/>
      <c r="C622" s="31"/>
      <c r="D622" s="32"/>
      <c r="F622" s="32"/>
      <c r="G622" s="41"/>
      <c r="H622" s="32"/>
      <c r="I622" s="41"/>
      <c r="J622" s="315"/>
      <c r="K622" s="315"/>
      <c r="L622" s="315"/>
    </row>
    <row r="623" spans="1:12" s="30" customFormat="1" x14ac:dyDescent="0.25">
      <c r="A623" s="36"/>
      <c r="B623" s="31"/>
      <c r="C623" s="31"/>
      <c r="D623" s="32"/>
      <c r="F623" s="32"/>
      <c r="G623" s="41"/>
      <c r="H623" s="32"/>
      <c r="I623" s="41"/>
      <c r="J623" s="315"/>
      <c r="K623" s="315"/>
      <c r="L623" s="315"/>
    </row>
    <row r="624" spans="1:12" s="30" customFormat="1" x14ac:dyDescent="0.25">
      <c r="A624" s="36"/>
      <c r="B624" s="31"/>
      <c r="C624" s="31"/>
      <c r="D624" s="32"/>
      <c r="F624" s="32"/>
      <c r="G624" s="41"/>
      <c r="H624" s="32"/>
      <c r="I624" s="41"/>
      <c r="J624" s="315"/>
      <c r="K624" s="315"/>
      <c r="L624" s="315"/>
    </row>
    <row r="625" spans="1:12" s="30" customFormat="1" x14ac:dyDescent="0.25">
      <c r="A625" s="36"/>
      <c r="B625" s="31"/>
      <c r="C625" s="31"/>
      <c r="D625" s="32"/>
      <c r="F625" s="32"/>
      <c r="G625" s="41"/>
      <c r="H625" s="32"/>
      <c r="I625" s="41"/>
      <c r="J625" s="315"/>
      <c r="K625" s="315"/>
      <c r="L625" s="315"/>
    </row>
    <row r="626" spans="1:12" s="30" customFormat="1" x14ac:dyDescent="0.25">
      <c r="A626" s="36"/>
      <c r="B626" s="31"/>
      <c r="C626" s="31"/>
      <c r="D626" s="32"/>
      <c r="F626" s="32"/>
      <c r="G626" s="41"/>
      <c r="H626" s="32"/>
      <c r="I626" s="41"/>
      <c r="J626" s="315"/>
      <c r="K626" s="315"/>
      <c r="L626" s="315"/>
    </row>
    <row r="627" spans="1:12" s="30" customFormat="1" x14ac:dyDescent="0.25">
      <c r="A627" s="36"/>
      <c r="B627" s="31"/>
      <c r="C627" s="31"/>
      <c r="D627" s="32"/>
      <c r="F627" s="32"/>
      <c r="G627" s="41"/>
      <c r="H627" s="32"/>
      <c r="I627" s="41"/>
      <c r="J627" s="315"/>
      <c r="K627" s="315"/>
      <c r="L627" s="315"/>
    </row>
    <row r="628" spans="1:12" s="30" customFormat="1" x14ac:dyDescent="0.25">
      <c r="A628" s="36"/>
      <c r="B628" s="31"/>
      <c r="C628" s="31"/>
      <c r="D628" s="32"/>
      <c r="F628" s="32"/>
      <c r="G628" s="41"/>
      <c r="H628" s="32"/>
      <c r="I628" s="41"/>
      <c r="J628" s="315"/>
      <c r="K628" s="315"/>
      <c r="L628" s="315"/>
    </row>
    <row r="629" spans="1:12" s="30" customFormat="1" x14ac:dyDescent="0.25">
      <c r="A629" s="36"/>
      <c r="B629" s="31"/>
      <c r="C629" s="31"/>
      <c r="D629" s="32"/>
      <c r="F629" s="32"/>
      <c r="G629" s="41"/>
      <c r="H629" s="32"/>
      <c r="I629" s="41"/>
      <c r="J629" s="315"/>
      <c r="K629" s="315"/>
      <c r="L629" s="315"/>
    </row>
    <row r="630" spans="1:12" s="30" customFormat="1" x14ac:dyDescent="0.25">
      <c r="A630" s="36"/>
      <c r="B630" s="31"/>
      <c r="C630" s="31"/>
      <c r="D630" s="32"/>
      <c r="F630" s="32"/>
      <c r="G630" s="41"/>
      <c r="H630" s="32"/>
      <c r="I630" s="41"/>
      <c r="J630" s="315"/>
      <c r="K630" s="315"/>
      <c r="L630" s="315"/>
    </row>
    <row r="631" spans="1:12" s="30" customFormat="1" x14ac:dyDescent="0.25">
      <c r="A631" s="36"/>
      <c r="B631" s="31"/>
      <c r="C631" s="31"/>
      <c r="D631" s="32"/>
      <c r="F631" s="32"/>
      <c r="G631" s="41"/>
      <c r="H631" s="32"/>
      <c r="I631" s="41"/>
      <c r="J631" s="315"/>
      <c r="K631" s="315"/>
      <c r="L631" s="315"/>
    </row>
    <row r="632" spans="1:12" s="30" customFormat="1" x14ac:dyDescent="0.25">
      <c r="A632" s="36"/>
      <c r="B632" s="31"/>
      <c r="C632" s="31"/>
      <c r="D632" s="32"/>
      <c r="F632" s="32"/>
      <c r="G632" s="41"/>
      <c r="H632" s="32"/>
      <c r="I632" s="41"/>
      <c r="J632" s="315"/>
      <c r="K632" s="315"/>
      <c r="L632" s="315"/>
    </row>
    <row r="633" spans="1:12" s="30" customFormat="1" x14ac:dyDescent="0.25">
      <c r="A633" s="36"/>
      <c r="B633" s="31"/>
      <c r="C633" s="31"/>
      <c r="D633" s="32"/>
      <c r="F633" s="32"/>
      <c r="G633" s="41"/>
      <c r="H633" s="32"/>
      <c r="I633" s="41"/>
      <c r="J633" s="315"/>
      <c r="K633" s="315"/>
      <c r="L633" s="315"/>
    </row>
    <row r="634" spans="1:12" s="30" customFormat="1" x14ac:dyDescent="0.25">
      <c r="A634" s="36"/>
      <c r="B634" s="31"/>
      <c r="C634" s="31"/>
      <c r="D634" s="32"/>
      <c r="F634" s="32"/>
      <c r="G634" s="41"/>
      <c r="H634" s="32"/>
      <c r="I634" s="41"/>
      <c r="J634" s="315"/>
      <c r="K634" s="315"/>
      <c r="L634" s="315"/>
    </row>
    <row r="635" spans="1:12" s="30" customFormat="1" x14ac:dyDescent="0.25">
      <c r="A635" s="36"/>
      <c r="B635" s="31"/>
      <c r="C635" s="31"/>
      <c r="D635" s="32"/>
      <c r="F635" s="32"/>
      <c r="G635" s="41"/>
      <c r="H635" s="32"/>
      <c r="I635" s="41"/>
      <c r="J635" s="315"/>
      <c r="K635" s="315"/>
      <c r="L635" s="315"/>
    </row>
    <row r="636" spans="1:12" s="30" customFormat="1" x14ac:dyDescent="0.25">
      <c r="A636" s="36"/>
      <c r="B636" s="31"/>
      <c r="C636" s="31"/>
      <c r="D636" s="32"/>
      <c r="F636" s="32"/>
      <c r="G636" s="41"/>
      <c r="H636" s="32"/>
      <c r="I636" s="41"/>
      <c r="J636" s="315"/>
      <c r="K636" s="315"/>
      <c r="L636" s="315"/>
    </row>
    <row r="637" spans="1:12" s="30" customFormat="1" x14ac:dyDescent="0.25">
      <c r="A637" s="36"/>
      <c r="B637" s="31"/>
      <c r="C637" s="31"/>
      <c r="D637" s="32"/>
      <c r="F637" s="32"/>
      <c r="G637" s="41"/>
      <c r="H637" s="32"/>
      <c r="I637" s="41"/>
      <c r="J637" s="315"/>
      <c r="K637" s="315"/>
      <c r="L637" s="315"/>
    </row>
    <row r="638" spans="1:12" s="30" customFormat="1" x14ac:dyDescent="0.25">
      <c r="A638" s="36"/>
      <c r="B638" s="31"/>
      <c r="C638" s="31"/>
      <c r="D638" s="32"/>
      <c r="F638" s="32"/>
      <c r="G638" s="41"/>
      <c r="H638" s="32"/>
      <c r="I638" s="41"/>
      <c r="J638" s="315"/>
      <c r="K638" s="315"/>
      <c r="L638" s="315"/>
    </row>
    <row r="639" spans="1:12" s="30" customFormat="1" x14ac:dyDescent="0.25">
      <c r="A639" s="36"/>
      <c r="B639" s="31"/>
      <c r="C639" s="31"/>
      <c r="D639" s="32"/>
      <c r="F639" s="32"/>
      <c r="G639" s="41"/>
      <c r="H639" s="32"/>
      <c r="I639" s="41"/>
      <c r="J639" s="315"/>
      <c r="K639" s="315"/>
      <c r="L639" s="315"/>
    </row>
    <row r="640" spans="1:12" s="30" customFormat="1" x14ac:dyDescent="0.25">
      <c r="A640" s="36"/>
      <c r="B640" s="31"/>
      <c r="C640" s="31"/>
      <c r="D640" s="32"/>
      <c r="F640" s="32"/>
      <c r="G640" s="41"/>
      <c r="H640" s="32"/>
      <c r="I640" s="41"/>
      <c r="J640" s="315"/>
      <c r="K640" s="315"/>
      <c r="L640" s="315"/>
    </row>
    <row r="641" spans="1:12" s="30" customFormat="1" x14ac:dyDescent="0.25">
      <c r="A641" s="36"/>
      <c r="B641" s="31"/>
      <c r="C641" s="31"/>
      <c r="D641" s="32"/>
      <c r="F641" s="32"/>
      <c r="G641" s="41"/>
      <c r="H641" s="32"/>
      <c r="I641" s="41"/>
      <c r="J641" s="315"/>
      <c r="K641" s="315"/>
      <c r="L641" s="315"/>
    </row>
    <row r="642" spans="1:12" s="30" customFormat="1" x14ac:dyDescent="0.25">
      <c r="A642" s="36"/>
      <c r="B642" s="31"/>
      <c r="C642" s="31"/>
      <c r="D642" s="32"/>
      <c r="F642" s="32"/>
      <c r="G642" s="41"/>
      <c r="H642" s="32"/>
      <c r="I642" s="41"/>
      <c r="J642" s="315"/>
      <c r="K642" s="315"/>
      <c r="L642" s="315"/>
    </row>
    <row r="643" spans="1:12" s="30" customFormat="1" x14ac:dyDescent="0.25">
      <c r="A643" s="36"/>
      <c r="B643" s="31"/>
      <c r="C643" s="31"/>
      <c r="D643" s="32"/>
      <c r="F643" s="32"/>
      <c r="G643" s="41"/>
      <c r="H643" s="32"/>
      <c r="I643" s="41"/>
      <c r="J643" s="315"/>
      <c r="K643" s="315"/>
      <c r="L643" s="315"/>
    </row>
    <row r="644" spans="1:12" s="30" customFormat="1" x14ac:dyDescent="0.25">
      <c r="A644" s="36"/>
      <c r="B644" s="31"/>
      <c r="C644" s="31"/>
      <c r="D644" s="32"/>
      <c r="F644" s="32"/>
      <c r="G644" s="41"/>
      <c r="H644" s="32"/>
      <c r="I644" s="41"/>
      <c r="J644" s="315"/>
      <c r="K644" s="315"/>
      <c r="L644" s="315"/>
    </row>
    <row r="645" spans="1:12" s="30" customFormat="1" x14ac:dyDescent="0.25">
      <c r="A645" s="36"/>
      <c r="B645" s="31"/>
      <c r="C645" s="31"/>
      <c r="D645" s="32"/>
      <c r="F645" s="32"/>
      <c r="G645" s="41"/>
      <c r="H645" s="32"/>
      <c r="I645" s="41"/>
      <c r="J645" s="315"/>
      <c r="K645" s="315"/>
      <c r="L645" s="315"/>
    </row>
    <row r="646" spans="1:12" s="30" customFormat="1" x14ac:dyDescent="0.25">
      <c r="A646" s="36"/>
      <c r="B646" s="31"/>
      <c r="C646" s="31"/>
      <c r="D646" s="32"/>
      <c r="F646" s="32"/>
      <c r="G646" s="41"/>
      <c r="H646" s="32"/>
      <c r="I646" s="41"/>
      <c r="J646" s="315"/>
      <c r="K646" s="315"/>
      <c r="L646" s="315"/>
    </row>
    <row r="647" spans="1:12" s="30" customFormat="1" x14ac:dyDescent="0.25">
      <c r="A647" s="36"/>
      <c r="B647" s="31"/>
      <c r="C647" s="31"/>
      <c r="D647" s="32"/>
      <c r="F647" s="32"/>
      <c r="G647" s="41"/>
      <c r="H647" s="32"/>
      <c r="I647" s="41"/>
      <c r="J647" s="315"/>
      <c r="K647" s="315"/>
      <c r="L647" s="315"/>
    </row>
    <row r="648" spans="1:12" s="30" customFormat="1" x14ac:dyDescent="0.25">
      <c r="A648" s="36"/>
      <c r="B648" s="31"/>
      <c r="C648" s="31"/>
      <c r="D648" s="32"/>
      <c r="F648" s="32"/>
      <c r="G648" s="41"/>
      <c r="H648" s="32"/>
      <c r="I648" s="41"/>
      <c r="J648" s="315"/>
      <c r="K648" s="315"/>
      <c r="L648" s="315"/>
    </row>
    <row r="649" spans="1:12" s="30" customFormat="1" x14ac:dyDescent="0.25">
      <c r="A649" s="36"/>
      <c r="B649" s="31"/>
      <c r="C649" s="31"/>
      <c r="D649" s="32"/>
      <c r="F649" s="32"/>
      <c r="G649" s="41"/>
      <c r="H649" s="32"/>
      <c r="I649" s="41"/>
      <c r="J649" s="315"/>
      <c r="K649" s="315"/>
      <c r="L649" s="315"/>
    </row>
    <row r="650" spans="1:12" s="30" customFormat="1" x14ac:dyDescent="0.25">
      <c r="A650" s="36"/>
      <c r="B650" s="31"/>
      <c r="C650" s="31"/>
      <c r="D650" s="32"/>
      <c r="F650" s="32"/>
      <c r="G650" s="41"/>
      <c r="H650" s="32"/>
      <c r="I650" s="41"/>
      <c r="J650" s="315"/>
      <c r="K650" s="315"/>
      <c r="L650" s="315"/>
    </row>
    <row r="651" spans="1:12" s="30" customFormat="1" x14ac:dyDescent="0.25">
      <c r="A651" s="36"/>
      <c r="B651" s="31"/>
      <c r="C651" s="31"/>
      <c r="D651" s="32"/>
      <c r="F651" s="32"/>
      <c r="G651" s="41"/>
      <c r="H651" s="32"/>
      <c r="I651" s="41"/>
      <c r="J651" s="315"/>
      <c r="K651" s="315"/>
      <c r="L651" s="315"/>
    </row>
    <row r="652" spans="1:12" s="30" customFormat="1" x14ac:dyDescent="0.25">
      <c r="A652" s="36"/>
      <c r="B652" s="31"/>
      <c r="C652" s="31"/>
      <c r="D652" s="32"/>
      <c r="F652" s="32"/>
      <c r="G652" s="41"/>
      <c r="H652" s="32"/>
      <c r="I652" s="41"/>
      <c r="J652" s="315"/>
      <c r="K652" s="315"/>
      <c r="L652" s="315"/>
    </row>
    <row r="653" spans="1:12" s="30" customFormat="1" x14ac:dyDescent="0.25">
      <c r="A653" s="36"/>
      <c r="B653" s="31"/>
      <c r="C653" s="31"/>
      <c r="D653" s="32"/>
      <c r="F653" s="32"/>
      <c r="G653" s="41"/>
      <c r="H653" s="32"/>
      <c r="I653" s="41"/>
      <c r="J653" s="315"/>
      <c r="K653" s="315"/>
      <c r="L653" s="315"/>
    </row>
    <row r="654" spans="1:12" s="30" customFormat="1" x14ac:dyDescent="0.25">
      <c r="A654" s="36"/>
      <c r="B654" s="31"/>
      <c r="C654" s="31"/>
      <c r="D654" s="32"/>
      <c r="F654" s="32"/>
      <c r="G654" s="41"/>
      <c r="H654" s="32"/>
      <c r="I654" s="41"/>
      <c r="J654" s="315"/>
      <c r="K654" s="315"/>
      <c r="L654" s="315"/>
    </row>
    <row r="655" spans="1:12" s="30" customFormat="1" x14ac:dyDescent="0.25">
      <c r="A655" s="36"/>
      <c r="B655" s="31"/>
      <c r="C655" s="31"/>
      <c r="D655" s="32"/>
      <c r="F655" s="32"/>
      <c r="G655" s="41"/>
      <c r="H655" s="32"/>
      <c r="I655" s="41"/>
      <c r="J655" s="315"/>
      <c r="K655" s="315"/>
      <c r="L655" s="315"/>
    </row>
    <row r="656" spans="1:12" s="30" customFormat="1" x14ac:dyDescent="0.25">
      <c r="A656" s="36"/>
      <c r="B656" s="31"/>
      <c r="C656" s="31"/>
      <c r="D656" s="32"/>
      <c r="F656" s="32"/>
      <c r="G656" s="41"/>
      <c r="H656" s="32"/>
      <c r="I656" s="41"/>
      <c r="J656" s="315"/>
      <c r="K656" s="315"/>
      <c r="L656" s="315"/>
    </row>
    <row r="657" spans="1:12" s="30" customFormat="1" x14ac:dyDescent="0.25">
      <c r="A657" s="36"/>
      <c r="B657" s="31"/>
      <c r="C657" s="31"/>
      <c r="D657" s="32"/>
      <c r="F657" s="32"/>
      <c r="G657" s="41"/>
      <c r="H657" s="32"/>
      <c r="I657" s="41"/>
      <c r="J657" s="315"/>
      <c r="K657" s="315"/>
      <c r="L657" s="315"/>
    </row>
    <row r="658" spans="1:12" s="30" customFormat="1" x14ac:dyDescent="0.25">
      <c r="A658" s="36"/>
      <c r="B658" s="31"/>
      <c r="C658" s="31"/>
      <c r="D658" s="32"/>
      <c r="F658" s="32"/>
      <c r="G658" s="41"/>
      <c r="H658" s="32"/>
      <c r="I658" s="41"/>
      <c r="J658" s="315"/>
      <c r="K658" s="315"/>
      <c r="L658" s="315"/>
    </row>
    <row r="659" spans="1:12" s="30" customFormat="1" x14ac:dyDescent="0.25">
      <c r="A659" s="36"/>
      <c r="B659" s="31"/>
      <c r="C659" s="31"/>
      <c r="D659" s="32"/>
      <c r="F659" s="32"/>
      <c r="G659" s="41"/>
      <c r="H659" s="32"/>
      <c r="I659" s="41"/>
      <c r="J659" s="315"/>
      <c r="K659" s="315"/>
      <c r="L659" s="315"/>
    </row>
    <row r="660" spans="1:12" s="30" customFormat="1" x14ac:dyDescent="0.25">
      <c r="A660" s="36"/>
      <c r="B660" s="31"/>
      <c r="C660" s="31"/>
      <c r="D660" s="32"/>
      <c r="F660" s="32"/>
      <c r="G660" s="41"/>
      <c r="H660" s="32"/>
      <c r="I660" s="41"/>
      <c r="J660" s="315"/>
      <c r="K660" s="315"/>
      <c r="L660" s="315"/>
    </row>
    <row r="661" spans="1:12" s="30" customFormat="1" x14ac:dyDescent="0.25">
      <c r="A661" s="36"/>
      <c r="B661" s="31"/>
      <c r="C661" s="31"/>
      <c r="D661" s="32"/>
      <c r="F661" s="32"/>
      <c r="G661" s="41"/>
      <c r="H661" s="32"/>
      <c r="I661" s="41"/>
      <c r="J661" s="315"/>
      <c r="K661" s="315"/>
      <c r="L661" s="315"/>
    </row>
    <row r="662" spans="1:12" s="30" customFormat="1" x14ac:dyDescent="0.25">
      <c r="A662" s="36"/>
      <c r="B662" s="31"/>
      <c r="C662" s="31"/>
      <c r="D662" s="32"/>
      <c r="F662" s="32"/>
      <c r="G662" s="41"/>
      <c r="H662" s="32"/>
      <c r="I662" s="41"/>
      <c r="J662" s="315"/>
      <c r="K662" s="315"/>
      <c r="L662" s="315"/>
    </row>
    <row r="663" spans="1:12" s="30" customFormat="1" x14ac:dyDescent="0.25">
      <c r="A663" s="36"/>
      <c r="B663" s="31"/>
      <c r="C663" s="31"/>
      <c r="D663" s="32"/>
      <c r="F663" s="32"/>
      <c r="G663" s="41"/>
      <c r="H663" s="32"/>
      <c r="I663" s="41"/>
      <c r="J663" s="315"/>
      <c r="K663" s="315"/>
      <c r="L663" s="315"/>
    </row>
    <row r="664" spans="1:12" s="30" customFormat="1" x14ac:dyDescent="0.25">
      <c r="A664" s="36"/>
      <c r="B664" s="31"/>
      <c r="C664" s="31"/>
      <c r="D664" s="32"/>
      <c r="F664" s="32"/>
      <c r="G664" s="41"/>
      <c r="H664" s="32"/>
      <c r="I664" s="41"/>
      <c r="J664" s="315"/>
      <c r="K664" s="315"/>
      <c r="L664" s="315"/>
    </row>
    <row r="665" spans="1:12" s="30" customFormat="1" x14ac:dyDescent="0.25">
      <c r="A665" s="36"/>
      <c r="B665" s="31"/>
      <c r="C665" s="31"/>
      <c r="D665" s="32"/>
      <c r="F665" s="32"/>
      <c r="G665" s="41"/>
      <c r="H665" s="32"/>
      <c r="I665" s="41"/>
      <c r="J665" s="315"/>
      <c r="K665" s="315"/>
      <c r="L665" s="315"/>
    </row>
    <row r="666" spans="1:12" s="30" customFormat="1" x14ac:dyDescent="0.25">
      <c r="A666" s="36"/>
      <c r="B666" s="31"/>
      <c r="C666" s="31"/>
      <c r="D666" s="32"/>
      <c r="F666" s="32"/>
      <c r="G666" s="41"/>
      <c r="H666" s="32"/>
      <c r="I666" s="41"/>
      <c r="J666" s="315"/>
      <c r="K666" s="315"/>
      <c r="L666" s="315"/>
    </row>
    <row r="667" spans="1:12" s="30" customFormat="1" x14ac:dyDescent="0.25">
      <c r="A667" s="36"/>
      <c r="B667" s="31"/>
      <c r="C667" s="31"/>
      <c r="D667" s="32"/>
      <c r="F667" s="32"/>
      <c r="G667" s="41"/>
      <c r="H667" s="32"/>
      <c r="I667" s="41"/>
      <c r="J667" s="315"/>
      <c r="K667" s="315"/>
      <c r="L667" s="315"/>
    </row>
    <row r="668" spans="1:12" s="30" customFormat="1" x14ac:dyDescent="0.25">
      <c r="A668" s="36"/>
      <c r="B668" s="31"/>
      <c r="C668" s="31"/>
      <c r="D668" s="32"/>
      <c r="F668" s="32"/>
      <c r="G668" s="41"/>
      <c r="H668" s="32"/>
      <c r="I668" s="41"/>
      <c r="J668" s="315"/>
      <c r="K668" s="315"/>
      <c r="L668" s="315"/>
    </row>
    <row r="669" spans="1:12" s="30" customFormat="1" x14ac:dyDescent="0.25">
      <c r="A669" s="36"/>
      <c r="B669" s="31"/>
      <c r="C669" s="31"/>
      <c r="D669" s="32"/>
      <c r="F669" s="32"/>
      <c r="G669" s="41"/>
      <c r="H669" s="32"/>
      <c r="I669" s="41"/>
      <c r="J669" s="315"/>
      <c r="K669" s="315"/>
      <c r="L669" s="315"/>
    </row>
    <row r="670" spans="1:12" s="30" customFormat="1" x14ac:dyDescent="0.25">
      <c r="A670" s="36"/>
      <c r="B670" s="31"/>
      <c r="C670" s="31"/>
      <c r="D670" s="32"/>
      <c r="F670" s="32"/>
      <c r="G670" s="41"/>
      <c r="H670" s="32"/>
      <c r="I670" s="41"/>
      <c r="J670" s="315"/>
      <c r="K670" s="315"/>
      <c r="L670" s="315"/>
    </row>
    <row r="671" spans="1:12" s="30" customFormat="1" x14ac:dyDescent="0.25">
      <c r="A671" s="36"/>
      <c r="B671" s="31"/>
      <c r="C671" s="31"/>
      <c r="D671" s="32"/>
      <c r="F671" s="32"/>
      <c r="G671" s="41"/>
      <c r="H671" s="32"/>
      <c r="I671" s="41"/>
      <c r="J671" s="315"/>
      <c r="K671" s="315"/>
      <c r="L671" s="315"/>
    </row>
    <row r="672" spans="1:12" s="30" customFormat="1" x14ac:dyDescent="0.25">
      <c r="A672" s="36"/>
      <c r="B672" s="31"/>
      <c r="C672" s="31"/>
      <c r="D672" s="32"/>
      <c r="F672" s="32"/>
      <c r="G672" s="41"/>
      <c r="H672" s="32"/>
      <c r="I672" s="41"/>
      <c r="J672" s="315"/>
      <c r="K672" s="315"/>
      <c r="L672" s="315"/>
    </row>
    <row r="673" spans="1:12" s="30" customFormat="1" x14ac:dyDescent="0.25">
      <c r="A673" s="36"/>
      <c r="B673" s="31"/>
      <c r="C673" s="31"/>
      <c r="D673" s="32"/>
      <c r="F673" s="32"/>
      <c r="G673" s="41"/>
      <c r="H673" s="32"/>
      <c r="I673" s="41"/>
      <c r="J673" s="315"/>
      <c r="K673" s="315"/>
      <c r="L673" s="315"/>
    </row>
    <row r="674" spans="1:12" s="30" customFormat="1" x14ac:dyDescent="0.25">
      <c r="A674" s="36"/>
      <c r="B674" s="31"/>
      <c r="C674" s="31"/>
      <c r="D674" s="32"/>
      <c r="F674" s="32"/>
      <c r="G674" s="41"/>
      <c r="H674" s="32"/>
      <c r="I674" s="41"/>
      <c r="J674" s="315"/>
      <c r="K674" s="315"/>
      <c r="L674" s="315"/>
    </row>
    <row r="675" spans="1:12" s="30" customFormat="1" x14ac:dyDescent="0.25">
      <c r="A675" s="36"/>
      <c r="B675" s="31"/>
      <c r="C675" s="31"/>
      <c r="D675" s="32"/>
      <c r="F675" s="32"/>
      <c r="G675" s="41"/>
      <c r="H675" s="32"/>
      <c r="I675" s="41"/>
      <c r="J675" s="315"/>
      <c r="K675" s="315"/>
      <c r="L675" s="315"/>
    </row>
    <row r="676" spans="1:12" s="30" customFormat="1" x14ac:dyDescent="0.25">
      <c r="A676" s="36"/>
      <c r="B676" s="31"/>
      <c r="C676" s="31"/>
      <c r="D676" s="32"/>
      <c r="F676" s="32"/>
      <c r="G676" s="41"/>
      <c r="H676" s="32"/>
      <c r="I676" s="41"/>
      <c r="J676" s="315"/>
      <c r="K676" s="315"/>
      <c r="L676" s="315"/>
    </row>
    <row r="677" spans="1:12" s="30" customFormat="1" x14ac:dyDescent="0.25">
      <c r="A677" s="36"/>
      <c r="B677" s="31"/>
      <c r="C677" s="31"/>
      <c r="D677" s="32"/>
      <c r="F677" s="32"/>
      <c r="G677" s="41"/>
      <c r="H677" s="32"/>
      <c r="I677" s="41"/>
      <c r="J677" s="315"/>
      <c r="K677" s="315"/>
      <c r="L677" s="315"/>
    </row>
    <row r="678" spans="1:12" s="30" customFormat="1" x14ac:dyDescent="0.25">
      <c r="A678" s="36"/>
      <c r="B678" s="31"/>
      <c r="C678" s="31"/>
      <c r="D678" s="32"/>
      <c r="F678" s="32"/>
      <c r="G678" s="41"/>
      <c r="H678" s="32"/>
      <c r="I678" s="41"/>
      <c r="J678" s="315"/>
      <c r="K678" s="315"/>
      <c r="L678" s="315"/>
    </row>
    <row r="679" spans="1:12" s="30" customFormat="1" x14ac:dyDescent="0.25">
      <c r="A679" s="36"/>
      <c r="B679" s="31"/>
      <c r="C679" s="31"/>
      <c r="D679" s="32"/>
      <c r="F679" s="32"/>
      <c r="G679" s="41"/>
      <c r="H679" s="32"/>
      <c r="I679" s="41"/>
      <c r="J679" s="315"/>
      <c r="K679" s="315"/>
      <c r="L679" s="315"/>
    </row>
    <row r="680" spans="1:12" s="30" customFormat="1" x14ac:dyDescent="0.25">
      <c r="A680" s="36"/>
      <c r="B680" s="31"/>
      <c r="C680" s="31"/>
      <c r="D680" s="32"/>
      <c r="F680" s="32"/>
      <c r="G680" s="41"/>
      <c r="H680" s="32"/>
      <c r="I680" s="41"/>
      <c r="J680" s="315"/>
      <c r="K680" s="315"/>
      <c r="L680" s="315"/>
    </row>
    <row r="681" spans="1:12" s="30" customFormat="1" x14ac:dyDescent="0.25">
      <c r="A681" s="36"/>
      <c r="B681" s="31"/>
      <c r="C681" s="31"/>
      <c r="D681" s="32"/>
      <c r="F681" s="32"/>
      <c r="G681" s="41"/>
      <c r="H681" s="32"/>
      <c r="I681" s="41"/>
      <c r="J681" s="315"/>
      <c r="K681" s="315"/>
      <c r="L681" s="315"/>
    </row>
    <row r="682" spans="1:12" s="30" customFormat="1" x14ac:dyDescent="0.25">
      <c r="A682" s="36"/>
      <c r="B682" s="31"/>
      <c r="C682" s="31"/>
      <c r="D682" s="32"/>
      <c r="F682" s="32"/>
      <c r="G682" s="41"/>
      <c r="H682" s="32"/>
      <c r="I682" s="41"/>
      <c r="J682" s="315"/>
      <c r="K682" s="315"/>
      <c r="L682" s="315"/>
    </row>
    <row r="683" spans="1:12" s="30" customFormat="1" x14ac:dyDescent="0.25">
      <c r="A683" s="36"/>
      <c r="B683" s="31"/>
      <c r="C683" s="31"/>
      <c r="D683" s="32"/>
      <c r="F683" s="32"/>
      <c r="G683" s="41"/>
      <c r="H683" s="32"/>
      <c r="I683" s="41"/>
      <c r="J683" s="315"/>
      <c r="K683" s="315"/>
      <c r="L683" s="315"/>
    </row>
    <row r="684" spans="1:12" s="30" customFormat="1" x14ac:dyDescent="0.25">
      <c r="A684" s="36"/>
      <c r="B684" s="31"/>
      <c r="C684" s="31"/>
      <c r="D684" s="32"/>
      <c r="F684" s="32"/>
      <c r="G684" s="41"/>
      <c r="H684" s="32"/>
      <c r="I684" s="41"/>
      <c r="J684" s="315"/>
      <c r="K684" s="315"/>
      <c r="L684" s="315"/>
    </row>
    <row r="685" spans="1:12" s="30" customFormat="1" x14ac:dyDescent="0.25">
      <c r="A685" s="36"/>
      <c r="B685" s="31"/>
      <c r="C685" s="31"/>
      <c r="D685" s="32"/>
      <c r="F685" s="32"/>
      <c r="G685" s="41"/>
      <c r="H685" s="32"/>
      <c r="I685" s="41"/>
      <c r="J685" s="315"/>
      <c r="K685" s="315"/>
      <c r="L685" s="315"/>
    </row>
    <row r="686" spans="1:12" s="30" customFormat="1" x14ac:dyDescent="0.25">
      <c r="A686" s="36"/>
      <c r="B686" s="31"/>
      <c r="C686" s="31"/>
      <c r="D686" s="32"/>
      <c r="F686" s="32"/>
      <c r="G686" s="41"/>
      <c r="H686" s="32"/>
      <c r="I686" s="41"/>
      <c r="J686" s="315"/>
      <c r="K686" s="315"/>
      <c r="L686" s="315"/>
    </row>
    <row r="687" spans="1:12" s="30" customFormat="1" x14ac:dyDescent="0.25">
      <c r="A687" s="36"/>
      <c r="B687" s="31"/>
      <c r="C687" s="31"/>
      <c r="D687" s="32"/>
      <c r="F687" s="32"/>
      <c r="G687" s="41"/>
      <c r="H687" s="32"/>
      <c r="I687" s="41"/>
      <c r="J687" s="315"/>
      <c r="K687" s="315"/>
      <c r="L687" s="315"/>
    </row>
    <row r="688" spans="1:12" s="30" customFormat="1" x14ac:dyDescent="0.25">
      <c r="A688" s="36"/>
      <c r="B688" s="31"/>
      <c r="C688" s="31"/>
      <c r="D688" s="32"/>
      <c r="F688" s="32"/>
      <c r="G688" s="41"/>
      <c r="H688" s="32"/>
      <c r="I688" s="41"/>
      <c r="J688" s="315"/>
      <c r="K688" s="315"/>
      <c r="L688" s="315"/>
    </row>
    <row r="689" spans="1:12" s="30" customFormat="1" x14ac:dyDescent="0.25">
      <c r="A689" s="36"/>
      <c r="B689" s="31"/>
      <c r="C689" s="31"/>
      <c r="D689" s="32"/>
      <c r="F689" s="32"/>
      <c r="G689" s="41"/>
      <c r="H689" s="32"/>
      <c r="I689" s="41"/>
      <c r="J689" s="315"/>
      <c r="K689" s="315"/>
      <c r="L689" s="315"/>
    </row>
    <row r="690" spans="1:12" s="30" customFormat="1" x14ac:dyDescent="0.25">
      <c r="A690" s="36"/>
      <c r="B690" s="31"/>
      <c r="C690" s="31"/>
      <c r="D690" s="32"/>
      <c r="F690" s="32"/>
      <c r="G690" s="41"/>
      <c r="H690" s="32"/>
      <c r="I690" s="41"/>
      <c r="J690" s="315"/>
      <c r="K690" s="315"/>
      <c r="L690" s="315"/>
    </row>
    <row r="691" spans="1:12" s="30" customFormat="1" x14ac:dyDescent="0.25">
      <c r="A691" s="36"/>
      <c r="B691" s="31"/>
      <c r="C691" s="31"/>
      <c r="D691" s="32"/>
      <c r="F691" s="32"/>
      <c r="G691" s="41"/>
      <c r="H691" s="32"/>
      <c r="I691" s="41"/>
      <c r="J691" s="315"/>
      <c r="K691" s="315"/>
      <c r="L691" s="315"/>
    </row>
    <row r="692" spans="1:12" s="30" customFormat="1" x14ac:dyDescent="0.25">
      <c r="A692" s="36"/>
      <c r="B692" s="31"/>
      <c r="C692" s="31"/>
      <c r="D692" s="32"/>
      <c r="F692" s="32"/>
      <c r="G692" s="41"/>
      <c r="H692" s="32"/>
      <c r="I692" s="41"/>
      <c r="J692" s="315"/>
      <c r="K692" s="315"/>
      <c r="L692" s="315"/>
    </row>
    <row r="693" spans="1:12" s="30" customFormat="1" x14ac:dyDescent="0.25">
      <c r="A693" s="36"/>
      <c r="B693" s="31"/>
      <c r="C693" s="31"/>
      <c r="D693" s="32"/>
      <c r="F693" s="32"/>
      <c r="G693" s="41"/>
      <c r="H693" s="32"/>
      <c r="I693" s="41"/>
      <c r="J693" s="315"/>
      <c r="K693" s="315"/>
      <c r="L693" s="315"/>
    </row>
    <row r="694" spans="1:12" s="30" customFormat="1" x14ac:dyDescent="0.25">
      <c r="A694" s="36"/>
      <c r="B694" s="31"/>
      <c r="C694" s="31"/>
      <c r="D694" s="32"/>
      <c r="F694" s="32"/>
      <c r="G694" s="41"/>
      <c r="H694" s="32"/>
      <c r="I694" s="41"/>
      <c r="J694" s="315"/>
      <c r="K694" s="315"/>
      <c r="L694" s="315"/>
    </row>
    <row r="695" spans="1:12" s="30" customFormat="1" x14ac:dyDescent="0.25">
      <c r="A695" s="36"/>
      <c r="B695" s="31"/>
      <c r="C695" s="31"/>
      <c r="D695" s="32"/>
      <c r="F695" s="32"/>
      <c r="G695" s="41"/>
      <c r="H695" s="32"/>
      <c r="I695" s="41"/>
      <c r="J695" s="315"/>
      <c r="K695" s="315"/>
      <c r="L695" s="315"/>
    </row>
    <row r="696" spans="1:12" s="30" customFormat="1" x14ac:dyDescent="0.25">
      <c r="A696" s="36"/>
      <c r="B696" s="31"/>
      <c r="C696" s="31"/>
      <c r="D696" s="32"/>
      <c r="F696" s="32"/>
      <c r="G696" s="41"/>
      <c r="H696" s="32"/>
      <c r="I696" s="41"/>
      <c r="J696" s="315"/>
      <c r="K696" s="315"/>
      <c r="L696" s="315"/>
    </row>
    <row r="697" spans="1:12" s="30" customFormat="1" x14ac:dyDescent="0.25">
      <c r="A697" s="36"/>
      <c r="B697" s="31"/>
      <c r="C697" s="31"/>
      <c r="D697" s="32"/>
      <c r="F697" s="32"/>
      <c r="G697" s="41"/>
      <c r="H697" s="32"/>
      <c r="I697" s="41"/>
      <c r="J697" s="315"/>
      <c r="K697" s="315"/>
      <c r="L697" s="315"/>
    </row>
    <row r="698" spans="1:12" s="30" customFormat="1" x14ac:dyDescent="0.25">
      <c r="A698" s="36"/>
      <c r="B698" s="31"/>
      <c r="C698" s="31"/>
      <c r="D698" s="32"/>
      <c r="F698" s="32"/>
      <c r="G698" s="41"/>
      <c r="H698" s="32"/>
      <c r="I698" s="41"/>
      <c r="J698" s="315"/>
      <c r="K698" s="315"/>
      <c r="L698" s="315"/>
    </row>
    <row r="699" spans="1:12" s="30" customFormat="1" x14ac:dyDescent="0.25">
      <c r="A699" s="36"/>
      <c r="B699" s="31"/>
      <c r="C699" s="31"/>
      <c r="D699" s="32"/>
      <c r="F699" s="32"/>
      <c r="G699" s="41"/>
      <c r="H699" s="32"/>
      <c r="I699" s="41"/>
      <c r="J699" s="315"/>
      <c r="K699" s="315"/>
      <c r="L699" s="315"/>
    </row>
    <row r="700" spans="1:12" s="30" customFormat="1" x14ac:dyDescent="0.25">
      <c r="A700" s="36"/>
      <c r="B700" s="31"/>
      <c r="C700" s="31"/>
      <c r="D700" s="32"/>
      <c r="F700" s="32"/>
      <c r="G700" s="41"/>
      <c r="H700" s="32"/>
      <c r="I700" s="41"/>
      <c r="J700" s="315"/>
      <c r="K700" s="315"/>
      <c r="L700" s="315"/>
    </row>
    <row r="701" spans="1:12" s="30" customFormat="1" x14ac:dyDescent="0.25">
      <c r="A701" s="36"/>
      <c r="B701" s="31"/>
      <c r="C701" s="31"/>
      <c r="D701" s="32"/>
      <c r="F701" s="32"/>
      <c r="G701" s="41"/>
      <c r="H701" s="32"/>
      <c r="I701" s="41"/>
      <c r="J701" s="315"/>
      <c r="K701" s="315"/>
      <c r="L701" s="315"/>
    </row>
    <row r="702" spans="1:12" s="30" customFormat="1" x14ac:dyDescent="0.25">
      <c r="A702" s="36"/>
      <c r="B702" s="31"/>
      <c r="C702" s="31"/>
      <c r="D702" s="32"/>
      <c r="F702" s="32"/>
      <c r="G702" s="41"/>
      <c r="H702" s="32"/>
      <c r="I702" s="41"/>
      <c r="J702" s="315"/>
      <c r="K702" s="315"/>
      <c r="L702" s="315"/>
    </row>
    <row r="703" spans="1:12" s="30" customFormat="1" x14ac:dyDescent="0.25">
      <c r="A703" s="36"/>
      <c r="B703" s="31"/>
      <c r="C703" s="31"/>
      <c r="D703" s="32"/>
      <c r="F703" s="32"/>
      <c r="G703" s="41"/>
      <c r="H703" s="32"/>
      <c r="I703" s="41"/>
      <c r="J703" s="315"/>
      <c r="K703" s="315"/>
      <c r="L703" s="315"/>
    </row>
    <row r="704" spans="1:12" s="30" customFormat="1" x14ac:dyDescent="0.25">
      <c r="A704" s="36"/>
      <c r="B704" s="31"/>
      <c r="C704" s="31"/>
      <c r="D704" s="32"/>
      <c r="F704" s="32"/>
      <c r="G704" s="41"/>
      <c r="H704" s="32"/>
      <c r="I704" s="41"/>
      <c r="J704" s="315"/>
      <c r="K704" s="315"/>
      <c r="L704" s="315"/>
    </row>
    <row r="705" spans="1:12" s="30" customFormat="1" x14ac:dyDescent="0.25">
      <c r="A705" s="36"/>
      <c r="B705" s="31"/>
      <c r="C705" s="31"/>
      <c r="D705" s="32"/>
      <c r="F705" s="32"/>
      <c r="G705" s="41"/>
      <c r="H705" s="32"/>
      <c r="I705" s="41"/>
      <c r="J705" s="315"/>
      <c r="K705" s="315"/>
      <c r="L705" s="315"/>
    </row>
    <row r="706" spans="1:12" s="30" customFormat="1" x14ac:dyDescent="0.25">
      <c r="A706" s="36"/>
      <c r="B706" s="31"/>
      <c r="C706" s="31"/>
      <c r="D706" s="32"/>
      <c r="F706" s="32"/>
      <c r="G706" s="41"/>
      <c r="H706" s="32"/>
      <c r="I706" s="41"/>
      <c r="J706" s="315"/>
      <c r="K706" s="315"/>
      <c r="L706" s="315"/>
    </row>
    <row r="707" spans="1:12" s="30" customFormat="1" x14ac:dyDescent="0.25">
      <c r="A707" s="36"/>
      <c r="B707" s="31"/>
      <c r="C707" s="31"/>
      <c r="D707" s="32"/>
      <c r="F707" s="32"/>
      <c r="G707" s="41"/>
      <c r="H707" s="32"/>
      <c r="I707" s="41"/>
      <c r="J707" s="315"/>
      <c r="K707" s="315"/>
      <c r="L707" s="315"/>
    </row>
    <row r="708" spans="1:12" s="30" customFormat="1" x14ac:dyDescent="0.25">
      <c r="A708" s="36"/>
      <c r="B708" s="31"/>
      <c r="C708" s="31"/>
      <c r="D708" s="32"/>
      <c r="F708" s="32"/>
      <c r="G708" s="41"/>
      <c r="H708" s="32"/>
      <c r="I708" s="41"/>
      <c r="J708" s="315"/>
      <c r="K708" s="315"/>
      <c r="L708" s="315"/>
    </row>
    <row r="709" spans="1:12" s="30" customFormat="1" x14ac:dyDescent="0.25">
      <c r="A709" s="36"/>
      <c r="B709" s="31"/>
      <c r="C709" s="31"/>
      <c r="D709" s="32"/>
      <c r="F709" s="32"/>
      <c r="G709" s="41"/>
      <c r="H709" s="32"/>
      <c r="I709" s="41"/>
      <c r="J709" s="315"/>
      <c r="K709" s="315"/>
      <c r="L709" s="315"/>
    </row>
    <row r="710" spans="1:12" s="30" customFormat="1" x14ac:dyDescent="0.25">
      <c r="A710" s="36"/>
      <c r="B710" s="31"/>
      <c r="C710" s="31"/>
      <c r="D710" s="32"/>
      <c r="F710" s="32"/>
      <c r="G710" s="41"/>
      <c r="H710" s="32"/>
      <c r="I710" s="41"/>
      <c r="J710" s="315"/>
      <c r="K710" s="315"/>
      <c r="L710" s="315"/>
    </row>
    <row r="711" spans="1:12" s="30" customFormat="1" x14ac:dyDescent="0.25">
      <c r="A711" s="36"/>
      <c r="B711" s="31"/>
      <c r="C711" s="31"/>
      <c r="D711" s="32"/>
      <c r="F711" s="32"/>
      <c r="G711" s="41"/>
      <c r="H711" s="32"/>
      <c r="I711" s="41"/>
      <c r="J711" s="315"/>
      <c r="K711" s="315"/>
      <c r="L711" s="315"/>
    </row>
    <row r="712" spans="1:12" s="30" customFormat="1" x14ac:dyDescent="0.25">
      <c r="A712" s="36"/>
      <c r="B712" s="31"/>
      <c r="C712" s="31"/>
      <c r="D712" s="32"/>
      <c r="F712" s="32"/>
      <c r="G712" s="41"/>
      <c r="H712" s="32"/>
      <c r="I712" s="41"/>
      <c r="J712" s="315"/>
      <c r="K712" s="315"/>
      <c r="L712" s="315"/>
    </row>
    <row r="713" spans="1:12" s="30" customFormat="1" x14ac:dyDescent="0.25">
      <c r="A713" s="36"/>
      <c r="B713" s="31"/>
      <c r="C713" s="31"/>
      <c r="D713" s="32"/>
      <c r="F713" s="32"/>
      <c r="G713" s="41"/>
      <c r="H713" s="32"/>
      <c r="I713" s="41"/>
      <c r="J713" s="315"/>
      <c r="K713" s="315"/>
      <c r="L713" s="315"/>
    </row>
    <row r="714" spans="1:12" s="30" customFormat="1" x14ac:dyDescent="0.25">
      <c r="A714" s="36"/>
      <c r="B714" s="31"/>
      <c r="C714" s="31"/>
      <c r="D714" s="32"/>
      <c r="F714" s="32"/>
      <c r="G714" s="41"/>
      <c r="H714" s="32"/>
      <c r="I714" s="41"/>
      <c r="J714" s="315"/>
      <c r="K714" s="315"/>
      <c r="L714" s="315"/>
    </row>
    <row r="715" spans="1:12" s="30" customFormat="1" x14ac:dyDescent="0.25">
      <c r="A715" s="36"/>
      <c r="B715" s="31"/>
      <c r="C715" s="31"/>
      <c r="D715" s="32"/>
      <c r="F715" s="32"/>
      <c r="G715" s="41"/>
      <c r="H715" s="32"/>
      <c r="I715" s="41"/>
      <c r="J715" s="315"/>
      <c r="K715" s="315"/>
      <c r="L715" s="315"/>
    </row>
    <row r="716" spans="1:12" s="30" customFormat="1" x14ac:dyDescent="0.25">
      <c r="A716" s="36"/>
      <c r="B716" s="31"/>
      <c r="C716" s="31"/>
      <c r="D716" s="32"/>
      <c r="F716" s="32"/>
      <c r="G716" s="41"/>
      <c r="H716" s="32"/>
      <c r="I716" s="41"/>
      <c r="J716" s="315"/>
      <c r="K716" s="315"/>
      <c r="L716" s="315"/>
    </row>
    <row r="717" spans="1:12" s="30" customFormat="1" x14ac:dyDescent="0.25">
      <c r="A717" s="36"/>
      <c r="B717" s="31"/>
      <c r="C717" s="31"/>
      <c r="D717" s="32"/>
      <c r="F717" s="32"/>
      <c r="G717" s="41"/>
      <c r="H717" s="32"/>
      <c r="I717" s="41"/>
      <c r="J717" s="315"/>
      <c r="K717" s="315"/>
      <c r="L717" s="315"/>
    </row>
    <row r="718" spans="1:12" s="30" customFormat="1" x14ac:dyDescent="0.25">
      <c r="A718" s="36"/>
      <c r="B718" s="31"/>
      <c r="C718" s="31"/>
      <c r="D718" s="32"/>
      <c r="F718" s="32"/>
      <c r="G718" s="41"/>
      <c r="H718" s="32"/>
      <c r="I718" s="41"/>
      <c r="J718" s="315"/>
      <c r="K718" s="315"/>
      <c r="L718" s="315"/>
    </row>
    <row r="719" spans="1:12" s="30" customFormat="1" x14ac:dyDescent="0.25">
      <c r="A719" s="36"/>
      <c r="B719" s="31"/>
      <c r="C719" s="31"/>
      <c r="D719" s="32"/>
      <c r="F719" s="32"/>
      <c r="G719" s="41"/>
      <c r="H719" s="32"/>
      <c r="I719" s="41"/>
      <c r="J719" s="315"/>
      <c r="K719" s="315"/>
      <c r="L719" s="315"/>
    </row>
    <row r="720" spans="1:12" s="30" customFormat="1" x14ac:dyDescent="0.25">
      <c r="A720" s="36"/>
      <c r="B720" s="31"/>
      <c r="C720" s="31"/>
      <c r="D720" s="32"/>
      <c r="F720" s="32"/>
      <c r="G720" s="41"/>
      <c r="H720" s="32"/>
      <c r="I720" s="41"/>
      <c r="J720" s="315"/>
      <c r="K720" s="315"/>
      <c r="L720" s="315"/>
    </row>
    <row r="721" spans="1:12" s="30" customFormat="1" x14ac:dyDescent="0.25">
      <c r="A721" s="36"/>
      <c r="B721" s="31"/>
      <c r="C721" s="31"/>
      <c r="D721" s="32"/>
      <c r="F721" s="32"/>
      <c r="G721" s="41"/>
      <c r="H721" s="32"/>
      <c r="I721" s="41"/>
      <c r="J721" s="315"/>
      <c r="K721" s="315"/>
      <c r="L721" s="315"/>
    </row>
    <row r="722" spans="1:12" s="30" customFormat="1" x14ac:dyDescent="0.25">
      <c r="A722" s="36"/>
      <c r="B722" s="31"/>
      <c r="C722" s="31"/>
      <c r="D722" s="32"/>
      <c r="F722" s="32"/>
      <c r="G722" s="41"/>
      <c r="H722" s="32"/>
      <c r="I722" s="41"/>
      <c r="J722" s="315"/>
      <c r="K722" s="315"/>
      <c r="L722" s="315"/>
    </row>
    <row r="723" spans="1:12" s="30" customFormat="1" x14ac:dyDescent="0.25">
      <c r="A723" s="36"/>
      <c r="B723" s="31"/>
      <c r="C723" s="31"/>
      <c r="D723" s="32"/>
      <c r="F723" s="32"/>
      <c r="G723" s="41"/>
      <c r="H723" s="32"/>
      <c r="I723" s="41"/>
      <c r="J723" s="315"/>
      <c r="K723" s="315"/>
      <c r="L723" s="315"/>
    </row>
    <row r="724" spans="1:12" s="30" customFormat="1" x14ac:dyDescent="0.25">
      <c r="A724" s="36"/>
      <c r="B724" s="31"/>
      <c r="C724" s="31"/>
      <c r="D724" s="32"/>
      <c r="F724" s="32"/>
      <c r="G724" s="41"/>
      <c r="H724" s="32"/>
      <c r="I724" s="41"/>
      <c r="J724" s="315"/>
      <c r="K724" s="315"/>
      <c r="L724" s="315"/>
    </row>
    <row r="725" spans="1:12" s="30" customFormat="1" x14ac:dyDescent="0.25">
      <c r="A725" s="36"/>
      <c r="B725" s="31"/>
      <c r="C725" s="31"/>
      <c r="D725" s="32"/>
      <c r="F725" s="32"/>
      <c r="G725" s="41"/>
      <c r="H725" s="32"/>
      <c r="I725" s="41"/>
      <c r="J725" s="315"/>
      <c r="K725" s="315"/>
      <c r="L725" s="315"/>
    </row>
    <row r="726" spans="1:12" s="30" customFormat="1" x14ac:dyDescent="0.25">
      <c r="A726" s="36"/>
      <c r="B726" s="31"/>
      <c r="C726" s="31"/>
      <c r="D726" s="32"/>
      <c r="F726" s="32"/>
      <c r="G726" s="41"/>
      <c r="H726" s="32"/>
      <c r="I726" s="41"/>
      <c r="J726" s="315"/>
      <c r="K726" s="315"/>
      <c r="L726" s="315"/>
    </row>
    <row r="727" spans="1:12" s="30" customFormat="1" x14ac:dyDescent="0.25">
      <c r="A727" s="36"/>
      <c r="B727" s="31"/>
      <c r="C727" s="31"/>
      <c r="D727" s="32"/>
      <c r="F727" s="32"/>
      <c r="G727" s="41"/>
      <c r="H727" s="32"/>
      <c r="I727" s="41"/>
      <c r="J727" s="315"/>
      <c r="K727" s="315"/>
      <c r="L727" s="315"/>
    </row>
    <row r="728" spans="1:12" s="30" customFormat="1" x14ac:dyDescent="0.25">
      <c r="A728" s="36"/>
      <c r="B728" s="31"/>
      <c r="C728" s="31"/>
      <c r="D728" s="32"/>
      <c r="F728" s="32"/>
      <c r="G728" s="41"/>
      <c r="H728" s="32"/>
      <c r="I728" s="41"/>
      <c r="J728" s="315"/>
      <c r="K728" s="315"/>
      <c r="L728" s="315"/>
    </row>
    <row r="729" spans="1:12" s="30" customFormat="1" x14ac:dyDescent="0.25">
      <c r="A729" s="36"/>
      <c r="B729" s="31"/>
      <c r="C729" s="31"/>
      <c r="D729" s="32"/>
      <c r="F729" s="32"/>
      <c r="G729" s="41"/>
      <c r="H729" s="32"/>
      <c r="I729" s="41"/>
      <c r="J729" s="315"/>
      <c r="K729" s="315"/>
      <c r="L729" s="315"/>
    </row>
    <row r="730" spans="1:12" s="30" customFormat="1" x14ac:dyDescent="0.25">
      <c r="A730" s="36"/>
      <c r="B730" s="31"/>
      <c r="C730" s="31"/>
      <c r="D730" s="32"/>
      <c r="F730" s="32"/>
      <c r="G730" s="41"/>
      <c r="H730" s="32"/>
      <c r="I730" s="41"/>
      <c r="J730" s="315"/>
      <c r="K730" s="315"/>
      <c r="L730" s="315"/>
    </row>
    <row r="731" spans="1:12" s="30" customFormat="1" x14ac:dyDescent="0.25">
      <c r="A731" s="36"/>
      <c r="B731" s="31"/>
      <c r="C731" s="31"/>
      <c r="D731" s="32"/>
      <c r="F731" s="32"/>
      <c r="G731" s="41"/>
      <c r="H731" s="32"/>
      <c r="I731" s="41"/>
      <c r="J731" s="315"/>
      <c r="K731" s="315"/>
      <c r="L731" s="315"/>
    </row>
    <row r="732" spans="1:12" s="30" customFormat="1" x14ac:dyDescent="0.25">
      <c r="A732" s="36"/>
      <c r="B732" s="31"/>
      <c r="C732" s="31"/>
      <c r="D732" s="32"/>
      <c r="F732" s="32"/>
      <c r="G732" s="41"/>
      <c r="H732" s="32"/>
      <c r="I732" s="41"/>
      <c r="J732" s="315"/>
      <c r="K732" s="315"/>
      <c r="L732" s="315"/>
    </row>
    <row r="733" spans="1:12" s="30" customFormat="1" x14ac:dyDescent="0.25">
      <c r="A733" s="36"/>
      <c r="B733" s="31"/>
      <c r="C733" s="31"/>
      <c r="D733" s="32"/>
      <c r="F733" s="32"/>
      <c r="G733" s="41"/>
      <c r="H733" s="32"/>
      <c r="I733" s="41"/>
      <c r="J733" s="315"/>
      <c r="K733" s="315"/>
      <c r="L733" s="315"/>
    </row>
    <row r="734" spans="1:12" s="30" customFormat="1" x14ac:dyDescent="0.25">
      <c r="A734" s="36"/>
      <c r="B734" s="31"/>
      <c r="C734" s="31"/>
      <c r="D734" s="32"/>
      <c r="F734" s="32"/>
      <c r="G734" s="41"/>
      <c r="H734" s="32"/>
      <c r="I734" s="41"/>
      <c r="J734" s="315"/>
      <c r="K734" s="315"/>
      <c r="L734" s="315"/>
    </row>
    <row r="735" spans="1:12" s="30" customFormat="1" x14ac:dyDescent="0.25">
      <c r="A735" s="36"/>
      <c r="B735" s="31"/>
      <c r="C735" s="31"/>
      <c r="D735" s="32"/>
      <c r="F735" s="32"/>
      <c r="G735" s="41"/>
      <c r="H735" s="32"/>
      <c r="I735" s="41"/>
      <c r="J735" s="315"/>
      <c r="K735" s="315"/>
      <c r="L735" s="315"/>
    </row>
    <row r="736" spans="1:12" s="30" customFormat="1" x14ac:dyDescent="0.25">
      <c r="A736" s="36"/>
      <c r="B736" s="31"/>
      <c r="C736" s="31"/>
      <c r="D736" s="32"/>
      <c r="F736" s="32"/>
      <c r="G736" s="41"/>
      <c r="H736" s="32"/>
      <c r="I736" s="41"/>
      <c r="J736" s="315"/>
      <c r="K736" s="315"/>
      <c r="L736" s="315"/>
    </row>
    <row r="737" spans="1:12" s="30" customFormat="1" x14ac:dyDescent="0.25">
      <c r="A737" s="36"/>
      <c r="B737" s="31"/>
      <c r="C737" s="31"/>
      <c r="D737" s="32"/>
      <c r="F737" s="32"/>
      <c r="G737" s="41"/>
      <c r="H737" s="32"/>
      <c r="I737" s="41"/>
      <c r="J737" s="315"/>
      <c r="K737" s="315"/>
      <c r="L737" s="315"/>
    </row>
    <row r="738" spans="1:12" s="30" customFormat="1" x14ac:dyDescent="0.25">
      <c r="A738" s="36"/>
      <c r="B738" s="31"/>
      <c r="C738" s="31"/>
      <c r="D738" s="32"/>
      <c r="F738" s="32"/>
      <c r="G738" s="41"/>
      <c r="H738" s="32"/>
      <c r="I738" s="41"/>
      <c r="J738" s="315"/>
      <c r="K738" s="315"/>
      <c r="L738" s="315"/>
    </row>
    <row r="739" spans="1:12" s="30" customFormat="1" x14ac:dyDescent="0.25">
      <c r="A739" s="36"/>
      <c r="B739" s="31"/>
      <c r="C739" s="31"/>
      <c r="D739" s="32"/>
      <c r="F739" s="32"/>
      <c r="G739" s="41"/>
      <c r="H739" s="32"/>
      <c r="I739" s="41"/>
      <c r="J739" s="315"/>
      <c r="K739" s="315"/>
      <c r="L739" s="315"/>
    </row>
    <row r="740" spans="1:12" s="30" customFormat="1" x14ac:dyDescent="0.25">
      <c r="A740" s="36"/>
      <c r="B740" s="31"/>
      <c r="C740" s="31"/>
      <c r="D740" s="32"/>
      <c r="F740" s="32"/>
      <c r="G740" s="41"/>
      <c r="H740" s="32"/>
      <c r="I740" s="41"/>
      <c r="J740" s="315"/>
      <c r="K740" s="315"/>
      <c r="L740" s="315"/>
    </row>
    <row r="741" spans="1:12" s="30" customFormat="1" x14ac:dyDescent="0.25">
      <c r="A741" s="36"/>
      <c r="B741" s="31"/>
      <c r="C741" s="31"/>
      <c r="D741" s="32"/>
      <c r="F741" s="32"/>
      <c r="G741" s="41"/>
      <c r="H741" s="32"/>
      <c r="I741" s="41"/>
      <c r="J741" s="315"/>
      <c r="K741" s="315"/>
      <c r="L741" s="315"/>
    </row>
    <row r="742" spans="1:12" s="30" customFormat="1" x14ac:dyDescent="0.25">
      <c r="A742" s="36"/>
      <c r="B742" s="31"/>
      <c r="C742" s="31"/>
      <c r="D742" s="32"/>
      <c r="F742" s="32"/>
      <c r="G742" s="41"/>
      <c r="H742" s="32"/>
      <c r="I742" s="41"/>
      <c r="J742" s="315"/>
      <c r="K742" s="315"/>
      <c r="L742" s="315"/>
    </row>
    <row r="743" spans="1:12" s="30" customFormat="1" x14ac:dyDescent="0.25">
      <c r="A743" s="36"/>
      <c r="B743" s="31"/>
      <c r="C743" s="31"/>
      <c r="D743" s="32"/>
      <c r="F743" s="32"/>
      <c r="G743" s="41"/>
      <c r="H743" s="32"/>
      <c r="I743" s="41"/>
      <c r="J743" s="315"/>
      <c r="K743" s="315"/>
      <c r="L743" s="315"/>
    </row>
    <row r="744" spans="1:12" s="30" customFormat="1" x14ac:dyDescent="0.25">
      <c r="A744" s="36"/>
      <c r="B744" s="31"/>
      <c r="C744" s="31"/>
      <c r="D744" s="32"/>
      <c r="F744" s="32"/>
      <c r="G744" s="41"/>
      <c r="H744" s="32"/>
      <c r="I744" s="41"/>
      <c r="J744" s="315"/>
      <c r="K744" s="315"/>
      <c r="L744" s="315"/>
    </row>
    <row r="745" spans="1:12" s="30" customFormat="1" x14ac:dyDescent="0.25">
      <c r="A745" s="36"/>
      <c r="B745" s="31"/>
      <c r="C745" s="31"/>
      <c r="D745" s="32"/>
      <c r="F745" s="32"/>
      <c r="G745" s="41"/>
      <c r="H745" s="32"/>
      <c r="I745" s="41"/>
      <c r="J745" s="315"/>
      <c r="K745" s="315"/>
      <c r="L745" s="315"/>
    </row>
    <row r="746" spans="1:12" s="30" customFormat="1" x14ac:dyDescent="0.25">
      <c r="A746" s="36"/>
      <c r="B746" s="31"/>
      <c r="C746" s="31"/>
      <c r="D746" s="32"/>
      <c r="F746" s="32"/>
      <c r="G746" s="41"/>
      <c r="H746" s="32"/>
      <c r="I746" s="41"/>
      <c r="J746" s="315"/>
      <c r="K746" s="315"/>
      <c r="L746" s="315"/>
    </row>
    <row r="747" spans="1:12" s="30" customFormat="1" x14ac:dyDescent="0.25">
      <c r="A747" s="36"/>
      <c r="B747" s="31"/>
      <c r="C747" s="31"/>
      <c r="D747" s="32"/>
      <c r="F747" s="32"/>
      <c r="G747" s="41"/>
      <c r="H747" s="32"/>
      <c r="I747" s="41"/>
      <c r="J747" s="315"/>
      <c r="K747" s="315"/>
      <c r="L747" s="315"/>
    </row>
    <row r="748" spans="1:12" s="30" customFormat="1" x14ac:dyDescent="0.25">
      <c r="A748" s="36"/>
      <c r="B748" s="31"/>
      <c r="C748" s="31"/>
      <c r="D748" s="32"/>
      <c r="F748" s="32"/>
      <c r="G748" s="41"/>
      <c r="H748" s="32"/>
      <c r="I748" s="41"/>
      <c r="J748" s="315"/>
      <c r="K748" s="315"/>
      <c r="L748" s="315"/>
    </row>
    <row r="749" spans="1:12" s="30" customFormat="1" x14ac:dyDescent="0.25">
      <c r="A749" s="36"/>
      <c r="B749" s="31"/>
      <c r="C749" s="31"/>
      <c r="D749" s="32"/>
      <c r="F749" s="32"/>
      <c r="G749" s="41"/>
      <c r="H749" s="32"/>
      <c r="I749" s="41"/>
      <c r="J749" s="315"/>
      <c r="K749" s="315"/>
      <c r="L749" s="315"/>
    </row>
    <row r="750" spans="1:12" s="30" customFormat="1" x14ac:dyDescent="0.25">
      <c r="A750" s="36"/>
      <c r="B750" s="31"/>
      <c r="C750" s="31"/>
      <c r="D750" s="32"/>
      <c r="F750" s="32"/>
      <c r="G750" s="41"/>
      <c r="H750" s="32"/>
      <c r="I750" s="41"/>
      <c r="J750" s="315"/>
      <c r="K750" s="315"/>
      <c r="L750" s="315"/>
    </row>
    <row r="751" spans="1:12" s="30" customFormat="1" x14ac:dyDescent="0.25">
      <c r="A751" s="36"/>
      <c r="B751" s="31"/>
      <c r="C751" s="31"/>
      <c r="D751" s="32"/>
      <c r="F751" s="32"/>
      <c r="G751" s="41"/>
      <c r="H751" s="32"/>
      <c r="I751" s="41"/>
      <c r="J751" s="315"/>
      <c r="K751" s="315"/>
      <c r="L751" s="315"/>
    </row>
    <row r="752" spans="1:12" s="30" customFormat="1" x14ac:dyDescent="0.25">
      <c r="A752" s="36"/>
      <c r="B752" s="31"/>
      <c r="C752" s="31"/>
      <c r="D752" s="32"/>
      <c r="F752" s="32"/>
      <c r="G752" s="41"/>
      <c r="H752" s="32"/>
      <c r="I752" s="41"/>
      <c r="J752" s="315"/>
      <c r="K752" s="315"/>
      <c r="L752" s="315"/>
    </row>
    <row r="753" spans="1:12" s="30" customFormat="1" x14ac:dyDescent="0.25">
      <c r="A753" s="36"/>
      <c r="B753" s="31"/>
      <c r="C753" s="31"/>
      <c r="D753" s="32"/>
      <c r="F753" s="32"/>
      <c r="G753" s="41"/>
      <c r="H753" s="32"/>
      <c r="I753" s="41"/>
      <c r="J753" s="315"/>
      <c r="K753" s="315"/>
      <c r="L753" s="315"/>
    </row>
    <row r="754" spans="1:12" s="30" customFormat="1" x14ac:dyDescent="0.25">
      <c r="A754" s="36"/>
      <c r="B754" s="31"/>
      <c r="C754" s="31"/>
      <c r="D754" s="32"/>
      <c r="F754" s="32"/>
      <c r="G754" s="41"/>
      <c r="H754" s="32"/>
      <c r="I754" s="41"/>
      <c r="J754" s="315"/>
      <c r="K754" s="315"/>
      <c r="L754" s="315"/>
    </row>
    <row r="755" spans="1:12" s="30" customFormat="1" x14ac:dyDescent="0.25">
      <c r="A755" s="36"/>
      <c r="B755" s="31"/>
      <c r="C755" s="31"/>
      <c r="D755" s="32"/>
      <c r="F755" s="32"/>
      <c r="G755" s="41"/>
      <c r="H755" s="32"/>
      <c r="I755" s="41"/>
      <c r="J755" s="315"/>
      <c r="K755" s="315"/>
      <c r="L755" s="315"/>
    </row>
    <row r="756" spans="1:12" s="30" customFormat="1" x14ac:dyDescent="0.25">
      <c r="A756" s="36"/>
      <c r="B756" s="31"/>
      <c r="C756" s="31"/>
      <c r="D756" s="32"/>
      <c r="F756" s="32"/>
      <c r="G756" s="41"/>
      <c r="H756" s="32"/>
      <c r="I756" s="41"/>
      <c r="J756" s="315"/>
      <c r="K756" s="315"/>
      <c r="L756" s="315"/>
    </row>
    <row r="757" spans="1:12" s="30" customFormat="1" x14ac:dyDescent="0.25">
      <c r="A757" s="36"/>
      <c r="B757" s="31"/>
      <c r="C757" s="31"/>
      <c r="D757" s="32"/>
      <c r="F757" s="32"/>
      <c r="G757" s="41"/>
      <c r="H757" s="32"/>
      <c r="I757" s="41"/>
      <c r="J757" s="315"/>
      <c r="K757" s="315"/>
      <c r="L757" s="315"/>
    </row>
    <row r="758" spans="1:12" s="30" customFormat="1" x14ac:dyDescent="0.25">
      <c r="A758" s="36"/>
      <c r="B758" s="31"/>
      <c r="C758" s="31"/>
      <c r="D758" s="32"/>
      <c r="F758" s="32"/>
      <c r="G758" s="41"/>
      <c r="H758" s="32"/>
      <c r="I758" s="41"/>
      <c r="J758" s="315"/>
      <c r="K758" s="315"/>
      <c r="L758" s="315"/>
    </row>
    <row r="759" spans="1:12" s="30" customFormat="1" x14ac:dyDescent="0.25">
      <c r="A759" s="36"/>
      <c r="B759" s="31"/>
      <c r="C759" s="31"/>
      <c r="D759" s="32"/>
      <c r="F759" s="32"/>
      <c r="G759" s="41"/>
      <c r="H759" s="32"/>
      <c r="I759" s="41"/>
      <c r="J759" s="315"/>
      <c r="K759" s="315"/>
      <c r="L759" s="315"/>
    </row>
    <row r="760" spans="1:12" s="30" customFormat="1" x14ac:dyDescent="0.25">
      <c r="A760" s="36"/>
      <c r="B760" s="31"/>
      <c r="C760" s="31"/>
      <c r="D760" s="32"/>
      <c r="F760" s="32"/>
      <c r="G760" s="41"/>
      <c r="H760" s="32"/>
      <c r="I760" s="41"/>
      <c r="J760" s="315"/>
      <c r="K760" s="315"/>
      <c r="L760" s="315"/>
    </row>
    <row r="761" spans="1:12" s="30" customFormat="1" x14ac:dyDescent="0.25">
      <c r="A761" s="36"/>
      <c r="B761" s="31"/>
      <c r="C761" s="31"/>
      <c r="D761" s="32"/>
      <c r="F761" s="32"/>
      <c r="G761" s="41"/>
      <c r="H761" s="32"/>
      <c r="I761" s="41"/>
      <c r="J761" s="315"/>
      <c r="K761" s="315"/>
      <c r="L761" s="315"/>
    </row>
    <row r="762" spans="1:12" s="30" customFormat="1" x14ac:dyDescent="0.25">
      <c r="A762" s="36"/>
      <c r="B762" s="31"/>
      <c r="C762" s="31"/>
      <c r="D762" s="32"/>
      <c r="F762" s="32"/>
      <c r="G762" s="41"/>
      <c r="H762" s="32"/>
      <c r="I762" s="41"/>
      <c r="J762" s="315"/>
      <c r="K762" s="315"/>
      <c r="L762" s="315"/>
    </row>
    <row r="763" spans="1:12" s="30" customFormat="1" x14ac:dyDescent="0.25">
      <c r="A763" s="36"/>
      <c r="B763" s="31"/>
      <c r="C763" s="31"/>
      <c r="D763" s="32"/>
      <c r="F763" s="32"/>
      <c r="G763" s="41"/>
      <c r="H763" s="32"/>
      <c r="I763" s="41"/>
      <c r="J763" s="315"/>
      <c r="K763" s="315"/>
      <c r="L763" s="315"/>
    </row>
    <row r="764" spans="1:12" s="30" customFormat="1" x14ac:dyDescent="0.25">
      <c r="A764" s="36"/>
      <c r="B764" s="31"/>
      <c r="C764" s="31"/>
      <c r="D764" s="32"/>
      <c r="F764" s="32"/>
      <c r="G764" s="41"/>
      <c r="H764" s="32"/>
      <c r="I764" s="41"/>
      <c r="J764" s="315"/>
      <c r="K764" s="315"/>
      <c r="L764" s="315"/>
    </row>
    <row r="765" spans="1:12" s="30" customFormat="1" x14ac:dyDescent="0.25">
      <c r="A765" s="36"/>
      <c r="B765" s="31"/>
      <c r="C765" s="31"/>
      <c r="D765" s="32"/>
      <c r="F765" s="32"/>
      <c r="G765" s="41"/>
      <c r="H765" s="32"/>
      <c r="I765" s="41"/>
      <c r="J765" s="315"/>
      <c r="K765" s="315"/>
      <c r="L765" s="315"/>
    </row>
    <row r="766" spans="1:12" s="30" customFormat="1" x14ac:dyDescent="0.25">
      <c r="A766" s="36"/>
      <c r="B766" s="31"/>
      <c r="C766" s="31"/>
      <c r="D766" s="32"/>
      <c r="F766" s="32"/>
      <c r="G766" s="41"/>
      <c r="H766" s="32"/>
      <c r="I766" s="41"/>
      <c r="J766" s="315"/>
      <c r="K766" s="315"/>
      <c r="L766" s="315"/>
    </row>
    <row r="767" spans="1:12" s="30" customFormat="1" x14ac:dyDescent="0.25">
      <c r="A767" s="36"/>
      <c r="B767" s="31"/>
      <c r="C767" s="31"/>
      <c r="D767" s="32"/>
      <c r="F767" s="32"/>
      <c r="G767" s="41"/>
      <c r="H767" s="32"/>
      <c r="I767" s="41"/>
      <c r="J767" s="315"/>
      <c r="K767" s="315"/>
      <c r="L767" s="315"/>
    </row>
    <row r="768" spans="1:12" s="30" customFormat="1" x14ac:dyDescent="0.25">
      <c r="A768" s="36"/>
      <c r="B768" s="31"/>
      <c r="C768" s="31"/>
      <c r="D768" s="32"/>
      <c r="F768" s="32"/>
      <c r="G768" s="41"/>
      <c r="H768" s="32"/>
      <c r="I768" s="41"/>
      <c r="J768" s="315"/>
      <c r="K768" s="315"/>
      <c r="L768" s="315"/>
    </row>
    <row r="769" spans="1:12" s="30" customFormat="1" x14ac:dyDescent="0.25">
      <c r="A769" s="36"/>
      <c r="B769" s="31"/>
      <c r="C769" s="31"/>
      <c r="D769" s="32"/>
      <c r="F769" s="32"/>
      <c r="G769" s="41"/>
      <c r="H769" s="32"/>
      <c r="I769" s="41"/>
      <c r="J769" s="315"/>
      <c r="K769" s="315"/>
      <c r="L769" s="315"/>
    </row>
    <row r="770" spans="1:12" s="30" customFormat="1" x14ac:dyDescent="0.25">
      <c r="A770" s="36"/>
      <c r="B770" s="31"/>
      <c r="C770" s="31"/>
      <c r="D770" s="32"/>
      <c r="F770" s="32"/>
      <c r="G770" s="41"/>
      <c r="H770" s="32"/>
      <c r="I770" s="41"/>
      <c r="J770" s="315"/>
      <c r="K770" s="315"/>
      <c r="L770" s="315"/>
    </row>
    <row r="771" spans="1:12" s="30" customFormat="1" x14ac:dyDescent="0.25">
      <c r="A771" s="36"/>
      <c r="B771" s="31"/>
      <c r="C771" s="31"/>
      <c r="D771" s="32"/>
      <c r="F771" s="32"/>
      <c r="G771" s="41"/>
      <c r="H771" s="32"/>
      <c r="I771" s="41"/>
      <c r="J771" s="315"/>
      <c r="K771" s="315"/>
      <c r="L771" s="315"/>
    </row>
    <row r="772" spans="1:12" s="30" customFormat="1" x14ac:dyDescent="0.25">
      <c r="A772" s="36"/>
      <c r="B772" s="31"/>
      <c r="C772" s="31"/>
      <c r="D772" s="32"/>
      <c r="F772" s="32"/>
      <c r="G772" s="41"/>
      <c r="H772" s="32"/>
      <c r="I772" s="41"/>
      <c r="J772" s="315"/>
      <c r="K772" s="315"/>
      <c r="L772" s="315"/>
    </row>
    <row r="773" spans="1:12" s="30" customFormat="1" x14ac:dyDescent="0.25">
      <c r="A773" s="36"/>
      <c r="B773" s="31"/>
      <c r="C773" s="31"/>
      <c r="D773" s="32"/>
      <c r="F773" s="32"/>
      <c r="G773" s="41"/>
      <c r="H773" s="32"/>
      <c r="I773" s="41"/>
      <c r="J773" s="315"/>
      <c r="K773" s="315"/>
      <c r="L773" s="315"/>
    </row>
    <row r="774" spans="1:12" s="30" customFormat="1" x14ac:dyDescent="0.25">
      <c r="A774" s="36"/>
      <c r="B774" s="31"/>
      <c r="C774" s="31"/>
      <c r="D774" s="32"/>
      <c r="F774" s="32"/>
      <c r="G774" s="41"/>
      <c r="H774" s="32"/>
      <c r="I774" s="41"/>
      <c r="J774" s="315"/>
      <c r="K774" s="315"/>
      <c r="L774" s="315"/>
    </row>
    <row r="775" spans="1:12" s="30" customFormat="1" x14ac:dyDescent="0.25">
      <c r="A775" s="36"/>
      <c r="B775" s="31"/>
      <c r="C775" s="31"/>
      <c r="D775" s="32"/>
      <c r="F775" s="32"/>
      <c r="G775" s="41"/>
      <c r="H775" s="32"/>
      <c r="I775" s="41"/>
      <c r="J775" s="315"/>
      <c r="K775" s="315"/>
      <c r="L775" s="315"/>
    </row>
    <row r="776" spans="1:12" s="30" customFormat="1" x14ac:dyDescent="0.25">
      <c r="A776" s="36"/>
      <c r="B776" s="31"/>
      <c r="C776" s="31"/>
      <c r="D776" s="32"/>
      <c r="F776" s="32"/>
      <c r="G776" s="41"/>
      <c r="H776" s="32"/>
      <c r="I776" s="41"/>
      <c r="J776" s="315"/>
      <c r="K776" s="315"/>
      <c r="L776" s="315"/>
    </row>
  </sheetData>
  <mergeCells count="3">
    <mergeCell ref="A8:C8"/>
    <mergeCell ref="A37:C37"/>
    <mergeCell ref="A38:C38"/>
  </mergeCells>
  <phoneticPr fontId="29"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B865AC-DE68-48B0-9D9E-B55DE67D7126}">
  <sheetPr>
    <tabColor rgb="FFFFFF00"/>
  </sheetPr>
  <dimension ref="A1:N38"/>
  <sheetViews>
    <sheetView topLeftCell="A14" zoomScale="90" zoomScaleNormal="90" workbookViewId="0">
      <selection activeCell="C34" sqref="C34"/>
    </sheetView>
    <sheetView workbookViewId="1"/>
  </sheetViews>
  <sheetFormatPr defaultRowHeight="15" x14ac:dyDescent="0.25"/>
  <cols>
    <col min="1" max="1" width="12.85546875" customWidth="1"/>
    <col min="2" max="2" width="30.5703125" style="63" customWidth="1"/>
    <col min="3" max="3" width="52.7109375" style="63" bestFit="1" customWidth="1"/>
    <col min="4" max="4" width="18.85546875" bestFit="1" customWidth="1"/>
    <col min="5" max="5" width="19.140625" customWidth="1"/>
    <col min="6" max="6" width="2" style="129" customWidth="1"/>
    <col min="7" max="7" width="19.140625" customWidth="1"/>
    <col min="8" max="8" width="1.85546875" style="129" customWidth="1"/>
    <col min="9" max="9" width="19.140625" customWidth="1"/>
    <col min="10" max="10" width="2" style="129" customWidth="1"/>
    <col min="11" max="11" width="19.140625" customWidth="1"/>
    <col min="12" max="12" width="2.140625" customWidth="1"/>
    <col min="13" max="13" width="27" customWidth="1"/>
    <col min="14" max="14" width="18.42578125" customWidth="1"/>
  </cols>
  <sheetData>
    <row r="1" spans="1:14" s="63" customFormat="1" ht="15.75" thickBot="1" x14ac:dyDescent="0.3">
      <c r="B1" s="126" t="s">
        <v>626</v>
      </c>
      <c r="C1" s="493" t="str">
        <f>'PRIME CPIF RATES (ALL)'!C1</f>
        <v>NAME</v>
      </c>
      <c r="F1" s="129"/>
      <c r="H1" s="129"/>
      <c r="J1" s="129"/>
    </row>
    <row r="2" spans="1:14" s="63" customFormat="1" x14ac:dyDescent="0.25">
      <c r="F2" s="129"/>
      <c r="H2" s="129"/>
      <c r="J2" s="129"/>
    </row>
    <row r="3" spans="1:14" s="63" customFormat="1" x14ac:dyDescent="0.25">
      <c r="B3" s="76" t="s">
        <v>404</v>
      </c>
      <c r="F3" s="129"/>
      <c r="H3" s="129"/>
      <c r="J3" s="129"/>
    </row>
    <row r="4" spans="1:14" x14ac:dyDescent="0.25">
      <c r="B4" s="76" t="s">
        <v>605</v>
      </c>
    </row>
    <row r="5" spans="1:14" s="63" customFormat="1" x14ac:dyDescent="0.25">
      <c r="B5" s="76" t="s">
        <v>468</v>
      </c>
      <c r="F5" s="129"/>
      <c r="H5" s="129"/>
      <c r="J5" s="129"/>
    </row>
    <row r="6" spans="1:14" x14ac:dyDescent="0.25">
      <c r="B6" s="76" t="s">
        <v>563</v>
      </c>
    </row>
    <row r="7" spans="1:14" ht="15.75" thickBot="1" x14ac:dyDescent="0.3"/>
    <row r="8" spans="1:14" s="63" customFormat="1" ht="46.5" customHeight="1" thickBot="1" x14ac:dyDescent="0.3">
      <c r="A8" s="557" t="s">
        <v>331</v>
      </c>
      <c r="B8" s="558"/>
      <c r="C8" s="559"/>
      <c r="D8" s="8"/>
      <c r="E8" s="355" t="s">
        <v>332</v>
      </c>
      <c r="F8" s="496"/>
      <c r="G8" s="355" t="s">
        <v>333</v>
      </c>
      <c r="H8" s="496"/>
      <c r="I8" s="355" t="s">
        <v>334</v>
      </c>
      <c r="J8" s="496"/>
      <c r="K8" s="355" t="s">
        <v>335</v>
      </c>
    </row>
    <row r="9" spans="1:14" ht="57.75" customHeight="1" thickBot="1" x14ac:dyDescent="0.3">
      <c r="A9" s="68" t="s">
        <v>450</v>
      </c>
      <c r="B9" s="68" t="s">
        <v>5</v>
      </c>
      <c r="C9" s="69"/>
      <c r="D9" s="98" t="s">
        <v>5</v>
      </c>
      <c r="E9" s="322" t="s">
        <v>628</v>
      </c>
      <c r="F9" s="497"/>
      <c r="G9" s="322" t="s">
        <v>628</v>
      </c>
      <c r="H9" s="497"/>
      <c r="I9" s="322" t="s">
        <v>628</v>
      </c>
      <c r="J9" s="497"/>
      <c r="K9" s="322" t="s">
        <v>628</v>
      </c>
      <c r="M9" s="370" t="s">
        <v>629</v>
      </c>
      <c r="N9" s="10"/>
    </row>
    <row r="10" spans="1:14" ht="16.5" thickBot="1" x14ac:dyDescent="0.3">
      <c r="A10" s="120" t="s">
        <v>109</v>
      </c>
      <c r="B10" s="119" t="s">
        <v>26</v>
      </c>
      <c r="C10" s="119"/>
      <c r="D10" s="99"/>
      <c r="E10" s="498"/>
      <c r="F10" s="498"/>
      <c r="G10" s="498"/>
      <c r="H10" s="498"/>
      <c r="I10" s="498"/>
      <c r="J10" s="498"/>
      <c r="K10" s="498"/>
      <c r="M10" s="366"/>
      <c r="N10" s="10"/>
    </row>
    <row r="11" spans="1:14" s="63" customFormat="1" x14ac:dyDescent="0.25">
      <c r="A11" s="122">
        <v>1.01</v>
      </c>
      <c r="B11" s="17"/>
      <c r="C11" s="125" t="s">
        <v>92</v>
      </c>
      <c r="D11" s="320" t="s">
        <v>68</v>
      </c>
      <c r="E11" s="357"/>
      <c r="F11" s="329"/>
      <c r="G11" s="357"/>
      <c r="H11" s="329"/>
      <c r="I11" s="357"/>
      <c r="J11" s="7"/>
      <c r="K11" s="357"/>
      <c r="L11" s="7"/>
      <c r="M11" s="367">
        <f t="shared" ref="M11:M22" si="0">E11+G11+I11+K11</f>
        <v>0</v>
      </c>
      <c r="N11" s="10"/>
    </row>
    <row r="12" spans="1:14" s="63" customFormat="1" x14ac:dyDescent="0.25">
      <c r="A12" s="121">
        <v>1.02</v>
      </c>
      <c r="B12" s="119"/>
      <c r="C12" s="125" t="s">
        <v>93</v>
      </c>
      <c r="D12" s="321" t="s">
        <v>68</v>
      </c>
      <c r="E12" s="357"/>
      <c r="F12" s="329"/>
      <c r="G12" s="357"/>
      <c r="H12" s="329"/>
      <c r="I12" s="357"/>
      <c r="J12" s="7"/>
      <c r="K12" s="357"/>
      <c r="L12" s="7"/>
      <c r="M12" s="368">
        <f t="shared" si="0"/>
        <v>0</v>
      </c>
      <c r="N12" s="10"/>
    </row>
    <row r="13" spans="1:14" s="63" customFormat="1" x14ac:dyDescent="0.25">
      <c r="A13" s="123">
        <v>1.03</v>
      </c>
      <c r="B13" s="65"/>
      <c r="C13" s="125" t="s">
        <v>94</v>
      </c>
      <c r="D13" s="313" t="s">
        <v>68</v>
      </c>
      <c r="E13" s="357"/>
      <c r="F13" s="329"/>
      <c r="G13" s="357"/>
      <c r="H13" s="329"/>
      <c r="I13" s="357"/>
      <c r="J13" s="7"/>
      <c r="K13" s="357"/>
      <c r="L13" s="7"/>
      <c r="M13" s="368">
        <f t="shared" si="0"/>
        <v>0</v>
      </c>
      <c r="N13" s="10"/>
    </row>
    <row r="14" spans="1:14" s="63" customFormat="1" x14ac:dyDescent="0.25">
      <c r="A14" s="122">
        <v>1.04</v>
      </c>
      <c r="B14" s="17"/>
      <c r="C14" s="125" t="s">
        <v>95</v>
      </c>
      <c r="D14" s="313" t="s">
        <v>68</v>
      </c>
      <c r="E14" s="357"/>
      <c r="F14" s="329"/>
      <c r="G14" s="357"/>
      <c r="H14" s="329"/>
      <c r="I14" s="357"/>
      <c r="J14" s="7"/>
      <c r="K14" s="357"/>
      <c r="L14" s="7"/>
      <c r="M14" s="368">
        <f t="shared" si="0"/>
        <v>0</v>
      </c>
      <c r="N14" s="10"/>
    </row>
    <row r="15" spans="1:14" s="63" customFormat="1" x14ac:dyDescent="0.25">
      <c r="A15" s="122">
        <v>1.05</v>
      </c>
      <c r="B15" s="17"/>
      <c r="C15" s="125" t="s">
        <v>96</v>
      </c>
      <c r="D15" s="313" t="s">
        <v>68</v>
      </c>
      <c r="E15" s="357"/>
      <c r="F15" s="329"/>
      <c r="G15" s="357"/>
      <c r="H15" s="329"/>
      <c r="I15" s="357"/>
      <c r="J15" s="7"/>
      <c r="K15" s="357"/>
      <c r="L15" s="7"/>
      <c r="M15" s="368">
        <f t="shared" si="0"/>
        <v>0</v>
      </c>
      <c r="N15" s="10"/>
    </row>
    <row r="16" spans="1:14" s="63" customFormat="1" x14ac:dyDescent="0.25">
      <c r="A16" s="122">
        <v>1.06</v>
      </c>
      <c r="B16" s="17"/>
      <c r="C16" s="125" t="s">
        <v>97</v>
      </c>
      <c r="D16" s="313" t="s">
        <v>68</v>
      </c>
      <c r="E16" s="357"/>
      <c r="F16" s="330"/>
      <c r="G16" s="357"/>
      <c r="H16" s="330"/>
      <c r="I16" s="357"/>
      <c r="J16" s="7"/>
      <c r="K16" s="357"/>
      <c r="L16" s="7"/>
      <c r="M16" s="368">
        <f t="shared" si="0"/>
        <v>0</v>
      </c>
      <c r="N16" s="10"/>
    </row>
    <row r="17" spans="1:14" s="63" customFormat="1" x14ac:dyDescent="0.25">
      <c r="A17" s="122">
        <v>1.07</v>
      </c>
      <c r="B17" s="17"/>
      <c r="C17" s="125" t="s">
        <v>98</v>
      </c>
      <c r="D17" s="313" t="s">
        <v>68</v>
      </c>
      <c r="E17" s="357"/>
      <c r="F17" s="330"/>
      <c r="G17" s="357"/>
      <c r="H17" s="330"/>
      <c r="I17" s="357"/>
      <c r="J17" s="7"/>
      <c r="K17" s="357"/>
      <c r="L17" s="7"/>
      <c r="M17" s="368">
        <f t="shared" si="0"/>
        <v>0</v>
      </c>
      <c r="N17" s="10"/>
    </row>
    <row r="18" spans="1:14" s="63" customFormat="1" x14ac:dyDescent="0.25">
      <c r="A18" s="122">
        <v>1.08</v>
      </c>
      <c r="B18" s="17"/>
      <c r="C18" s="125" t="s">
        <v>99</v>
      </c>
      <c r="D18" s="313" t="s">
        <v>68</v>
      </c>
      <c r="E18" s="357"/>
      <c r="F18" s="330"/>
      <c r="G18" s="357"/>
      <c r="H18" s="330"/>
      <c r="I18" s="357"/>
      <c r="J18" s="7"/>
      <c r="K18" s="357"/>
      <c r="L18" s="7"/>
      <c r="M18" s="368">
        <f t="shared" si="0"/>
        <v>0</v>
      </c>
      <c r="N18" s="10"/>
    </row>
    <row r="19" spans="1:14" s="63" customFormat="1" x14ac:dyDescent="0.25">
      <c r="A19" s="122">
        <v>1.0900000000000001</v>
      </c>
      <c r="B19" s="17"/>
      <c r="C19" s="125" t="s">
        <v>100</v>
      </c>
      <c r="D19" s="313" t="s">
        <v>68</v>
      </c>
      <c r="E19" s="357"/>
      <c r="F19" s="330"/>
      <c r="G19" s="357"/>
      <c r="H19" s="330"/>
      <c r="I19" s="357"/>
      <c r="J19" s="7"/>
      <c r="K19" s="357"/>
      <c r="L19" s="7"/>
      <c r="M19" s="368">
        <f t="shared" si="0"/>
        <v>0</v>
      </c>
      <c r="N19" s="10"/>
    </row>
    <row r="20" spans="1:14" s="63" customFormat="1" x14ac:dyDescent="0.25">
      <c r="A20" s="124">
        <v>1.1000000000000001</v>
      </c>
      <c r="B20" s="17"/>
      <c r="C20" s="125" t="s">
        <v>101</v>
      </c>
      <c r="D20" s="313" t="s">
        <v>68</v>
      </c>
      <c r="E20" s="357"/>
      <c r="F20" s="329"/>
      <c r="G20" s="357"/>
      <c r="H20" s="329"/>
      <c r="I20" s="357"/>
      <c r="J20" s="7"/>
      <c r="K20" s="357"/>
      <c r="L20" s="7"/>
      <c r="M20" s="368">
        <f t="shared" si="0"/>
        <v>0</v>
      </c>
      <c r="N20" s="10"/>
    </row>
    <row r="21" spans="1:14" s="63" customFormat="1" ht="15.75" thickBot="1" x14ac:dyDescent="0.3">
      <c r="A21" s="124">
        <v>1.1100000000000001</v>
      </c>
      <c r="B21" s="17"/>
      <c r="C21" s="363" t="s">
        <v>17</v>
      </c>
      <c r="D21" s="313" t="s">
        <v>68</v>
      </c>
      <c r="E21" s="357"/>
      <c r="F21" s="329"/>
      <c r="G21" s="357"/>
      <c r="H21" s="329"/>
      <c r="I21" s="357"/>
      <c r="J21" s="7"/>
      <c r="K21" s="357"/>
      <c r="L21" s="7"/>
      <c r="M21" s="369">
        <f t="shared" si="0"/>
        <v>0</v>
      </c>
      <c r="N21" s="10"/>
    </row>
    <row r="22" spans="1:14" ht="15.75" thickBot="1" x14ac:dyDescent="0.3">
      <c r="A22" s="124"/>
      <c r="B22" s="17"/>
      <c r="C22" s="375" t="s">
        <v>343</v>
      </c>
      <c r="D22" s="359"/>
      <c r="E22" s="2">
        <f>SUM(E11:E21)</f>
        <v>0</v>
      </c>
      <c r="F22" s="330"/>
      <c r="G22" s="2">
        <f>SUM(G11:G21)</f>
        <v>0</v>
      </c>
      <c r="H22" s="330"/>
      <c r="I22" s="2">
        <f>SUM(I11:I21)</f>
        <v>0</v>
      </c>
      <c r="J22" s="7"/>
      <c r="K22" s="2">
        <f>SUM(K11:K21)</f>
        <v>0</v>
      </c>
      <c r="L22" s="7"/>
      <c r="M22" s="376">
        <f t="shared" si="0"/>
        <v>0</v>
      </c>
      <c r="N22" s="10"/>
    </row>
    <row r="23" spans="1:14" s="63" customFormat="1" ht="15.75" thickBot="1" x14ac:dyDescent="0.3">
      <c r="A23" s="371" t="s">
        <v>109</v>
      </c>
      <c r="B23" s="119" t="s">
        <v>27</v>
      </c>
      <c r="C23" s="499"/>
      <c r="D23" s="362"/>
      <c r="E23" s="364"/>
      <c r="F23" s="330"/>
      <c r="G23" s="364"/>
      <c r="H23" s="330"/>
      <c r="I23" s="364"/>
      <c r="J23" s="7"/>
      <c r="K23" s="364"/>
      <c r="L23" s="7"/>
      <c r="M23" s="365"/>
      <c r="N23" s="315"/>
    </row>
    <row r="24" spans="1:14" s="63" customFormat="1" x14ac:dyDescent="0.25">
      <c r="A24" s="122">
        <v>1.01</v>
      </c>
      <c r="B24" s="17"/>
      <c r="C24" s="125" t="s">
        <v>102</v>
      </c>
      <c r="D24" s="313" t="s">
        <v>69</v>
      </c>
      <c r="E24" s="357"/>
      <c r="F24" s="330"/>
      <c r="G24" s="357"/>
      <c r="H24" s="330"/>
      <c r="I24" s="357"/>
      <c r="J24" s="7"/>
      <c r="K24" s="357"/>
      <c r="L24" s="7"/>
      <c r="M24" s="367">
        <f>E24+G24+I24+K24</f>
        <v>0</v>
      </c>
      <c r="N24" s="315"/>
    </row>
    <row r="25" spans="1:14" s="63" customFormat="1" x14ac:dyDescent="0.25">
      <c r="A25" s="372">
        <v>1.02</v>
      </c>
      <c r="B25" s="119"/>
      <c r="C25" s="125" t="s">
        <v>103</v>
      </c>
      <c r="D25" s="321" t="s">
        <v>69</v>
      </c>
      <c r="E25" s="357"/>
      <c r="F25" s="329"/>
      <c r="G25" s="357"/>
      <c r="H25" s="329"/>
      <c r="I25" s="357"/>
      <c r="J25" s="7"/>
      <c r="K25" s="357"/>
      <c r="L25" s="7"/>
      <c r="M25" s="368">
        <f t="shared" ref="M25:M26" si="1">E25+G25+I25+K25</f>
        <v>0</v>
      </c>
      <c r="N25" s="315"/>
    </row>
    <row r="26" spans="1:14" ht="15.75" thickBot="1" x14ac:dyDescent="0.3">
      <c r="A26" s="123">
        <v>1.03</v>
      </c>
      <c r="B26" s="65"/>
      <c r="C26" s="125" t="s">
        <v>104</v>
      </c>
      <c r="D26" s="313" t="s">
        <v>69</v>
      </c>
      <c r="E26" s="357"/>
      <c r="F26" s="329"/>
      <c r="G26" s="357"/>
      <c r="H26" s="329"/>
      <c r="I26" s="357"/>
      <c r="J26" s="7"/>
      <c r="K26" s="357"/>
      <c r="L26" s="7"/>
      <c r="M26" s="369">
        <f t="shared" si="1"/>
        <v>0</v>
      </c>
      <c r="N26" s="315"/>
    </row>
    <row r="27" spans="1:14" ht="15.75" thickBot="1" x14ac:dyDescent="0.3">
      <c r="A27" s="123"/>
      <c r="B27" s="65"/>
      <c r="C27" s="375" t="s">
        <v>349</v>
      </c>
      <c r="D27" s="359"/>
      <c r="E27" s="2">
        <f>E24+E25+E26</f>
        <v>0</v>
      </c>
      <c r="F27" s="330"/>
      <c r="G27" s="2">
        <f>G24+G25+G26</f>
        <v>0</v>
      </c>
      <c r="H27" s="330"/>
      <c r="I27" s="2">
        <f>I24+I25+I26</f>
        <v>0</v>
      </c>
      <c r="J27" s="7"/>
      <c r="K27" s="2">
        <f>K24+K25+K26</f>
        <v>0</v>
      </c>
      <c r="L27" s="7"/>
      <c r="M27" s="376">
        <f t="shared" ref="M27" si="2">E27+G27+I27+K27</f>
        <v>0</v>
      </c>
      <c r="N27" s="315"/>
    </row>
    <row r="28" spans="1:14" ht="17.25" customHeight="1" thickBot="1" x14ac:dyDescent="0.3">
      <c r="A28" s="371" t="s">
        <v>109</v>
      </c>
      <c r="B28" s="119" t="s">
        <v>105</v>
      </c>
      <c r="C28" s="119"/>
      <c r="D28" s="359"/>
      <c r="E28" s="364"/>
      <c r="F28" s="330"/>
      <c r="G28" s="364"/>
      <c r="H28" s="330"/>
      <c r="I28" s="364"/>
      <c r="J28" s="7"/>
      <c r="K28" s="364"/>
      <c r="L28" s="7"/>
      <c r="M28" s="365"/>
      <c r="N28" s="315"/>
    </row>
    <row r="29" spans="1:14" x14ac:dyDescent="0.25">
      <c r="A29" s="122">
        <v>1.01</v>
      </c>
      <c r="B29" s="17"/>
      <c r="C29" s="373" t="s">
        <v>160</v>
      </c>
      <c r="D29" s="500" t="s">
        <v>70</v>
      </c>
      <c r="E29" s="357"/>
      <c r="F29" s="330"/>
      <c r="G29" s="357"/>
      <c r="H29" s="330"/>
      <c r="I29" s="357"/>
      <c r="J29" s="7"/>
      <c r="K29" s="357"/>
      <c r="L29" s="7"/>
      <c r="M29" s="367">
        <f>E29+G29+I29+K29</f>
        <v>0</v>
      </c>
      <c r="N29" s="315"/>
    </row>
    <row r="30" spans="1:14" x14ac:dyDescent="0.25">
      <c r="A30" s="121">
        <v>1.02</v>
      </c>
      <c r="B30" s="119"/>
      <c r="C30" s="373" t="s">
        <v>161</v>
      </c>
      <c r="D30" s="500" t="s">
        <v>70</v>
      </c>
      <c r="E30" s="357"/>
      <c r="F30" s="330"/>
      <c r="G30" s="357"/>
      <c r="H30" s="330"/>
      <c r="I30" s="357"/>
      <c r="J30" s="7"/>
      <c r="K30" s="357"/>
      <c r="L30" s="7"/>
      <c r="M30" s="368">
        <f>E30+G30+I30+K30</f>
        <v>0</v>
      </c>
      <c r="N30" s="315"/>
    </row>
    <row r="31" spans="1:14" x14ac:dyDescent="0.25">
      <c r="A31" s="123">
        <v>1.03</v>
      </c>
      <c r="B31" s="65"/>
      <c r="C31" s="373" t="s">
        <v>162</v>
      </c>
      <c r="D31" s="500" t="s">
        <v>70</v>
      </c>
      <c r="E31" s="357"/>
      <c r="F31" s="329"/>
      <c r="G31" s="357"/>
      <c r="H31" s="329"/>
      <c r="I31" s="357"/>
      <c r="J31" s="7"/>
      <c r="K31" s="357"/>
      <c r="L31" s="7"/>
      <c r="M31" s="368">
        <f>E31+G31+I31+K31</f>
        <v>0</v>
      </c>
      <c r="N31" s="315"/>
    </row>
    <row r="32" spans="1:14" ht="15.75" thickBot="1" x14ac:dyDescent="0.3">
      <c r="A32" s="123">
        <v>1.04</v>
      </c>
      <c r="B32" s="65"/>
      <c r="C32" s="373" t="s">
        <v>106</v>
      </c>
      <c r="D32" s="500" t="s">
        <v>70</v>
      </c>
      <c r="E32" s="357"/>
      <c r="F32" s="329"/>
      <c r="G32" s="357"/>
      <c r="H32" s="329"/>
      <c r="I32" s="357"/>
      <c r="J32" s="7"/>
      <c r="K32" s="357"/>
      <c r="L32" s="7"/>
      <c r="M32" s="369">
        <f>E32+G32+I32+K32</f>
        <v>0</v>
      </c>
      <c r="N32" s="315"/>
    </row>
    <row r="33" spans="1:14" ht="15.75" thickBot="1" x14ac:dyDescent="0.3">
      <c r="A33" s="380"/>
      <c r="B33" s="381"/>
      <c r="C33" s="375" t="s">
        <v>350</v>
      </c>
      <c r="D33" s="359"/>
      <c r="E33" s="2">
        <f>E29+E30+E31+E32</f>
        <v>0</v>
      </c>
      <c r="F33" s="330"/>
      <c r="G33" s="2">
        <f>G29+G30+G31+G32</f>
        <v>0</v>
      </c>
      <c r="H33" s="330"/>
      <c r="I33" s="2">
        <f>I29+I30+I31+I32</f>
        <v>0</v>
      </c>
      <c r="J33" s="7"/>
      <c r="K33" s="2">
        <f>K29+K30+K31+K32</f>
        <v>0</v>
      </c>
      <c r="L33" s="7"/>
      <c r="M33" s="376">
        <f>E33+G33+I33+K33</f>
        <v>0</v>
      </c>
      <c r="N33" s="315"/>
    </row>
    <row r="34" spans="1:14" ht="15.75" thickBot="1" x14ac:dyDescent="0.3">
      <c r="D34" s="359"/>
      <c r="M34" s="365"/>
      <c r="N34" s="315"/>
    </row>
    <row r="35" spans="1:14" ht="30.75" thickBot="1" x14ac:dyDescent="0.3">
      <c r="E35" s="356">
        <f>E22+E27+E33</f>
        <v>0</v>
      </c>
      <c r="F35" s="22"/>
      <c r="G35" s="356">
        <f>G22+G27+G33</f>
        <v>0</v>
      </c>
      <c r="H35" s="22"/>
      <c r="I35" s="356">
        <f>I22+I27+I33</f>
        <v>0</v>
      </c>
      <c r="J35" s="139"/>
      <c r="K35" s="356">
        <f>K22+K27+K33</f>
        <v>0</v>
      </c>
      <c r="M35" s="90">
        <f>M22+M27+M33</f>
        <v>0</v>
      </c>
      <c r="N35" s="91" t="s">
        <v>629</v>
      </c>
    </row>
    <row r="36" spans="1:14" ht="15.75" thickBot="1" x14ac:dyDescent="0.3">
      <c r="M36" s="35"/>
      <c r="N36" s="30"/>
    </row>
    <row r="37" spans="1:14" ht="15.75" thickBot="1" x14ac:dyDescent="0.3">
      <c r="M37" s="90">
        <f>E37+G37+I37+K37</f>
        <v>0</v>
      </c>
      <c r="N37" s="91" t="s">
        <v>22</v>
      </c>
    </row>
    <row r="38" spans="1:14" x14ac:dyDescent="0.25">
      <c r="M38" s="44">
        <f>M35-M37</f>
        <v>0</v>
      </c>
      <c r="N38" s="45" t="s">
        <v>23</v>
      </c>
    </row>
  </sheetData>
  <mergeCells count="1">
    <mergeCell ref="A8:C8"/>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60AD96-AF9F-4094-AA5E-9EB48829C74C}">
  <dimension ref="A1:W760"/>
  <sheetViews>
    <sheetView tabSelected="1" zoomScaleNormal="100" workbookViewId="0">
      <pane xSplit="3" topLeftCell="D1" activePane="topRight" state="frozen"/>
      <selection pane="topRight" activeCell="F21" sqref="F21"/>
    </sheetView>
    <sheetView workbookViewId="1">
      <selection activeCell="F8" sqref="F8"/>
    </sheetView>
  </sheetViews>
  <sheetFormatPr defaultColWidth="9.140625" defaultRowHeight="15" x14ac:dyDescent="0.25"/>
  <cols>
    <col min="1" max="1" width="20.5703125" style="47" customWidth="1"/>
    <col min="2" max="2" width="23.5703125" style="48" bestFit="1" customWidth="1"/>
    <col min="3" max="3" width="52.28515625" style="48" bestFit="1" customWidth="1"/>
    <col min="4" max="4" width="7.5703125" style="5" customWidth="1"/>
    <col min="5" max="5" width="12.28515625" style="10" customWidth="1"/>
    <col min="6" max="6" width="15.7109375" style="10" customWidth="1"/>
    <col min="7" max="7" width="18.140625" style="10" customWidth="1"/>
    <col min="8" max="8" width="1.5703125" style="5" customWidth="1"/>
    <col min="9" max="9" width="12.28515625" style="10" bestFit="1" customWidth="1"/>
    <col min="10" max="10" width="15.7109375" style="49" customWidth="1"/>
    <col min="11" max="11" width="17" style="50" customWidth="1"/>
    <col min="12" max="12" width="1.42578125" style="5" customWidth="1"/>
    <col min="13" max="13" width="12.28515625" style="10" bestFit="1" customWidth="1"/>
    <col min="14" max="14" width="15.7109375" style="49" customWidth="1"/>
    <col min="15" max="15" width="18.42578125" style="50" customWidth="1"/>
    <col min="16" max="16" width="1.5703125" style="315" customWidth="1"/>
    <col min="17" max="17" width="9.85546875" style="315" customWidth="1"/>
    <col min="18" max="18" width="15.7109375" style="315" customWidth="1"/>
    <col min="19" max="19" width="18.7109375" style="315" customWidth="1"/>
    <col min="20" max="20" width="1.28515625" style="315" customWidth="1"/>
    <col min="21" max="21" width="22.7109375" style="10" customWidth="1"/>
    <col min="22" max="22" width="18.28515625" style="51" customWidth="1"/>
    <col min="23" max="23" width="15.7109375" style="10" customWidth="1"/>
    <col min="24" max="16384" width="9.140625" style="10"/>
  </cols>
  <sheetData>
    <row r="1" spans="1:22" ht="15.75" thickBot="1" x14ac:dyDescent="0.3">
      <c r="B1" s="126" t="s">
        <v>626</v>
      </c>
      <c r="C1" s="492" t="str">
        <f>'FFP CLINs X007-X021'!B1</f>
        <v>NAME</v>
      </c>
      <c r="J1" s="32"/>
      <c r="N1" s="32"/>
      <c r="V1" s="30"/>
    </row>
    <row r="2" spans="1:22" x14ac:dyDescent="0.25">
      <c r="A2" s="126"/>
      <c r="B2" s="270"/>
      <c r="C2" s="270"/>
      <c r="J2" s="32"/>
      <c r="N2" s="32"/>
      <c r="V2" s="30"/>
    </row>
    <row r="3" spans="1:22" x14ac:dyDescent="0.25">
      <c r="A3" s="402" t="s">
        <v>470</v>
      </c>
      <c r="B3" s="270"/>
      <c r="C3" s="270"/>
      <c r="J3" s="32"/>
      <c r="N3" s="32"/>
      <c r="V3" s="30"/>
    </row>
    <row r="4" spans="1:22" ht="15.75" thickBot="1" x14ac:dyDescent="0.3">
      <c r="J4" s="32"/>
      <c r="N4" s="32"/>
      <c r="V4" s="30"/>
    </row>
    <row r="5" spans="1:22" ht="48" customHeight="1" thickBot="1" x14ac:dyDescent="0.3">
      <c r="A5" s="557" t="s">
        <v>358</v>
      </c>
      <c r="B5" s="558"/>
      <c r="C5" s="559"/>
      <c r="D5" s="8"/>
      <c r="E5" s="571" t="s">
        <v>291</v>
      </c>
      <c r="F5" s="572"/>
      <c r="G5" s="573"/>
      <c r="H5" s="8"/>
      <c r="I5" s="571" t="s">
        <v>305</v>
      </c>
      <c r="J5" s="572"/>
      <c r="K5" s="573"/>
      <c r="L5" s="8"/>
      <c r="M5" s="571" t="s">
        <v>292</v>
      </c>
      <c r="N5" s="572"/>
      <c r="O5" s="573"/>
      <c r="P5" s="7"/>
      <c r="Q5" s="571" t="s">
        <v>293</v>
      </c>
      <c r="R5" s="572"/>
      <c r="S5" s="573"/>
      <c r="T5" s="7"/>
      <c r="U5" s="8"/>
      <c r="V5" s="9"/>
    </row>
    <row r="6" spans="1:22" ht="45" x14ac:dyDescent="0.25">
      <c r="A6" s="430" t="s">
        <v>443</v>
      </c>
      <c r="B6" s="68" t="s">
        <v>5</v>
      </c>
      <c r="C6" s="69"/>
      <c r="D6" s="98" t="s">
        <v>150</v>
      </c>
      <c r="E6" s="103" t="s">
        <v>254</v>
      </c>
      <c r="F6" s="72" t="s">
        <v>11</v>
      </c>
      <c r="G6" s="322" t="s">
        <v>330</v>
      </c>
      <c r="H6" s="328"/>
      <c r="I6" s="103" t="s">
        <v>254</v>
      </c>
      <c r="J6" s="72" t="s">
        <v>11</v>
      </c>
      <c r="K6" s="322" t="s">
        <v>330</v>
      </c>
      <c r="L6" s="328"/>
      <c r="M6" s="103" t="s">
        <v>254</v>
      </c>
      <c r="N6" s="14" t="s">
        <v>11</v>
      </c>
      <c r="O6" s="322" t="s">
        <v>330</v>
      </c>
      <c r="P6" s="7"/>
      <c r="Q6" s="103" t="s">
        <v>254</v>
      </c>
      <c r="R6" s="14" t="s">
        <v>11</v>
      </c>
      <c r="S6" s="322" t="s">
        <v>330</v>
      </c>
      <c r="T6" s="7"/>
      <c r="U6" s="94" t="s">
        <v>336</v>
      </c>
      <c r="V6" s="10"/>
    </row>
    <row r="7" spans="1:22" ht="15.75" x14ac:dyDescent="0.25">
      <c r="A7" s="120" t="s">
        <v>109</v>
      </c>
      <c r="B7" s="119" t="s">
        <v>26</v>
      </c>
      <c r="C7" s="119" t="s">
        <v>256</v>
      </c>
      <c r="D7" s="99"/>
      <c r="E7" s="103"/>
      <c r="F7" s="72"/>
      <c r="G7" s="322"/>
      <c r="H7" s="328"/>
      <c r="I7" s="103"/>
      <c r="J7" s="72"/>
      <c r="K7" s="322"/>
      <c r="L7" s="328"/>
      <c r="M7" s="104"/>
      <c r="N7" s="14"/>
      <c r="O7" s="105"/>
      <c r="P7" s="7"/>
      <c r="Q7" s="104"/>
      <c r="R7" s="14"/>
      <c r="S7" s="105"/>
      <c r="T7" s="7"/>
      <c r="U7" s="95"/>
      <c r="V7" s="10"/>
    </row>
    <row r="8" spans="1:22" x14ac:dyDescent="0.25">
      <c r="A8" s="122">
        <v>1.01</v>
      </c>
      <c r="B8" s="17"/>
      <c r="C8" s="125" t="s">
        <v>92</v>
      </c>
      <c r="D8" s="320" t="s">
        <v>68</v>
      </c>
      <c r="E8" s="323">
        <v>1</v>
      </c>
      <c r="F8" s="89">
        <f>'CPIF CLIN 0001-TASK 1.01 INPUTS'!E79</f>
        <v>0</v>
      </c>
      <c r="G8" s="106">
        <f t="shared" ref="G8:G18" si="0">ROUND(E8*F8,2)</f>
        <v>0</v>
      </c>
      <c r="H8" s="329"/>
      <c r="I8" s="323">
        <v>1</v>
      </c>
      <c r="J8" s="89">
        <f>'CPIF CLIN 0001-TASK 1.01 INPUTS'!I79</f>
        <v>0</v>
      </c>
      <c r="K8" s="106">
        <f t="shared" ref="K8:K18" si="1">ROUND(I8*J8,2)</f>
        <v>0</v>
      </c>
      <c r="L8" s="329"/>
      <c r="M8" s="323">
        <v>1</v>
      </c>
      <c r="N8" s="89">
        <f>'CPIF CLIN 0001-TASK 1.01 INPUTS'!M79</f>
        <v>0</v>
      </c>
      <c r="O8" s="106">
        <f t="shared" ref="O8:O18" si="2">ROUND(M8*N8,2)</f>
        <v>0</v>
      </c>
      <c r="P8" s="7"/>
      <c r="Q8" s="323">
        <v>1</v>
      </c>
      <c r="R8" s="89">
        <f>'CPIF CLIN 0001-TASK 1.01 INPUTS'!Q79</f>
        <v>0</v>
      </c>
      <c r="S8" s="106">
        <f t="shared" ref="S8:S18" si="3">ROUND(Q8*R8,2)</f>
        <v>0</v>
      </c>
      <c r="T8" s="7"/>
      <c r="U8" s="19">
        <f t="shared" ref="U8:U18" si="4">G8+K8+O8+S8</f>
        <v>0</v>
      </c>
      <c r="V8" s="10"/>
    </row>
    <row r="9" spans="1:22" x14ac:dyDescent="0.25">
      <c r="A9" s="121">
        <v>1.02</v>
      </c>
      <c r="B9" s="119"/>
      <c r="C9" s="125" t="s">
        <v>93</v>
      </c>
      <c r="D9" s="321" t="s">
        <v>68</v>
      </c>
      <c r="E9" s="323">
        <v>1</v>
      </c>
      <c r="F9" s="89">
        <f>'CPIF CLIN 0001-TASK 1.02 INPUTS'!E77</f>
        <v>0</v>
      </c>
      <c r="G9" s="106">
        <f t="shared" si="0"/>
        <v>0</v>
      </c>
      <c r="H9" s="329"/>
      <c r="I9" s="323">
        <v>1</v>
      </c>
      <c r="J9" s="89">
        <f>'CPIF CLIN 0001-TASK 1.02 INPUTS'!I77</f>
        <v>0</v>
      </c>
      <c r="K9" s="106">
        <f t="shared" si="1"/>
        <v>0</v>
      </c>
      <c r="L9" s="329"/>
      <c r="M9" s="323">
        <v>1</v>
      </c>
      <c r="N9" s="89">
        <f>'CPIF CLIN 0001-TASK 1.02 INPUTS'!M77</f>
        <v>0</v>
      </c>
      <c r="O9" s="106">
        <f t="shared" si="2"/>
        <v>0</v>
      </c>
      <c r="P9" s="7"/>
      <c r="Q9" s="323">
        <v>1</v>
      </c>
      <c r="R9" s="89">
        <f>'CPIF CLIN 0001-TASK 1.02 INPUTS'!Q77</f>
        <v>0</v>
      </c>
      <c r="S9" s="106">
        <f t="shared" si="3"/>
        <v>0</v>
      </c>
      <c r="T9" s="7"/>
      <c r="U9" s="19">
        <f t="shared" si="4"/>
        <v>0</v>
      </c>
      <c r="V9" s="10"/>
    </row>
    <row r="10" spans="1:22" x14ac:dyDescent="0.25">
      <c r="A10" s="123">
        <v>1.03</v>
      </c>
      <c r="B10" s="65"/>
      <c r="C10" s="125" t="s">
        <v>94</v>
      </c>
      <c r="D10" s="313" t="s">
        <v>68</v>
      </c>
      <c r="E10" s="323">
        <v>1</v>
      </c>
      <c r="F10" s="89">
        <f>'CPIF CLIN 0001-TASK 1.03 INPUTS'!E77</f>
        <v>0</v>
      </c>
      <c r="G10" s="106">
        <f t="shared" si="0"/>
        <v>0</v>
      </c>
      <c r="H10" s="329"/>
      <c r="I10" s="323">
        <v>1</v>
      </c>
      <c r="J10" s="89">
        <f>'CPIF CLIN 0001-TASK 1.03 INPUTS'!I77</f>
        <v>0</v>
      </c>
      <c r="K10" s="106">
        <f t="shared" si="1"/>
        <v>0</v>
      </c>
      <c r="L10" s="329"/>
      <c r="M10" s="323">
        <v>1</v>
      </c>
      <c r="N10" s="89">
        <f>'CPIF CLIN 0001-TASK 1.03 INPUTS'!M77</f>
        <v>0</v>
      </c>
      <c r="O10" s="106">
        <f t="shared" si="2"/>
        <v>0</v>
      </c>
      <c r="P10" s="7"/>
      <c r="Q10" s="323">
        <v>1</v>
      </c>
      <c r="R10" s="89">
        <f>'CPIF CLIN 0001-TASK 1.03 INPUTS'!Q77</f>
        <v>0</v>
      </c>
      <c r="S10" s="106">
        <f t="shared" si="3"/>
        <v>0</v>
      </c>
      <c r="T10" s="7"/>
      <c r="U10" s="19">
        <f t="shared" si="4"/>
        <v>0</v>
      </c>
      <c r="V10" s="10"/>
    </row>
    <row r="11" spans="1:22" x14ac:dyDescent="0.25">
      <c r="A11" s="122">
        <v>1.04</v>
      </c>
      <c r="B11" s="17"/>
      <c r="C11" s="125" t="s">
        <v>95</v>
      </c>
      <c r="D11" s="313" t="s">
        <v>68</v>
      </c>
      <c r="E11" s="323">
        <v>1</v>
      </c>
      <c r="F11" s="89">
        <f>'CPIF CLIN 0001 TASK 1.04 INPUTS'!E77</f>
        <v>0</v>
      </c>
      <c r="G11" s="106">
        <f t="shared" si="0"/>
        <v>0</v>
      </c>
      <c r="H11" s="329"/>
      <c r="I11" s="323">
        <v>1</v>
      </c>
      <c r="J11" s="89">
        <f>'CPIF CLIN 0001 TASK 1.04 INPUTS'!I77</f>
        <v>0</v>
      </c>
      <c r="K11" s="106">
        <f t="shared" si="1"/>
        <v>0</v>
      </c>
      <c r="L11" s="329"/>
      <c r="M11" s="323">
        <v>1</v>
      </c>
      <c r="N11" s="89">
        <f>'CPIF CLIN 0001 TASK 1.04 INPUTS'!M77</f>
        <v>0</v>
      </c>
      <c r="O11" s="106">
        <f t="shared" si="2"/>
        <v>0</v>
      </c>
      <c r="P11" s="7"/>
      <c r="Q11" s="323">
        <v>1</v>
      </c>
      <c r="R11" s="89">
        <f>'CPIF CLIN 0001 TASK 1.04 INPUTS'!Q77</f>
        <v>0</v>
      </c>
      <c r="S11" s="106">
        <f t="shared" si="3"/>
        <v>0</v>
      </c>
      <c r="T11" s="7"/>
      <c r="U11" s="19">
        <f t="shared" si="4"/>
        <v>0</v>
      </c>
      <c r="V11" s="10"/>
    </row>
    <row r="12" spans="1:22" x14ac:dyDescent="0.25">
      <c r="A12" s="122">
        <v>1.05</v>
      </c>
      <c r="B12" s="17"/>
      <c r="C12" s="125" t="s">
        <v>96</v>
      </c>
      <c r="D12" s="313" t="s">
        <v>68</v>
      </c>
      <c r="E12" s="323">
        <v>1</v>
      </c>
      <c r="F12" s="89">
        <f>'CPIF CLIN 0001-TASK 1.05 INPUTS'!E77</f>
        <v>0</v>
      </c>
      <c r="G12" s="106">
        <f t="shared" si="0"/>
        <v>0</v>
      </c>
      <c r="H12" s="329"/>
      <c r="I12" s="323">
        <v>1</v>
      </c>
      <c r="J12" s="89">
        <f>'CPIF CLIN 0001-TASK 1.05 INPUTS'!I77</f>
        <v>0</v>
      </c>
      <c r="K12" s="106">
        <f t="shared" si="1"/>
        <v>0</v>
      </c>
      <c r="L12" s="329"/>
      <c r="M12" s="323">
        <v>1</v>
      </c>
      <c r="N12" s="89">
        <f>'CPIF CLIN 0001-TASK 1.05 INPUTS'!M77</f>
        <v>0</v>
      </c>
      <c r="O12" s="106">
        <f t="shared" si="2"/>
        <v>0</v>
      </c>
      <c r="P12" s="7"/>
      <c r="Q12" s="323">
        <v>1</v>
      </c>
      <c r="R12" s="89">
        <f>'CPIF CLIN 0001-TASK 1.05 INPUTS'!Q77</f>
        <v>0</v>
      </c>
      <c r="S12" s="106">
        <f t="shared" si="3"/>
        <v>0</v>
      </c>
      <c r="T12" s="7"/>
      <c r="U12" s="19">
        <f t="shared" si="4"/>
        <v>0</v>
      </c>
      <c r="V12" s="10"/>
    </row>
    <row r="13" spans="1:22" x14ac:dyDescent="0.25">
      <c r="A13" s="122">
        <v>1.06</v>
      </c>
      <c r="B13" s="17"/>
      <c r="C13" s="125" t="s">
        <v>97</v>
      </c>
      <c r="D13" s="313" t="s">
        <v>68</v>
      </c>
      <c r="E13" s="323">
        <v>1</v>
      </c>
      <c r="F13" s="89">
        <f>'CPIF CLIN 0001-TASK 1.06 INPUTS'!E77</f>
        <v>0</v>
      </c>
      <c r="G13" s="106">
        <f t="shared" si="0"/>
        <v>0</v>
      </c>
      <c r="H13" s="330"/>
      <c r="I13" s="325">
        <v>1</v>
      </c>
      <c r="J13" s="89">
        <f>'CPIF CLIN 0001-TASK 1.06 INPUTS'!I77</f>
        <v>0</v>
      </c>
      <c r="K13" s="106">
        <f t="shared" si="1"/>
        <v>0</v>
      </c>
      <c r="L13" s="330"/>
      <c r="M13" s="325">
        <v>1</v>
      </c>
      <c r="N13" s="89">
        <f>'CPIF CLIN 0001-TASK 1.06 INPUTS'!M77</f>
        <v>0</v>
      </c>
      <c r="O13" s="106">
        <f t="shared" si="2"/>
        <v>0</v>
      </c>
      <c r="P13" s="7"/>
      <c r="Q13" s="325">
        <v>1</v>
      </c>
      <c r="R13" s="89">
        <f>'CPIF CLIN 0001-TASK 1.06 INPUTS'!Q77</f>
        <v>0</v>
      </c>
      <c r="S13" s="106">
        <f t="shared" si="3"/>
        <v>0</v>
      </c>
      <c r="T13" s="7"/>
      <c r="U13" s="19">
        <f t="shared" si="4"/>
        <v>0</v>
      </c>
      <c r="V13" s="10"/>
    </row>
    <row r="14" spans="1:22" x14ac:dyDescent="0.25">
      <c r="A14" s="122">
        <v>1.07</v>
      </c>
      <c r="B14" s="17"/>
      <c r="C14" s="125" t="s">
        <v>98</v>
      </c>
      <c r="D14" s="313" t="s">
        <v>68</v>
      </c>
      <c r="E14" s="323">
        <v>1</v>
      </c>
      <c r="F14" s="89">
        <f>'CPIF CLIN 0001-TASK 1.07 INPUTS'!E77</f>
        <v>0</v>
      </c>
      <c r="G14" s="106">
        <f t="shared" si="0"/>
        <v>0</v>
      </c>
      <c r="H14" s="330"/>
      <c r="I14" s="325">
        <v>1</v>
      </c>
      <c r="J14" s="89">
        <f>'CPIF CLIN 0001-TASK 1.07 INPUTS'!I77</f>
        <v>0</v>
      </c>
      <c r="K14" s="106">
        <f t="shared" si="1"/>
        <v>0</v>
      </c>
      <c r="L14" s="330"/>
      <c r="M14" s="325">
        <v>1</v>
      </c>
      <c r="N14" s="89">
        <f>'CPIF CLIN 0001-TASK 1.07 INPUTS'!M77</f>
        <v>0</v>
      </c>
      <c r="O14" s="106">
        <f t="shared" si="2"/>
        <v>0</v>
      </c>
      <c r="P14" s="7"/>
      <c r="Q14" s="325">
        <v>1</v>
      </c>
      <c r="R14" s="89">
        <f>'CPIF CLIN 0001-TASK 1.07 INPUTS'!Q77</f>
        <v>0</v>
      </c>
      <c r="S14" s="106">
        <f t="shared" si="3"/>
        <v>0</v>
      </c>
      <c r="T14" s="7"/>
      <c r="U14" s="19">
        <f t="shared" si="4"/>
        <v>0</v>
      </c>
      <c r="V14" s="10"/>
    </row>
    <row r="15" spans="1:22" x14ac:dyDescent="0.25">
      <c r="A15" s="122">
        <v>1.08</v>
      </c>
      <c r="B15" s="17"/>
      <c r="C15" s="125" t="s">
        <v>99</v>
      </c>
      <c r="D15" s="313" t="s">
        <v>68</v>
      </c>
      <c r="E15" s="323">
        <v>1</v>
      </c>
      <c r="F15" s="89">
        <f>'CPIF CLIN 0001-TASK 1.08 INPUTS'!E77</f>
        <v>0</v>
      </c>
      <c r="G15" s="106">
        <f t="shared" si="0"/>
        <v>0</v>
      </c>
      <c r="H15" s="330"/>
      <c r="I15" s="325">
        <v>1</v>
      </c>
      <c r="J15" s="89">
        <f>'CPIF CLIN 0001-TASK 1.08 INPUTS'!I77</f>
        <v>0</v>
      </c>
      <c r="K15" s="106">
        <f t="shared" si="1"/>
        <v>0</v>
      </c>
      <c r="L15" s="330"/>
      <c r="M15" s="325">
        <v>1</v>
      </c>
      <c r="N15" s="89">
        <f>'CPIF CLIN 0001-TASK 1.08 INPUTS'!M77</f>
        <v>0</v>
      </c>
      <c r="O15" s="106">
        <f t="shared" si="2"/>
        <v>0</v>
      </c>
      <c r="P15" s="7"/>
      <c r="Q15" s="325">
        <v>1</v>
      </c>
      <c r="R15" s="89">
        <f>'CPIF CLIN 0001-TASK 1.08 INPUTS'!Q77</f>
        <v>0</v>
      </c>
      <c r="S15" s="106">
        <f t="shared" si="3"/>
        <v>0</v>
      </c>
      <c r="T15" s="7"/>
      <c r="U15" s="19">
        <f t="shared" si="4"/>
        <v>0</v>
      </c>
      <c r="V15" s="10"/>
    </row>
    <row r="16" spans="1:22" x14ac:dyDescent="0.25">
      <c r="A16" s="122">
        <v>1.0900000000000001</v>
      </c>
      <c r="B16" s="17"/>
      <c r="C16" s="125" t="s">
        <v>100</v>
      </c>
      <c r="D16" s="313" t="s">
        <v>68</v>
      </c>
      <c r="E16" s="323">
        <v>1</v>
      </c>
      <c r="F16" s="89">
        <f>'CPIF CLIN 0001-TASK 1.09 INPUTS'!E77</f>
        <v>0</v>
      </c>
      <c r="G16" s="106">
        <f t="shared" si="0"/>
        <v>0</v>
      </c>
      <c r="H16" s="330"/>
      <c r="I16" s="325">
        <v>1</v>
      </c>
      <c r="J16" s="89">
        <f>'CPIF CLIN 0001-TASK 1.09 INPUTS'!I77</f>
        <v>0</v>
      </c>
      <c r="K16" s="106">
        <f t="shared" si="1"/>
        <v>0</v>
      </c>
      <c r="L16" s="330"/>
      <c r="M16" s="325">
        <v>1</v>
      </c>
      <c r="N16" s="89">
        <f>'CPIF CLIN 0001-TASK 1.09 INPUTS'!M77</f>
        <v>0</v>
      </c>
      <c r="O16" s="106">
        <f t="shared" si="2"/>
        <v>0</v>
      </c>
      <c r="P16" s="7"/>
      <c r="Q16" s="325">
        <v>1</v>
      </c>
      <c r="R16" s="89">
        <f>'CPIF CLIN 0001-TASK 1.09 INPUTS'!Q77</f>
        <v>0</v>
      </c>
      <c r="S16" s="106">
        <f t="shared" si="3"/>
        <v>0</v>
      </c>
      <c r="T16" s="7"/>
      <c r="U16" s="19">
        <f t="shared" si="4"/>
        <v>0</v>
      </c>
      <c r="V16" s="10"/>
    </row>
    <row r="17" spans="1:23" x14ac:dyDescent="0.25">
      <c r="A17" s="124">
        <v>1.1000000000000001</v>
      </c>
      <c r="B17" s="17"/>
      <c r="C17" s="125" t="s">
        <v>442</v>
      </c>
      <c r="D17" s="313" t="s">
        <v>68</v>
      </c>
      <c r="E17" s="323">
        <v>1</v>
      </c>
      <c r="F17" s="89">
        <f>'CPIF CLIN 0001-TASK 1.10 INPUTS'!E77</f>
        <v>0</v>
      </c>
      <c r="G17" s="106">
        <f t="shared" si="0"/>
        <v>0</v>
      </c>
      <c r="H17" s="329"/>
      <c r="I17" s="323">
        <v>1</v>
      </c>
      <c r="J17" s="89">
        <f>'CPIF CLIN 0001-TASK 1.10 INPUTS'!I77</f>
        <v>0</v>
      </c>
      <c r="K17" s="106">
        <f t="shared" si="1"/>
        <v>0</v>
      </c>
      <c r="L17" s="329"/>
      <c r="M17" s="323">
        <v>1</v>
      </c>
      <c r="N17" s="89">
        <f>'CPIF CLIN 0001-TASK 1.10 INPUTS'!M77</f>
        <v>0</v>
      </c>
      <c r="O17" s="106">
        <f t="shared" si="2"/>
        <v>0</v>
      </c>
      <c r="P17" s="7"/>
      <c r="Q17" s="323">
        <v>1</v>
      </c>
      <c r="R17" s="89">
        <f>'CPIF CLIN 0001-TASK 1.10 INPUTS'!Q77</f>
        <v>0</v>
      </c>
      <c r="S17" s="106">
        <f t="shared" si="3"/>
        <v>0</v>
      </c>
      <c r="T17" s="7"/>
      <c r="U17" s="19">
        <f t="shared" si="4"/>
        <v>0</v>
      </c>
      <c r="V17" s="10"/>
    </row>
    <row r="18" spans="1:23" ht="15.75" thickBot="1" x14ac:dyDescent="0.3">
      <c r="A18" s="122">
        <v>1.1100000000000001</v>
      </c>
      <c r="B18" s="17"/>
      <c r="C18" s="125" t="s">
        <v>17</v>
      </c>
      <c r="D18" s="313" t="s">
        <v>68</v>
      </c>
      <c r="E18" s="324">
        <v>1</v>
      </c>
      <c r="F18" s="110">
        <f>'CPIF CLIN 0001-TASK 1.11 INPUTS'!E77</f>
        <v>0</v>
      </c>
      <c r="G18" s="111">
        <f t="shared" si="0"/>
        <v>0</v>
      </c>
      <c r="H18" s="320"/>
      <c r="I18" s="324">
        <v>1</v>
      </c>
      <c r="J18" s="110">
        <f>'CPIF CLIN 0001-TASK 1.11 INPUTS'!I77</f>
        <v>0</v>
      </c>
      <c r="K18" s="111">
        <f t="shared" si="1"/>
        <v>0</v>
      </c>
      <c r="L18" s="329"/>
      <c r="M18" s="324">
        <v>1</v>
      </c>
      <c r="N18" s="110">
        <f>'CPIF CLIN 0001-TASK 1.11 INPUTS'!M77</f>
        <v>0</v>
      </c>
      <c r="O18" s="111">
        <f t="shared" si="2"/>
        <v>0</v>
      </c>
      <c r="P18" s="7"/>
      <c r="Q18" s="324">
        <v>1</v>
      </c>
      <c r="R18" s="110">
        <f>'CPIF CLIN 0001-TASK 1.11 INPUTS'!Q77</f>
        <v>0</v>
      </c>
      <c r="S18" s="111">
        <f t="shared" si="3"/>
        <v>0</v>
      </c>
      <c r="T18" s="7"/>
      <c r="U18" s="19">
        <f t="shared" si="4"/>
        <v>0</v>
      </c>
      <c r="V18" s="10"/>
    </row>
    <row r="19" spans="1:23" ht="31.5" customHeight="1" thickBot="1" x14ac:dyDescent="0.3">
      <c r="A19" s="7"/>
      <c r="B19" s="21"/>
      <c r="C19" s="11"/>
      <c r="D19" s="22"/>
      <c r="E19" s="20"/>
      <c r="F19" s="327" t="s">
        <v>337</v>
      </c>
      <c r="G19" s="102">
        <f>SUM(G8:G18)</f>
        <v>0</v>
      </c>
      <c r="H19" s="22"/>
      <c r="J19" s="327" t="s">
        <v>338</v>
      </c>
      <c r="K19" s="102">
        <f>SUM(K8:K18)</f>
        <v>0</v>
      </c>
      <c r="L19" s="22"/>
      <c r="M19" s="46"/>
      <c r="N19" s="101" t="s">
        <v>339</v>
      </c>
      <c r="O19" s="326">
        <f>SUM(O8:O18)</f>
        <v>0</v>
      </c>
      <c r="P19" s="139"/>
      <c r="Q19" s="46"/>
      <c r="R19" s="101" t="s">
        <v>340</v>
      </c>
      <c r="S19" s="326">
        <f>SUM(S8:S18)</f>
        <v>0</v>
      </c>
      <c r="T19" s="139"/>
      <c r="U19" s="90">
        <f>SUM(U8:U18)</f>
        <v>0</v>
      </c>
      <c r="V19" s="91" t="s">
        <v>336</v>
      </c>
      <c r="W19" s="30"/>
    </row>
    <row r="20" spans="1:23" s="30" customFormat="1" ht="15.75" thickBot="1" x14ac:dyDescent="0.3">
      <c r="B20" s="197"/>
      <c r="C20" s="198"/>
      <c r="D20" s="32"/>
      <c r="H20" s="32"/>
      <c r="J20" s="33"/>
      <c r="K20" s="34"/>
      <c r="L20" s="32"/>
      <c r="M20" s="35"/>
      <c r="N20" s="33"/>
      <c r="O20" s="34"/>
      <c r="P20" s="319"/>
      <c r="Q20" s="319"/>
      <c r="R20" s="319"/>
      <c r="S20" s="319"/>
      <c r="T20" s="319"/>
      <c r="U20" s="35"/>
    </row>
    <row r="21" spans="1:23" s="30" customFormat="1" ht="39.75" customHeight="1" thickBot="1" x14ac:dyDescent="0.3">
      <c r="A21" s="613"/>
      <c r="B21" s="613"/>
      <c r="C21" s="613"/>
      <c r="D21" s="32"/>
      <c r="H21" s="32"/>
      <c r="J21" s="32"/>
      <c r="K21" s="41"/>
      <c r="L21" s="32"/>
      <c r="N21" s="32"/>
      <c r="O21" s="41"/>
      <c r="P21" s="315"/>
      <c r="Q21" s="315"/>
      <c r="R21" s="315"/>
      <c r="S21" s="315"/>
      <c r="T21" s="315"/>
      <c r="U21" s="90">
        <f>G19+K19+O19+S19</f>
        <v>0</v>
      </c>
      <c r="V21" s="91" t="s">
        <v>22</v>
      </c>
    </row>
    <row r="22" spans="1:23" s="30" customFormat="1" ht="27.75" customHeight="1" x14ac:dyDescent="0.25">
      <c r="A22" s="613" t="s">
        <v>5</v>
      </c>
      <c r="B22" s="613"/>
      <c r="C22" s="613"/>
      <c r="D22" s="32"/>
      <c r="H22" s="32"/>
      <c r="J22" s="32"/>
      <c r="K22" s="41"/>
      <c r="L22" s="32"/>
      <c r="N22" s="32"/>
      <c r="O22" s="41"/>
      <c r="P22" s="315"/>
      <c r="Q22" s="315"/>
      <c r="R22" s="315"/>
      <c r="S22" s="315"/>
      <c r="T22" s="315"/>
      <c r="U22" s="44">
        <f>U19-U21</f>
        <v>0</v>
      </c>
      <c r="V22" s="45" t="s">
        <v>23</v>
      </c>
    </row>
    <row r="23" spans="1:23" s="30" customFormat="1" x14ac:dyDescent="0.25">
      <c r="A23" s="36"/>
      <c r="B23" s="31"/>
      <c r="C23" s="31"/>
      <c r="D23" s="32"/>
      <c r="H23" s="32"/>
      <c r="J23" s="32"/>
      <c r="K23" s="41"/>
      <c r="L23" s="32"/>
      <c r="N23" s="32"/>
      <c r="O23" s="41"/>
      <c r="P23" s="315"/>
      <c r="Q23" s="315"/>
      <c r="R23" s="315"/>
      <c r="S23" s="315"/>
      <c r="T23" s="315"/>
    </row>
    <row r="24" spans="1:23" s="30" customFormat="1" x14ac:dyDescent="0.25">
      <c r="A24" s="36"/>
      <c r="B24" s="31"/>
      <c r="C24" s="31"/>
      <c r="D24" s="32"/>
      <c r="H24" s="32"/>
      <c r="J24" s="32"/>
      <c r="K24" s="41"/>
      <c r="L24" s="32"/>
      <c r="N24" s="32"/>
      <c r="O24" s="41"/>
      <c r="P24" s="315"/>
      <c r="Q24" s="315"/>
      <c r="R24" s="315"/>
      <c r="S24" s="315"/>
      <c r="T24" s="315"/>
    </row>
    <row r="25" spans="1:23" s="30" customFormat="1" x14ac:dyDescent="0.25">
      <c r="A25" s="36"/>
      <c r="B25" s="31"/>
      <c r="C25" s="31"/>
      <c r="D25" s="32"/>
      <c r="H25" s="32"/>
      <c r="J25" s="32"/>
      <c r="K25" s="41"/>
      <c r="L25" s="32"/>
      <c r="N25" s="32"/>
      <c r="O25" s="41"/>
      <c r="P25" s="315"/>
      <c r="Q25" s="315"/>
      <c r="R25" s="315"/>
      <c r="S25" s="315"/>
      <c r="T25" s="315"/>
    </row>
    <row r="26" spans="1:23" s="30" customFormat="1" x14ac:dyDescent="0.25">
      <c r="A26" s="36"/>
      <c r="B26" s="31"/>
      <c r="C26" s="31"/>
      <c r="D26" s="32"/>
      <c r="H26" s="32"/>
      <c r="J26" s="32"/>
      <c r="K26" s="41"/>
      <c r="L26" s="32"/>
      <c r="N26" s="32"/>
      <c r="O26" s="41"/>
      <c r="P26" s="315"/>
      <c r="Q26" s="315"/>
      <c r="R26" s="315"/>
      <c r="S26" s="315"/>
      <c r="T26" s="315"/>
    </row>
    <row r="27" spans="1:23" s="30" customFormat="1" x14ac:dyDescent="0.25">
      <c r="A27" s="36"/>
      <c r="B27" s="31"/>
      <c r="C27" s="31"/>
      <c r="D27" s="32"/>
      <c r="H27" s="32"/>
      <c r="J27" s="32"/>
      <c r="K27" s="41"/>
      <c r="L27" s="32"/>
      <c r="N27" s="32"/>
      <c r="O27" s="41"/>
      <c r="P27" s="315"/>
      <c r="Q27" s="315"/>
      <c r="R27" s="315"/>
      <c r="S27" s="315"/>
      <c r="T27" s="315"/>
    </row>
    <row r="28" spans="1:23" s="30" customFormat="1" x14ac:dyDescent="0.25">
      <c r="A28" s="36"/>
      <c r="B28" s="31"/>
      <c r="C28" s="31"/>
      <c r="D28" s="32"/>
      <c r="H28" s="32"/>
      <c r="J28" s="32"/>
      <c r="K28" s="41"/>
      <c r="L28" s="32"/>
      <c r="N28" s="32"/>
      <c r="O28" s="41"/>
      <c r="P28" s="315"/>
      <c r="Q28" s="315"/>
      <c r="R28" s="315"/>
      <c r="S28" s="315"/>
      <c r="T28" s="315"/>
    </row>
    <row r="29" spans="1:23" s="30" customFormat="1" x14ac:dyDescent="0.25">
      <c r="A29" s="36"/>
      <c r="B29" s="31"/>
      <c r="C29" s="31"/>
      <c r="D29" s="32"/>
      <c r="H29" s="32"/>
      <c r="J29" s="32"/>
      <c r="K29" s="41"/>
      <c r="L29" s="32"/>
      <c r="N29" s="32"/>
      <c r="O29" s="41"/>
      <c r="P29" s="315"/>
      <c r="Q29" s="315"/>
      <c r="R29" s="315"/>
      <c r="S29" s="315"/>
      <c r="T29" s="315"/>
    </row>
    <row r="30" spans="1:23" s="30" customFormat="1" x14ac:dyDescent="0.25">
      <c r="A30" s="36"/>
      <c r="B30" s="31"/>
      <c r="C30" s="31"/>
      <c r="D30" s="32"/>
      <c r="H30" s="32"/>
      <c r="J30" s="32"/>
      <c r="K30" s="41"/>
      <c r="L30" s="32"/>
      <c r="N30" s="32"/>
      <c r="O30" s="41"/>
      <c r="P30" s="315"/>
      <c r="Q30" s="315"/>
      <c r="R30" s="315"/>
      <c r="S30" s="315"/>
      <c r="T30" s="315"/>
    </row>
    <row r="31" spans="1:23" s="30" customFormat="1" x14ac:dyDescent="0.25">
      <c r="A31" s="36"/>
      <c r="B31" s="31"/>
      <c r="C31" s="31"/>
      <c r="D31" s="32"/>
      <c r="H31" s="32"/>
      <c r="J31" s="32"/>
      <c r="K31" s="41"/>
      <c r="L31" s="32"/>
      <c r="N31" s="32"/>
      <c r="O31" s="41"/>
      <c r="P31" s="315"/>
      <c r="Q31" s="315"/>
      <c r="R31" s="315"/>
      <c r="S31" s="315"/>
      <c r="T31" s="315"/>
    </row>
    <row r="32" spans="1:23" s="30" customFormat="1" x14ac:dyDescent="0.25">
      <c r="A32" s="36"/>
      <c r="B32" s="31"/>
      <c r="C32" s="31"/>
      <c r="D32" s="32"/>
      <c r="H32" s="32"/>
      <c r="J32" s="32"/>
      <c r="K32" s="41"/>
      <c r="L32" s="32"/>
      <c r="N32" s="32"/>
      <c r="O32" s="41"/>
      <c r="P32" s="315"/>
      <c r="Q32" s="315"/>
      <c r="R32" s="315"/>
      <c r="S32" s="315"/>
      <c r="T32" s="315"/>
    </row>
    <row r="33" spans="1:20" s="30" customFormat="1" x14ac:dyDescent="0.25">
      <c r="A33" s="36"/>
      <c r="B33" s="31"/>
      <c r="C33" s="31"/>
      <c r="D33" s="32"/>
      <c r="H33" s="32"/>
      <c r="J33" s="32"/>
      <c r="K33" s="41"/>
      <c r="L33" s="32"/>
      <c r="N33" s="32"/>
      <c r="O33" s="41"/>
      <c r="P33" s="315"/>
      <c r="Q33" s="315"/>
      <c r="R33" s="315"/>
      <c r="S33" s="315"/>
      <c r="T33" s="315"/>
    </row>
    <row r="34" spans="1:20" s="30" customFormat="1" x14ac:dyDescent="0.25">
      <c r="A34" s="36"/>
      <c r="B34" s="31"/>
      <c r="C34" s="31"/>
      <c r="D34" s="32"/>
      <c r="H34" s="32"/>
      <c r="J34" s="32"/>
      <c r="K34" s="41"/>
      <c r="L34" s="32"/>
      <c r="N34" s="32"/>
      <c r="O34" s="41"/>
      <c r="P34" s="315"/>
      <c r="Q34" s="315"/>
      <c r="R34" s="315"/>
      <c r="S34" s="315"/>
      <c r="T34" s="315"/>
    </row>
    <row r="35" spans="1:20" s="30" customFormat="1" x14ac:dyDescent="0.25">
      <c r="A35" s="36"/>
      <c r="B35" s="31"/>
      <c r="C35" s="31"/>
      <c r="D35" s="32"/>
      <c r="H35" s="32"/>
      <c r="J35" s="32"/>
      <c r="K35" s="41"/>
      <c r="L35" s="32"/>
      <c r="N35" s="32"/>
      <c r="O35" s="41"/>
      <c r="P35" s="315"/>
      <c r="Q35" s="315"/>
      <c r="R35" s="315"/>
      <c r="S35" s="315"/>
      <c r="T35" s="315"/>
    </row>
    <row r="36" spans="1:20" s="30" customFormat="1" x14ac:dyDescent="0.25">
      <c r="A36" s="36"/>
      <c r="B36" s="31"/>
      <c r="C36" s="31"/>
      <c r="D36" s="32"/>
      <c r="H36" s="32"/>
      <c r="J36" s="32"/>
      <c r="K36" s="41"/>
      <c r="L36" s="32"/>
      <c r="N36" s="32"/>
      <c r="O36" s="41"/>
      <c r="P36" s="315"/>
      <c r="Q36" s="315"/>
      <c r="R36" s="315"/>
      <c r="S36" s="315"/>
      <c r="T36" s="315"/>
    </row>
    <row r="37" spans="1:20" s="30" customFormat="1" x14ac:dyDescent="0.25">
      <c r="A37" s="36"/>
      <c r="B37" s="31"/>
      <c r="C37" s="31"/>
      <c r="D37" s="32"/>
      <c r="H37" s="32"/>
      <c r="J37" s="32"/>
      <c r="K37" s="41"/>
      <c r="L37" s="32"/>
      <c r="N37" s="32"/>
      <c r="O37" s="41"/>
      <c r="P37" s="315"/>
      <c r="Q37" s="315"/>
      <c r="R37" s="315"/>
      <c r="S37" s="315"/>
      <c r="T37" s="315"/>
    </row>
    <row r="38" spans="1:20" s="30" customFormat="1" x14ac:dyDescent="0.25">
      <c r="A38" s="36"/>
      <c r="B38" s="31"/>
      <c r="C38" s="31"/>
      <c r="D38" s="32"/>
      <c r="H38" s="32"/>
      <c r="J38" s="32"/>
      <c r="K38" s="41"/>
      <c r="L38" s="32"/>
      <c r="N38" s="32"/>
      <c r="O38" s="41"/>
      <c r="P38" s="315"/>
      <c r="Q38" s="315"/>
      <c r="R38" s="315"/>
      <c r="S38" s="315"/>
      <c r="T38" s="315"/>
    </row>
    <row r="39" spans="1:20" s="30" customFormat="1" x14ac:dyDescent="0.25">
      <c r="A39" s="36"/>
      <c r="B39" s="31"/>
      <c r="C39" s="31"/>
      <c r="D39" s="32"/>
      <c r="H39" s="32"/>
      <c r="J39" s="32"/>
      <c r="K39" s="41"/>
      <c r="L39" s="32"/>
      <c r="N39" s="32"/>
      <c r="O39" s="41"/>
      <c r="P39" s="315"/>
      <c r="Q39" s="315"/>
      <c r="R39" s="315"/>
      <c r="S39" s="315"/>
      <c r="T39" s="315"/>
    </row>
    <row r="40" spans="1:20" s="30" customFormat="1" x14ac:dyDescent="0.25">
      <c r="A40" s="36"/>
      <c r="B40" s="31"/>
      <c r="C40" s="31"/>
      <c r="D40" s="32"/>
      <c r="H40" s="32"/>
      <c r="J40" s="32"/>
      <c r="K40" s="41"/>
      <c r="L40" s="32"/>
      <c r="N40" s="32"/>
      <c r="O40" s="41"/>
      <c r="P40" s="315"/>
      <c r="Q40" s="315"/>
      <c r="R40" s="315"/>
      <c r="S40" s="315"/>
      <c r="T40" s="315"/>
    </row>
    <row r="41" spans="1:20" s="30" customFormat="1" x14ac:dyDescent="0.25">
      <c r="A41" s="36"/>
      <c r="B41" s="31"/>
      <c r="C41" s="31"/>
      <c r="D41" s="32"/>
      <c r="H41" s="32"/>
      <c r="J41" s="32"/>
      <c r="K41" s="41"/>
      <c r="L41" s="32"/>
      <c r="N41" s="32"/>
      <c r="O41" s="41"/>
      <c r="P41" s="315"/>
      <c r="Q41" s="315"/>
      <c r="R41" s="315"/>
      <c r="S41" s="315"/>
      <c r="T41" s="315"/>
    </row>
    <row r="42" spans="1:20" s="30" customFormat="1" x14ac:dyDescent="0.25">
      <c r="A42" s="36"/>
      <c r="B42" s="31"/>
      <c r="C42" s="31"/>
      <c r="D42" s="32"/>
      <c r="H42" s="32"/>
      <c r="J42" s="32"/>
      <c r="K42" s="41"/>
      <c r="L42" s="32"/>
      <c r="N42" s="32"/>
      <c r="O42" s="41"/>
      <c r="P42" s="315"/>
      <c r="Q42" s="315"/>
      <c r="R42" s="315"/>
      <c r="S42" s="315"/>
      <c r="T42" s="315"/>
    </row>
    <row r="43" spans="1:20" s="30" customFormat="1" x14ac:dyDescent="0.25">
      <c r="A43" s="36"/>
      <c r="B43" s="31"/>
      <c r="C43" s="31"/>
      <c r="D43" s="32"/>
      <c r="H43" s="32"/>
      <c r="J43" s="32"/>
      <c r="K43" s="41"/>
      <c r="L43" s="32"/>
      <c r="N43" s="32"/>
      <c r="O43" s="41"/>
      <c r="P43" s="315"/>
      <c r="Q43" s="315"/>
      <c r="R43" s="315"/>
      <c r="S43" s="315"/>
      <c r="T43" s="315"/>
    </row>
    <row r="44" spans="1:20" s="30" customFormat="1" x14ac:dyDescent="0.25">
      <c r="A44" s="36"/>
      <c r="B44" s="31"/>
      <c r="C44" s="31"/>
      <c r="D44" s="32"/>
      <c r="H44" s="32"/>
      <c r="J44" s="32"/>
      <c r="K44" s="41"/>
      <c r="L44" s="32"/>
      <c r="N44" s="32"/>
      <c r="O44" s="41"/>
      <c r="P44" s="315"/>
      <c r="Q44" s="315"/>
      <c r="R44" s="315"/>
      <c r="S44" s="315"/>
      <c r="T44" s="315"/>
    </row>
    <row r="45" spans="1:20" s="30" customFormat="1" x14ac:dyDescent="0.25">
      <c r="A45" s="36"/>
      <c r="B45" s="31"/>
      <c r="C45" s="31"/>
      <c r="D45" s="32"/>
      <c r="H45" s="32"/>
      <c r="J45" s="32"/>
      <c r="K45" s="41"/>
      <c r="L45" s="32"/>
      <c r="N45" s="32"/>
      <c r="O45" s="41"/>
      <c r="P45" s="315"/>
      <c r="Q45" s="315"/>
      <c r="R45" s="315"/>
      <c r="S45" s="315"/>
      <c r="T45" s="315"/>
    </row>
    <row r="46" spans="1:20" s="30" customFormat="1" x14ac:dyDescent="0.25">
      <c r="A46" s="36"/>
      <c r="B46" s="31"/>
      <c r="C46" s="31"/>
      <c r="D46" s="32"/>
      <c r="H46" s="32"/>
      <c r="J46" s="32"/>
      <c r="K46" s="41"/>
      <c r="L46" s="32"/>
      <c r="N46" s="32"/>
      <c r="O46" s="41"/>
      <c r="P46" s="315"/>
      <c r="Q46" s="315"/>
      <c r="R46" s="315"/>
      <c r="S46" s="315"/>
      <c r="T46" s="315"/>
    </row>
    <row r="47" spans="1:20" s="30" customFormat="1" x14ac:dyDescent="0.25">
      <c r="A47" s="36"/>
      <c r="B47" s="31"/>
      <c r="C47" s="31"/>
      <c r="D47" s="32"/>
      <c r="H47" s="32"/>
      <c r="J47" s="32"/>
      <c r="K47" s="41"/>
      <c r="L47" s="32"/>
      <c r="N47" s="32"/>
      <c r="O47" s="41"/>
      <c r="P47" s="315"/>
      <c r="Q47" s="315"/>
      <c r="R47" s="315"/>
      <c r="S47" s="315"/>
      <c r="T47" s="315"/>
    </row>
    <row r="48" spans="1:20" s="30" customFormat="1" x14ac:dyDescent="0.25">
      <c r="A48" s="36"/>
      <c r="B48" s="31"/>
      <c r="C48" s="31"/>
      <c r="D48" s="32"/>
      <c r="H48" s="32"/>
      <c r="J48" s="32"/>
      <c r="K48" s="41"/>
      <c r="L48" s="32"/>
      <c r="N48" s="32"/>
      <c r="O48" s="41"/>
      <c r="P48" s="315"/>
      <c r="Q48" s="315"/>
      <c r="R48" s="315"/>
      <c r="S48" s="315"/>
      <c r="T48" s="315"/>
    </row>
    <row r="49" spans="1:20" s="30" customFormat="1" x14ac:dyDescent="0.25">
      <c r="A49" s="36"/>
      <c r="B49" s="31"/>
      <c r="C49" s="31"/>
      <c r="D49" s="32"/>
      <c r="H49" s="32"/>
      <c r="J49" s="32"/>
      <c r="K49" s="41"/>
      <c r="L49" s="32"/>
      <c r="N49" s="32"/>
      <c r="O49" s="41"/>
      <c r="P49" s="315"/>
      <c r="Q49" s="315"/>
      <c r="R49" s="315"/>
      <c r="S49" s="315"/>
      <c r="T49" s="315"/>
    </row>
    <row r="50" spans="1:20" s="30" customFormat="1" x14ac:dyDescent="0.25">
      <c r="A50" s="36"/>
      <c r="B50" s="31"/>
      <c r="C50" s="31"/>
      <c r="D50" s="32"/>
      <c r="H50" s="32"/>
      <c r="J50" s="32"/>
      <c r="K50" s="41"/>
      <c r="L50" s="32"/>
      <c r="N50" s="32"/>
      <c r="O50" s="41"/>
      <c r="P50" s="315"/>
      <c r="Q50" s="315"/>
      <c r="R50" s="315"/>
      <c r="S50" s="315"/>
      <c r="T50" s="315"/>
    </row>
    <row r="51" spans="1:20" s="30" customFormat="1" x14ac:dyDescent="0.25">
      <c r="A51" s="36"/>
      <c r="B51" s="31"/>
      <c r="C51" s="31"/>
      <c r="D51" s="32"/>
      <c r="H51" s="32"/>
      <c r="J51" s="32"/>
      <c r="K51" s="41"/>
      <c r="L51" s="32"/>
      <c r="N51" s="32"/>
      <c r="O51" s="41"/>
      <c r="P51" s="315"/>
      <c r="Q51" s="315"/>
      <c r="R51" s="315"/>
      <c r="S51" s="315"/>
      <c r="T51" s="315"/>
    </row>
    <row r="52" spans="1:20" s="30" customFormat="1" x14ac:dyDescent="0.25">
      <c r="A52" s="36"/>
      <c r="B52" s="31"/>
      <c r="C52" s="31"/>
      <c r="D52" s="32"/>
      <c r="H52" s="32"/>
      <c r="J52" s="32"/>
      <c r="K52" s="41"/>
      <c r="L52" s="32"/>
      <c r="N52" s="32"/>
      <c r="O52" s="41"/>
      <c r="P52" s="315"/>
      <c r="Q52" s="315"/>
      <c r="R52" s="315"/>
      <c r="S52" s="315"/>
      <c r="T52" s="315"/>
    </row>
    <row r="53" spans="1:20" s="30" customFormat="1" x14ac:dyDescent="0.25">
      <c r="A53" s="36"/>
      <c r="B53" s="31"/>
      <c r="C53" s="31"/>
      <c r="D53" s="32"/>
      <c r="H53" s="32"/>
      <c r="J53" s="32"/>
      <c r="K53" s="41"/>
      <c r="L53" s="32"/>
      <c r="N53" s="32"/>
      <c r="O53" s="41"/>
      <c r="P53" s="315"/>
      <c r="Q53" s="315"/>
      <c r="R53" s="315"/>
      <c r="S53" s="315"/>
      <c r="T53" s="315"/>
    </row>
    <row r="54" spans="1:20" s="30" customFormat="1" x14ac:dyDescent="0.25">
      <c r="A54" s="36"/>
      <c r="B54" s="31"/>
      <c r="C54" s="31"/>
      <c r="D54" s="32"/>
      <c r="H54" s="32"/>
      <c r="J54" s="32"/>
      <c r="K54" s="41"/>
      <c r="L54" s="32"/>
      <c r="N54" s="32"/>
      <c r="O54" s="41"/>
      <c r="P54" s="315"/>
      <c r="Q54" s="315"/>
      <c r="R54" s="315"/>
      <c r="S54" s="315"/>
      <c r="T54" s="315"/>
    </row>
    <row r="55" spans="1:20" s="30" customFormat="1" x14ac:dyDescent="0.25">
      <c r="A55" s="36"/>
      <c r="B55" s="31"/>
      <c r="C55" s="31"/>
      <c r="D55" s="32"/>
      <c r="H55" s="32"/>
      <c r="J55" s="32"/>
      <c r="K55" s="41"/>
      <c r="L55" s="32"/>
      <c r="N55" s="32"/>
      <c r="O55" s="41"/>
      <c r="P55" s="315"/>
      <c r="Q55" s="315"/>
      <c r="R55" s="315"/>
      <c r="S55" s="315"/>
      <c r="T55" s="315"/>
    </row>
    <row r="56" spans="1:20" s="30" customFormat="1" x14ac:dyDescent="0.25">
      <c r="A56" s="36"/>
      <c r="B56" s="31"/>
      <c r="C56" s="31"/>
      <c r="D56" s="32"/>
      <c r="H56" s="32"/>
      <c r="J56" s="32"/>
      <c r="K56" s="41"/>
      <c r="L56" s="32"/>
      <c r="N56" s="32"/>
      <c r="O56" s="41"/>
      <c r="P56" s="315"/>
      <c r="Q56" s="315"/>
      <c r="R56" s="315"/>
      <c r="S56" s="315"/>
      <c r="T56" s="315"/>
    </row>
    <row r="57" spans="1:20" s="30" customFormat="1" x14ac:dyDescent="0.25">
      <c r="A57" s="36"/>
      <c r="B57" s="31"/>
      <c r="C57" s="31"/>
      <c r="D57" s="32"/>
      <c r="H57" s="32"/>
      <c r="J57" s="32"/>
      <c r="K57" s="41"/>
      <c r="L57" s="32"/>
      <c r="N57" s="32"/>
      <c r="O57" s="41"/>
      <c r="P57" s="315"/>
      <c r="Q57" s="315"/>
      <c r="R57" s="315"/>
      <c r="S57" s="315"/>
      <c r="T57" s="315"/>
    </row>
    <row r="58" spans="1:20" s="30" customFormat="1" x14ac:dyDescent="0.25">
      <c r="A58" s="36"/>
      <c r="B58" s="31"/>
      <c r="C58" s="31"/>
      <c r="D58" s="32"/>
      <c r="H58" s="32"/>
      <c r="J58" s="32"/>
      <c r="K58" s="41"/>
      <c r="L58" s="32"/>
      <c r="N58" s="32"/>
      <c r="O58" s="41"/>
      <c r="P58" s="315"/>
      <c r="Q58" s="315"/>
      <c r="R58" s="315"/>
      <c r="S58" s="315"/>
      <c r="T58" s="315"/>
    </row>
    <row r="59" spans="1:20" s="30" customFormat="1" x14ac:dyDescent="0.25">
      <c r="A59" s="36"/>
      <c r="B59" s="31"/>
      <c r="C59" s="31"/>
      <c r="D59" s="32"/>
      <c r="H59" s="32"/>
      <c r="J59" s="32"/>
      <c r="K59" s="41"/>
      <c r="L59" s="32"/>
      <c r="N59" s="32"/>
      <c r="O59" s="41"/>
      <c r="P59" s="315"/>
      <c r="Q59" s="315"/>
      <c r="R59" s="315"/>
      <c r="S59" s="315"/>
      <c r="T59" s="315"/>
    </row>
    <row r="60" spans="1:20" s="30" customFormat="1" x14ac:dyDescent="0.25">
      <c r="A60" s="36"/>
      <c r="B60" s="31"/>
      <c r="C60" s="31"/>
      <c r="D60" s="32"/>
      <c r="H60" s="32"/>
      <c r="J60" s="32"/>
      <c r="K60" s="41"/>
      <c r="L60" s="32"/>
      <c r="N60" s="32"/>
      <c r="O60" s="41"/>
      <c r="P60" s="315"/>
      <c r="Q60" s="315"/>
      <c r="R60" s="315"/>
      <c r="S60" s="315"/>
      <c r="T60" s="315"/>
    </row>
    <row r="61" spans="1:20" s="30" customFormat="1" x14ac:dyDescent="0.25">
      <c r="A61" s="36"/>
      <c r="B61" s="31"/>
      <c r="C61" s="31"/>
      <c r="D61" s="32"/>
      <c r="H61" s="32"/>
      <c r="J61" s="32"/>
      <c r="K61" s="41"/>
      <c r="L61" s="32"/>
      <c r="N61" s="32"/>
      <c r="O61" s="41"/>
      <c r="P61" s="315"/>
      <c r="Q61" s="315"/>
      <c r="R61" s="315"/>
      <c r="S61" s="315"/>
      <c r="T61" s="315"/>
    </row>
    <row r="62" spans="1:20" s="30" customFormat="1" x14ac:dyDescent="0.25">
      <c r="A62" s="36"/>
      <c r="B62" s="31"/>
      <c r="C62" s="31"/>
      <c r="D62" s="32"/>
      <c r="H62" s="32"/>
      <c r="J62" s="32"/>
      <c r="K62" s="41"/>
      <c r="L62" s="32"/>
      <c r="N62" s="32"/>
      <c r="O62" s="41"/>
      <c r="P62" s="315"/>
      <c r="Q62" s="315"/>
      <c r="R62" s="315"/>
      <c r="S62" s="315"/>
      <c r="T62" s="315"/>
    </row>
    <row r="63" spans="1:20" s="30" customFormat="1" x14ac:dyDescent="0.25">
      <c r="A63" s="36"/>
      <c r="B63" s="31"/>
      <c r="C63" s="31"/>
      <c r="D63" s="32"/>
      <c r="H63" s="32"/>
      <c r="J63" s="32"/>
      <c r="K63" s="41"/>
      <c r="L63" s="32"/>
      <c r="N63" s="32"/>
      <c r="O63" s="41"/>
      <c r="P63" s="315"/>
      <c r="Q63" s="315"/>
      <c r="R63" s="315"/>
      <c r="S63" s="315"/>
      <c r="T63" s="315"/>
    </row>
    <row r="64" spans="1:20" s="30" customFormat="1" x14ac:dyDescent="0.25">
      <c r="A64" s="36"/>
      <c r="B64" s="31"/>
      <c r="C64" s="31"/>
      <c r="D64" s="32"/>
      <c r="H64" s="32"/>
      <c r="J64" s="32"/>
      <c r="K64" s="41"/>
      <c r="L64" s="32"/>
      <c r="N64" s="32"/>
      <c r="O64" s="41"/>
      <c r="P64" s="315"/>
      <c r="Q64" s="315"/>
      <c r="R64" s="315"/>
      <c r="S64" s="315"/>
      <c r="T64" s="315"/>
    </row>
    <row r="65" spans="1:20" s="30" customFormat="1" x14ac:dyDescent="0.25">
      <c r="A65" s="36"/>
      <c r="B65" s="31"/>
      <c r="C65" s="31"/>
      <c r="D65" s="32"/>
      <c r="H65" s="32"/>
      <c r="J65" s="32"/>
      <c r="K65" s="41"/>
      <c r="L65" s="32"/>
      <c r="N65" s="32"/>
      <c r="O65" s="41"/>
      <c r="P65" s="315"/>
      <c r="Q65" s="315"/>
      <c r="R65" s="315"/>
      <c r="S65" s="315"/>
      <c r="T65" s="315"/>
    </row>
    <row r="66" spans="1:20" s="30" customFormat="1" x14ac:dyDescent="0.25">
      <c r="A66" s="36"/>
      <c r="B66" s="31"/>
      <c r="C66" s="31"/>
      <c r="D66" s="32"/>
      <c r="H66" s="32"/>
      <c r="J66" s="32"/>
      <c r="K66" s="41"/>
      <c r="L66" s="32"/>
      <c r="N66" s="32"/>
      <c r="O66" s="41"/>
      <c r="P66" s="315"/>
      <c r="Q66" s="315"/>
      <c r="R66" s="315"/>
      <c r="S66" s="315"/>
      <c r="T66" s="315"/>
    </row>
    <row r="67" spans="1:20" s="30" customFormat="1" x14ac:dyDescent="0.25">
      <c r="A67" s="36"/>
      <c r="B67" s="31"/>
      <c r="C67" s="31"/>
      <c r="D67" s="32"/>
      <c r="H67" s="32"/>
      <c r="J67" s="32"/>
      <c r="K67" s="41"/>
      <c r="L67" s="32"/>
      <c r="N67" s="32"/>
      <c r="O67" s="41"/>
      <c r="P67" s="315"/>
      <c r="Q67" s="315"/>
      <c r="R67" s="315"/>
      <c r="S67" s="315"/>
      <c r="T67" s="315"/>
    </row>
    <row r="68" spans="1:20" s="30" customFormat="1" x14ac:dyDescent="0.25">
      <c r="A68" s="36"/>
      <c r="B68" s="31"/>
      <c r="C68" s="31"/>
      <c r="D68" s="32"/>
      <c r="H68" s="32"/>
      <c r="J68" s="32"/>
      <c r="K68" s="41"/>
      <c r="L68" s="32"/>
      <c r="N68" s="32"/>
      <c r="O68" s="41"/>
      <c r="P68" s="315"/>
      <c r="Q68" s="315"/>
      <c r="R68" s="315"/>
      <c r="S68" s="315"/>
      <c r="T68" s="315"/>
    </row>
    <row r="69" spans="1:20" s="30" customFormat="1" x14ac:dyDescent="0.25">
      <c r="A69" s="36"/>
      <c r="B69" s="31"/>
      <c r="C69" s="31"/>
      <c r="D69" s="32"/>
      <c r="H69" s="32"/>
      <c r="J69" s="32"/>
      <c r="K69" s="41"/>
      <c r="L69" s="32"/>
      <c r="N69" s="32"/>
      <c r="O69" s="41"/>
      <c r="P69" s="315"/>
      <c r="Q69" s="315"/>
      <c r="R69" s="315"/>
      <c r="S69" s="315"/>
      <c r="T69" s="315"/>
    </row>
    <row r="70" spans="1:20" s="30" customFormat="1" x14ac:dyDescent="0.25">
      <c r="A70" s="36"/>
      <c r="B70" s="31"/>
      <c r="C70" s="31"/>
      <c r="D70" s="32"/>
      <c r="H70" s="32"/>
      <c r="J70" s="32"/>
      <c r="K70" s="41"/>
      <c r="L70" s="32"/>
      <c r="N70" s="32"/>
      <c r="O70" s="41"/>
      <c r="P70" s="315"/>
      <c r="Q70" s="315"/>
      <c r="R70" s="315"/>
      <c r="S70" s="315"/>
      <c r="T70" s="315"/>
    </row>
    <row r="71" spans="1:20" s="30" customFormat="1" x14ac:dyDescent="0.25">
      <c r="A71" s="36"/>
      <c r="B71" s="31"/>
      <c r="C71" s="31"/>
      <c r="D71" s="32"/>
      <c r="H71" s="32"/>
      <c r="J71" s="32"/>
      <c r="K71" s="41"/>
      <c r="L71" s="32"/>
      <c r="N71" s="32"/>
      <c r="O71" s="41"/>
      <c r="P71" s="315"/>
      <c r="Q71" s="315"/>
      <c r="R71" s="315"/>
      <c r="S71" s="315"/>
      <c r="T71" s="315"/>
    </row>
    <row r="72" spans="1:20" s="30" customFormat="1" x14ac:dyDescent="0.25">
      <c r="A72" s="36"/>
      <c r="B72" s="31"/>
      <c r="C72" s="31"/>
      <c r="D72" s="32"/>
      <c r="H72" s="32"/>
      <c r="J72" s="32"/>
      <c r="K72" s="41"/>
      <c r="L72" s="32"/>
      <c r="N72" s="32"/>
      <c r="O72" s="41"/>
      <c r="P72" s="315"/>
      <c r="Q72" s="315"/>
      <c r="R72" s="315"/>
      <c r="S72" s="315"/>
      <c r="T72" s="315"/>
    </row>
    <row r="73" spans="1:20" s="30" customFormat="1" x14ac:dyDescent="0.25">
      <c r="A73" s="36"/>
      <c r="B73" s="31"/>
      <c r="C73" s="31"/>
      <c r="D73" s="32"/>
      <c r="H73" s="32"/>
      <c r="J73" s="32"/>
      <c r="K73" s="41"/>
      <c r="L73" s="32"/>
      <c r="N73" s="32"/>
      <c r="O73" s="41"/>
      <c r="P73" s="315"/>
      <c r="Q73" s="315"/>
      <c r="R73" s="315"/>
      <c r="S73" s="315"/>
      <c r="T73" s="315"/>
    </row>
    <row r="74" spans="1:20" s="30" customFormat="1" x14ac:dyDescent="0.25">
      <c r="A74" s="36"/>
      <c r="B74" s="31"/>
      <c r="C74" s="31"/>
      <c r="D74" s="32"/>
      <c r="H74" s="32"/>
      <c r="J74" s="32"/>
      <c r="K74" s="41"/>
      <c r="L74" s="32"/>
      <c r="N74" s="32"/>
      <c r="O74" s="41"/>
      <c r="P74" s="315"/>
      <c r="Q74" s="315"/>
      <c r="R74" s="315"/>
      <c r="S74" s="315"/>
      <c r="T74" s="315"/>
    </row>
    <row r="75" spans="1:20" s="30" customFormat="1" x14ac:dyDescent="0.25">
      <c r="A75" s="36"/>
      <c r="B75" s="31"/>
      <c r="C75" s="31"/>
      <c r="D75" s="32"/>
      <c r="H75" s="32"/>
      <c r="J75" s="32"/>
      <c r="K75" s="41"/>
      <c r="L75" s="32"/>
      <c r="N75" s="32"/>
      <c r="O75" s="41"/>
      <c r="P75" s="315"/>
      <c r="Q75" s="315"/>
      <c r="R75" s="315"/>
      <c r="S75" s="315"/>
      <c r="T75" s="315"/>
    </row>
    <row r="76" spans="1:20" s="30" customFormat="1" x14ac:dyDescent="0.25">
      <c r="A76" s="36"/>
      <c r="B76" s="31"/>
      <c r="C76" s="31"/>
      <c r="D76" s="32"/>
      <c r="H76" s="32"/>
      <c r="J76" s="32"/>
      <c r="K76" s="41"/>
      <c r="L76" s="32"/>
      <c r="N76" s="32"/>
      <c r="O76" s="41"/>
      <c r="P76" s="315"/>
      <c r="Q76" s="315"/>
      <c r="R76" s="315"/>
      <c r="S76" s="315"/>
      <c r="T76" s="315"/>
    </row>
    <row r="77" spans="1:20" s="30" customFormat="1" x14ac:dyDescent="0.25">
      <c r="A77" s="36"/>
      <c r="B77" s="31"/>
      <c r="C77" s="31"/>
      <c r="D77" s="32"/>
      <c r="H77" s="32"/>
      <c r="J77" s="32"/>
      <c r="K77" s="41"/>
      <c r="L77" s="32"/>
      <c r="N77" s="32"/>
      <c r="O77" s="41"/>
      <c r="P77" s="315"/>
      <c r="Q77" s="315"/>
      <c r="R77" s="315"/>
      <c r="S77" s="315"/>
      <c r="T77" s="315"/>
    </row>
    <row r="78" spans="1:20" s="30" customFormat="1" x14ac:dyDescent="0.25">
      <c r="A78" s="36"/>
      <c r="B78" s="31"/>
      <c r="C78" s="31"/>
      <c r="D78" s="32"/>
      <c r="H78" s="32"/>
      <c r="J78" s="32"/>
      <c r="K78" s="41"/>
      <c r="L78" s="32"/>
      <c r="N78" s="32"/>
      <c r="O78" s="41"/>
      <c r="P78" s="315"/>
      <c r="Q78" s="315"/>
      <c r="R78" s="315"/>
      <c r="S78" s="315"/>
      <c r="T78" s="315"/>
    </row>
    <row r="79" spans="1:20" s="30" customFormat="1" x14ac:dyDescent="0.25">
      <c r="A79" s="36"/>
      <c r="B79" s="31"/>
      <c r="C79" s="31"/>
      <c r="D79" s="32"/>
      <c r="H79" s="32"/>
      <c r="J79" s="32"/>
      <c r="K79" s="41"/>
      <c r="L79" s="32"/>
      <c r="N79" s="32"/>
      <c r="O79" s="41"/>
      <c r="P79" s="315"/>
      <c r="Q79" s="315"/>
      <c r="R79" s="315"/>
      <c r="S79" s="315"/>
      <c r="T79" s="315"/>
    </row>
    <row r="80" spans="1:20" s="30" customFormat="1" x14ac:dyDescent="0.25">
      <c r="A80" s="36"/>
      <c r="B80" s="31"/>
      <c r="C80" s="31"/>
      <c r="D80" s="32"/>
      <c r="H80" s="32"/>
      <c r="J80" s="32"/>
      <c r="K80" s="41"/>
      <c r="L80" s="32"/>
      <c r="N80" s="32"/>
      <c r="O80" s="41"/>
      <c r="P80" s="315"/>
      <c r="Q80" s="315"/>
      <c r="R80" s="315"/>
      <c r="S80" s="315"/>
      <c r="T80" s="315"/>
    </row>
    <row r="81" spans="1:20" s="30" customFormat="1" x14ac:dyDescent="0.25">
      <c r="A81" s="36"/>
      <c r="B81" s="31"/>
      <c r="C81" s="31"/>
      <c r="D81" s="32"/>
      <c r="H81" s="32"/>
      <c r="J81" s="32"/>
      <c r="K81" s="41"/>
      <c r="L81" s="32"/>
      <c r="N81" s="32"/>
      <c r="O81" s="41"/>
      <c r="P81" s="315"/>
      <c r="Q81" s="315"/>
      <c r="R81" s="315"/>
      <c r="S81" s="315"/>
      <c r="T81" s="315"/>
    </row>
    <row r="82" spans="1:20" s="30" customFormat="1" x14ac:dyDescent="0.25">
      <c r="A82" s="36"/>
      <c r="B82" s="31"/>
      <c r="C82" s="31"/>
      <c r="D82" s="32"/>
      <c r="H82" s="32"/>
      <c r="J82" s="32"/>
      <c r="K82" s="41"/>
      <c r="L82" s="32"/>
      <c r="N82" s="32"/>
      <c r="O82" s="41"/>
      <c r="P82" s="315"/>
      <c r="Q82" s="315"/>
      <c r="R82" s="315"/>
      <c r="S82" s="315"/>
      <c r="T82" s="315"/>
    </row>
    <row r="83" spans="1:20" s="30" customFormat="1" x14ac:dyDescent="0.25">
      <c r="A83" s="36"/>
      <c r="B83" s="31"/>
      <c r="C83" s="31"/>
      <c r="D83" s="32"/>
      <c r="H83" s="32"/>
      <c r="J83" s="32"/>
      <c r="K83" s="41"/>
      <c r="L83" s="32"/>
      <c r="N83" s="32"/>
      <c r="O83" s="41"/>
      <c r="P83" s="315"/>
      <c r="Q83" s="315"/>
      <c r="R83" s="315"/>
      <c r="S83" s="315"/>
      <c r="T83" s="315"/>
    </row>
    <row r="84" spans="1:20" s="30" customFormat="1" x14ac:dyDescent="0.25">
      <c r="A84" s="36"/>
      <c r="B84" s="31"/>
      <c r="C84" s="31"/>
      <c r="D84" s="32"/>
      <c r="H84" s="32"/>
      <c r="J84" s="32"/>
      <c r="K84" s="41"/>
      <c r="L84" s="32"/>
      <c r="N84" s="32"/>
      <c r="O84" s="41"/>
      <c r="P84" s="315"/>
      <c r="Q84" s="315"/>
      <c r="R84" s="315"/>
      <c r="S84" s="315"/>
      <c r="T84" s="315"/>
    </row>
    <row r="85" spans="1:20" s="30" customFormat="1" x14ac:dyDescent="0.25">
      <c r="A85" s="36"/>
      <c r="B85" s="31"/>
      <c r="C85" s="31"/>
      <c r="D85" s="32"/>
      <c r="H85" s="32"/>
      <c r="J85" s="32"/>
      <c r="K85" s="41"/>
      <c r="L85" s="32"/>
      <c r="N85" s="32"/>
      <c r="O85" s="41"/>
      <c r="P85" s="315"/>
      <c r="Q85" s="315"/>
      <c r="R85" s="315"/>
      <c r="S85" s="315"/>
      <c r="T85" s="315"/>
    </row>
    <row r="86" spans="1:20" s="30" customFormat="1" x14ac:dyDescent="0.25">
      <c r="A86" s="36"/>
      <c r="B86" s="31"/>
      <c r="C86" s="31"/>
      <c r="D86" s="32"/>
      <c r="H86" s="32"/>
      <c r="J86" s="32"/>
      <c r="K86" s="41"/>
      <c r="L86" s="32"/>
      <c r="N86" s="32"/>
      <c r="O86" s="41"/>
      <c r="P86" s="315"/>
      <c r="Q86" s="315"/>
      <c r="R86" s="315"/>
      <c r="S86" s="315"/>
      <c r="T86" s="315"/>
    </row>
    <row r="87" spans="1:20" s="30" customFormat="1" x14ac:dyDescent="0.25">
      <c r="A87" s="36"/>
      <c r="B87" s="31"/>
      <c r="C87" s="31"/>
      <c r="D87" s="32"/>
      <c r="H87" s="32"/>
      <c r="J87" s="32"/>
      <c r="K87" s="41"/>
      <c r="L87" s="32"/>
      <c r="N87" s="32"/>
      <c r="O87" s="41"/>
      <c r="P87" s="315"/>
      <c r="Q87" s="315"/>
      <c r="R87" s="315"/>
      <c r="S87" s="315"/>
      <c r="T87" s="315"/>
    </row>
    <row r="88" spans="1:20" s="30" customFormat="1" x14ac:dyDescent="0.25">
      <c r="A88" s="36"/>
      <c r="B88" s="31"/>
      <c r="C88" s="31"/>
      <c r="D88" s="32"/>
      <c r="H88" s="32"/>
      <c r="J88" s="32"/>
      <c r="K88" s="41"/>
      <c r="L88" s="32"/>
      <c r="N88" s="32"/>
      <c r="O88" s="41"/>
      <c r="P88" s="315"/>
      <c r="Q88" s="315"/>
      <c r="R88" s="315"/>
      <c r="S88" s="315"/>
      <c r="T88" s="315"/>
    </row>
    <row r="89" spans="1:20" s="30" customFormat="1" x14ac:dyDescent="0.25">
      <c r="A89" s="36"/>
      <c r="B89" s="31"/>
      <c r="C89" s="31"/>
      <c r="D89" s="32"/>
      <c r="H89" s="32"/>
      <c r="J89" s="32"/>
      <c r="K89" s="41"/>
      <c r="L89" s="32"/>
      <c r="N89" s="32"/>
      <c r="O89" s="41"/>
      <c r="P89" s="315"/>
      <c r="Q89" s="315"/>
      <c r="R89" s="315"/>
      <c r="S89" s="315"/>
      <c r="T89" s="315"/>
    </row>
    <row r="90" spans="1:20" s="30" customFormat="1" x14ac:dyDescent="0.25">
      <c r="A90" s="36"/>
      <c r="B90" s="31"/>
      <c r="C90" s="31"/>
      <c r="D90" s="32"/>
      <c r="H90" s="32"/>
      <c r="J90" s="32"/>
      <c r="K90" s="41"/>
      <c r="L90" s="32"/>
      <c r="N90" s="32"/>
      <c r="O90" s="41"/>
      <c r="P90" s="315"/>
      <c r="Q90" s="315"/>
      <c r="R90" s="315"/>
      <c r="S90" s="315"/>
      <c r="T90" s="315"/>
    </row>
    <row r="91" spans="1:20" s="30" customFormat="1" x14ac:dyDescent="0.25">
      <c r="A91" s="36"/>
      <c r="B91" s="31"/>
      <c r="C91" s="31"/>
      <c r="D91" s="32"/>
      <c r="H91" s="32"/>
      <c r="J91" s="32"/>
      <c r="K91" s="41"/>
      <c r="L91" s="32"/>
      <c r="N91" s="32"/>
      <c r="O91" s="41"/>
      <c r="P91" s="315"/>
      <c r="Q91" s="315"/>
      <c r="R91" s="315"/>
      <c r="S91" s="315"/>
      <c r="T91" s="315"/>
    </row>
    <row r="92" spans="1:20" s="30" customFormat="1" x14ac:dyDescent="0.25">
      <c r="A92" s="36"/>
      <c r="B92" s="31"/>
      <c r="C92" s="31"/>
      <c r="D92" s="32"/>
      <c r="H92" s="32"/>
      <c r="J92" s="32"/>
      <c r="K92" s="41"/>
      <c r="L92" s="32"/>
      <c r="N92" s="32"/>
      <c r="O92" s="41"/>
      <c r="P92" s="315"/>
      <c r="Q92" s="315"/>
      <c r="R92" s="315"/>
      <c r="S92" s="315"/>
      <c r="T92" s="315"/>
    </row>
    <row r="93" spans="1:20" s="30" customFormat="1" x14ac:dyDescent="0.25">
      <c r="A93" s="36"/>
      <c r="B93" s="31"/>
      <c r="C93" s="31"/>
      <c r="D93" s="32"/>
      <c r="H93" s="32"/>
      <c r="J93" s="32"/>
      <c r="K93" s="41"/>
      <c r="L93" s="32"/>
      <c r="N93" s="32"/>
      <c r="O93" s="41"/>
      <c r="P93" s="315"/>
      <c r="Q93" s="315"/>
      <c r="R93" s="315"/>
      <c r="S93" s="315"/>
      <c r="T93" s="315"/>
    </row>
    <row r="94" spans="1:20" s="30" customFormat="1" x14ac:dyDescent="0.25">
      <c r="A94" s="36"/>
      <c r="B94" s="31"/>
      <c r="C94" s="31"/>
      <c r="D94" s="32"/>
      <c r="H94" s="32"/>
      <c r="J94" s="32"/>
      <c r="K94" s="41"/>
      <c r="L94" s="32"/>
      <c r="N94" s="32"/>
      <c r="O94" s="41"/>
      <c r="P94" s="315"/>
      <c r="Q94" s="315"/>
      <c r="R94" s="315"/>
      <c r="S94" s="315"/>
      <c r="T94" s="315"/>
    </row>
    <row r="95" spans="1:20" s="30" customFormat="1" x14ac:dyDescent="0.25">
      <c r="A95" s="36"/>
      <c r="B95" s="31"/>
      <c r="C95" s="31"/>
      <c r="D95" s="32"/>
      <c r="H95" s="32"/>
      <c r="J95" s="32"/>
      <c r="K95" s="41"/>
      <c r="L95" s="32"/>
      <c r="N95" s="32"/>
      <c r="O95" s="41"/>
      <c r="P95" s="315"/>
      <c r="Q95" s="315"/>
      <c r="R95" s="315"/>
      <c r="S95" s="315"/>
      <c r="T95" s="315"/>
    </row>
    <row r="96" spans="1:20" s="30" customFormat="1" x14ac:dyDescent="0.25">
      <c r="A96" s="36"/>
      <c r="B96" s="31"/>
      <c r="C96" s="31"/>
      <c r="D96" s="32"/>
      <c r="H96" s="32"/>
      <c r="J96" s="32"/>
      <c r="K96" s="41"/>
      <c r="L96" s="32"/>
      <c r="N96" s="32"/>
      <c r="O96" s="41"/>
      <c r="P96" s="315"/>
      <c r="Q96" s="315"/>
      <c r="R96" s="315"/>
      <c r="S96" s="315"/>
      <c r="T96" s="315"/>
    </row>
    <row r="97" spans="1:20" s="30" customFormat="1" x14ac:dyDescent="0.25">
      <c r="A97" s="36"/>
      <c r="B97" s="31"/>
      <c r="C97" s="31"/>
      <c r="D97" s="32"/>
      <c r="H97" s="32"/>
      <c r="J97" s="32"/>
      <c r="K97" s="41"/>
      <c r="L97" s="32"/>
      <c r="N97" s="32"/>
      <c r="O97" s="41"/>
      <c r="P97" s="315"/>
      <c r="Q97" s="315"/>
      <c r="R97" s="315"/>
      <c r="S97" s="315"/>
      <c r="T97" s="315"/>
    </row>
    <row r="98" spans="1:20" s="30" customFormat="1" x14ac:dyDescent="0.25">
      <c r="A98" s="36"/>
      <c r="B98" s="31"/>
      <c r="C98" s="31"/>
      <c r="D98" s="32"/>
      <c r="H98" s="32"/>
      <c r="J98" s="32"/>
      <c r="K98" s="41"/>
      <c r="L98" s="32"/>
      <c r="N98" s="32"/>
      <c r="O98" s="41"/>
      <c r="P98" s="315"/>
      <c r="Q98" s="315"/>
      <c r="R98" s="315"/>
      <c r="S98" s="315"/>
      <c r="T98" s="315"/>
    </row>
    <row r="99" spans="1:20" s="30" customFormat="1" x14ac:dyDescent="0.25">
      <c r="A99" s="36"/>
      <c r="B99" s="31"/>
      <c r="C99" s="31"/>
      <c r="D99" s="32"/>
      <c r="H99" s="32"/>
      <c r="J99" s="32"/>
      <c r="K99" s="41"/>
      <c r="L99" s="32"/>
      <c r="N99" s="32"/>
      <c r="O99" s="41"/>
      <c r="P99" s="315"/>
      <c r="Q99" s="315"/>
      <c r="R99" s="315"/>
      <c r="S99" s="315"/>
      <c r="T99" s="315"/>
    </row>
    <row r="100" spans="1:20" s="30" customFormat="1" x14ac:dyDescent="0.25">
      <c r="A100" s="36"/>
      <c r="B100" s="31"/>
      <c r="C100" s="31"/>
      <c r="D100" s="32"/>
      <c r="H100" s="32"/>
      <c r="J100" s="32"/>
      <c r="K100" s="41"/>
      <c r="L100" s="32"/>
      <c r="N100" s="32"/>
      <c r="O100" s="41"/>
      <c r="P100" s="315"/>
      <c r="Q100" s="315"/>
      <c r="R100" s="315"/>
      <c r="S100" s="315"/>
      <c r="T100" s="315"/>
    </row>
    <row r="101" spans="1:20" s="30" customFormat="1" x14ac:dyDescent="0.25">
      <c r="A101" s="36"/>
      <c r="B101" s="31"/>
      <c r="C101" s="31"/>
      <c r="D101" s="32"/>
      <c r="H101" s="32"/>
      <c r="J101" s="32"/>
      <c r="K101" s="41"/>
      <c r="L101" s="32"/>
      <c r="N101" s="32"/>
      <c r="O101" s="41"/>
      <c r="P101" s="315"/>
      <c r="Q101" s="315"/>
      <c r="R101" s="315"/>
      <c r="S101" s="315"/>
      <c r="T101" s="315"/>
    </row>
    <row r="102" spans="1:20" s="30" customFormat="1" x14ac:dyDescent="0.25">
      <c r="A102" s="36"/>
      <c r="B102" s="31"/>
      <c r="C102" s="31"/>
      <c r="D102" s="32"/>
      <c r="H102" s="32"/>
      <c r="J102" s="32"/>
      <c r="K102" s="41"/>
      <c r="L102" s="32"/>
      <c r="N102" s="32"/>
      <c r="O102" s="41"/>
      <c r="P102" s="315"/>
      <c r="Q102" s="315"/>
      <c r="R102" s="315"/>
      <c r="S102" s="315"/>
      <c r="T102" s="315"/>
    </row>
    <row r="103" spans="1:20" s="30" customFormat="1" x14ac:dyDescent="0.25">
      <c r="A103" s="36"/>
      <c r="B103" s="31"/>
      <c r="C103" s="31"/>
      <c r="D103" s="32"/>
      <c r="H103" s="32"/>
      <c r="J103" s="32"/>
      <c r="K103" s="41"/>
      <c r="L103" s="32"/>
      <c r="N103" s="32"/>
      <c r="O103" s="41"/>
      <c r="P103" s="315"/>
      <c r="Q103" s="315"/>
      <c r="R103" s="315"/>
      <c r="S103" s="315"/>
      <c r="T103" s="315"/>
    </row>
    <row r="104" spans="1:20" s="30" customFormat="1" x14ac:dyDescent="0.25">
      <c r="A104" s="36"/>
      <c r="B104" s="31"/>
      <c r="C104" s="31"/>
      <c r="D104" s="32"/>
      <c r="H104" s="32"/>
      <c r="J104" s="32"/>
      <c r="K104" s="41"/>
      <c r="L104" s="32"/>
      <c r="N104" s="32"/>
      <c r="O104" s="41"/>
      <c r="P104" s="315"/>
      <c r="Q104" s="315"/>
      <c r="R104" s="315"/>
      <c r="S104" s="315"/>
      <c r="T104" s="315"/>
    </row>
    <row r="105" spans="1:20" s="30" customFormat="1" x14ac:dyDescent="0.25">
      <c r="A105" s="36"/>
      <c r="B105" s="31"/>
      <c r="C105" s="31"/>
      <c r="D105" s="32"/>
      <c r="H105" s="32"/>
      <c r="J105" s="32"/>
      <c r="K105" s="41"/>
      <c r="L105" s="32"/>
      <c r="N105" s="32"/>
      <c r="O105" s="41"/>
      <c r="P105" s="315"/>
      <c r="Q105" s="315"/>
      <c r="R105" s="315"/>
      <c r="S105" s="315"/>
      <c r="T105" s="315"/>
    </row>
    <row r="106" spans="1:20" s="30" customFormat="1" x14ac:dyDescent="0.25">
      <c r="A106" s="36"/>
      <c r="B106" s="31"/>
      <c r="C106" s="31"/>
      <c r="D106" s="32"/>
      <c r="H106" s="32"/>
      <c r="J106" s="32"/>
      <c r="K106" s="41"/>
      <c r="L106" s="32"/>
      <c r="N106" s="32"/>
      <c r="O106" s="41"/>
      <c r="P106" s="315"/>
      <c r="Q106" s="315"/>
      <c r="R106" s="315"/>
      <c r="S106" s="315"/>
      <c r="T106" s="315"/>
    </row>
    <row r="107" spans="1:20" s="30" customFormat="1" x14ac:dyDescent="0.25">
      <c r="A107" s="36"/>
      <c r="B107" s="31"/>
      <c r="C107" s="31"/>
      <c r="D107" s="32"/>
      <c r="H107" s="32"/>
      <c r="J107" s="32"/>
      <c r="K107" s="41"/>
      <c r="L107" s="32"/>
      <c r="N107" s="32"/>
      <c r="O107" s="41"/>
      <c r="P107" s="315"/>
      <c r="Q107" s="315"/>
      <c r="R107" s="315"/>
      <c r="S107" s="315"/>
      <c r="T107" s="315"/>
    </row>
    <row r="108" spans="1:20" s="30" customFormat="1" x14ac:dyDescent="0.25">
      <c r="A108" s="36"/>
      <c r="B108" s="31"/>
      <c r="C108" s="31"/>
      <c r="D108" s="32"/>
      <c r="H108" s="32"/>
      <c r="J108" s="32"/>
      <c r="K108" s="41"/>
      <c r="L108" s="32"/>
      <c r="N108" s="32"/>
      <c r="O108" s="41"/>
      <c r="P108" s="315"/>
      <c r="Q108" s="315"/>
      <c r="R108" s="315"/>
      <c r="S108" s="315"/>
      <c r="T108" s="315"/>
    </row>
    <row r="109" spans="1:20" s="30" customFormat="1" x14ac:dyDescent="0.25">
      <c r="A109" s="36"/>
      <c r="B109" s="31"/>
      <c r="C109" s="31"/>
      <c r="D109" s="32"/>
      <c r="H109" s="32"/>
      <c r="J109" s="32"/>
      <c r="K109" s="41"/>
      <c r="L109" s="32"/>
      <c r="N109" s="32"/>
      <c r="O109" s="41"/>
      <c r="P109" s="315"/>
      <c r="Q109" s="315"/>
      <c r="R109" s="315"/>
      <c r="S109" s="315"/>
      <c r="T109" s="315"/>
    </row>
    <row r="110" spans="1:20" s="30" customFormat="1" x14ac:dyDescent="0.25">
      <c r="A110" s="36"/>
      <c r="B110" s="31"/>
      <c r="C110" s="31"/>
      <c r="D110" s="32"/>
      <c r="H110" s="32"/>
      <c r="J110" s="32"/>
      <c r="K110" s="41"/>
      <c r="L110" s="32"/>
      <c r="N110" s="32"/>
      <c r="O110" s="41"/>
      <c r="P110" s="315"/>
      <c r="Q110" s="315"/>
      <c r="R110" s="315"/>
      <c r="S110" s="315"/>
      <c r="T110" s="315"/>
    </row>
    <row r="111" spans="1:20" s="30" customFormat="1" x14ac:dyDescent="0.25">
      <c r="A111" s="36"/>
      <c r="B111" s="31"/>
      <c r="C111" s="31"/>
      <c r="D111" s="32"/>
      <c r="H111" s="32"/>
      <c r="J111" s="32"/>
      <c r="K111" s="41"/>
      <c r="L111" s="32"/>
      <c r="N111" s="32"/>
      <c r="O111" s="41"/>
      <c r="P111" s="315"/>
      <c r="Q111" s="315"/>
      <c r="R111" s="315"/>
      <c r="S111" s="315"/>
      <c r="T111" s="315"/>
    </row>
    <row r="112" spans="1:20" s="30" customFormat="1" x14ac:dyDescent="0.25">
      <c r="A112" s="36"/>
      <c r="B112" s="31"/>
      <c r="C112" s="31"/>
      <c r="D112" s="32"/>
      <c r="H112" s="32"/>
      <c r="J112" s="32"/>
      <c r="K112" s="41"/>
      <c r="L112" s="32"/>
      <c r="N112" s="32"/>
      <c r="O112" s="41"/>
      <c r="P112" s="315"/>
      <c r="Q112" s="315"/>
      <c r="R112" s="315"/>
      <c r="S112" s="315"/>
      <c r="T112" s="315"/>
    </row>
    <row r="113" spans="1:20" s="30" customFormat="1" x14ac:dyDescent="0.25">
      <c r="A113" s="36"/>
      <c r="B113" s="31"/>
      <c r="C113" s="31"/>
      <c r="D113" s="32"/>
      <c r="H113" s="32"/>
      <c r="J113" s="32"/>
      <c r="K113" s="41"/>
      <c r="L113" s="32"/>
      <c r="N113" s="32"/>
      <c r="O113" s="41"/>
      <c r="P113" s="315"/>
      <c r="Q113" s="315"/>
      <c r="R113" s="315"/>
      <c r="S113" s="315"/>
      <c r="T113" s="315"/>
    </row>
    <row r="114" spans="1:20" s="30" customFormat="1" x14ac:dyDescent="0.25">
      <c r="A114" s="36"/>
      <c r="B114" s="31"/>
      <c r="C114" s="31"/>
      <c r="D114" s="32"/>
      <c r="H114" s="32"/>
      <c r="J114" s="32"/>
      <c r="K114" s="41"/>
      <c r="L114" s="32"/>
      <c r="N114" s="32"/>
      <c r="O114" s="41"/>
      <c r="P114" s="315"/>
      <c r="Q114" s="315"/>
      <c r="R114" s="315"/>
      <c r="S114" s="315"/>
      <c r="T114" s="315"/>
    </row>
    <row r="115" spans="1:20" s="30" customFormat="1" x14ac:dyDescent="0.25">
      <c r="A115" s="36"/>
      <c r="B115" s="31"/>
      <c r="C115" s="31"/>
      <c r="D115" s="32"/>
      <c r="H115" s="32"/>
      <c r="J115" s="32"/>
      <c r="K115" s="41"/>
      <c r="L115" s="32"/>
      <c r="N115" s="32"/>
      <c r="O115" s="41"/>
      <c r="P115" s="315"/>
      <c r="Q115" s="315"/>
      <c r="R115" s="315"/>
      <c r="S115" s="315"/>
      <c r="T115" s="315"/>
    </row>
    <row r="116" spans="1:20" s="30" customFormat="1" x14ac:dyDescent="0.25">
      <c r="A116" s="36"/>
      <c r="B116" s="31"/>
      <c r="C116" s="31"/>
      <c r="D116" s="32"/>
      <c r="H116" s="32"/>
      <c r="J116" s="32"/>
      <c r="K116" s="41"/>
      <c r="L116" s="32"/>
      <c r="N116" s="32"/>
      <c r="O116" s="41"/>
      <c r="P116" s="315"/>
      <c r="Q116" s="315"/>
      <c r="R116" s="315"/>
      <c r="S116" s="315"/>
      <c r="T116" s="315"/>
    </row>
    <row r="117" spans="1:20" s="30" customFormat="1" x14ac:dyDescent="0.25">
      <c r="A117" s="36"/>
      <c r="B117" s="31"/>
      <c r="C117" s="31"/>
      <c r="D117" s="32"/>
      <c r="H117" s="32"/>
      <c r="J117" s="32"/>
      <c r="K117" s="41"/>
      <c r="L117" s="32"/>
      <c r="N117" s="32"/>
      <c r="O117" s="41"/>
      <c r="P117" s="315"/>
      <c r="Q117" s="315"/>
      <c r="R117" s="315"/>
      <c r="S117" s="315"/>
      <c r="T117" s="315"/>
    </row>
    <row r="118" spans="1:20" s="30" customFormat="1" x14ac:dyDescent="0.25">
      <c r="A118" s="36"/>
      <c r="B118" s="31"/>
      <c r="C118" s="31"/>
      <c r="D118" s="32"/>
      <c r="H118" s="32"/>
      <c r="J118" s="32"/>
      <c r="K118" s="41"/>
      <c r="L118" s="32"/>
      <c r="N118" s="32"/>
      <c r="O118" s="41"/>
      <c r="P118" s="315"/>
      <c r="Q118" s="315"/>
      <c r="R118" s="315"/>
      <c r="S118" s="315"/>
      <c r="T118" s="315"/>
    </row>
    <row r="119" spans="1:20" s="30" customFormat="1" x14ac:dyDescent="0.25">
      <c r="A119" s="36"/>
      <c r="B119" s="31"/>
      <c r="C119" s="31"/>
      <c r="D119" s="32"/>
      <c r="H119" s="32"/>
      <c r="J119" s="32"/>
      <c r="K119" s="41"/>
      <c r="L119" s="32"/>
      <c r="N119" s="32"/>
      <c r="O119" s="41"/>
      <c r="P119" s="315"/>
      <c r="Q119" s="315"/>
      <c r="R119" s="315"/>
      <c r="S119" s="315"/>
      <c r="T119" s="315"/>
    </row>
    <row r="120" spans="1:20" s="30" customFormat="1" x14ac:dyDescent="0.25">
      <c r="A120" s="36"/>
      <c r="B120" s="31"/>
      <c r="C120" s="31"/>
      <c r="D120" s="32"/>
      <c r="H120" s="32"/>
      <c r="J120" s="32"/>
      <c r="K120" s="41"/>
      <c r="L120" s="32"/>
      <c r="N120" s="32"/>
      <c r="O120" s="41"/>
      <c r="P120" s="315"/>
      <c r="Q120" s="315"/>
      <c r="R120" s="315"/>
      <c r="S120" s="315"/>
      <c r="T120" s="315"/>
    </row>
    <row r="121" spans="1:20" s="30" customFormat="1" x14ac:dyDescent="0.25">
      <c r="A121" s="36"/>
      <c r="B121" s="31"/>
      <c r="C121" s="31"/>
      <c r="D121" s="32"/>
      <c r="H121" s="32"/>
      <c r="J121" s="32"/>
      <c r="K121" s="41"/>
      <c r="L121" s="32"/>
      <c r="N121" s="32"/>
      <c r="O121" s="41"/>
      <c r="P121" s="315"/>
      <c r="Q121" s="315"/>
      <c r="R121" s="315"/>
      <c r="S121" s="315"/>
      <c r="T121" s="315"/>
    </row>
    <row r="122" spans="1:20" s="30" customFormat="1" x14ac:dyDescent="0.25">
      <c r="A122" s="36"/>
      <c r="B122" s="31"/>
      <c r="C122" s="31"/>
      <c r="D122" s="32"/>
      <c r="H122" s="32"/>
      <c r="J122" s="32"/>
      <c r="K122" s="41"/>
      <c r="L122" s="32"/>
      <c r="N122" s="32"/>
      <c r="O122" s="41"/>
      <c r="P122" s="315"/>
      <c r="Q122" s="315"/>
      <c r="R122" s="315"/>
      <c r="S122" s="315"/>
      <c r="T122" s="315"/>
    </row>
    <row r="123" spans="1:20" s="30" customFormat="1" x14ac:dyDescent="0.25">
      <c r="A123" s="36"/>
      <c r="B123" s="31"/>
      <c r="C123" s="31"/>
      <c r="D123" s="32"/>
      <c r="H123" s="32"/>
      <c r="J123" s="32"/>
      <c r="K123" s="41"/>
      <c r="L123" s="32"/>
      <c r="N123" s="32"/>
      <c r="O123" s="41"/>
      <c r="P123" s="315"/>
      <c r="Q123" s="315"/>
      <c r="R123" s="315"/>
      <c r="S123" s="315"/>
      <c r="T123" s="315"/>
    </row>
    <row r="124" spans="1:20" s="30" customFormat="1" x14ac:dyDescent="0.25">
      <c r="A124" s="36"/>
      <c r="B124" s="31"/>
      <c r="C124" s="31"/>
      <c r="D124" s="32"/>
      <c r="H124" s="32"/>
      <c r="J124" s="32"/>
      <c r="K124" s="41"/>
      <c r="L124" s="32"/>
      <c r="N124" s="32"/>
      <c r="O124" s="41"/>
      <c r="P124" s="315"/>
      <c r="Q124" s="315"/>
      <c r="R124" s="315"/>
      <c r="S124" s="315"/>
      <c r="T124" s="315"/>
    </row>
    <row r="125" spans="1:20" s="30" customFormat="1" x14ac:dyDescent="0.25">
      <c r="A125" s="36"/>
      <c r="B125" s="31"/>
      <c r="C125" s="31"/>
      <c r="D125" s="32"/>
      <c r="H125" s="32"/>
      <c r="J125" s="32"/>
      <c r="K125" s="41"/>
      <c r="L125" s="32"/>
      <c r="N125" s="32"/>
      <c r="O125" s="41"/>
      <c r="P125" s="315"/>
      <c r="Q125" s="315"/>
      <c r="R125" s="315"/>
      <c r="S125" s="315"/>
      <c r="T125" s="315"/>
    </row>
    <row r="126" spans="1:20" s="30" customFormat="1" x14ac:dyDescent="0.25">
      <c r="A126" s="36"/>
      <c r="B126" s="31"/>
      <c r="C126" s="31"/>
      <c r="D126" s="32"/>
      <c r="H126" s="32"/>
      <c r="J126" s="32"/>
      <c r="K126" s="41"/>
      <c r="L126" s="32"/>
      <c r="N126" s="32"/>
      <c r="O126" s="41"/>
      <c r="P126" s="315"/>
      <c r="Q126" s="315"/>
      <c r="R126" s="315"/>
      <c r="S126" s="315"/>
      <c r="T126" s="315"/>
    </row>
    <row r="127" spans="1:20" s="30" customFormat="1" x14ac:dyDescent="0.25">
      <c r="A127" s="36"/>
      <c r="B127" s="31"/>
      <c r="C127" s="31"/>
      <c r="D127" s="32"/>
      <c r="H127" s="32"/>
      <c r="J127" s="32"/>
      <c r="K127" s="41"/>
      <c r="L127" s="32"/>
      <c r="N127" s="32"/>
      <c r="O127" s="41"/>
      <c r="P127" s="315"/>
      <c r="Q127" s="315"/>
      <c r="R127" s="315"/>
      <c r="S127" s="315"/>
      <c r="T127" s="315"/>
    </row>
    <row r="128" spans="1:20" s="30" customFormat="1" x14ac:dyDescent="0.25">
      <c r="A128" s="36"/>
      <c r="B128" s="31"/>
      <c r="C128" s="31"/>
      <c r="D128" s="32"/>
      <c r="H128" s="32"/>
      <c r="J128" s="32"/>
      <c r="K128" s="41"/>
      <c r="L128" s="32"/>
      <c r="N128" s="32"/>
      <c r="O128" s="41"/>
      <c r="P128" s="315"/>
      <c r="Q128" s="315"/>
      <c r="R128" s="315"/>
      <c r="S128" s="315"/>
      <c r="T128" s="315"/>
    </row>
    <row r="129" spans="1:20" s="30" customFormat="1" x14ac:dyDescent="0.25">
      <c r="A129" s="36"/>
      <c r="B129" s="31"/>
      <c r="C129" s="31"/>
      <c r="D129" s="32"/>
      <c r="H129" s="32"/>
      <c r="J129" s="32"/>
      <c r="K129" s="41"/>
      <c r="L129" s="32"/>
      <c r="N129" s="32"/>
      <c r="O129" s="41"/>
      <c r="P129" s="315"/>
      <c r="Q129" s="315"/>
      <c r="R129" s="315"/>
      <c r="S129" s="315"/>
      <c r="T129" s="315"/>
    </row>
    <row r="130" spans="1:20" s="30" customFormat="1" x14ac:dyDescent="0.25">
      <c r="A130" s="36"/>
      <c r="B130" s="31"/>
      <c r="C130" s="31"/>
      <c r="D130" s="32"/>
      <c r="H130" s="32"/>
      <c r="J130" s="32"/>
      <c r="K130" s="41"/>
      <c r="L130" s="32"/>
      <c r="N130" s="32"/>
      <c r="O130" s="41"/>
      <c r="P130" s="315"/>
      <c r="Q130" s="315"/>
      <c r="R130" s="315"/>
      <c r="S130" s="315"/>
      <c r="T130" s="315"/>
    </row>
    <row r="131" spans="1:20" s="30" customFormat="1" x14ac:dyDescent="0.25">
      <c r="A131" s="36"/>
      <c r="B131" s="31"/>
      <c r="C131" s="31"/>
      <c r="D131" s="32"/>
      <c r="H131" s="32"/>
      <c r="J131" s="32"/>
      <c r="K131" s="41"/>
      <c r="L131" s="32"/>
      <c r="N131" s="32"/>
      <c r="O131" s="41"/>
      <c r="P131" s="315"/>
      <c r="Q131" s="315"/>
      <c r="R131" s="315"/>
      <c r="S131" s="315"/>
      <c r="T131" s="315"/>
    </row>
    <row r="132" spans="1:20" s="30" customFormat="1" x14ac:dyDescent="0.25">
      <c r="A132" s="36"/>
      <c r="B132" s="31"/>
      <c r="C132" s="31"/>
      <c r="D132" s="32"/>
      <c r="H132" s="32"/>
      <c r="J132" s="32"/>
      <c r="K132" s="41"/>
      <c r="L132" s="32"/>
      <c r="N132" s="32"/>
      <c r="O132" s="41"/>
      <c r="P132" s="315"/>
      <c r="Q132" s="315"/>
      <c r="R132" s="315"/>
      <c r="S132" s="315"/>
      <c r="T132" s="315"/>
    </row>
    <row r="133" spans="1:20" s="30" customFormat="1" x14ac:dyDescent="0.25">
      <c r="A133" s="36"/>
      <c r="B133" s="31"/>
      <c r="C133" s="31"/>
      <c r="D133" s="32"/>
      <c r="H133" s="32"/>
      <c r="J133" s="32"/>
      <c r="K133" s="41"/>
      <c r="L133" s="32"/>
      <c r="N133" s="32"/>
      <c r="O133" s="41"/>
      <c r="P133" s="315"/>
      <c r="Q133" s="315"/>
      <c r="R133" s="315"/>
      <c r="S133" s="315"/>
      <c r="T133" s="315"/>
    </row>
    <row r="134" spans="1:20" s="30" customFormat="1" x14ac:dyDescent="0.25">
      <c r="A134" s="36"/>
      <c r="B134" s="31"/>
      <c r="C134" s="31"/>
      <c r="D134" s="32"/>
      <c r="H134" s="32"/>
      <c r="J134" s="32"/>
      <c r="K134" s="41"/>
      <c r="L134" s="32"/>
      <c r="N134" s="32"/>
      <c r="O134" s="41"/>
      <c r="P134" s="315"/>
      <c r="Q134" s="315"/>
      <c r="R134" s="315"/>
      <c r="S134" s="315"/>
      <c r="T134" s="315"/>
    </row>
    <row r="135" spans="1:20" s="30" customFormat="1" x14ac:dyDescent="0.25">
      <c r="A135" s="36"/>
      <c r="B135" s="31"/>
      <c r="C135" s="31"/>
      <c r="D135" s="32"/>
      <c r="H135" s="32"/>
      <c r="J135" s="32"/>
      <c r="K135" s="41"/>
      <c r="L135" s="32"/>
      <c r="N135" s="32"/>
      <c r="O135" s="41"/>
      <c r="P135" s="315"/>
      <c r="Q135" s="315"/>
      <c r="R135" s="315"/>
      <c r="S135" s="315"/>
      <c r="T135" s="315"/>
    </row>
    <row r="136" spans="1:20" s="30" customFormat="1" x14ac:dyDescent="0.25">
      <c r="A136" s="36"/>
      <c r="B136" s="31"/>
      <c r="C136" s="31"/>
      <c r="D136" s="32"/>
      <c r="H136" s="32"/>
      <c r="J136" s="32"/>
      <c r="K136" s="41"/>
      <c r="L136" s="32"/>
      <c r="N136" s="32"/>
      <c r="O136" s="41"/>
      <c r="P136" s="315"/>
      <c r="Q136" s="315"/>
      <c r="R136" s="315"/>
      <c r="S136" s="315"/>
      <c r="T136" s="315"/>
    </row>
    <row r="137" spans="1:20" s="30" customFormat="1" x14ac:dyDescent="0.25">
      <c r="A137" s="36"/>
      <c r="B137" s="31"/>
      <c r="C137" s="31"/>
      <c r="D137" s="32"/>
      <c r="H137" s="32"/>
      <c r="J137" s="32"/>
      <c r="K137" s="41"/>
      <c r="L137" s="32"/>
      <c r="N137" s="32"/>
      <c r="O137" s="41"/>
      <c r="P137" s="315"/>
      <c r="Q137" s="315"/>
      <c r="R137" s="315"/>
      <c r="S137" s="315"/>
      <c r="T137" s="315"/>
    </row>
    <row r="138" spans="1:20" s="30" customFormat="1" x14ac:dyDescent="0.25">
      <c r="A138" s="36"/>
      <c r="B138" s="31"/>
      <c r="C138" s="31"/>
      <c r="D138" s="32"/>
      <c r="H138" s="32"/>
      <c r="J138" s="32"/>
      <c r="K138" s="41"/>
      <c r="L138" s="32"/>
      <c r="N138" s="32"/>
      <c r="O138" s="41"/>
      <c r="P138" s="315"/>
      <c r="Q138" s="315"/>
      <c r="R138" s="315"/>
      <c r="S138" s="315"/>
      <c r="T138" s="315"/>
    </row>
    <row r="139" spans="1:20" s="30" customFormat="1" x14ac:dyDescent="0.25">
      <c r="A139" s="36"/>
      <c r="B139" s="31"/>
      <c r="C139" s="31"/>
      <c r="D139" s="32"/>
      <c r="H139" s="32"/>
      <c r="J139" s="32"/>
      <c r="K139" s="41"/>
      <c r="L139" s="32"/>
      <c r="N139" s="32"/>
      <c r="O139" s="41"/>
      <c r="P139" s="315"/>
      <c r="Q139" s="315"/>
      <c r="R139" s="315"/>
      <c r="S139" s="315"/>
      <c r="T139" s="315"/>
    </row>
    <row r="140" spans="1:20" s="30" customFormat="1" x14ac:dyDescent="0.25">
      <c r="A140" s="36"/>
      <c r="B140" s="31"/>
      <c r="C140" s="31"/>
      <c r="D140" s="32"/>
      <c r="H140" s="32"/>
      <c r="J140" s="32"/>
      <c r="K140" s="41"/>
      <c r="L140" s="32"/>
      <c r="N140" s="32"/>
      <c r="O140" s="41"/>
      <c r="P140" s="315"/>
      <c r="Q140" s="315"/>
      <c r="R140" s="315"/>
      <c r="S140" s="315"/>
      <c r="T140" s="315"/>
    </row>
    <row r="141" spans="1:20" s="30" customFormat="1" x14ac:dyDescent="0.25">
      <c r="A141" s="36"/>
      <c r="B141" s="31"/>
      <c r="C141" s="31"/>
      <c r="D141" s="32"/>
      <c r="H141" s="32"/>
      <c r="J141" s="32"/>
      <c r="K141" s="41"/>
      <c r="L141" s="32"/>
      <c r="N141" s="32"/>
      <c r="O141" s="41"/>
      <c r="P141" s="315"/>
      <c r="Q141" s="315"/>
      <c r="R141" s="315"/>
      <c r="S141" s="315"/>
      <c r="T141" s="315"/>
    </row>
    <row r="142" spans="1:20" s="30" customFormat="1" x14ac:dyDescent="0.25">
      <c r="A142" s="36"/>
      <c r="B142" s="31"/>
      <c r="C142" s="31"/>
      <c r="D142" s="32"/>
      <c r="H142" s="32"/>
      <c r="J142" s="32"/>
      <c r="K142" s="41"/>
      <c r="L142" s="32"/>
      <c r="N142" s="32"/>
      <c r="O142" s="41"/>
      <c r="P142" s="315"/>
      <c r="Q142" s="315"/>
      <c r="R142" s="315"/>
      <c r="S142" s="315"/>
      <c r="T142" s="315"/>
    </row>
    <row r="143" spans="1:20" s="30" customFormat="1" x14ac:dyDescent="0.25">
      <c r="A143" s="36"/>
      <c r="B143" s="31"/>
      <c r="C143" s="31"/>
      <c r="D143" s="32"/>
      <c r="H143" s="32"/>
      <c r="J143" s="32"/>
      <c r="K143" s="41"/>
      <c r="L143" s="32"/>
      <c r="N143" s="32"/>
      <c r="O143" s="41"/>
      <c r="P143" s="315"/>
      <c r="Q143" s="315"/>
      <c r="R143" s="315"/>
      <c r="S143" s="315"/>
      <c r="T143" s="315"/>
    </row>
    <row r="144" spans="1:20" s="30" customFormat="1" x14ac:dyDescent="0.25">
      <c r="A144" s="36"/>
      <c r="B144" s="31"/>
      <c r="C144" s="31"/>
      <c r="D144" s="32"/>
      <c r="H144" s="32"/>
      <c r="J144" s="32"/>
      <c r="K144" s="41"/>
      <c r="L144" s="32"/>
      <c r="N144" s="32"/>
      <c r="O144" s="41"/>
      <c r="P144" s="315"/>
      <c r="Q144" s="315"/>
      <c r="R144" s="315"/>
      <c r="S144" s="315"/>
      <c r="T144" s="315"/>
    </row>
    <row r="145" spans="1:20" s="30" customFormat="1" x14ac:dyDescent="0.25">
      <c r="A145" s="36"/>
      <c r="B145" s="31"/>
      <c r="C145" s="31"/>
      <c r="D145" s="32"/>
      <c r="H145" s="32"/>
      <c r="J145" s="32"/>
      <c r="K145" s="41"/>
      <c r="L145" s="32"/>
      <c r="N145" s="32"/>
      <c r="O145" s="41"/>
      <c r="P145" s="315"/>
      <c r="Q145" s="315"/>
      <c r="R145" s="315"/>
      <c r="S145" s="315"/>
      <c r="T145" s="315"/>
    </row>
    <row r="146" spans="1:20" s="30" customFormat="1" x14ac:dyDescent="0.25">
      <c r="A146" s="36"/>
      <c r="B146" s="31"/>
      <c r="C146" s="31"/>
      <c r="D146" s="32"/>
      <c r="H146" s="32"/>
      <c r="J146" s="32"/>
      <c r="K146" s="41"/>
      <c r="L146" s="32"/>
      <c r="N146" s="32"/>
      <c r="O146" s="41"/>
      <c r="P146" s="315"/>
      <c r="Q146" s="315"/>
      <c r="R146" s="315"/>
      <c r="S146" s="315"/>
      <c r="T146" s="315"/>
    </row>
    <row r="147" spans="1:20" s="30" customFormat="1" x14ac:dyDescent="0.25">
      <c r="A147" s="36"/>
      <c r="B147" s="31"/>
      <c r="C147" s="31"/>
      <c r="D147" s="32"/>
      <c r="H147" s="32"/>
      <c r="J147" s="32"/>
      <c r="K147" s="41"/>
      <c r="L147" s="32"/>
      <c r="N147" s="32"/>
      <c r="O147" s="41"/>
      <c r="P147" s="315"/>
      <c r="Q147" s="315"/>
      <c r="R147" s="315"/>
      <c r="S147" s="315"/>
      <c r="T147" s="315"/>
    </row>
    <row r="148" spans="1:20" s="30" customFormat="1" x14ac:dyDescent="0.25">
      <c r="A148" s="36"/>
      <c r="B148" s="31"/>
      <c r="C148" s="31"/>
      <c r="D148" s="32"/>
      <c r="H148" s="32"/>
      <c r="J148" s="32"/>
      <c r="K148" s="41"/>
      <c r="L148" s="32"/>
      <c r="N148" s="32"/>
      <c r="O148" s="41"/>
      <c r="P148" s="315"/>
      <c r="Q148" s="315"/>
      <c r="R148" s="315"/>
      <c r="S148" s="315"/>
      <c r="T148" s="315"/>
    </row>
    <row r="149" spans="1:20" s="30" customFormat="1" x14ac:dyDescent="0.25">
      <c r="A149" s="36"/>
      <c r="B149" s="31"/>
      <c r="C149" s="31"/>
      <c r="D149" s="32"/>
      <c r="H149" s="32"/>
      <c r="J149" s="32"/>
      <c r="K149" s="41"/>
      <c r="L149" s="32"/>
      <c r="N149" s="32"/>
      <c r="O149" s="41"/>
      <c r="P149" s="315"/>
      <c r="Q149" s="315"/>
      <c r="R149" s="315"/>
      <c r="S149" s="315"/>
      <c r="T149" s="315"/>
    </row>
    <row r="150" spans="1:20" s="30" customFormat="1" x14ac:dyDescent="0.25">
      <c r="A150" s="36"/>
      <c r="B150" s="31"/>
      <c r="C150" s="31"/>
      <c r="D150" s="32"/>
      <c r="H150" s="32"/>
      <c r="J150" s="32"/>
      <c r="K150" s="41"/>
      <c r="L150" s="32"/>
      <c r="N150" s="32"/>
      <c r="O150" s="41"/>
      <c r="P150" s="315"/>
      <c r="Q150" s="315"/>
      <c r="R150" s="315"/>
      <c r="S150" s="315"/>
      <c r="T150" s="315"/>
    </row>
    <row r="151" spans="1:20" s="30" customFormat="1" x14ac:dyDescent="0.25">
      <c r="A151" s="36"/>
      <c r="B151" s="31"/>
      <c r="C151" s="31"/>
      <c r="D151" s="32"/>
      <c r="H151" s="32"/>
      <c r="J151" s="32"/>
      <c r="K151" s="41"/>
      <c r="L151" s="32"/>
      <c r="N151" s="32"/>
      <c r="O151" s="41"/>
      <c r="P151" s="315"/>
      <c r="Q151" s="315"/>
      <c r="R151" s="315"/>
      <c r="S151" s="315"/>
      <c r="T151" s="315"/>
    </row>
    <row r="152" spans="1:20" s="30" customFormat="1" x14ac:dyDescent="0.25">
      <c r="A152" s="36"/>
      <c r="B152" s="31"/>
      <c r="C152" s="31"/>
      <c r="D152" s="32"/>
      <c r="H152" s="32"/>
      <c r="J152" s="32"/>
      <c r="K152" s="41"/>
      <c r="L152" s="32"/>
      <c r="N152" s="32"/>
      <c r="O152" s="41"/>
      <c r="P152" s="315"/>
      <c r="Q152" s="315"/>
      <c r="R152" s="315"/>
      <c r="S152" s="315"/>
      <c r="T152" s="315"/>
    </row>
    <row r="153" spans="1:20" s="30" customFormat="1" x14ac:dyDescent="0.25">
      <c r="A153" s="36"/>
      <c r="B153" s="31"/>
      <c r="C153" s="31"/>
      <c r="D153" s="32"/>
      <c r="H153" s="32"/>
      <c r="J153" s="32"/>
      <c r="K153" s="41"/>
      <c r="L153" s="32"/>
      <c r="N153" s="32"/>
      <c r="O153" s="41"/>
      <c r="P153" s="315"/>
      <c r="Q153" s="315"/>
      <c r="R153" s="315"/>
      <c r="S153" s="315"/>
      <c r="T153" s="315"/>
    </row>
    <row r="154" spans="1:20" s="30" customFormat="1" x14ac:dyDescent="0.25">
      <c r="A154" s="36"/>
      <c r="B154" s="31"/>
      <c r="C154" s="31"/>
      <c r="D154" s="32"/>
      <c r="H154" s="32"/>
      <c r="J154" s="32"/>
      <c r="K154" s="41"/>
      <c r="L154" s="32"/>
      <c r="N154" s="32"/>
      <c r="O154" s="41"/>
      <c r="P154" s="315"/>
      <c r="Q154" s="315"/>
      <c r="R154" s="315"/>
      <c r="S154" s="315"/>
      <c r="T154" s="315"/>
    </row>
    <row r="155" spans="1:20" s="30" customFormat="1" x14ac:dyDescent="0.25">
      <c r="A155" s="36"/>
      <c r="B155" s="31"/>
      <c r="C155" s="31"/>
      <c r="D155" s="32"/>
      <c r="H155" s="32"/>
      <c r="J155" s="32"/>
      <c r="K155" s="41"/>
      <c r="L155" s="32"/>
      <c r="N155" s="32"/>
      <c r="O155" s="41"/>
      <c r="P155" s="315"/>
      <c r="Q155" s="315"/>
      <c r="R155" s="315"/>
      <c r="S155" s="315"/>
      <c r="T155" s="315"/>
    </row>
    <row r="156" spans="1:20" s="30" customFormat="1" x14ac:dyDescent="0.25">
      <c r="A156" s="36"/>
      <c r="B156" s="31"/>
      <c r="C156" s="31"/>
      <c r="D156" s="32"/>
      <c r="H156" s="32"/>
      <c r="J156" s="32"/>
      <c r="K156" s="41"/>
      <c r="L156" s="32"/>
      <c r="N156" s="32"/>
      <c r="O156" s="41"/>
      <c r="P156" s="315"/>
      <c r="Q156" s="315"/>
      <c r="R156" s="315"/>
      <c r="S156" s="315"/>
      <c r="T156" s="315"/>
    </row>
    <row r="157" spans="1:20" s="30" customFormat="1" x14ac:dyDescent="0.25">
      <c r="A157" s="36"/>
      <c r="B157" s="31"/>
      <c r="C157" s="31"/>
      <c r="D157" s="32"/>
      <c r="H157" s="32"/>
      <c r="J157" s="32"/>
      <c r="K157" s="41"/>
      <c r="L157" s="32"/>
      <c r="N157" s="32"/>
      <c r="O157" s="41"/>
      <c r="P157" s="315"/>
      <c r="Q157" s="315"/>
      <c r="R157" s="315"/>
      <c r="S157" s="315"/>
      <c r="T157" s="315"/>
    </row>
    <row r="158" spans="1:20" s="30" customFormat="1" x14ac:dyDescent="0.25">
      <c r="A158" s="36"/>
      <c r="B158" s="31"/>
      <c r="C158" s="31"/>
      <c r="D158" s="32"/>
      <c r="H158" s="32"/>
      <c r="J158" s="32"/>
      <c r="K158" s="41"/>
      <c r="L158" s="32"/>
      <c r="N158" s="32"/>
      <c r="O158" s="41"/>
      <c r="P158" s="315"/>
      <c r="Q158" s="315"/>
      <c r="R158" s="315"/>
      <c r="S158" s="315"/>
      <c r="T158" s="315"/>
    </row>
    <row r="159" spans="1:20" s="30" customFormat="1" x14ac:dyDescent="0.25">
      <c r="A159" s="36"/>
      <c r="B159" s="31"/>
      <c r="C159" s="31"/>
      <c r="D159" s="32"/>
      <c r="H159" s="32"/>
      <c r="J159" s="32"/>
      <c r="K159" s="41"/>
      <c r="L159" s="32"/>
      <c r="N159" s="32"/>
      <c r="O159" s="41"/>
      <c r="P159" s="315"/>
      <c r="Q159" s="315"/>
      <c r="R159" s="315"/>
      <c r="S159" s="315"/>
      <c r="T159" s="315"/>
    </row>
    <row r="160" spans="1:20" s="30" customFormat="1" x14ac:dyDescent="0.25">
      <c r="A160" s="36"/>
      <c r="B160" s="31"/>
      <c r="C160" s="31"/>
      <c r="D160" s="32"/>
      <c r="H160" s="32"/>
      <c r="J160" s="32"/>
      <c r="K160" s="41"/>
      <c r="L160" s="32"/>
      <c r="N160" s="32"/>
      <c r="O160" s="41"/>
      <c r="P160" s="315"/>
      <c r="Q160" s="315"/>
      <c r="R160" s="315"/>
      <c r="S160" s="315"/>
      <c r="T160" s="315"/>
    </row>
    <row r="161" spans="1:20" s="30" customFormat="1" x14ac:dyDescent="0.25">
      <c r="A161" s="36"/>
      <c r="B161" s="31"/>
      <c r="C161" s="31"/>
      <c r="D161" s="32"/>
      <c r="H161" s="32"/>
      <c r="J161" s="32"/>
      <c r="K161" s="41"/>
      <c r="L161" s="32"/>
      <c r="N161" s="32"/>
      <c r="O161" s="41"/>
      <c r="P161" s="315"/>
      <c r="Q161" s="315"/>
      <c r="R161" s="315"/>
      <c r="S161" s="315"/>
      <c r="T161" s="315"/>
    </row>
    <row r="162" spans="1:20" s="30" customFormat="1" x14ac:dyDescent="0.25">
      <c r="A162" s="36"/>
      <c r="B162" s="31"/>
      <c r="C162" s="31"/>
      <c r="D162" s="32"/>
      <c r="H162" s="32"/>
      <c r="J162" s="32"/>
      <c r="K162" s="41"/>
      <c r="L162" s="32"/>
      <c r="N162" s="32"/>
      <c r="O162" s="41"/>
      <c r="P162" s="315"/>
      <c r="Q162" s="315"/>
      <c r="R162" s="315"/>
      <c r="S162" s="315"/>
      <c r="T162" s="315"/>
    </row>
    <row r="163" spans="1:20" s="30" customFormat="1" x14ac:dyDescent="0.25">
      <c r="A163" s="36"/>
      <c r="B163" s="31"/>
      <c r="C163" s="31"/>
      <c r="D163" s="32"/>
      <c r="H163" s="32"/>
      <c r="J163" s="32"/>
      <c r="K163" s="41"/>
      <c r="L163" s="32"/>
      <c r="N163" s="32"/>
      <c r="O163" s="41"/>
      <c r="P163" s="315"/>
      <c r="Q163" s="315"/>
      <c r="R163" s="315"/>
      <c r="S163" s="315"/>
      <c r="T163" s="315"/>
    </row>
    <row r="164" spans="1:20" s="30" customFormat="1" x14ac:dyDescent="0.25">
      <c r="A164" s="36"/>
      <c r="B164" s="31"/>
      <c r="C164" s="31"/>
      <c r="D164" s="32"/>
      <c r="H164" s="32"/>
      <c r="J164" s="32"/>
      <c r="K164" s="41"/>
      <c r="L164" s="32"/>
      <c r="N164" s="32"/>
      <c r="O164" s="41"/>
      <c r="P164" s="315"/>
      <c r="Q164" s="315"/>
      <c r="R164" s="315"/>
      <c r="S164" s="315"/>
      <c r="T164" s="315"/>
    </row>
    <row r="165" spans="1:20" s="30" customFormat="1" x14ac:dyDescent="0.25">
      <c r="A165" s="36"/>
      <c r="B165" s="31"/>
      <c r="C165" s="31"/>
      <c r="D165" s="32"/>
      <c r="H165" s="32"/>
      <c r="J165" s="32"/>
      <c r="K165" s="41"/>
      <c r="L165" s="32"/>
      <c r="N165" s="32"/>
      <c r="O165" s="41"/>
      <c r="P165" s="315"/>
      <c r="Q165" s="315"/>
      <c r="R165" s="315"/>
      <c r="S165" s="315"/>
      <c r="T165" s="315"/>
    </row>
    <row r="166" spans="1:20" s="30" customFormat="1" x14ac:dyDescent="0.25">
      <c r="A166" s="36"/>
      <c r="B166" s="31"/>
      <c r="C166" s="31"/>
      <c r="D166" s="32"/>
      <c r="H166" s="32"/>
      <c r="J166" s="32"/>
      <c r="K166" s="41"/>
      <c r="L166" s="32"/>
      <c r="N166" s="32"/>
      <c r="O166" s="41"/>
      <c r="P166" s="315"/>
      <c r="Q166" s="315"/>
      <c r="R166" s="315"/>
      <c r="S166" s="315"/>
      <c r="T166" s="315"/>
    </row>
    <row r="167" spans="1:20" s="30" customFormat="1" x14ac:dyDescent="0.25">
      <c r="A167" s="36"/>
      <c r="B167" s="31"/>
      <c r="C167" s="31"/>
      <c r="D167" s="32"/>
      <c r="H167" s="32"/>
      <c r="J167" s="32"/>
      <c r="K167" s="41"/>
      <c r="L167" s="32"/>
      <c r="N167" s="32"/>
      <c r="O167" s="41"/>
      <c r="P167" s="315"/>
      <c r="Q167" s="315"/>
      <c r="R167" s="315"/>
      <c r="S167" s="315"/>
      <c r="T167" s="315"/>
    </row>
    <row r="168" spans="1:20" s="30" customFormat="1" x14ac:dyDescent="0.25">
      <c r="A168" s="36"/>
      <c r="B168" s="31"/>
      <c r="C168" s="31"/>
      <c r="D168" s="32"/>
      <c r="H168" s="32"/>
      <c r="J168" s="32"/>
      <c r="K168" s="41"/>
      <c r="L168" s="32"/>
      <c r="N168" s="32"/>
      <c r="O168" s="41"/>
      <c r="P168" s="315"/>
      <c r="Q168" s="315"/>
      <c r="R168" s="315"/>
      <c r="S168" s="315"/>
      <c r="T168" s="315"/>
    </row>
    <row r="169" spans="1:20" s="30" customFormat="1" x14ac:dyDescent="0.25">
      <c r="A169" s="36"/>
      <c r="B169" s="31"/>
      <c r="C169" s="31"/>
      <c r="D169" s="32"/>
      <c r="H169" s="32"/>
      <c r="J169" s="32"/>
      <c r="K169" s="41"/>
      <c r="L169" s="32"/>
      <c r="N169" s="32"/>
      <c r="O169" s="41"/>
      <c r="P169" s="315"/>
      <c r="Q169" s="315"/>
      <c r="R169" s="315"/>
      <c r="S169" s="315"/>
      <c r="T169" s="315"/>
    </row>
    <row r="170" spans="1:20" s="30" customFormat="1" x14ac:dyDescent="0.25">
      <c r="A170" s="36"/>
      <c r="B170" s="31"/>
      <c r="C170" s="31"/>
      <c r="D170" s="32"/>
      <c r="H170" s="32"/>
      <c r="J170" s="32"/>
      <c r="K170" s="41"/>
      <c r="L170" s="32"/>
      <c r="N170" s="32"/>
      <c r="O170" s="41"/>
      <c r="P170" s="315"/>
      <c r="Q170" s="315"/>
      <c r="R170" s="315"/>
      <c r="S170" s="315"/>
      <c r="T170" s="315"/>
    </row>
    <row r="171" spans="1:20" s="30" customFormat="1" x14ac:dyDescent="0.25">
      <c r="A171" s="36"/>
      <c r="B171" s="31"/>
      <c r="C171" s="31"/>
      <c r="D171" s="32"/>
      <c r="H171" s="32"/>
      <c r="J171" s="32"/>
      <c r="K171" s="41"/>
      <c r="L171" s="32"/>
      <c r="N171" s="32"/>
      <c r="O171" s="41"/>
      <c r="P171" s="315"/>
      <c r="Q171" s="315"/>
      <c r="R171" s="315"/>
      <c r="S171" s="315"/>
      <c r="T171" s="315"/>
    </row>
    <row r="172" spans="1:20" s="30" customFormat="1" x14ac:dyDescent="0.25">
      <c r="A172" s="36"/>
      <c r="B172" s="31"/>
      <c r="C172" s="31"/>
      <c r="D172" s="32"/>
      <c r="H172" s="32"/>
      <c r="J172" s="32"/>
      <c r="K172" s="41"/>
      <c r="L172" s="32"/>
      <c r="N172" s="32"/>
      <c r="O172" s="41"/>
      <c r="P172" s="315"/>
      <c r="Q172" s="315"/>
      <c r="R172" s="315"/>
      <c r="S172" s="315"/>
      <c r="T172" s="315"/>
    </row>
    <row r="173" spans="1:20" s="30" customFormat="1" x14ac:dyDescent="0.25">
      <c r="A173" s="36"/>
      <c r="B173" s="31"/>
      <c r="C173" s="31"/>
      <c r="D173" s="32"/>
      <c r="H173" s="32"/>
      <c r="J173" s="32"/>
      <c r="K173" s="41"/>
      <c r="L173" s="32"/>
      <c r="N173" s="32"/>
      <c r="O173" s="41"/>
      <c r="P173" s="315"/>
      <c r="Q173" s="315"/>
      <c r="R173" s="315"/>
      <c r="S173" s="315"/>
      <c r="T173" s="315"/>
    </row>
    <row r="174" spans="1:20" s="30" customFormat="1" x14ac:dyDescent="0.25">
      <c r="A174" s="36"/>
      <c r="B174" s="31"/>
      <c r="C174" s="31"/>
      <c r="D174" s="32"/>
      <c r="H174" s="32"/>
      <c r="J174" s="32"/>
      <c r="K174" s="41"/>
      <c r="L174" s="32"/>
      <c r="N174" s="32"/>
      <c r="O174" s="41"/>
      <c r="P174" s="315"/>
      <c r="Q174" s="315"/>
      <c r="R174" s="315"/>
      <c r="S174" s="315"/>
      <c r="T174" s="315"/>
    </row>
    <row r="175" spans="1:20" s="30" customFormat="1" x14ac:dyDescent="0.25">
      <c r="A175" s="36"/>
      <c r="B175" s="31"/>
      <c r="C175" s="31"/>
      <c r="D175" s="32"/>
      <c r="H175" s="32"/>
      <c r="J175" s="32"/>
      <c r="K175" s="41"/>
      <c r="L175" s="32"/>
      <c r="N175" s="32"/>
      <c r="O175" s="41"/>
      <c r="P175" s="315"/>
      <c r="Q175" s="315"/>
      <c r="R175" s="315"/>
      <c r="S175" s="315"/>
      <c r="T175" s="315"/>
    </row>
    <row r="176" spans="1:20" s="30" customFormat="1" x14ac:dyDescent="0.25">
      <c r="A176" s="36"/>
      <c r="B176" s="31"/>
      <c r="C176" s="31"/>
      <c r="D176" s="32"/>
      <c r="H176" s="32"/>
      <c r="J176" s="32"/>
      <c r="K176" s="41"/>
      <c r="L176" s="32"/>
      <c r="N176" s="32"/>
      <c r="O176" s="41"/>
      <c r="P176" s="315"/>
      <c r="Q176" s="315"/>
      <c r="R176" s="315"/>
      <c r="S176" s="315"/>
      <c r="T176" s="315"/>
    </row>
    <row r="177" spans="1:20" s="30" customFormat="1" x14ac:dyDescent="0.25">
      <c r="A177" s="36"/>
      <c r="B177" s="31"/>
      <c r="C177" s="31"/>
      <c r="D177" s="32"/>
      <c r="H177" s="32"/>
      <c r="J177" s="32"/>
      <c r="K177" s="41"/>
      <c r="L177" s="32"/>
      <c r="N177" s="32"/>
      <c r="O177" s="41"/>
      <c r="P177" s="315"/>
      <c r="Q177" s="315"/>
      <c r="R177" s="315"/>
      <c r="S177" s="315"/>
      <c r="T177" s="315"/>
    </row>
    <row r="178" spans="1:20" s="30" customFormat="1" x14ac:dyDescent="0.25">
      <c r="A178" s="36"/>
      <c r="B178" s="31"/>
      <c r="C178" s="31"/>
      <c r="D178" s="32"/>
      <c r="H178" s="32"/>
      <c r="J178" s="32"/>
      <c r="K178" s="41"/>
      <c r="L178" s="32"/>
      <c r="N178" s="32"/>
      <c r="O178" s="41"/>
      <c r="P178" s="315"/>
      <c r="Q178" s="315"/>
      <c r="R178" s="315"/>
      <c r="S178" s="315"/>
      <c r="T178" s="315"/>
    </row>
    <row r="179" spans="1:20" s="30" customFormat="1" x14ac:dyDescent="0.25">
      <c r="A179" s="36"/>
      <c r="B179" s="31"/>
      <c r="C179" s="31"/>
      <c r="D179" s="32"/>
      <c r="H179" s="32"/>
      <c r="J179" s="32"/>
      <c r="K179" s="41"/>
      <c r="L179" s="32"/>
      <c r="N179" s="32"/>
      <c r="O179" s="41"/>
      <c r="P179" s="315"/>
      <c r="Q179" s="315"/>
      <c r="R179" s="315"/>
      <c r="S179" s="315"/>
      <c r="T179" s="315"/>
    </row>
    <row r="180" spans="1:20" s="30" customFormat="1" x14ac:dyDescent="0.25">
      <c r="A180" s="36"/>
      <c r="B180" s="31"/>
      <c r="C180" s="31"/>
      <c r="D180" s="32"/>
      <c r="H180" s="32"/>
      <c r="J180" s="32"/>
      <c r="K180" s="41"/>
      <c r="L180" s="32"/>
      <c r="N180" s="32"/>
      <c r="O180" s="41"/>
      <c r="P180" s="315"/>
      <c r="Q180" s="315"/>
      <c r="R180" s="315"/>
      <c r="S180" s="315"/>
      <c r="T180" s="315"/>
    </row>
    <row r="181" spans="1:20" s="30" customFormat="1" x14ac:dyDescent="0.25">
      <c r="A181" s="36"/>
      <c r="B181" s="31"/>
      <c r="C181" s="31"/>
      <c r="D181" s="32"/>
      <c r="H181" s="32"/>
      <c r="J181" s="32"/>
      <c r="K181" s="41"/>
      <c r="L181" s="32"/>
      <c r="N181" s="32"/>
      <c r="O181" s="41"/>
      <c r="P181" s="315"/>
      <c r="Q181" s="315"/>
      <c r="R181" s="315"/>
      <c r="S181" s="315"/>
      <c r="T181" s="315"/>
    </row>
    <row r="182" spans="1:20" s="30" customFormat="1" x14ac:dyDescent="0.25">
      <c r="A182" s="36"/>
      <c r="B182" s="31"/>
      <c r="C182" s="31"/>
      <c r="D182" s="32"/>
      <c r="H182" s="32"/>
      <c r="J182" s="32"/>
      <c r="K182" s="41"/>
      <c r="L182" s="32"/>
      <c r="N182" s="32"/>
      <c r="O182" s="41"/>
      <c r="P182" s="315"/>
      <c r="Q182" s="315"/>
      <c r="R182" s="315"/>
      <c r="S182" s="315"/>
      <c r="T182" s="315"/>
    </row>
    <row r="183" spans="1:20" s="30" customFormat="1" x14ac:dyDescent="0.25">
      <c r="A183" s="36"/>
      <c r="B183" s="31"/>
      <c r="C183" s="31"/>
      <c r="D183" s="32"/>
      <c r="H183" s="32"/>
      <c r="J183" s="32"/>
      <c r="K183" s="41"/>
      <c r="L183" s="32"/>
      <c r="N183" s="32"/>
      <c r="O183" s="41"/>
      <c r="P183" s="315"/>
      <c r="Q183" s="315"/>
      <c r="R183" s="315"/>
      <c r="S183" s="315"/>
      <c r="T183" s="315"/>
    </row>
    <row r="184" spans="1:20" s="30" customFormat="1" x14ac:dyDescent="0.25">
      <c r="A184" s="36"/>
      <c r="B184" s="31"/>
      <c r="C184" s="31"/>
      <c r="D184" s="32"/>
      <c r="H184" s="32"/>
      <c r="J184" s="32"/>
      <c r="K184" s="41"/>
      <c r="L184" s="32"/>
      <c r="N184" s="32"/>
      <c r="O184" s="41"/>
      <c r="P184" s="315"/>
      <c r="Q184" s="315"/>
      <c r="R184" s="315"/>
      <c r="S184" s="315"/>
      <c r="T184" s="315"/>
    </row>
    <row r="185" spans="1:20" s="30" customFormat="1" x14ac:dyDescent="0.25">
      <c r="A185" s="36"/>
      <c r="B185" s="31"/>
      <c r="C185" s="31"/>
      <c r="D185" s="32"/>
      <c r="H185" s="32"/>
      <c r="J185" s="32"/>
      <c r="K185" s="41"/>
      <c r="L185" s="32"/>
      <c r="N185" s="32"/>
      <c r="O185" s="41"/>
      <c r="P185" s="315"/>
      <c r="Q185" s="315"/>
      <c r="R185" s="315"/>
      <c r="S185" s="315"/>
      <c r="T185" s="315"/>
    </row>
    <row r="186" spans="1:20" s="30" customFormat="1" x14ac:dyDescent="0.25">
      <c r="A186" s="36"/>
      <c r="B186" s="31"/>
      <c r="C186" s="31"/>
      <c r="D186" s="32"/>
      <c r="H186" s="32"/>
      <c r="J186" s="32"/>
      <c r="K186" s="41"/>
      <c r="L186" s="32"/>
      <c r="N186" s="32"/>
      <c r="O186" s="41"/>
      <c r="P186" s="315"/>
      <c r="Q186" s="315"/>
      <c r="R186" s="315"/>
      <c r="S186" s="315"/>
      <c r="T186" s="315"/>
    </row>
    <row r="187" spans="1:20" s="30" customFormat="1" x14ac:dyDescent="0.25">
      <c r="A187" s="36"/>
      <c r="B187" s="31"/>
      <c r="C187" s="31"/>
      <c r="D187" s="32"/>
      <c r="H187" s="32"/>
      <c r="J187" s="32"/>
      <c r="K187" s="41"/>
      <c r="L187" s="32"/>
      <c r="N187" s="32"/>
      <c r="O187" s="41"/>
      <c r="P187" s="315"/>
      <c r="Q187" s="315"/>
      <c r="R187" s="315"/>
      <c r="S187" s="315"/>
      <c r="T187" s="315"/>
    </row>
    <row r="188" spans="1:20" s="30" customFormat="1" x14ac:dyDescent="0.25">
      <c r="A188" s="36"/>
      <c r="B188" s="31"/>
      <c r="C188" s="31"/>
      <c r="D188" s="32"/>
      <c r="H188" s="32"/>
      <c r="J188" s="32"/>
      <c r="K188" s="41"/>
      <c r="L188" s="32"/>
      <c r="N188" s="32"/>
      <c r="O188" s="41"/>
      <c r="P188" s="315"/>
      <c r="Q188" s="315"/>
      <c r="R188" s="315"/>
      <c r="S188" s="315"/>
      <c r="T188" s="315"/>
    </row>
    <row r="189" spans="1:20" s="30" customFormat="1" x14ac:dyDescent="0.25">
      <c r="A189" s="36"/>
      <c r="B189" s="31"/>
      <c r="C189" s="31"/>
      <c r="D189" s="32"/>
      <c r="H189" s="32"/>
      <c r="J189" s="32"/>
      <c r="K189" s="41"/>
      <c r="L189" s="32"/>
      <c r="N189" s="32"/>
      <c r="O189" s="41"/>
      <c r="P189" s="315"/>
      <c r="Q189" s="315"/>
      <c r="R189" s="315"/>
      <c r="S189" s="315"/>
      <c r="T189" s="315"/>
    </row>
    <row r="190" spans="1:20" s="30" customFormat="1" x14ac:dyDescent="0.25">
      <c r="A190" s="36"/>
      <c r="B190" s="31"/>
      <c r="C190" s="31"/>
      <c r="D190" s="32"/>
      <c r="H190" s="32"/>
      <c r="J190" s="32"/>
      <c r="K190" s="41"/>
      <c r="L190" s="32"/>
      <c r="N190" s="32"/>
      <c r="O190" s="41"/>
      <c r="P190" s="315"/>
      <c r="Q190" s="315"/>
      <c r="R190" s="315"/>
      <c r="S190" s="315"/>
      <c r="T190" s="315"/>
    </row>
    <row r="191" spans="1:20" s="30" customFormat="1" x14ac:dyDescent="0.25">
      <c r="A191" s="36"/>
      <c r="B191" s="31"/>
      <c r="C191" s="31"/>
      <c r="D191" s="32"/>
      <c r="H191" s="32"/>
      <c r="J191" s="32"/>
      <c r="K191" s="41"/>
      <c r="L191" s="32"/>
      <c r="N191" s="32"/>
      <c r="O191" s="41"/>
      <c r="P191" s="315"/>
      <c r="Q191" s="315"/>
      <c r="R191" s="315"/>
      <c r="S191" s="315"/>
      <c r="T191" s="315"/>
    </row>
    <row r="192" spans="1:20" s="30" customFormat="1" x14ac:dyDescent="0.25">
      <c r="A192" s="36"/>
      <c r="B192" s="31"/>
      <c r="C192" s="31"/>
      <c r="D192" s="32"/>
      <c r="H192" s="32"/>
      <c r="J192" s="32"/>
      <c r="K192" s="41"/>
      <c r="L192" s="32"/>
      <c r="N192" s="32"/>
      <c r="O192" s="41"/>
      <c r="P192" s="315"/>
      <c r="Q192" s="315"/>
      <c r="R192" s="315"/>
      <c r="S192" s="315"/>
      <c r="T192" s="315"/>
    </row>
    <row r="193" spans="1:20" s="30" customFormat="1" x14ac:dyDescent="0.25">
      <c r="A193" s="36"/>
      <c r="B193" s="31"/>
      <c r="C193" s="31"/>
      <c r="D193" s="32"/>
      <c r="H193" s="32"/>
      <c r="J193" s="32"/>
      <c r="K193" s="41"/>
      <c r="L193" s="32"/>
      <c r="N193" s="32"/>
      <c r="O193" s="41"/>
      <c r="P193" s="315"/>
      <c r="Q193" s="315"/>
      <c r="R193" s="315"/>
      <c r="S193" s="315"/>
      <c r="T193" s="315"/>
    </row>
    <row r="194" spans="1:20" s="30" customFormat="1" x14ac:dyDescent="0.25">
      <c r="A194" s="36"/>
      <c r="B194" s="31"/>
      <c r="C194" s="31"/>
      <c r="D194" s="32"/>
      <c r="H194" s="32"/>
      <c r="J194" s="32"/>
      <c r="K194" s="41"/>
      <c r="L194" s="32"/>
      <c r="N194" s="32"/>
      <c r="O194" s="41"/>
      <c r="P194" s="315"/>
      <c r="Q194" s="315"/>
      <c r="R194" s="315"/>
      <c r="S194" s="315"/>
      <c r="T194" s="315"/>
    </row>
    <row r="195" spans="1:20" s="30" customFormat="1" x14ac:dyDescent="0.25">
      <c r="A195" s="36"/>
      <c r="B195" s="31"/>
      <c r="C195" s="31"/>
      <c r="D195" s="32"/>
      <c r="H195" s="32"/>
      <c r="J195" s="32"/>
      <c r="K195" s="41"/>
      <c r="L195" s="32"/>
      <c r="N195" s="32"/>
      <c r="O195" s="41"/>
      <c r="P195" s="315"/>
      <c r="Q195" s="315"/>
      <c r="R195" s="315"/>
      <c r="S195" s="315"/>
      <c r="T195" s="315"/>
    </row>
    <row r="196" spans="1:20" s="30" customFormat="1" x14ac:dyDescent="0.25">
      <c r="A196" s="36"/>
      <c r="B196" s="31"/>
      <c r="C196" s="31"/>
      <c r="D196" s="32"/>
      <c r="H196" s="32"/>
      <c r="J196" s="32"/>
      <c r="K196" s="41"/>
      <c r="L196" s="32"/>
      <c r="N196" s="32"/>
      <c r="O196" s="41"/>
      <c r="P196" s="315"/>
      <c r="Q196" s="315"/>
      <c r="R196" s="315"/>
      <c r="S196" s="315"/>
      <c r="T196" s="315"/>
    </row>
    <row r="197" spans="1:20" s="30" customFormat="1" x14ac:dyDescent="0.25">
      <c r="A197" s="36"/>
      <c r="B197" s="31"/>
      <c r="C197" s="31"/>
      <c r="D197" s="32"/>
      <c r="H197" s="32"/>
      <c r="J197" s="32"/>
      <c r="K197" s="41"/>
      <c r="L197" s="32"/>
      <c r="N197" s="32"/>
      <c r="O197" s="41"/>
      <c r="P197" s="315"/>
      <c r="Q197" s="315"/>
      <c r="R197" s="315"/>
      <c r="S197" s="315"/>
      <c r="T197" s="315"/>
    </row>
    <row r="198" spans="1:20" s="30" customFormat="1" x14ac:dyDescent="0.25">
      <c r="A198" s="36"/>
      <c r="B198" s="31"/>
      <c r="C198" s="31"/>
      <c r="D198" s="32"/>
      <c r="H198" s="32"/>
      <c r="J198" s="32"/>
      <c r="K198" s="41"/>
      <c r="L198" s="32"/>
      <c r="N198" s="32"/>
      <c r="O198" s="41"/>
      <c r="P198" s="315"/>
      <c r="Q198" s="315"/>
      <c r="R198" s="315"/>
      <c r="S198" s="315"/>
      <c r="T198" s="315"/>
    </row>
    <row r="199" spans="1:20" s="30" customFormat="1" x14ac:dyDescent="0.25">
      <c r="A199" s="36"/>
      <c r="B199" s="31"/>
      <c r="C199" s="31"/>
      <c r="D199" s="32"/>
      <c r="H199" s="32"/>
      <c r="J199" s="32"/>
      <c r="K199" s="41"/>
      <c r="L199" s="32"/>
      <c r="N199" s="32"/>
      <c r="O199" s="41"/>
      <c r="P199" s="315"/>
      <c r="Q199" s="315"/>
      <c r="R199" s="315"/>
      <c r="S199" s="315"/>
      <c r="T199" s="315"/>
    </row>
    <row r="200" spans="1:20" s="30" customFormat="1" x14ac:dyDescent="0.25">
      <c r="A200" s="36"/>
      <c r="B200" s="31"/>
      <c r="C200" s="31"/>
      <c r="D200" s="32"/>
      <c r="H200" s="32"/>
      <c r="J200" s="32"/>
      <c r="K200" s="41"/>
      <c r="L200" s="32"/>
      <c r="N200" s="32"/>
      <c r="O200" s="41"/>
      <c r="P200" s="315"/>
      <c r="Q200" s="315"/>
      <c r="R200" s="315"/>
      <c r="S200" s="315"/>
      <c r="T200" s="315"/>
    </row>
    <row r="201" spans="1:20" s="30" customFormat="1" x14ac:dyDescent="0.25">
      <c r="A201" s="36"/>
      <c r="B201" s="31"/>
      <c r="C201" s="31"/>
      <c r="D201" s="32"/>
      <c r="H201" s="32"/>
      <c r="J201" s="32"/>
      <c r="K201" s="41"/>
      <c r="L201" s="32"/>
      <c r="N201" s="32"/>
      <c r="O201" s="41"/>
      <c r="P201" s="315"/>
      <c r="Q201" s="315"/>
      <c r="R201" s="315"/>
      <c r="S201" s="315"/>
      <c r="T201" s="315"/>
    </row>
    <row r="202" spans="1:20" s="30" customFormat="1" x14ac:dyDescent="0.25">
      <c r="A202" s="36"/>
      <c r="B202" s="31"/>
      <c r="C202" s="31"/>
      <c r="D202" s="32"/>
      <c r="H202" s="32"/>
      <c r="J202" s="32"/>
      <c r="K202" s="41"/>
      <c r="L202" s="32"/>
      <c r="N202" s="32"/>
      <c r="O202" s="41"/>
      <c r="P202" s="315"/>
      <c r="Q202" s="315"/>
      <c r="R202" s="315"/>
      <c r="S202" s="315"/>
      <c r="T202" s="315"/>
    </row>
    <row r="203" spans="1:20" s="30" customFormat="1" x14ac:dyDescent="0.25">
      <c r="A203" s="36"/>
      <c r="B203" s="31"/>
      <c r="C203" s="31"/>
      <c r="D203" s="32"/>
      <c r="H203" s="32"/>
      <c r="J203" s="32"/>
      <c r="K203" s="41"/>
      <c r="L203" s="32"/>
      <c r="N203" s="32"/>
      <c r="O203" s="41"/>
      <c r="P203" s="315"/>
      <c r="Q203" s="315"/>
      <c r="R203" s="315"/>
      <c r="S203" s="315"/>
      <c r="T203" s="315"/>
    </row>
    <row r="204" spans="1:20" s="30" customFormat="1" x14ac:dyDescent="0.25">
      <c r="A204" s="36"/>
      <c r="B204" s="31"/>
      <c r="C204" s="31"/>
      <c r="D204" s="32"/>
      <c r="H204" s="32"/>
      <c r="J204" s="32"/>
      <c r="K204" s="41"/>
      <c r="L204" s="32"/>
      <c r="N204" s="32"/>
      <c r="O204" s="41"/>
      <c r="P204" s="315"/>
      <c r="Q204" s="315"/>
      <c r="R204" s="315"/>
      <c r="S204" s="315"/>
      <c r="T204" s="315"/>
    </row>
    <row r="205" spans="1:20" s="30" customFormat="1" x14ac:dyDescent="0.25">
      <c r="A205" s="36"/>
      <c r="B205" s="31"/>
      <c r="C205" s="31"/>
      <c r="D205" s="32"/>
      <c r="H205" s="32"/>
      <c r="J205" s="32"/>
      <c r="K205" s="41"/>
      <c r="L205" s="32"/>
      <c r="N205" s="32"/>
      <c r="O205" s="41"/>
      <c r="P205" s="315"/>
      <c r="Q205" s="315"/>
      <c r="R205" s="315"/>
      <c r="S205" s="315"/>
      <c r="T205" s="315"/>
    </row>
    <row r="206" spans="1:20" s="30" customFormat="1" x14ac:dyDescent="0.25">
      <c r="A206" s="36"/>
      <c r="B206" s="31"/>
      <c r="C206" s="31"/>
      <c r="D206" s="32"/>
      <c r="H206" s="32"/>
      <c r="J206" s="32"/>
      <c r="K206" s="41"/>
      <c r="L206" s="32"/>
      <c r="N206" s="32"/>
      <c r="O206" s="41"/>
      <c r="P206" s="315"/>
      <c r="Q206" s="315"/>
      <c r="R206" s="315"/>
      <c r="S206" s="315"/>
      <c r="T206" s="315"/>
    </row>
    <row r="207" spans="1:20" s="30" customFormat="1" x14ac:dyDescent="0.25">
      <c r="A207" s="36"/>
      <c r="B207" s="31"/>
      <c r="C207" s="31"/>
      <c r="D207" s="32"/>
      <c r="H207" s="32"/>
      <c r="J207" s="32"/>
      <c r="K207" s="41"/>
      <c r="L207" s="32"/>
      <c r="N207" s="32"/>
      <c r="O207" s="41"/>
      <c r="P207" s="315"/>
      <c r="Q207" s="315"/>
      <c r="R207" s="315"/>
      <c r="S207" s="315"/>
      <c r="T207" s="315"/>
    </row>
    <row r="208" spans="1:20" s="30" customFormat="1" x14ac:dyDescent="0.25">
      <c r="A208" s="36"/>
      <c r="B208" s="31"/>
      <c r="C208" s="31"/>
      <c r="D208" s="32"/>
      <c r="H208" s="32"/>
      <c r="J208" s="32"/>
      <c r="K208" s="41"/>
      <c r="L208" s="32"/>
      <c r="N208" s="32"/>
      <c r="O208" s="41"/>
      <c r="P208" s="315"/>
      <c r="Q208" s="315"/>
      <c r="R208" s="315"/>
      <c r="S208" s="315"/>
      <c r="T208" s="315"/>
    </row>
    <row r="209" spans="1:20" s="30" customFormat="1" x14ac:dyDescent="0.25">
      <c r="A209" s="36"/>
      <c r="B209" s="31"/>
      <c r="C209" s="31"/>
      <c r="D209" s="32"/>
      <c r="H209" s="32"/>
      <c r="J209" s="32"/>
      <c r="K209" s="41"/>
      <c r="L209" s="32"/>
      <c r="N209" s="32"/>
      <c r="O209" s="41"/>
      <c r="P209" s="315"/>
      <c r="Q209" s="315"/>
      <c r="R209" s="315"/>
      <c r="S209" s="315"/>
      <c r="T209" s="315"/>
    </row>
    <row r="210" spans="1:20" s="30" customFormat="1" x14ac:dyDescent="0.25">
      <c r="A210" s="36"/>
      <c r="B210" s="31"/>
      <c r="C210" s="31"/>
      <c r="D210" s="32"/>
      <c r="H210" s="32"/>
      <c r="J210" s="32"/>
      <c r="K210" s="41"/>
      <c r="L210" s="32"/>
      <c r="N210" s="32"/>
      <c r="O210" s="41"/>
      <c r="P210" s="315"/>
      <c r="Q210" s="315"/>
      <c r="R210" s="315"/>
      <c r="S210" s="315"/>
      <c r="T210" s="315"/>
    </row>
    <row r="211" spans="1:20" s="30" customFormat="1" x14ac:dyDescent="0.25">
      <c r="A211" s="36"/>
      <c r="B211" s="31"/>
      <c r="C211" s="31"/>
      <c r="D211" s="32"/>
      <c r="H211" s="32"/>
      <c r="J211" s="32"/>
      <c r="K211" s="41"/>
      <c r="L211" s="32"/>
      <c r="N211" s="32"/>
      <c r="O211" s="41"/>
      <c r="P211" s="315"/>
      <c r="Q211" s="315"/>
      <c r="R211" s="315"/>
      <c r="S211" s="315"/>
      <c r="T211" s="315"/>
    </row>
    <row r="212" spans="1:20" s="30" customFormat="1" x14ac:dyDescent="0.25">
      <c r="A212" s="36"/>
      <c r="B212" s="31"/>
      <c r="C212" s="31"/>
      <c r="D212" s="32"/>
      <c r="H212" s="32"/>
      <c r="J212" s="32"/>
      <c r="K212" s="41"/>
      <c r="L212" s="32"/>
      <c r="N212" s="32"/>
      <c r="O212" s="41"/>
      <c r="P212" s="315"/>
      <c r="Q212" s="315"/>
      <c r="R212" s="315"/>
      <c r="S212" s="315"/>
      <c r="T212" s="315"/>
    </row>
    <row r="213" spans="1:20" s="30" customFormat="1" x14ac:dyDescent="0.25">
      <c r="A213" s="36"/>
      <c r="B213" s="31"/>
      <c r="C213" s="31"/>
      <c r="D213" s="32"/>
      <c r="H213" s="32"/>
      <c r="J213" s="32"/>
      <c r="K213" s="41"/>
      <c r="L213" s="32"/>
      <c r="N213" s="32"/>
      <c r="O213" s="41"/>
      <c r="P213" s="315"/>
      <c r="Q213" s="315"/>
      <c r="R213" s="315"/>
      <c r="S213" s="315"/>
      <c r="T213" s="315"/>
    </row>
    <row r="214" spans="1:20" s="30" customFormat="1" x14ac:dyDescent="0.25">
      <c r="A214" s="36"/>
      <c r="B214" s="31"/>
      <c r="C214" s="31"/>
      <c r="D214" s="32"/>
      <c r="H214" s="32"/>
      <c r="J214" s="32"/>
      <c r="K214" s="41"/>
      <c r="L214" s="32"/>
      <c r="N214" s="32"/>
      <c r="O214" s="41"/>
      <c r="P214" s="315"/>
      <c r="Q214" s="315"/>
      <c r="R214" s="315"/>
      <c r="S214" s="315"/>
      <c r="T214" s="315"/>
    </row>
    <row r="215" spans="1:20" s="30" customFormat="1" x14ac:dyDescent="0.25">
      <c r="A215" s="36"/>
      <c r="B215" s="31"/>
      <c r="C215" s="31"/>
      <c r="D215" s="32"/>
      <c r="H215" s="32"/>
      <c r="J215" s="32"/>
      <c r="K215" s="41"/>
      <c r="L215" s="32"/>
      <c r="N215" s="32"/>
      <c r="O215" s="41"/>
      <c r="P215" s="315"/>
      <c r="Q215" s="315"/>
      <c r="R215" s="315"/>
      <c r="S215" s="315"/>
      <c r="T215" s="315"/>
    </row>
    <row r="216" spans="1:20" s="30" customFormat="1" x14ac:dyDescent="0.25">
      <c r="A216" s="36"/>
      <c r="B216" s="31"/>
      <c r="C216" s="31"/>
      <c r="D216" s="32"/>
      <c r="H216" s="32"/>
      <c r="J216" s="32"/>
      <c r="K216" s="41"/>
      <c r="L216" s="32"/>
      <c r="N216" s="32"/>
      <c r="O216" s="41"/>
      <c r="P216" s="315"/>
      <c r="Q216" s="315"/>
      <c r="R216" s="315"/>
      <c r="S216" s="315"/>
      <c r="T216" s="315"/>
    </row>
    <row r="217" spans="1:20" s="30" customFormat="1" x14ac:dyDescent="0.25">
      <c r="A217" s="36"/>
      <c r="B217" s="31"/>
      <c r="C217" s="31"/>
      <c r="D217" s="32"/>
      <c r="H217" s="32"/>
      <c r="J217" s="32"/>
      <c r="K217" s="41"/>
      <c r="L217" s="32"/>
      <c r="N217" s="32"/>
      <c r="O217" s="41"/>
      <c r="P217" s="315"/>
      <c r="Q217" s="315"/>
      <c r="R217" s="315"/>
      <c r="S217" s="315"/>
      <c r="T217" s="315"/>
    </row>
    <row r="218" spans="1:20" s="30" customFormat="1" x14ac:dyDescent="0.25">
      <c r="A218" s="36"/>
      <c r="B218" s="31"/>
      <c r="C218" s="31"/>
      <c r="D218" s="32"/>
      <c r="H218" s="32"/>
      <c r="J218" s="32"/>
      <c r="K218" s="41"/>
      <c r="L218" s="32"/>
      <c r="N218" s="32"/>
      <c r="O218" s="41"/>
      <c r="P218" s="315"/>
      <c r="Q218" s="315"/>
      <c r="R218" s="315"/>
      <c r="S218" s="315"/>
      <c r="T218" s="315"/>
    </row>
    <row r="219" spans="1:20" s="30" customFormat="1" x14ac:dyDescent="0.25">
      <c r="A219" s="36"/>
      <c r="B219" s="31"/>
      <c r="C219" s="31"/>
      <c r="D219" s="32"/>
      <c r="H219" s="32"/>
      <c r="J219" s="32"/>
      <c r="K219" s="41"/>
      <c r="L219" s="32"/>
      <c r="N219" s="32"/>
      <c r="O219" s="41"/>
      <c r="P219" s="315"/>
      <c r="Q219" s="315"/>
      <c r="R219" s="315"/>
      <c r="S219" s="315"/>
      <c r="T219" s="315"/>
    </row>
    <row r="220" spans="1:20" s="30" customFormat="1" x14ac:dyDescent="0.25">
      <c r="A220" s="36"/>
      <c r="B220" s="31"/>
      <c r="C220" s="31"/>
      <c r="D220" s="32"/>
      <c r="H220" s="32"/>
      <c r="J220" s="32"/>
      <c r="K220" s="41"/>
      <c r="L220" s="32"/>
      <c r="N220" s="32"/>
      <c r="O220" s="41"/>
      <c r="P220" s="315"/>
      <c r="Q220" s="315"/>
      <c r="R220" s="315"/>
      <c r="S220" s="315"/>
      <c r="T220" s="315"/>
    </row>
    <row r="221" spans="1:20" s="30" customFormat="1" x14ac:dyDescent="0.25">
      <c r="A221" s="36"/>
      <c r="B221" s="31"/>
      <c r="C221" s="31"/>
      <c r="D221" s="32"/>
      <c r="H221" s="32"/>
      <c r="J221" s="32"/>
      <c r="K221" s="41"/>
      <c r="L221" s="32"/>
      <c r="N221" s="32"/>
      <c r="O221" s="41"/>
      <c r="P221" s="315"/>
      <c r="Q221" s="315"/>
      <c r="R221" s="315"/>
      <c r="S221" s="315"/>
      <c r="T221" s="315"/>
    </row>
    <row r="222" spans="1:20" s="30" customFormat="1" x14ac:dyDescent="0.25">
      <c r="A222" s="36"/>
      <c r="B222" s="31"/>
      <c r="C222" s="31"/>
      <c r="D222" s="32"/>
      <c r="H222" s="32"/>
      <c r="J222" s="32"/>
      <c r="K222" s="41"/>
      <c r="L222" s="32"/>
      <c r="N222" s="32"/>
      <c r="O222" s="41"/>
      <c r="P222" s="315"/>
      <c r="Q222" s="315"/>
      <c r="R222" s="315"/>
      <c r="S222" s="315"/>
      <c r="T222" s="315"/>
    </row>
    <row r="223" spans="1:20" s="30" customFormat="1" x14ac:dyDescent="0.25">
      <c r="A223" s="36"/>
      <c r="B223" s="31"/>
      <c r="C223" s="31"/>
      <c r="D223" s="32"/>
      <c r="H223" s="32"/>
      <c r="J223" s="32"/>
      <c r="K223" s="41"/>
      <c r="L223" s="32"/>
      <c r="N223" s="32"/>
      <c r="O223" s="41"/>
      <c r="P223" s="315"/>
      <c r="Q223" s="315"/>
      <c r="R223" s="315"/>
      <c r="S223" s="315"/>
      <c r="T223" s="315"/>
    </row>
    <row r="224" spans="1:20" s="30" customFormat="1" x14ac:dyDescent="0.25">
      <c r="A224" s="36"/>
      <c r="B224" s="31"/>
      <c r="C224" s="31"/>
      <c r="D224" s="32"/>
      <c r="H224" s="32"/>
      <c r="J224" s="32"/>
      <c r="K224" s="41"/>
      <c r="L224" s="32"/>
      <c r="N224" s="32"/>
      <c r="O224" s="41"/>
      <c r="P224" s="315"/>
      <c r="Q224" s="315"/>
      <c r="R224" s="315"/>
      <c r="S224" s="315"/>
      <c r="T224" s="315"/>
    </row>
    <row r="225" spans="1:20" s="30" customFormat="1" x14ac:dyDescent="0.25">
      <c r="A225" s="36"/>
      <c r="B225" s="31"/>
      <c r="C225" s="31"/>
      <c r="D225" s="32"/>
      <c r="H225" s="32"/>
      <c r="J225" s="32"/>
      <c r="K225" s="41"/>
      <c r="L225" s="32"/>
      <c r="N225" s="32"/>
      <c r="O225" s="41"/>
      <c r="P225" s="315"/>
      <c r="Q225" s="315"/>
      <c r="R225" s="315"/>
      <c r="S225" s="315"/>
      <c r="T225" s="315"/>
    </row>
    <row r="226" spans="1:20" s="30" customFormat="1" x14ac:dyDescent="0.25">
      <c r="A226" s="36"/>
      <c r="B226" s="31"/>
      <c r="C226" s="31"/>
      <c r="D226" s="32"/>
      <c r="H226" s="32"/>
      <c r="J226" s="32"/>
      <c r="K226" s="41"/>
      <c r="L226" s="32"/>
      <c r="N226" s="32"/>
      <c r="O226" s="41"/>
      <c r="P226" s="315"/>
      <c r="Q226" s="315"/>
      <c r="R226" s="315"/>
      <c r="S226" s="315"/>
      <c r="T226" s="315"/>
    </row>
    <row r="227" spans="1:20" s="30" customFormat="1" x14ac:dyDescent="0.25">
      <c r="A227" s="36"/>
      <c r="B227" s="31"/>
      <c r="C227" s="31"/>
      <c r="D227" s="32"/>
      <c r="H227" s="32"/>
      <c r="J227" s="32"/>
      <c r="K227" s="41"/>
      <c r="L227" s="32"/>
      <c r="N227" s="32"/>
      <c r="O227" s="41"/>
      <c r="P227" s="315"/>
      <c r="Q227" s="315"/>
      <c r="R227" s="315"/>
      <c r="S227" s="315"/>
      <c r="T227" s="315"/>
    </row>
    <row r="228" spans="1:20" s="30" customFormat="1" x14ac:dyDescent="0.25">
      <c r="A228" s="36"/>
      <c r="B228" s="31"/>
      <c r="C228" s="31"/>
      <c r="D228" s="32"/>
      <c r="H228" s="32"/>
      <c r="J228" s="32"/>
      <c r="K228" s="41"/>
      <c r="L228" s="32"/>
      <c r="N228" s="32"/>
      <c r="O228" s="41"/>
      <c r="P228" s="315"/>
      <c r="Q228" s="315"/>
      <c r="R228" s="315"/>
      <c r="S228" s="315"/>
      <c r="T228" s="315"/>
    </row>
    <row r="229" spans="1:20" s="30" customFormat="1" x14ac:dyDescent="0.25">
      <c r="A229" s="36"/>
      <c r="B229" s="31"/>
      <c r="C229" s="31"/>
      <c r="D229" s="32"/>
      <c r="H229" s="32"/>
      <c r="J229" s="32"/>
      <c r="K229" s="41"/>
      <c r="L229" s="32"/>
      <c r="N229" s="32"/>
      <c r="O229" s="41"/>
      <c r="P229" s="315"/>
      <c r="Q229" s="315"/>
      <c r="R229" s="315"/>
      <c r="S229" s="315"/>
      <c r="T229" s="315"/>
    </row>
    <row r="230" spans="1:20" s="30" customFormat="1" x14ac:dyDescent="0.25">
      <c r="A230" s="36"/>
      <c r="B230" s="31"/>
      <c r="C230" s="31"/>
      <c r="D230" s="32"/>
      <c r="H230" s="32"/>
      <c r="J230" s="32"/>
      <c r="K230" s="41"/>
      <c r="L230" s="32"/>
      <c r="N230" s="32"/>
      <c r="O230" s="41"/>
      <c r="P230" s="315"/>
      <c r="Q230" s="315"/>
      <c r="R230" s="315"/>
      <c r="S230" s="315"/>
      <c r="T230" s="315"/>
    </row>
    <row r="231" spans="1:20" s="30" customFormat="1" x14ac:dyDescent="0.25">
      <c r="A231" s="36"/>
      <c r="B231" s="31"/>
      <c r="C231" s="31"/>
      <c r="D231" s="32"/>
      <c r="H231" s="32"/>
      <c r="J231" s="32"/>
      <c r="K231" s="41"/>
      <c r="L231" s="32"/>
      <c r="N231" s="32"/>
      <c r="O231" s="41"/>
      <c r="P231" s="315"/>
      <c r="Q231" s="315"/>
      <c r="R231" s="315"/>
      <c r="S231" s="315"/>
      <c r="T231" s="315"/>
    </row>
    <row r="232" spans="1:20" s="30" customFormat="1" x14ac:dyDescent="0.25">
      <c r="A232" s="36"/>
      <c r="B232" s="31"/>
      <c r="C232" s="31"/>
      <c r="D232" s="32"/>
      <c r="H232" s="32"/>
      <c r="J232" s="32"/>
      <c r="K232" s="41"/>
      <c r="L232" s="32"/>
      <c r="N232" s="32"/>
      <c r="O232" s="41"/>
      <c r="P232" s="315"/>
      <c r="Q232" s="315"/>
      <c r="R232" s="315"/>
      <c r="S232" s="315"/>
      <c r="T232" s="315"/>
    </row>
    <row r="233" spans="1:20" s="30" customFormat="1" x14ac:dyDescent="0.25">
      <c r="A233" s="36"/>
      <c r="B233" s="31"/>
      <c r="C233" s="31"/>
      <c r="D233" s="32"/>
      <c r="H233" s="32"/>
      <c r="J233" s="32"/>
      <c r="K233" s="41"/>
      <c r="L233" s="32"/>
      <c r="N233" s="32"/>
      <c r="O233" s="41"/>
      <c r="P233" s="315"/>
      <c r="Q233" s="315"/>
      <c r="R233" s="315"/>
      <c r="S233" s="315"/>
      <c r="T233" s="315"/>
    </row>
    <row r="234" spans="1:20" s="30" customFormat="1" x14ac:dyDescent="0.25">
      <c r="A234" s="36"/>
      <c r="B234" s="31"/>
      <c r="C234" s="31"/>
      <c r="D234" s="32"/>
      <c r="H234" s="32"/>
      <c r="J234" s="32"/>
      <c r="K234" s="41"/>
      <c r="L234" s="32"/>
      <c r="N234" s="32"/>
      <c r="O234" s="41"/>
      <c r="P234" s="315"/>
      <c r="Q234" s="315"/>
      <c r="R234" s="315"/>
      <c r="S234" s="315"/>
      <c r="T234" s="315"/>
    </row>
    <row r="235" spans="1:20" s="30" customFormat="1" x14ac:dyDescent="0.25">
      <c r="A235" s="36"/>
      <c r="B235" s="31"/>
      <c r="C235" s="31"/>
      <c r="D235" s="32"/>
      <c r="H235" s="32"/>
      <c r="J235" s="32"/>
      <c r="K235" s="41"/>
      <c r="L235" s="32"/>
      <c r="N235" s="32"/>
      <c r="O235" s="41"/>
      <c r="P235" s="315"/>
      <c r="Q235" s="315"/>
      <c r="R235" s="315"/>
      <c r="S235" s="315"/>
      <c r="T235" s="315"/>
    </row>
    <row r="236" spans="1:20" s="30" customFormat="1" x14ac:dyDescent="0.25">
      <c r="A236" s="36"/>
      <c r="B236" s="31"/>
      <c r="C236" s="31"/>
      <c r="D236" s="32"/>
      <c r="H236" s="32"/>
      <c r="J236" s="32"/>
      <c r="K236" s="41"/>
      <c r="L236" s="32"/>
      <c r="N236" s="32"/>
      <c r="O236" s="41"/>
      <c r="P236" s="315"/>
      <c r="Q236" s="315"/>
      <c r="R236" s="315"/>
      <c r="S236" s="315"/>
      <c r="T236" s="315"/>
    </row>
    <row r="237" spans="1:20" s="30" customFormat="1" x14ac:dyDescent="0.25">
      <c r="A237" s="36"/>
      <c r="B237" s="31"/>
      <c r="C237" s="31"/>
      <c r="D237" s="32"/>
      <c r="H237" s="32"/>
      <c r="J237" s="32"/>
      <c r="K237" s="41"/>
      <c r="L237" s="32"/>
      <c r="N237" s="32"/>
      <c r="O237" s="41"/>
      <c r="P237" s="315"/>
      <c r="Q237" s="315"/>
      <c r="R237" s="315"/>
      <c r="S237" s="315"/>
      <c r="T237" s="315"/>
    </row>
    <row r="238" spans="1:20" s="30" customFormat="1" x14ac:dyDescent="0.25">
      <c r="A238" s="36"/>
      <c r="B238" s="31"/>
      <c r="C238" s="31"/>
      <c r="D238" s="32"/>
      <c r="H238" s="32"/>
      <c r="J238" s="32"/>
      <c r="K238" s="41"/>
      <c r="L238" s="32"/>
      <c r="N238" s="32"/>
      <c r="O238" s="41"/>
      <c r="P238" s="315"/>
      <c r="Q238" s="315"/>
      <c r="R238" s="315"/>
      <c r="S238" s="315"/>
      <c r="T238" s="315"/>
    </row>
    <row r="239" spans="1:20" s="30" customFormat="1" x14ac:dyDescent="0.25">
      <c r="A239" s="36"/>
      <c r="B239" s="31"/>
      <c r="C239" s="31"/>
      <c r="D239" s="32"/>
      <c r="H239" s="32"/>
      <c r="J239" s="32"/>
      <c r="K239" s="41"/>
      <c r="L239" s="32"/>
      <c r="N239" s="32"/>
      <c r="O239" s="41"/>
      <c r="P239" s="315"/>
      <c r="Q239" s="315"/>
      <c r="R239" s="315"/>
      <c r="S239" s="315"/>
      <c r="T239" s="315"/>
    </row>
    <row r="240" spans="1:20" s="30" customFormat="1" x14ac:dyDescent="0.25">
      <c r="A240" s="36"/>
      <c r="B240" s="31"/>
      <c r="C240" s="31"/>
      <c r="D240" s="32"/>
      <c r="H240" s="32"/>
      <c r="J240" s="32"/>
      <c r="K240" s="41"/>
      <c r="L240" s="32"/>
      <c r="N240" s="32"/>
      <c r="O240" s="41"/>
      <c r="P240" s="315"/>
      <c r="Q240" s="315"/>
      <c r="R240" s="315"/>
      <c r="S240" s="315"/>
      <c r="T240" s="315"/>
    </row>
    <row r="241" spans="1:20" s="30" customFormat="1" x14ac:dyDescent="0.25">
      <c r="A241" s="36"/>
      <c r="B241" s="31"/>
      <c r="C241" s="31"/>
      <c r="D241" s="32"/>
      <c r="H241" s="32"/>
      <c r="J241" s="32"/>
      <c r="K241" s="41"/>
      <c r="L241" s="32"/>
      <c r="N241" s="32"/>
      <c r="O241" s="41"/>
      <c r="P241" s="315"/>
      <c r="Q241" s="315"/>
      <c r="R241" s="315"/>
      <c r="S241" s="315"/>
      <c r="T241" s="315"/>
    </row>
    <row r="242" spans="1:20" s="30" customFormat="1" x14ac:dyDescent="0.25">
      <c r="A242" s="36"/>
      <c r="B242" s="31"/>
      <c r="C242" s="31"/>
      <c r="D242" s="32"/>
      <c r="H242" s="32"/>
      <c r="J242" s="32"/>
      <c r="K242" s="41"/>
      <c r="L242" s="32"/>
      <c r="N242" s="32"/>
      <c r="O242" s="41"/>
      <c r="P242" s="315"/>
      <c r="Q242" s="315"/>
      <c r="R242" s="315"/>
      <c r="S242" s="315"/>
      <c r="T242" s="315"/>
    </row>
    <row r="243" spans="1:20" s="30" customFormat="1" x14ac:dyDescent="0.25">
      <c r="A243" s="36"/>
      <c r="B243" s="31"/>
      <c r="C243" s="31"/>
      <c r="D243" s="32"/>
      <c r="H243" s="32"/>
      <c r="J243" s="32"/>
      <c r="K243" s="41"/>
      <c r="L243" s="32"/>
      <c r="N243" s="32"/>
      <c r="O243" s="41"/>
      <c r="P243" s="315"/>
      <c r="Q243" s="315"/>
      <c r="R243" s="315"/>
      <c r="S243" s="315"/>
      <c r="T243" s="315"/>
    </row>
    <row r="244" spans="1:20" s="30" customFormat="1" x14ac:dyDescent="0.25">
      <c r="A244" s="36"/>
      <c r="B244" s="31"/>
      <c r="C244" s="31"/>
      <c r="D244" s="32"/>
      <c r="H244" s="32"/>
      <c r="J244" s="32"/>
      <c r="K244" s="41"/>
      <c r="L244" s="32"/>
      <c r="N244" s="32"/>
      <c r="O244" s="41"/>
      <c r="P244" s="315"/>
      <c r="Q244" s="315"/>
      <c r="R244" s="315"/>
      <c r="S244" s="315"/>
      <c r="T244" s="315"/>
    </row>
    <row r="245" spans="1:20" s="30" customFormat="1" x14ac:dyDescent="0.25">
      <c r="A245" s="36"/>
      <c r="B245" s="31"/>
      <c r="C245" s="31"/>
      <c r="D245" s="32"/>
      <c r="H245" s="32"/>
      <c r="J245" s="32"/>
      <c r="K245" s="41"/>
      <c r="L245" s="32"/>
      <c r="N245" s="32"/>
      <c r="O245" s="41"/>
      <c r="P245" s="315"/>
      <c r="Q245" s="315"/>
      <c r="R245" s="315"/>
      <c r="S245" s="315"/>
      <c r="T245" s="315"/>
    </row>
    <row r="246" spans="1:20" s="30" customFormat="1" x14ac:dyDescent="0.25">
      <c r="A246" s="36"/>
      <c r="B246" s="31"/>
      <c r="C246" s="31"/>
      <c r="D246" s="32"/>
      <c r="H246" s="32"/>
      <c r="J246" s="32"/>
      <c r="K246" s="41"/>
      <c r="L246" s="32"/>
      <c r="N246" s="32"/>
      <c r="O246" s="41"/>
      <c r="P246" s="315"/>
      <c r="Q246" s="315"/>
      <c r="R246" s="315"/>
      <c r="S246" s="315"/>
      <c r="T246" s="315"/>
    </row>
    <row r="247" spans="1:20" s="30" customFormat="1" x14ac:dyDescent="0.25">
      <c r="A247" s="36"/>
      <c r="B247" s="31"/>
      <c r="C247" s="31"/>
      <c r="D247" s="32"/>
      <c r="H247" s="32"/>
      <c r="J247" s="32"/>
      <c r="K247" s="41"/>
      <c r="L247" s="32"/>
      <c r="N247" s="32"/>
      <c r="O247" s="41"/>
      <c r="P247" s="315"/>
      <c r="Q247" s="315"/>
      <c r="R247" s="315"/>
      <c r="S247" s="315"/>
      <c r="T247" s="315"/>
    </row>
    <row r="248" spans="1:20" s="30" customFormat="1" x14ac:dyDescent="0.25">
      <c r="A248" s="36"/>
      <c r="B248" s="31"/>
      <c r="C248" s="31"/>
      <c r="D248" s="32"/>
      <c r="H248" s="32"/>
      <c r="J248" s="32"/>
      <c r="K248" s="41"/>
      <c r="L248" s="32"/>
      <c r="N248" s="32"/>
      <c r="O248" s="41"/>
      <c r="P248" s="315"/>
      <c r="Q248" s="315"/>
      <c r="R248" s="315"/>
      <c r="S248" s="315"/>
      <c r="T248" s="315"/>
    </row>
    <row r="249" spans="1:20" s="30" customFormat="1" x14ac:dyDescent="0.25">
      <c r="A249" s="36"/>
      <c r="B249" s="31"/>
      <c r="C249" s="31"/>
      <c r="D249" s="32"/>
      <c r="H249" s="32"/>
      <c r="J249" s="32"/>
      <c r="K249" s="41"/>
      <c r="L249" s="32"/>
      <c r="N249" s="32"/>
      <c r="O249" s="41"/>
      <c r="P249" s="315"/>
      <c r="Q249" s="315"/>
      <c r="R249" s="315"/>
      <c r="S249" s="315"/>
      <c r="T249" s="315"/>
    </row>
    <row r="250" spans="1:20" s="30" customFormat="1" x14ac:dyDescent="0.25">
      <c r="A250" s="36"/>
      <c r="B250" s="31"/>
      <c r="C250" s="31"/>
      <c r="D250" s="32"/>
      <c r="H250" s="32"/>
      <c r="J250" s="32"/>
      <c r="K250" s="41"/>
      <c r="L250" s="32"/>
      <c r="N250" s="32"/>
      <c r="O250" s="41"/>
      <c r="P250" s="315"/>
      <c r="Q250" s="315"/>
      <c r="R250" s="315"/>
      <c r="S250" s="315"/>
      <c r="T250" s="315"/>
    </row>
    <row r="251" spans="1:20" s="30" customFormat="1" x14ac:dyDescent="0.25">
      <c r="A251" s="36"/>
      <c r="B251" s="31"/>
      <c r="C251" s="31"/>
      <c r="D251" s="32"/>
      <c r="H251" s="32"/>
      <c r="J251" s="32"/>
      <c r="K251" s="41"/>
      <c r="L251" s="32"/>
      <c r="N251" s="32"/>
      <c r="O251" s="41"/>
      <c r="P251" s="315"/>
      <c r="Q251" s="315"/>
      <c r="R251" s="315"/>
      <c r="S251" s="315"/>
      <c r="T251" s="315"/>
    </row>
    <row r="252" spans="1:20" s="30" customFormat="1" x14ac:dyDescent="0.25">
      <c r="A252" s="36"/>
      <c r="B252" s="31"/>
      <c r="C252" s="31"/>
      <c r="D252" s="32"/>
      <c r="H252" s="32"/>
      <c r="J252" s="32"/>
      <c r="K252" s="41"/>
      <c r="L252" s="32"/>
      <c r="N252" s="32"/>
      <c r="O252" s="41"/>
      <c r="P252" s="315"/>
      <c r="Q252" s="315"/>
      <c r="R252" s="315"/>
      <c r="S252" s="315"/>
      <c r="T252" s="315"/>
    </row>
    <row r="253" spans="1:20" s="30" customFormat="1" x14ac:dyDescent="0.25">
      <c r="A253" s="36"/>
      <c r="B253" s="31"/>
      <c r="C253" s="31"/>
      <c r="D253" s="32"/>
      <c r="H253" s="32"/>
      <c r="J253" s="32"/>
      <c r="K253" s="41"/>
      <c r="L253" s="32"/>
      <c r="N253" s="32"/>
      <c r="O253" s="41"/>
      <c r="P253" s="315"/>
      <c r="Q253" s="315"/>
      <c r="R253" s="315"/>
      <c r="S253" s="315"/>
      <c r="T253" s="315"/>
    </row>
    <row r="254" spans="1:20" s="30" customFormat="1" x14ac:dyDescent="0.25">
      <c r="A254" s="36"/>
      <c r="B254" s="31"/>
      <c r="C254" s="31"/>
      <c r="D254" s="32"/>
      <c r="H254" s="32"/>
      <c r="J254" s="32"/>
      <c r="K254" s="41"/>
      <c r="L254" s="32"/>
      <c r="N254" s="32"/>
      <c r="O254" s="41"/>
      <c r="P254" s="315"/>
      <c r="Q254" s="315"/>
      <c r="R254" s="315"/>
      <c r="S254" s="315"/>
      <c r="T254" s="315"/>
    </row>
    <row r="255" spans="1:20" s="30" customFormat="1" x14ac:dyDescent="0.25">
      <c r="A255" s="36"/>
      <c r="B255" s="31"/>
      <c r="C255" s="31"/>
      <c r="D255" s="32"/>
      <c r="H255" s="32"/>
      <c r="J255" s="32"/>
      <c r="K255" s="41"/>
      <c r="L255" s="32"/>
      <c r="N255" s="32"/>
      <c r="O255" s="41"/>
      <c r="P255" s="315"/>
      <c r="Q255" s="315"/>
      <c r="R255" s="315"/>
      <c r="S255" s="315"/>
      <c r="T255" s="315"/>
    </row>
    <row r="256" spans="1:20" s="30" customFormat="1" x14ac:dyDescent="0.25">
      <c r="A256" s="36"/>
      <c r="B256" s="31"/>
      <c r="C256" s="31"/>
      <c r="D256" s="32"/>
      <c r="H256" s="32"/>
      <c r="J256" s="32"/>
      <c r="K256" s="41"/>
      <c r="L256" s="32"/>
      <c r="N256" s="32"/>
      <c r="O256" s="41"/>
      <c r="P256" s="315"/>
      <c r="Q256" s="315"/>
      <c r="R256" s="315"/>
      <c r="S256" s="315"/>
      <c r="T256" s="315"/>
    </row>
    <row r="257" spans="1:20" s="30" customFormat="1" x14ac:dyDescent="0.25">
      <c r="A257" s="36"/>
      <c r="B257" s="31"/>
      <c r="C257" s="31"/>
      <c r="D257" s="32"/>
      <c r="H257" s="32"/>
      <c r="J257" s="32"/>
      <c r="K257" s="41"/>
      <c r="L257" s="32"/>
      <c r="N257" s="32"/>
      <c r="O257" s="41"/>
      <c r="P257" s="315"/>
      <c r="Q257" s="315"/>
      <c r="R257" s="315"/>
      <c r="S257" s="315"/>
      <c r="T257" s="315"/>
    </row>
    <row r="258" spans="1:20" s="30" customFormat="1" x14ac:dyDescent="0.25">
      <c r="A258" s="36"/>
      <c r="B258" s="31"/>
      <c r="C258" s="31"/>
      <c r="D258" s="32"/>
      <c r="H258" s="32"/>
      <c r="J258" s="32"/>
      <c r="K258" s="41"/>
      <c r="L258" s="32"/>
      <c r="N258" s="32"/>
      <c r="O258" s="41"/>
      <c r="P258" s="315"/>
      <c r="Q258" s="315"/>
      <c r="R258" s="315"/>
      <c r="S258" s="315"/>
      <c r="T258" s="315"/>
    </row>
    <row r="259" spans="1:20" s="30" customFormat="1" x14ac:dyDescent="0.25">
      <c r="A259" s="36"/>
      <c r="B259" s="31"/>
      <c r="C259" s="31"/>
      <c r="D259" s="32"/>
      <c r="H259" s="32"/>
      <c r="J259" s="32"/>
      <c r="K259" s="41"/>
      <c r="L259" s="32"/>
      <c r="N259" s="32"/>
      <c r="O259" s="41"/>
      <c r="P259" s="315"/>
      <c r="Q259" s="315"/>
      <c r="R259" s="315"/>
      <c r="S259" s="315"/>
      <c r="T259" s="315"/>
    </row>
    <row r="260" spans="1:20" s="30" customFormat="1" x14ac:dyDescent="0.25">
      <c r="A260" s="36"/>
      <c r="B260" s="31"/>
      <c r="C260" s="31"/>
      <c r="D260" s="32"/>
      <c r="H260" s="32"/>
      <c r="J260" s="32"/>
      <c r="K260" s="41"/>
      <c r="L260" s="32"/>
      <c r="N260" s="32"/>
      <c r="O260" s="41"/>
      <c r="P260" s="315"/>
      <c r="Q260" s="315"/>
      <c r="R260" s="315"/>
      <c r="S260" s="315"/>
      <c r="T260" s="315"/>
    </row>
    <row r="261" spans="1:20" s="30" customFormat="1" x14ac:dyDescent="0.25">
      <c r="A261" s="36"/>
      <c r="B261" s="31"/>
      <c r="C261" s="31"/>
      <c r="D261" s="32"/>
      <c r="H261" s="32"/>
      <c r="J261" s="32"/>
      <c r="K261" s="41"/>
      <c r="L261" s="32"/>
      <c r="N261" s="32"/>
      <c r="O261" s="41"/>
      <c r="P261" s="315"/>
      <c r="Q261" s="315"/>
      <c r="R261" s="315"/>
      <c r="S261" s="315"/>
      <c r="T261" s="315"/>
    </row>
    <row r="262" spans="1:20" s="30" customFormat="1" x14ac:dyDescent="0.25">
      <c r="A262" s="36"/>
      <c r="B262" s="31"/>
      <c r="C262" s="31"/>
      <c r="D262" s="32"/>
      <c r="H262" s="32"/>
      <c r="J262" s="32"/>
      <c r="K262" s="41"/>
      <c r="L262" s="32"/>
      <c r="N262" s="32"/>
      <c r="O262" s="41"/>
      <c r="P262" s="315"/>
      <c r="Q262" s="315"/>
      <c r="R262" s="315"/>
      <c r="S262" s="315"/>
      <c r="T262" s="315"/>
    </row>
    <row r="263" spans="1:20" s="30" customFormat="1" x14ac:dyDescent="0.25">
      <c r="A263" s="36"/>
      <c r="B263" s="31"/>
      <c r="C263" s="31"/>
      <c r="D263" s="32"/>
      <c r="H263" s="32"/>
      <c r="J263" s="32"/>
      <c r="K263" s="41"/>
      <c r="L263" s="32"/>
      <c r="N263" s="32"/>
      <c r="O263" s="41"/>
      <c r="P263" s="315"/>
      <c r="Q263" s="315"/>
      <c r="R263" s="315"/>
      <c r="S263" s="315"/>
      <c r="T263" s="315"/>
    </row>
    <row r="264" spans="1:20" s="30" customFormat="1" x14ac:dyDescent="0.25">
      <c r="A264" s="36"/>
      <c r="B264" s="31"/>
      <c r="C264" s="31"/>
      <c r="D264" s="32"/>
      <c r="H264" s="32"/>
      <c r="J264" s="32"/>
      <c r="K264" s="41"/>
      <c r="L264" s="32"/>
      <c r="N264" s="32"/>
      <c r="O264" s="41"/>
      <c r="P264" s="315"/>
      <c r="Q264" s="315"/>
      <c r="R264" s="315"/>
      <c r="S264" s="315"/>
      <c r="T264" s="315"/>
    </row>
    <row r="265" spans="1:20" s="30" customFormat="1" x14ac:dyDescent="0.25">
      <c r="A265" s="36"/>
      <c r="B265" s="31"/>
      <c r="C265" s="31"/>
      <c r="D265" s="32"/>
      <c r="H265" s="32"/>
      <c r="J265" s="32"/>
      <c r="K265" s="41"/>
      <c r="L265" s="32"/>
      <c r="N265" s="32"/>
      <c r="O265" s="41"/>
      <c r="P265" s="315"/>
      <c r="Q265" s="315"/>
      <c r="R265" s="315"/>
      <c r="S265" s="315"/>
      <c r="T265" s="315"/>
    </row>
    <row r="266" spans="1:20" s="30" customFormat="1" x14ac:dyDescent="0.25">
      <c r="A266" s="36"/>
      <c r="B266" s="31"/>
      <c r="C266" s="31"/>
      <c r="D266" s="32"/>
      <c r="H266" s="32"/>
      <c r="J266" s="32"/>
      <c r="K266" s="41"/>
      <c r="L266" s="32"/>
      <c r="N266" s="32"/>
      <c r="O266" s="41"/>
      <c r="P266" s="315"/>
      <c r="Q266" s="315"/>
      <c r="R266" s="315"/>
      <c r="S266" s="315"/>
      <c r="T266" s="315"/>
    </row>
    <row r="267" spans="1:20" s="30" customFormat="1" x14ac:dyDescent="0.25">
      <c r="A267" s="36"/>
      <c r="B267" s="31"/>
      <c r="C267" s="31"/>
      <c r="D267" s="32"/>
      <c r="H267" s="32"/>
      <c r="J267" s="32"/>
      <c r="K267" s="41"/>
      <c r="L267" s="32"/>
      <c r="N267" s="32"/>
      <c r="O267" s="41"/>
      <c r="P267" s="315"/>
      <c r="Q267" s="315"/>
      <c r="R267" s="315"/>
      <c r="S267" s="315"/>
      <c r="T267" s="315"/>
    </row>
    <row r="268" spans="1:20" s="30" customFormat="1" x14ac:dyDescent="0.25">
      <c r="A268" s="36"/>
      <c r="B268" s="31"/>
      <c r="C268" s="31"/>
      <c r="D268" s="32"/>
      <c r="H268" s="32"/>
      <c r="J268" s="32"/>
      <c r="K268" s="41"/>
      <c r="L268" s="32"/>
      <c r="N268" s="32"/>
      <c r="O268" s="41"/>
      <c r="P268" s="315"/>
      <c r="Q268" s="315"/>
      <c r="R268" s="315"/>
      <c r="S268" s="315"/>
      <c r="T268" s="315"/>
    </row>
    <row r="269" spans="1:20" s="30" customFormat="1" x14ac:dyDescent="0.25">
      <c r="A269" s="36"/>
      <c r="B269" s="31"/>
      <c r="C269" s="31"/>
      <c r="D269" s="32"/>
      <c r="H269" s="32"/>
      <c r="J269" s="32"/>
      <c r="K269" s="41"/>
      <c r="L269" s="32"/>
      <c r="N269" s="32"/>
      <c r="O269" s="41"/>
      <c r="P269" s="315"/>
      <c r="Q269" s="315"/>
      <c r="R269" s="315"/>
      <c r="S269" s="315"/>
      <c r="T269" s="315"/>
    </row>
    <row r="270" spans="1:20" s="30" customFormat="1" x14ac:dyDescent="0.25">
      <c r="A270" s="36"/>
      <c r="B270" s="31"/>
      <c r="C270" s="31"/>
      <c r="D270" s="32"/>
      <c r="H270" s="32"/>
      <c r="J270" s="32"/>
      <c r="K270" s="41"/>
      <c r="L270" s="32"/>
      <c r="N270" s="32"/>
      <c r="O270" s="41"/>
      <c r="P270" s="315"/>
      <c r="Q270" s="315"/>
      <c r="R270" s="315"/>
      <c r="S270" s="315"/>
      <c r="T270" s="315"/>
    </row>
    <row r="271" spans="1:20" s="30" customFormat="1" x14ac:dyDescent="0.25">
      <c r="A271" s="36"/>
      <c r="B271" s="31"/>
      <c r="C271" s="31"/>
      <c r="D271" s="32"/>
      <c r="H271" s="32"/>
      <c r="J271" s="32"/>
      <c r="K271" s="41"/>
      <c r="L271" s="32"/>
      <c r="N271" s="32"/>
      <c r="O271" s="41"/>
      <c r="P271" s="315"/>
      <c r="Q271" s="315"/>
      <c r="R271" s="315"/>
      <c r="S271" s="315"/>
      <c r="T271" s="315"/>
    </row>
    <row r="272" spans="1:20" s="30" customFormat="1" x14ac:dyDescent="0.25">
      <c r="A272" s="36"/>
      <c r="B272" s="31"/>
      <c r="C272" s="31"/>
      <c r="D272" s="32"/>
      <c r="H272" s="32"/>
      <c r="J272" s="32"/>
      <c r="K272" s="41"/>
      <c r="L272" s="32"/>
      <c r="N272" s="32"/>
      <c r="O272" s="41"/>
      <c r="P272" s="315"/>
      <c r="Q272" s="315"/>
      <c r="R272" s="315"/>
      <c r="S272" s="315"/>
      <c r="T272" s="315"/>
    </row>
    <row r="273" spans="1:20" s="30" customFormat="1" x14ac:dyDescent="0.25">
      <c r="A273" s="36"/>
      <c r="B273" s="31"/>
      <c r="C273" s="31"/>
      <c r="D273" s="32"/>
      <c r="H273" s="32"/>
      <c r="J273" s="32"/>
      <c r="K273" s="41"/>
      <c r="L273" s="32"/>
      <c r="N273" s="32"/>
      <c r="O273" s="41"/>
      <c r="P273" s="315"/>
      <c r="Q273" s="315"/>
      <c r="R273" s="315"/>
      <c r="S273" s="315"/>
      <c r="T273" s="315"/>
    </row>
    <row r="274" spans="1:20" s="30" customFormat="1" x14ac:dyDescent="0.25">
      <c r="A274" s="36"/>
      <c r="B274" s="31"/>
      <c r="C274" s="31"/>
      <c r="D274" s="32"/>
      <c r="H274" s="32"/>
      <c r="J274" s="32"/>
      <c r="K274" s="41"/>
      <c r="L274" s="32"/>
      <c r="N274" s="32"/>
      <c r="O274" s="41"/>
      <c r="P274" s="315"/>
      <c r="Q274" s="315"/>
      <c r="R274" s="315"/>
      <c r="S274" s="315"/>
      <c r="T274" s="315"/>
    </row>
    <row r="275" spans="1:20" s="30" customFormat="1" x14ac:dyDescent="0.25">
      <c r="A275" s="36"/>
      <c r="B275" s="31"/>
      <c r="C275" s="31"/>
      <c r="D275" s="32"/>
      <c r="H275" s="32"/>
      <c r="J275" s="32"/>
      <c r="K275" s="41"/>
      <c r="L275" s="32"/>
      <c r="N275" s="32"/>
      <c r="O275" s="41"/>
      <c r="P275" s="315"/>
      <c r="Q275" s="315"/>
      <c r="R275" s="315"/>
      <c r="S275" s="315"/>
      <c r="T275" s="315"/>
    </row>
    <row r="276" spans="1:20" s="30" customFormat="1" x14ac:dyDescent="0.25">
      <c r="A276" s="36"/>
      <c r="B276" s="31"/>
      <c r="C276" s="31"/>
      <c r="D276" s="32"/>
      <c r="H276" s="32"/>
      <c r="J276" s="32"/>
      <c r="K276" s="41"/>
      <c r="L276" s="32"/>
      <c r="N276" s="32"/>
      <c r="O276" s="41"/>
      <c r="P276" s="315"/>
      <c r="Q276" s="315"/>
      <c r="R276" s="315"/>
      <c r="S276" s="315"/>
      <c r="T276" s="315"/>
    </row>
    <row r="277" spans="1:20" s="30" customFormat="1" x14ac:dyDescent="0.25">
      <c r="A277" s="36"/>
      <c r="B277" s="31"/>
      <c r="C277" s="31"/>
      <c r="D277" s="32"/>
      <c r="H277" s="32"/>
      <c r="J277" s="32"/>
      <c r="K277" s="41"/>
      <c r="L277" s="32"/>
      <c r="N277" s="32"/>
      <c r="O277" s="41"/>
      <c r="P277" s="315"/>
      <c r="Q277" s="315"/>
      <c r="R277" s="315"/>
      <c r="S277" s="315"/>
      <c r="T277" s="315"/>
    </row>
    <row r="278" spans="1:20" s="30" customFormat="1" x14ac:dyDescent="0.25">
      <c r="A278" s="36"/>
      <c r="B278" s="31"/>
      <c r="C278" s="31"/>
      <c r="D278" s="32"/>
      <c r="H278" s="32"/>
      <c r="J278" s="32"/>
      <c r="K278" s="41"/>
      <c r="L278" s="32"/>
      <c r="N278" s="32"/>
      <c r="O278" s="41"/>
      <c r="P278" s="315"/>
      <c r="Q278" s="315"/>
      <c r="R278" s="315"/>
      <c r="S278" s="315"/>
      <c r="T278" s="315"/>
    </row>
    <row r="279" spans="1:20" s="30" customFormat="1" x14ac:dyDescent="0.25">
      <c r="A279" s="36"/>
      <c r="B279" s="31"/>
      <c r="C279" s="31"/>
      <c r="D279" s="32"/>
      <c r="H279" s="32"/>
      <c r="J279" s="32"/>
      <c r="K279" s="41"/>
      <c r="L279" s="32"/>
      <c r="N279" s="32"/>
      <c r="O279" s="41"/>
      <c r="P279" s="315"/>
      <c r="Q279" s="315"/>
      <c r="R279" s="315"/>
      <c r="S279" s="315"/>
      <c r="T279" s="315"/>
    </row>
    <row r="280" spans="1:20" s="30" customFormat="1" x14ac:dyDescent="0.25">
      <c r="A280" s="36"/>
      <c r="B280" s="31"/>
      <c r="C280" s="31"/>
      <c r="D280" s="32"/>
      <c r="H280" s="32"/>
      <c r="J280" s="32"/>
      <c r="K280" s="41"/>
      <c r="L280" s="32"/>
      <c r="N280" s="32"/>
      <c r="O280" s="41"/>
      <c r="P280" s="315"/>
      <c r="Q280" s="315"/>
      <c r="R280" s="315"/>
      <c r="S280" s="315"/>
      <c r="T280" s="315"/>
    </row>
    <row r="281" spans="1:20" s="30" customFormat="1" x14ac:dyDescent="0.25">
      <c r="A281" s="36"/>
      <c r="B281" s="31"/>
      <c r="C281" s="31"/>
      <c r="D281" s="32"/>
      <c r="H281" s="32"/>
      <c r="J281" s="32"/>
      <c r="K281" s="41"/>
      <c r="L281" s="32"/>
      <c r="N281" s="32"/>
      <c r="O281" s="41"/>
      <c r="P281" s="315"/>
      <c r="Q281" s="315"/>
      <c r="R281" s="315"/>
      <c r="S281" s="315"/>
      <c r="T281" s="315"/>
    </row>
    <row r="282" spans="1:20" s="30" customFormat="1" x14ac:dyDescent="0.25">
      <c r="A282" s="36"/>
      <c r="B282" s="31"/>
      <c r="C282" s="31"/>
      <c r="D282" s="32"/>
      <c r="H282" s="32"/>
      <c r="J282" s="32"/>
      <c r="K282" s="41"/>
      <c r="L282" s="32"/>
      <c r="N282" s="32"/>
      <c r="O282" s="41"/>
      <c r="P282" s="315"/>
      <c r="Q282" s="315"/>
      <c r="R282" s="315"/>
      <c r="S282" s="315"/>
      <c r="T282" s="315"/>
    </row>
    <row r="283" spans="1:20" s="30" customFormat="1" x14ac:dyDescent="0.25">
      <c r="A283" s="36"/>
      <c r="B283" s="31"/>
      <c r="C283" s="31"/>
      <c r="D283" s="32"/>
      <c r="H283" s="32"/>
      <c r="J283" s="32"/>
      <c r="K283" s="41"/>
      <c r="L283" s="32"/>
      <c r="N283" s="32"/>
      <c r="O283" s="41"/>
      <c r="P283" s="315"/>
      <c r="Q283" s="315"/>
      <c r="R283" s="315"/>
      <c r="S283" s="315"/>
      <c r="T283" s="315"/>
    </row>
    <row r="284" spans="1:20" s="30" customFormat="1" x14ac:dyDescent="0.25">
      <c r="A284" s="36"/>
      <c r="B284" s="31"/>
      <c r="C284" s="31"/>
      <c r="D284" s="32"/>
      <c r="H284" s="32"/>
      <c r="J284" s="32"/>
      <c r="K284" s="41"/>
      <c r="L284" s="32"/>
      <c r="N284" s="32"/>
      <c r="O284" s="41"/>
      <c r="P284" s="315"/>
      <c r="Q284" s="315"/>
      <c r="R284" s="315"/>
      <c r="S284" s="315"/>
      <c r="T284" s="315"/>
    </row>
    <row r="285" spans="1:20" s="30" customFormat="1" x14ac:dyDescent="0.25">
      <c r="A285" s="36"/>
      <c r="B285" s="31"/>
      <c r="C285" s="31"/>
      <c r="D285" s="32"/>
      <c r="H285" s="32"/>
      <c r="J285" s="32"/>
      <c r="K285" s="41"/>
      <c r="L285" s="32"/>
      <c r="N285" s="32"/>
      <c r="O285" s="41"/>
      <c r="P285" s="315"/>
      <c r="Q285" s="315"/>
      <c r="R285" s="315"/>
      <c r="S285" s="315"/>
      <c r="T285" s="315"/>
    </row>
    <row r="286" spans="1:20" s="30" customFormat="1" x14ac:dyDescent="0.25">
      <c r="A286" s="36"/>
      <c r="B286" s="31"/>
      <c r="C286" s="31"/>
      <c r="D286" s="32"/>
      <c r="H286" s="32"/>
      <c r="J286" s="32"/>
      <c r="K286" s="41"/>
      <c r="L286" s="32"/>
      <c r="N286" s="32"/>
      <c r="O286" s="41"/>
      <c r="P286" s="315"/>
      <c r="Q286" s="315"/>
      <c r="R286" s="315"/>
      <c r="S286" s="315"/>
      <c r="T286" s="315"/>
    </row>
    <row r="287" spans="1:20" s="30" customFormat="1" x14ac:dyDescent="0.25">
      <c r="A287" s="36"/>
      <c r="B287" s="31"/>
      <c r="C287" s="31"/>
      <c r="D287" s="32"/>
      <c r="H287" s="32"/>
      <c r="J287" s="32"/>
      <c r="K287" s="41"/>
      <c r="L287" s="32"/>
      <c r="N287" s="32"/>
      <c r="O287" s="41"/>
      <c r="P287" s="315"/>
      <c r="Q287" s="315"/>
      <c r="R287" s="315"/>
      <c r="S287" s="315"/>
      <c r="T287" s="315"/>
    </row>
    <row r="288" spans="1:20" s="30" customFormat="1" x14ac:dyDescent="0.25">
      <c r="A288" s="36"/>
      <c r="B288" s="31"/>
      <c r="C288" s="31"/>
      <c r="D288" s="32"/>
      <c r="H288" s="32"/>
      <c r="J288" s="32"/>
      <c r="K288" s="41"/>
      <c r="L288" s="32"/>
      <c r="N288" s="32"/>
      <c r="O288" s="41"/>
      <c r="P288" s="315"/>
      <c r="Q288" s="315"/>
      <c r="R288" s="315"/>
      <c r="S288" s="315"/>
      <c r="T288" s="315"/>
    </row>
    <row r="289" spans="1:20" s="30" customFormat="1" x14ac:dyDescent="0.25">
      <c r="A289" s="36"/>
      <c r="B289" s="31"/>
      <c r="C289" s="31"/>
      <c r="D289" s="32"/>
      <c r="H289" s="32"/>
      <c r="J289" s="32"/>
      <c r="K289" s="41"/>
      <c r="L289" s="32"/>
      <c r="N289" s="32"/>
      <c r="O289" s="41"/>
      <c r="P289" s="315"/>
      <c r="Q289" s="315"/>
      <c r="R289" s="315"/>
      <c r="S289" s="315"/>
      <c r="T289" s="315"/>
    </row>
    <row r="290" spans="1:20" s="30" customFormat="1" x14ac:dyDescent="0.25">
      <c r="A290" s="36"/>
      <c r="B290" s="31"/>
      <c r="C290" s="31"/>
      <c r="D290" s="32"/>
      <c r="H290" s="32"/>
      <c r="J290" s="32"/>
      <c r="K290" s="41"/>
      <c r="L290" s="32"/>
      <c r="N290" s="32"/>
      <c r="O290" s="41"/>
      <c r="P290" s="315"/>
      <c r="Q290" s="315"/>
      <c r="R290" s="315"/>
      <c r="S290" s="315"/>
      <c r="T290" s="315"/>
    </row>
    <row r="291" spans="1:20" s="30" customFormat="1" x14ac:dyDescent="0.25">
      <c r="A291" s="36"/>
      <c r="B291" s="31"/>
      <c r="C291" s="31"/>
      <c r="D291" s="32"/>
      <c r="H291" s="32"/>
      <c r="J291" s="32"/>
      <c r="K291" s="41"/>
      <c r="L291" s="32"/>
      <c r="N291" s="32"/>
      <c r="O291" s="41"/>
      <c r="P291" s="315"/>
      <c r="Q291" s="315"/>
      <c r="R291" s="315"/>
      <c r="S291" s="315"/>
      <c r="T291" s="315"/>
    </row>
    <row r="292" spans="1:20" s="30" customFormat="1" x14ac:dyDescent="0.25">
      <c r="A292" s="36"/>
      <c r="B292" s="31"/>
      <c r="C292" s="31"/>
      <c r="D292" s="32"/>
      <c r="H292" s="32"/>
      <c r="J292" s="32"/>
      <c r="K292" s="41"/>
      <c r="L292" s="32"/>
      <c r="N292" s="32"/>
      <c r="O292" s="41"/>
      <c r="P292" s="315"/>
      <c r="Q292" s="315"/>
      <c r="R292" s="315"/>
      <c r="S292" s="315"/>
      <c r="T292" s="315"/>
    </row>
    <row r="293" spans="1:20" s="30" customFormat="1" x14ac:dyDescent="0.25">
      <c r="A293" s="36"/>
      <c r="B293" s="31"/>
      <c r="C293" s="31"/>
      <c r="D293" s="32"/>
      <c r="H293" s="32"/>
      <c r="J293" s="32"/>
      <c r="K293" s="41"/>
      <c r="L293" s="32"/>
      <c r="N293" s="32"/>
      <c r="O293" s="41"/>
      <c r="P293" s="315"/>
      <c r="Q293" s="315"/>
      <c r="R293" s="315"/>
      <c r="S293" s="315"/>
      <c r="T293" s="315"/>
    </row>
    <row r="294" spans="1:20" s="30" customFormat="1" x14ac:dyDescent="0.25">
      <c r="A294" s="36"/>
      <c r="B294" s="31"/>
      <c r="C294" s="31"/>
      <c r="D294" s="32"/>
      <c r="H294" s="32"/>
      <c r="J294" s="32"/>
      <c r="K294" s="41"/>
      <c r="L294" s="32"/>
      <c r="N294" s="32"/>
      <c r="O294" s="41"/>
      <c r="P294" s="315"/>
      <c r="Q294" s="315"/>
      <c r="R294" s="315"/>
      <c r="S294" s="315"/>
      <c r="T294" s="315"/>
    </row>
    <row r="295" spans="1:20" s="30" customFormat="1" x14ac:dyDescent="0.25">
      <c r="A295" s="36"/>
      <c r="B295" s="31"/>
      <c r="C295" s="31"/>
      <c r="D295" s="32"/>
      <c r="H295" s="32"/>
      <c r="J295" s="32"/>
      <c r="K295" s="41"/>
      <c r="L295" s="32"/>
      <c r="N295" s="32"/>
      <c r="O295" s="41"/>
      <c r="P295" s="315"/>
      <c r="Q295" s="315"/>
      <c r="R295" s="315"/>
      <c r="S295" s="315"/>
      <c r="T295" s="315"/>
    </row>
    <row r="296" spans="1:20" s="30" customFormat="1" x14ac:dyDescent="0.25">
      <c r="A296" s="36"/>
      <c r="B296" s="31"/>
      <c r="C296" s="31"/>
      <c r="D296" s="32"/>
      <c r="H296" s="32"/>
      <c r="J296" s="32"/>
      <c r="K296" s="41"/>
      <c r="L296" s="32"/>
      <c r="N296" s="32"/>
      <c r="O296" s="41"/>
      <c r="P296" s="315"/>
      <c r="Q296" s="315"/>
      <c r="R296" s="315"/>
      <c r="S296" s="315"/>
      <c r="T296" s="315"/>
    </row>
    <row r="297" spans="1:20" s="30" customFormat="1" x14ac:dyDescent="0.25">
      <c r="A297" s="36"/>
      <c r="B297" s="31"/>
      <c r="C297" s="31"/>
      <c r="D297" s="32"/>
      <c r="H297" s="32"/>
      <c r="J297" s="32"/>
      <c r="K297" s="41"/>
      <c r="L297" s="32"/>
      <c r="N297" s="32"/>
      <c r="O297" s="41"/>
      <c r="P297" s="315"/>
      <c r="Q297" s="315"/>
      <c r="R297" s="315"/>
      <c r="S297" s="315"/>
      <c r="T297" s="315"/>
    </row>
    <row r="298" spans="1:20" s="30" customFormat="1" x14ac:dyDescent="0.25">
      <c r="A298" s="36"/>
      <c r="B298" s="31"/>
      <c r="C298" s="31"/>
      <c r="D298" s="32"/>
      <c r="H298" s="32"/>
      <c r="J298" s="32"/>
      <c r="K298" s="41"/>
      <c r="L298" s="32"/>
      <c r="N298" s="32"/>
      <c r="O298" s="41"/>
      <c r="P298" s="315"/>
      <c r="Q298" s="315"/>
      <c r="R298" s="315"/>
      <c r="S298" s="315"/>
      <c r="T298" s="315"/>
    </row>
    <row r="299" spans="1:20" s="30" customFormat="1" x14ac:dyDescent="0.25">
      <c r="A299" s="36"/>
      <c r="B299" s="31"/>
      <c r="C299" s="31"/>
      <c r="D299" s="32"/>
      <c r="H299" s="32"/>
      <c r="J299" s="32"/>
      <c r="K299" s="41"/>
      <c r="L299" s="32"/>
      <c r="N299" s="32"/>
      <c r="O299" s="41"/>
      <c r="P299" s="315"/>
      <c r="Q299" s="315"/>
      <c r="R299" s="315"/>
      <c r="S299" s="315"/>
      <c r="T299" s="315"/>
    </row>
    <row r="300" spans="1:20" s="30" customFormat="1" x14ac:dyDescent="0.25">
      <c r="A300" s="36"/>
      <c r="B300" s="31"/>
      <c r="C300" s="31"/>
      <c r="D300" s="32"/>
      <c r="H300" s="32"/>
      <c r="J300" s="32"/>
      <c r="K300" s="41"/>
      <c r="L300" s="32"/>
      <c r="N300" s="32"/>
      <c r="O300" s="41"/>
      <c r="P300" s="315"/>
      <c r="Q300" s="315"/>
      <c r="R300" s="315"/>
      <c r="S300" s="315"/>
      <c r="T300" s="315"/>
    </row>
    <row r="301" spans="1:20" s="30" customFormat="1" x14ac:dyDescent="0.25">
      <c r="A301" s="36"/>
      <c r="B301" s="31"/>
      <c r="C301" s="31"/>
      <c r="D301" s="32"/>
      <c r="H301" s="32"/>
      <c r="J301" s="32"/>
      <c r="K301" s="41"/>
      <c r="L301" s="32"/>
      <c r="N301" s="32"/>
      <c r="O301" s="41"/>
      <c r="P301" s="315"/>
      <c r="Q301" s="315"/>
      <c r="R301" s="315"/>
      <c r="S301" s="315"/>
      <c r="T301" s="315"/>
    </row>
    <row r="302" spans="1:20" s="30" customFormat="1" x14ac:dyDescent="0.25">
      <c r="A302" s="36"/>
      <c r="B302" s="31"/>
      <c r="C302" s="31"/>
      <c r="D302" s="32"/>
      <c r="H302" s="32"/>
      <c r="J302" s="32"/>
      <c r="K302" s="41"/>
      <c r="L302" s="32"/>
      <c r="N302" s="32"/>
      <c r="O302" s="41"/>
      <c r="P302" s="315"/>
      <c r="Q302" s="315"/>
      <c r="R302" s="315"/>
      <c r="S302" s="315"/>
      <c r="T302" s="315"/>
    </row>
    <row r="303" spans="1:20" s="30" customFormat="1" x14ac:dyDescent="0.25">
      <c r="A303" s="36"/>
      <c r="B303" s="31"/>
      <c r="C303" s="31"/>
      <c r="D303" s="32"/>
      <c r="H303" s="32"/>
      <c r="J303" s="32"/>
      <c r="K303" s="41"/>
      <c r="L303" s="32"/>
      <c r="N303" s="32"/>
      <c r="O303" s="41"/>
      <c r="P303" s="315"/>
      <c r="Q303" s="315"/>
      <c r="R303" s="315"/>
      <c r="S303" s="315"/>
      <c r="T303" s="315"/>
    </row>
    <row r="304" spans="1:20" s="30" customFormat="1" x14ac:dyDescent="0.25">
      <c r="A304" s="36"/>
      <c r="B304" s="31"/>
      <c r="C304" s="31"/>
      <c r="D304" s="32"/>
      <c r="H304" s="32"/>
      <c r="J304" s="32"/>
      <c r="K304" s="41"/>
      <c r="L304" s="32"/>
      <c r="N304" s="32"/>
      <c r="O304" s="41"/>
      <c r="P304" s="315"/>
      <c r="Q304" s="315"/>
      <c r="R304" s="315"/>
      <c r="S304" s="315"/>
      <c r="T304" s="315"/>
    </row>
    <row r="305" spans="1:20" s="30" customFormat="1" x14ac:dyDescent="0.25">
      <c r="A305" s="36"/>
      <c r="B305" s="31"/>
      <c r="C305" s="31"/>
      <c r="D305" s="32"/>
      <c r="H305" s="32"/>
      <c r="J305" s="32"/>
      <c r="K305" s="41"/>
      <c r="L305" s="32"/>
      <c r="N305" s="32"/>
      <c r="O305" s="41"/>
      <c r="P305" s="315"/>
      <c r="Q305" s="315"/>
      <c r="R305" s="315"/>
      <c r="S305" s="315"/>
      <c r="T305" s="315"/>
    </row>
    <row r="306" spans="1:20" s="30" customFormat="1" x14ac:dyDescent="0.25">
      <c r="A306" s="36"/>
      <c r="B306" s="31"/>
      <c r="C306" s="31"/>
      <c r="D306" s="32"/>
      <c r="H306" s="32"/>
      <c r="J306" s="32"/>
      <c r="K306" s="41"/>
      <c r="L306" s="32"/>
      <c r="N306" s="32"/>
      <c r="O306" s="41"/>
      <c r="P306" s="315"/>
      <c r="Q306" s="315"/>
      <c r="R306" s="315"/>
      <c r="S306" s="315"/>
      <c r="T306" s="315"/>
    </row>
    <row r="307" spans="1:20" s="30" customFormat="1" x14ac:dyDescent="0.25">
      <c r="A307" s="36"/>
      <c r="B307" s="31"/>
      <c r="C307" s="31"/>
      <c r="D307" s="32"/>
      <c r="H307" s="32"/>
      <c r="J307" s="32"/>
      <c r="K307" s="41"/>
      <c r="L307" s="32"/>
      <c r="N307" s="32"/>
      <c r="O307" s="41"/>
      <c r="P307" s="315"/>
      <c r="Q307" s="315"/>
      <c r="R307" s="315"/>
      <c r="S307" s="315"/>
      <c r="T307" s="315"/>
    </row>
    <row r="308" spans="1:20" s="30" customFormat="1" x14ac:dyDescent="0.25">
      <c r="A308" s="36"/>
      <c r="B308" s="31"/>
      <c r="C308" s="31"/>
      <c r="D308" s="32"/>
      <c r="H308" s="32"/>
      <c r="J308" s="32"/>
      <c r="K308" s="41"/>
      <c r="L308" s="32"/>
      <c r="N308" s="32"/>
      <c r="O308" s="41"/>
      <c r="P308" s="315"/>
      <c r="Q308" s="315"/>
      <c r="R308" s="315"/>
      <c r="S308" s="315"/>
      <c r="T308" s="315"/>
    </row>
    <row r="309" spans="1:20" s="30" customFormat="1" x14ac:dyDescent="0.25">
      <c r="A309" s="36"/>
      <c r="B309" s="31"/>
      <c r="C309" s="31"/>
      <c r="D309" s="32"/>
      <c r="H309" s="32"/>
      <c r="J309" s="32"/>
      <c r="K309" s="41"/>
      <c r="L309" s="32"/>
      <c r="N309" s="32"/>
      <c r="O309" s="41"/>
      <c r="P309" s="315"/>
      <c r="Q309" s="315"/>
      <c r="R309" s="315"/>
      <c r="S309" s="315"/>
      <c r="T309" s="315"/>
    </row>
    <row r="310" spans="1:20" s="30" customFormat="1" x14ac:dyDescent="0.25">
      <c r="A310" s="36"/>
      <c r="B310" s="31"/>
      <c r="C310" s="31"/>
      <c r="D310" s="32"/>
      <c r="H310" s="32"/>
      <c r="J310" s="32"/>
      <c r="K310" s="41"/>
      <c r="L310" s="32"/>
      <c r="N310" s="32"/>
      <c r="O310" s="41"/>
      <c r="P310" s="315"/>
      <c r="Q310" s="315"/>
      <c r="R310" s="315"/>
      <c r="S310" s="315"/>
      <c r="T310" s="315"/>
    </row>
    <row r="311" spans="1:20" s="30" customFormat="1" x14ac:dyDescent="0.25">
      <c r="A311" s="36"/>
      <c r="B311" s="31"/>
      <c r="C311" s="31"/>
      <c r="D311" s="32"/>
      <c r="H311" s="32"/>
      <c r="J311" s="32"/>
      <c r="K311" s="41"/>
      <c r="L311" s="32"/>
      <c r="N311" s="32"/>
      <c r="O311" s="41"/>
      <c r="P311" s="315"/>
      <c r="Q311" s="315"/>
      <c r="R311" s="315"/>
      <c r="S311" s="315"/>
      <c r="T311" s="315"/>
    </row>
    <row r="312" spans="1:20" s="30" customFormat="1" x14ac:dyDescent="0.25">
      <c r="A312" s="36"/>
      <c r="B312" s="31"/>
      <c r="C312" s="31"/>
      <c r="D312" s="32"/>
      <c r="H312" s="32"/>
      <c r="J312" s="32"/>
      <c r="K312" s="41"/>
      <c r="L312" s="32"/>
      <c r="N312" s="32"/>
      <c r="O312" s="41"/>
      <c r="P312" s="315"/>
      <c r="Q312" s="315"/>
      <c r="R312" s="315"/>
      <c r="S312" s="315"/>
      <c r="T312" s="315"/>
    </row>
    <row r="313" spans="1:20" s="30" customFormat="1" x14ac:dyDescent="0.25">
      <c r="A313" s="36"/>
      <c r="B313" s="31"/>
      <c r="C313" s="31"/>
      <c r="D313" s="32"/>
      <c r="H313" s="32"/>
      <c r="J313" s="32"/>
      <c r="K313" s="41"/>
      <c r="L313" s="32"/>
      <c r="N313" s="32"/>
      <c r="O313" s="41"/>
      <c r="P313" s="315"/>
      <c r="Q313" s="315"/>
      <c r="R313" s="315"/>
      <c r="S313" s="315"/>
      <c r="T313" s="315"/>
    </row>
    <row r="314" spans="1:20" s="30" customFormat="1" x14ac:dyDescent="0.25">
      <c r="A314" s="36"/>
      <c r="B314" s="31"/>
      <c r="C314" s="31"/>
      <c r="D314" s="32"/>
      <c r="H314" s="32"/>
      <c r="J314" s="32"/>
      <c r="K314" s="41"/>
      <c r="L314" s="32"/>
      <c r="N314" s="32"/>
      <c r="O314" s="41"/>
      <c r="P314" s="315"/>
      <c r="Q314" s="315"/>
      <c r="R314" s="315"/>
      <c r="S314" s="315"/>
      <c r="T314" s="315"/>
    </row>
    <row r="315" spans="1:20" s="30" customFormat="1" x14ac:dyDescent="0.25">
      <c r="A315" s="36"/>
      <c r="B315" s="31"/>
      <c r="C315" s="31"/>
      <c r="D315" s="32"/>
      <c r="H315" s="32"/>
      <c r="J315" s="32"/>
      <c r="K315" s="41"/>
      <c r="L315" s="32"/>
      <c r="N315" s="32"/>
      <c r="O315" s="41"/>
      <c r="P315" s="315"/>
      <c r="Q315" s="315"/>
      <c r="R315" s="315"/>
      <c r="S315" s="315"/>
      <c r="T315" s="315"/>
    </row>
    <row r="316" spans="1:20" s="30" customFormat="1" x14ac:dyDescent="0.25">
      <c r="A316" s="36"/>
      <c r="B316" s="31"/>
      <c r="C316" s="31"/>
      <c r="D316" s="32"/>
      <c r="H316" s="32"/>
      <c r="J316" s="32"/>
      <c r="K316" s="41"/>
      <c r="L316" s="32"/>
      <c r="N316" s="32"/>
      <c r="O316" s="41"/>
      <c r="P316" s="315"/>
      <c r="Q316" s="315"/>
      <c r="R316" s="315"/>
      <c r="S316" s="315"/>
      <c r="T316" s="315"/>
    </row>
    <row r="317" spans="1:20" s="30" customFormat="1" x14ac:dyDescent="0.25">
      <c r="A317" s="36"/>
      <c r="B317" s="31"/>
      <c r="C317" s="31"/>
      <c r="D317" s="32"/>
      <c r="H317" s="32"/>
      <c r="J317" s="32"/>
      <c r="K317" s="41"/>
      <c r="L317" s="32"/>
      <c r="N317" s="32"/>
      <c r="O317" s="41"/>
      <c r="P317" s="315"/>
      <c r="Q317" s="315"/>
      <c r="R317" s="315"/>
      <c r="S317" s="315"/>
      <c r="T317" s="315"/>
    </row>
    <row r="318" spans="1:20" s="30" customFormat="1" x14ac:dyDescent="0.25">
      <c r="A318" s="36"/>
      <c r="B318" s="31"/>
      <c r="C318" s="31"/>
      <c r="D318" s="32"/>
      <c r="H318" s="32"/>
      <c r="J318" s="32"/>
      <c r="K318" s="41"/>
      <c r="L318" s="32"/>
      <c r="N318" s="32"/>
      <c r="O318" s="41"/>
      <c r="P318" s="315"/>
      <c r="Q318" s="315"/>
      <c r="R318" s="315"/>
      <c r="S318" s="315"/>
      <c r="T318" s="315"/>
    </row>
    <row r="319" spans="1:20" s="30" customFormat="1" x14ac:dyDescent="0.25">
      <c r="A319" s="36"/>
      <c r="B319" s="31"/>
      <c r="C319" s="31"/>
      <c r="D319" s="32"/>
      <c r="H319" s="32"/>
      <c r="J319" s="32"/>
      <c r="K319" s="41"/>
      <c r="L319" s="32"/>
      <c r="N319" s="32"/>
      <c r="O319" s="41"/>
      <c r="P319" s="315"/>
      <c r="Q319" s="315"/>
      <c r="R319" s="315"/>
      <c r="S319" s="315"/>
      <c r="T319" s="315"/>
    </row>
    <row r="320" spans="1:20" s="30" customFormat="1" x14ac:dyDescent="0.25">
      <c r="A320" s="36"/>
      <c r="B320" s="31"/>
      <c r="C320" s="31"/>
      <c r="D320" s="32"/>
      <c r="H320" s="32"/>
      <c r="J320" s="32"/>
      <c r="K320" s="41"/>
      <c r="L320" s="32"/>
      <c r="N320" s="32"/>
      <c r="O320" s="41"/>
      <c r="P320" s="315"/>
      <c r="Q320" s="315"/>
      <c r="R320" s="315"/>
      <c r="S320" s="315"/>
      <c r="T320" s="315"/>
    </row>
    <row r="321" spans="1:20" s="30" customFormat="1" x14ac:dyDescent="0.25">
      <c r="A321" s="36"/>
      <c r="B321" s="31"/>
      <c r="C321" s="31"/>
      <c r="D321" s="32"/>
      <c r="H321" s="32"/>
      <c r="J321" s="32"/>
      <c r="K321" s="41"/>
      <c r="L321" s="32"/>
      <c r="N321" s="32"/>
      <c r="O321" s="41"/>
      <c r="P321" s="315"/>
      <c r="Q321" s="315"/>
      <c r="R321" s="315"/>
      <c r="S321" s="315"/>
      <c r="T321" s="315"/>
    </row>
    <row r="322" spans="1:20" s="30" customFormat="1" x14ac:dyDescent="0.25">
      <c r="A322" s="36"/>
      <c r="B322" s="31"/>
      <c r="C322" s="31"/>
      <c r="D322" s="32"/>
      <c r="H322" s="32"/>
      <c r="J322" s="32"/>
      <c r="K322" s="41"/>
      <c r="L322" s="32"/>
      <c r="N322" s="32"/>
      <c r="O322" s="41"/>
      <c r="P322" s="315"/>
      <c r="Q322" s="315"/>
      <c r="R322" s="315"/>
      <c r="S322" s="315"/>
      <c r="T322" s="315"/>
    </row>
    <row r="323" spans="1:20" s="30" customFormat="1" x14ac:dyDescent="0.25">
      <c r="A323" s="36"/>
      <c r="B323" s="31"/>
      <c r="C323" s="31"/>
      <c r="D323" s="32"/>
      <c r="H323" s="32"/>
      <c r="J323" s="32"/>
      <c r="K323" s="41"/>
      <c r="L323" s="32"/>
      <c r="N323" s="32"/>
      <c r="O323" s="41"/>
      <c r="P323" s="315"/>
      <c r="Q323" s="315"/>
      <c r="R323" s="315"/>
      <c r="S323" s="315"/>
      <c r="T323" s="315"/>
    </row>
    <row r="324" spans="1:20" s="30" customFormat="1" x14ac:dyDescent="0.25">
      <c r="A324" s="36"/>
      <c r="B324" s="31"/>
      <c r="C324" s="31"/>
      <c r="D324" s="32"/>
      <c r="H324" s="32"/>
      <c r="J324" s="32"/>
      <c r="K324" s="41"/>
      <c r="L324" s="32"/>
      <c r="N324" s="32"/>
      <c r="O324" s="41"/>
      <c r="P324" s="315"/>
      <c r="Q324" s="315"/>
      <c r="R324" s="315"/>
      <c r="S324" s="315"/>
      <c r="T324" s="315"/>
    </row>
    <row r="325" spans="1:20" s="30" customFormat="1" x14ac:dyDescent="0.25">
      <c r="A325" s="36"/>
      <c r="B325" s="31"/>
      <c r="C325" s="31"/>
      <c r="D325" s="32"/>
      <c r="H325" s="32"/>
      <c r="J325" s="32"/>
      <c r="K325" s="41"/>
      <c r="L325" s="32"/>
      <c r="N325" s="32"/>
      <c r="O325" s="41"/>
      <c r="P325" s="315"/>
      <c r="Q325" s="315"/>
      <c r="R325" s="315"/>
      <c r="S325" s="315"/>
      <c r="T325" s="315"/>
    </row>
    <row r="326" spans="1:20" s="30" customFormat="1" x14ac:dyDescent="0.25">
      <c r="A326" s="36"/>
      <c r="B326" s="31"/>
      <c r="C326" s="31"/>
      <c r="D326" s="32"/>
      <c r="H326" s="32"/>
      <c r="J326" s="32"/>
      <c r="K326" s="41"/>
      <c r="L326" s="32"/>
      <c r="N326" s="32"/>
      <c r="O326" s="41"/>
      <c r="P326" s="315"/>
      <c r="Q326" s="315"/>
      <c r="R326" s="315"/>
      <c r="S326" s="315"/>
      <c r="T326" s="315"/>
    </row>
    <row r="327" spans="1:20" s="30" customFormat="1" x14ac:dyDescent="0.25">
      <c r="A327" s="36"/>
      <c r="B327" s="31"/>
      <c r="C327" s="31"/>
      <c r="D327" s="32"/>
      <c r="H327" s="32"/>
      <c r="J327" s="32"/>
      <c r="K327" s="41"/>
      <c r="L327" s="32"/>
      <c r="N327" s="32"/>
      <c r="O327" s="41"/>
      <c r="P327" s="315"/>
      <c r="Q327" s="315"/>
      <c r="R327" s="315"/>
      <c r="S327" s="315"/>
      <c r="T327" s="315"/>
    </row>
    <row r="328" spans="1:20" s="30" customFormat="1" x14ac:dyDescent="0.25">
      <c r="A328" s="36"/>
      <c r="B328" s="31"/>
      <c r="C328" s="31"/>
      <c r="D328" s="32"/>
      <c r="H328" s="32"/>
      <c r="J328" s="32"/>
      <c r="K328" s="41"/>
      <c r="L328" s="32"/>
      <c r="N328" s="32"/>
      <c r="O328" s="41"/>
      <c r="P328" s="315"/>
      <c r="Q328" s="315"/>
      <c r="R328" s="315"/>
      <c r="S328" s="315"/>
      <c r="T328" s="315"/>
    </row>
    <row r="329" spans="1:20" s="30" customFormat="1" x14ac:dyDescent="0.25">
      <c r="A329" s="36"/>
      <c r="B329" s="31"/>
      <c r="C329" s="31"/>
      <c r="D329" s="32"/>
      <c r="H329" s="32"/>
      <c r="J329" s="32"/>
      <c r="K329" s="41"/>
      <c r="L329" s="32"/>
      <c r="N329" s="32"/>
      <c r="O329" s="41"/>
      <c r="P329" s="315"/>
      <c r="Q329" s="315"/>
      <c r="R329" s="315"/>
      <c r="S329" s="315"/>
      <c r="T329" s="315"/>
    </row>
    <row r="330" spans="1:20" s="30" customFormat="1" x14ac:dyDescent="0.25">
      <c r="A330" s="36"/>
      <c r="B330" s="31"/>
      <c r="C330" s="31"/>
      <c r="D330" s="32"/>
      <c r="H330" s="32"/>
      <c r="J330" s="32"/>
      <c r="K330" s="41"/>
      <c r="L330" s="32"/>
      <c r="N330" s="32"/>
      <c r="O330" s="41"/>
      <c r="P330" s="315"/>
      <c r="Q330" s="315"/>
      <c r="R330" s="315"/>
      <c r="S330" s="315"/>
      <c r="T330" s="315"/>
    </row>
    <row r="331" spans="1:20" s="30" customFormat="1" x14ac:dyDescent="0.25">
      <c r="A331" s="36"/>
      <c r="B331" s="31"/>
      <c r="C331" s="31"/>
      <c r="D331" s="32"/>
      <c r="H331" s="32"/>
      <c r="J331" s="32"/>
      <c r="K331" s="41"/>
      <c r="L331" s="32"/>
      <c r="N331" s="32"/>
      <c r="O331" s="41"/>
      <c r="P331" s="315"/>
      <c r="Q331" s="315"/>
      <c r="R331" s="315"/>
      <c r="S331" s="315"/>
      <c r="T331" s="315"/>
    </row>
    <row r="332" spans="1:20" s="30" customFormat="1" x14ac:dyDescent="0.25">
      <c r="A332" s="36"/>
      <c r="B332" s="31"/>
      <c r="C332" s="31"/>
      <c r="D332" s="32"/>
      <c r="H332" s="32"/>
      <c r="J332" s="32"/>
      <c r="K332" s="41"/>
      <c r="L332" s="32"/>
      <c r="N332" s="32"/>
      <c r="O332" s="41"/>
      <c r="P332" s="315"/>
      <c r="Q332" s="315"/>
      <c r="R332" s="315"/>
      <c r="S332" s="315"/>
      <c r="T332" s="315"/>
    </row>
    <row r="333" spans="1:20" s="30" customFormat="1" x14ac:dyDescent="0.25">
      <c r="A333" s="36"/>
      <c r="B333" s="31"/>
      <c r="C333" s="31"/>
      <c r="D333" s="32"/>
      <c r="H333" s="32"/>
      <c r="J333" s="32"/>
      <c r="K333" s="41"/>
      <c r="L333" s="32"/>
      <c r="N333" s="32"/>
      <c r="O333" s="41"/>
      <c r="P333" s="315"/>
      <c r="Q333" s="315"/>
      <c r="R333" s="315"/>
      <c r="S333" s="315"/>
      <c r="T333" s="315"/>
    </row>
    <row r="334" spans="1:20" s="30" customFormat="1" x14ac:dyDescent="0.25">
      <c r="A334" s="36"/>
      <c r="B334" s="31"/>
      <c r="C334" s="31"/>
      <c r="D334" s="32"/>
      <c r="H334" s="32"/>
      <c r="J334" s="32"/>
      <c r="K334" s="41"/>
      <c r="L334" s="32"/>
      <c r="N334" s="32"/>
      <c r="O334" s="41"/>
      <c r="P334" s="315"/>
      <c r="Q334" s="315"/>
      <c r="R334" s="315"/>
      <c r="S334" s="315"/>
      <c r="T334" s="315"/>
    </row>
    <row r="335" spans="1:20" s="30" customFormat="1" x14ac:dyDescent="0.25">
      <c r="A335" s="36"/>
      <c r="B335" s="31"/>
      <c r="C335" s="31"/>
      <c r="D335" s="32"/>
      <c r="H335" s="32"/>
      <c r="J335" s="32"/>
      <c r="K335" s="41"/>
      <c r="L335" s="32"/>
      <c r="N335" s="32"/>
      <c r="O335" s="41"/>
      <c r="P335" s="315"/>
      <c r="Q335" s="315"/>
      <c r="R335" s="315"/>
      <c r="S335" s="315"/>
      <c r="T335" s="315"/>
    </row>
    <row r="336" spans="1:20" s="30" customFormat="1" x14ac:dyDescent="0.25">
      <c r="A336" s="36"/>
      <c r="B336" s="31"/>
      <c r="C336" s="31"/>
      <c r="D336" s="32"/>
      <c r="H336" s="32"/>
      <c r="J336" s="32"/>
      <c r="K336" s="41"/>
      <c r="L336" s="32"/>
      <c r="N336" s="32"/>
      <c r="O336" s="41"/>
      <c r="P336" s="315"/>
      <c r="Q336" s="315"/>
      <c r="R336" s="315"/>
      <c r="S336" s="315"/>
      <c r="T336" s="315"/>
    </row>
    <row r="337" spans="1:20" s="30" customFormat="1" x14ac:dyDescent="0.25">
      <c r="A337" s="36"/>
      <c r="B337" s="31"/>
      <c r="C337" s="31"/>
      <c r="D337" s="32"/>
      <c r="H337" s="32"/>
      <c r="J337" s="32"/>
      <c r="K337" s="41"/>
      <c r="L337" s="32"/>
      <c r="N337" s="32"/>
      <c r="O337" s="41"/>
      <c r="P337" s="315"/>
      <c r="Q337" s="315"/>
      <c r="R337" s="315"/>
      <c r="S337" s="315"/>
      <c r="T337" s="315"/>
    </row>
    <row r="338" spans="1:20" s="30" customFormat="1" x14ac:dyDescent="0.25">
      <c r="A338" s="36"/>
      <c r="B338" s="31"/>
      <c r="C338" s="31"/>
      <c r="D338" s="32"/>
      <c r="H338" s="32"/>
      <c r="J338" s="32"/>
      <c r="K338" s="41"/>
      <c r="L338" s="32"/>
      <c r="N338" s="32"/>
      <c r="O338" s="41"/>
      <c r="P338" s="315"/>
      <c r="Q338" s="315"/>
      <c r="R338" s="315"/>
      <c r="S338" s="315"/>
      <c r="T338" s="315"/>
    </row>
    <row r="339" spans="1:20" s="30" customFormat="1" x14ac:dyDescent="0.25">
      <c r="A339" s="36"/>
      <c r="B339" s="31"/>
      <c r="C339" s="31"/>
      <c r="D339" s="32"/>
      <c r="H339" s="32"/>
      <c r="J339" s="32"/>
      <c r="K339" s="41"/>
      <c r="L339" s="32"/>
      <c r="N339" s="32"/>
      <c r="O339" s="41"/>
      <c r="P339" s="315"/>
      <c r="Q339" s="315"/>
      <c r="R339" s="315"/>
      <c r="S339" s="315"/>
      <c r="T339" s="315"/>
    </row>
    <row r="340" spans="1:20" s="30" customFormat="1" x14ac:dyDescent="0.25">
      <c r="A340" s="36"/>
      <c r="B340" s="31"/>
      <c r="C340" s="31"/>
      <c r="D340" s="32"/>
      <c r="H340" s="32"/>
      <c r="J340" s="32"/>
      <c r="K340" s="41"/>
      <c r="L340" s="32"/>
      <c r="N340" s="32"/>
      <c r="O340" s="41"/>
      <c r="P340" s="315"/>
      <c r="Q340" s="315"/>
      <c r="R340" s="315"/>
      <c r="S340" s="315"/>
      <c r="T340" s="315"/>
    </row>
    <row r="341" spans="1:20" s="30" customFormat="1" x14ac:dyDescent="0.25">
      <c r="A341" s="36"/>
      <c r="B341" s="31"/>
      <c r="C341" s="31"/>
      <c r="D341" s="32"/>
      <c r="H341" s="32"/>
      <c r="J341" s="32"/>
      <c r="K341" s="41"/>
      <c r="L341" s="32"/>
      <c r="N341" s="32"/>
      <c r="O341" s="41"/>
      <c r="P341" s="315"/>
      <c r="Q341" s="315"/>
      <c r="R341" s="315"/>
      <c r="S341" s="315"/>
      <c r="T341" s="315"/>
    </row>
    <row r="342" spans="1:20" s="30" customFormat="1" x14ac:dyDescent="0.25">
      <c r="A342" s="36"/>
      <c r="B342" s="31"/>
      <c r="C342" s="31"/>
      <c r="D342" s="32"/>
      <c r="H342" s="32"/>
      <c r="J342" s="32"/>
      <c r="K342" s="41"/>
      <c r="L342" s="32"/>
      <c r="N342" s="32"/>
      <c r="O342" s="41"/>
      <c r="P342" s="315"/>
      <c r="Q342" s="315"/>
      <c r="R342" s="315"/>
      <c r="S342" s="315"/>
      <c r="T342" s="315"/>
    </row>
    <row r="343" spans="1:20" s="30" customFormat="1" x14ac:dyDescent="0.25">
      <c r="A343" s="36"/>
      <c r="B343" s="31"/>
      <c r="C343" s="31"/>
      <c r="D343" s="32"/>
      <c r="H343" s="32"/>
      <c r="J343" s="32"/>
      <c r="K343" s="41"/>
      <c r="L343" s="32"/>
      <c r="N343" s="32"/>
      <c r="O343" s="41"/>
      <c r="P343" s="315"/>
      <c r="Q343" s="315"/>
      <c r="R343" s="315"/>
      <c r="S343" s="315"/>
      <c r="T343" s="315"/>
    </row>
    <row r="344" spans="1:20" s="30" customFormat="1" x14ac:dyDescent="0.25">
      <c r="A344" s="36"/>
      <c r="B344" s="31"/>
      <c r="C344" s="31"/>
      <c r="D344" s="32"/>
      <c r="H344" s="32"/>
      <c r="J344" s="32"/>
      <c r="K344" s="41"/>
      <c r="L344" s="32"/>
      <c r="N344" s="32"/>
      <c r="O344" s="41"/>
      <c r="P344" s="315"/>
      <c r="Q344" s="315"/>
      <c r="R344" s="315"/>
      <c r="S344" s="315"/>
      <c r="T344" s="315"/>
    </row>
    <row r="345" spans="1:20" s="30" customFormat="1" x14ac:dyDescent="0.25">
      <c r="A345" s="36"/>
      <c r="B345" s="31"/>
      <c r="C345" s="31"/>
      <c r="D345" s="32"/>
      <c r="H345" s="32"/>
      <c r="J345" s="32"/>
      <c r="K345" s="41"/>
      <c r="L345" s="32"/>
      <c r="N345" s="32"/>
      <c r="O345" s="41"/>
      <c r="P345" s="315"/>
      <c r="Q345" s="315"/>
      <c r="R345" s="315"/>
      <c r="S345" s="315"/>
      <c r="T345" s="315"/>
    </row>
    <row r="346" spans="1:20" s="30" customFormat="1" x14ac:dyDescent="0.25">
      <c r="A346" s="36"/>
      <c r="B346" s="31"/>
      <c r="C346" s="31"/>
      <c r="D346" s="32"/>
      <c r="H346" s="32"/>
      <c r="J346" s="32"/>
      <c r="K346" s="41"/>
      <c r="L346" s="32"/>
      <c r="N346" s="32"/>
      <c r="O346" s="41"/>
      <c r="P346" s="315"/>
      <c r="Q346" s="315"/>
      <c r="R346" s="315"/>
      <c r="S346" s="315"/>
      <c r="T346" s="315"/>
    </row>
    <row r="347" spans="1:20" s="30" customFormat="1" x14ac:dyDescent="0.25">
      <c r="A347" s="36"/>
      <c r="B347" s="31"/>
      <c r="C347" s="31"/>
      <c r="D347" s="32"/>
      <c r="H347" s="32"/>
      <c r="J347" s="32"/>
      <c r="K347" s="41"/>
      <c r="L347" s="32"/>
      <c r="N347" s="32"/>
      <c r="O347" s="41"/>
      <c r="P347" s="315"/>
      <c r="Q347" s="315"/>
      <c r="R347" s="315"/>
      <c r="S347" s="315"/>
      <c r="T347" s="315"/>
    </row>
    <row r="348" spans="1:20" s="30" customFormat="1" x14ac:dyDescent="0.25">
      <c r="A348" s="36"/>
      <c r="B348" s="31"/>
      <c r="C348" s="31"/>
      <c r="D348" s="32"/>
      <c r="H348" s="32"/>
      <c r="J348" s="32"/>
      <c r="K348" s="41"/>
      <c r="L348" s="32"/>
      <c r="N348" s="32"/>
      <c r="O348" s="41"/>
      <c r="P348" s="315"/>
      <c r="Q348" s="315"/>
      <c r="R348" s="315"/>
      <c r="S348" s="315"/>
      <c r="T348" s="315"/>
    </row>
    <row r="349" spans="1:20" s="30" customFormat="1" x14ac:dyDescent="0.25">
      <c r="A349" s="36"/>
      <c r="B349" s="31"/>
      <c r="C349" s="31"/>
      <c r="D349" s="32"/>
      <c r="H349" s="32"/>
      <c r="J349" s="32"/>
      <c r="K349" s="41"/>
      <c r="L349" s="32"/>
      <c r="N349" s="32"/>
      <c r="O349" s="41"/>
      <c r="P349" s="315"/>
      <c r="Q349" s="315"/>
      <c r="R349" s="315"/>
      <c r="S349" s="315"/>
      <c r="T349" s="315"/>
    </row>
    <row r="350" spans="1:20" s="30" customFormat="1" x14ac:dyDescent="0.25">
      <c r="A350" s="36"/>
      <c r="B350" s="31"/>
      <c r="C350" s="31"/>
      <c r="D350" s="32"/>
      <c r="H350" s="32"/>
      <c r="J350" s="32"/>
      <c r="K350" s="41"/>
      <c r="L350" s="32"/>
      <c r="N350" s="32"/>
      <c r="O350" s="41"/>
      <c r="P350" s="315"/>
      <c r="Q350" s="315"/>
      <c r="R350" s="315"/>
      <c r="S350" s="315"/>
      <c r="T350" s="315"/>
    </row>
    <row r="351" spans="1:20" s="30" customFormat="1" x14ac:dyDescent="0.25">
      <c r="A351" s="36"/>
      <c r="B351" s="31"/>
      <c r="C351" s="31"/>
      <c r="D351" s="32"/>
      <c r="H351" s="32"/>
      <c r="J351" s="32"/>
      <c r="K351" s="41"/>
      <c r="L351" s="32"/>
      <c r="N351" s="32"/>
      <c r="O351" s="41"/>
      <c r="P351" s="315"/>
      <c r="Q351" s="315"/>
      <c r="R351" s="315"/>
      <c r="S351" s="315"/>
      <c r="T351" s="315"/>
    </row>
    <row r="352" spans="1:20" s="30" customFormat="1" x14ac:dyDescent="0.25">
      <c r="A352" s="36"/>
      <c r="B352" s="31"/>
      <c r="C352" s="31"/>
      <c r="D352" s="32"/>
      <c r="H352" s="32"/>
      <c r="J352" s="32"/>
      <c r="K352" s="41"/>
      <c r="L352" s="32"/>
      <c r="N352" s="32"/>
      <c r="O352" s="41"/>
      <c r="P352" s="315"/>
      <c r="Q352" s="315"/>
      <c r="R352" s="315"/>
      <c r="S352" s="315"/>
      <c r="T352" s="315"/>
    </row>
    <row r="353" spans="1:20" s="30" customFormat="1" x14ac:dyDescent="0.25">
      <c r="A353" s="36"/>
      <c r="B353" s="31"/>
      <c r="C353" s="31"/>
      <c r="D353" s="32"/>
      <c r="H353" s="32"/>
      <c r="J353" s="32"/>
      <c r="K353" s="41"/>
      <c r="L353" s="32"/>
      <c r="N353" s="32"/>
      <c r="O353" s="41"/>
      <c r="P353" s="315"/>
      <c r="Q353" s="315"/>
      <c r="R353" s="315"/>
      <c r="S353" s="315"/>
      <c r="T353" s="315"/>
    </row>
    <row r="354" spans="1:20" s="30" customFormat="1" x14ac:dyDescent="0.25">
      <c r="A354" s="36"/>
      <c r="B354" s="31"/>
      <c r="C354" s="31"/>
      <c r="D354" s="32"/>
      <c r="H354" s="32"/>
      <c r="J354" s="32"/>
      <c r="K354" s="41"/>
      <c r="L354" s="32"/>
      <c r="N354" s="32"/>
      <c r="O354" s="41"/>
      <c r="P354" s="315"/>
      <c r="Q354" s="315"/>
      <c r="R354" s="315"/>
      <c r="S354" s="315"/>
      <c r="T354" s="315"/>
    </row>
    <row r="355" spans="1:20" s="30" customFormat="1" x14ac:dyDescent="0.25">
      <c r="A355" s="36"/>
      <c r="B355" s="31"/>
      <c r="C355" s="31"/>
      <c r="D355" s="32"/>
      <c r="H355" s="32"/>
      <c r="J355" s="32"/>
      <c r="K355" s="41"/>
      <c r="L355" s="32"/>
      <c r="N355" s="32"/>
      <c r="O355" s="41"/>
      <c r="P355" s="315"/>
      <c r="Q355" s="315"/>
      <c r="R355" s="315"/>
      <c r="S355" s="315"/>
      <c r="T355" s="315"/>
    </row>
    <row r="356" spans="1:20" s="30" customFormat="1" x14ac:dyDescent="0.25">
      <c r="A356" s="36"/>
      <c r="B356" s="31"/>
      <c r="C356" s="31"/>
      <c r="D356" s="32"/>
      <c r="H356" s="32"/>
      <c r="J356" s="32"/>
      <c r="K356" s="41"/>
      <c r="L356" s="32"/>
      <c r="N356" s="32"/>
      <c r="O356" s="41"/>
      <c r="P356" s="315"/>
      <c r="Q356" s="315"/>
      <c r="R356" s="315"/>
      <c r="S356" s="315"/>
      <c r="T356" s="315"/>
    </row>
    <row r="357" spans="1:20" s="30" customFormat="1" x14ac:dyDescent="0.25">
      <c r="A357" s="36"/>
      <c r="B357" s="31"/>
      <c r="C357" s="31"/>
      <c r="D357" s="32"/>
      <c r="H357" s="32"/>
      <c r="J357" s="32"/>
      <c r="K357" s="41"/>
      <c r="L357" s="32"/>
      <c r="N357" s="32"/>
      <c r="O357" s="41"/>
      <c r="P357" s="315"/>
      <c r="Q357" s="315"/>
      <c r="R357" s="315"/>
      <c r="S357" s="315"/>
      <c r="T357" s="315"/>
    </row>
    <row r="358" spans="1:20" s="30" customFormat="1" x14ac:dyDescent="0.25">
      <c r="A358" s="36"/>
      <c r="B358" s="31"/>
      <c r="C358" s="31"/>
      <c r="D358" s="32"/>
      <c r="H358" s="32"/>
      <c r="J358" s="32"/>
      <c r="K358" s="41"/>
      <c r="L358" s="32"/>
      <c r="N358" s="32"/>
      <c r="O358" s="41"/>
      <c r="P358" s="315"/>
      <c r="Q358" s="315"/>
      <c r="R358" s="315"/>
      <c r="S358" s="315"/>
      <c r="T358" s="315"/>
    </row>
    <row r="359" spans="1:20" s="30" customFormat="1" x14ac:dyDescent="0.25">
      <c r="A359" s="36"/>
      <c r="B359" s="31"/>
      <c r="C359" s="31"/>
      <c r="D359" s="32"/>
      <c r="H359" s="32"/>
      <c r="J359" s="32"/>
      <c r="K359" s="41"/>
      <c r="L359" s="32"/>
      <c r="N359" s="32"/>
      <c r="O359" s="41"/>
      <c r="P359" s="315"/>
      <c r="Q359" s="315"/>
      <c r="R359" s="315"/>
      <c r="S359" s="315"/>
      <c r="T359" s="315"/>
    </row>
    <row r="360" spans="1:20" s="30" customFormat="1" x14ac:dyDescent="0.25">
      <c r="A360" s="36"/>
      <c r="B360" s="31"/>
      <c r="C360" s="31"/>
      <c r="D360" s="32"/>
      <c r="H360" s="32"/>
      <c r="J360" s="32"/>
      <c r="K360" s="41"/>
      <c r="L360" s="32"/>
      <c r="N360" s="32"/>
      <c r="O360" s="41"/>
      <c r="P360" s="315"/>
      <c r="Q360" s="315"/>
      <c r="R360" s="315"/>
      <c r="S360" s="315"/>
      <c r="T360" s="315"/>
    </row>
    <row r="361" spans="1:20" s="30" customFormat="1" x14ac:dyDescent="0.25">
      <c r="A361" s="36"/>
      <c r="B361" s="31"/>
      <c r="C361" s="31"/>
      <c r="D361" s="32"/>
      <c r="H361" s="32"/>
      <c r="J361" s="32"/>
      <c r="K361" s="41"/>
      <c r="L361" s="32"/>
      <c r="N361" s="32"/>
      <c r="O361" s="41"/>
      <c r="P361" s="315"/>
      <c r="Q361" s="315"/>
      <c r="R361" s="315"/>
      <c r="S361" s="315"/>
      <c r="T361" s="315"/>
    </row>
    <row r="362" spans="1:20" s="30" customFormat="1" x14ac:dyDescent="0.25">
      <c r="A362" s="36"/>
      <c r="B362" s="31"/>
      <c r="C362" s="31"/>
      <c r="D362" s="32"/>
      <c r="H362" s="32"/>
      <c r="J362" s="32"/>
      <c r="K362" s="41"/>
      <c r="L362" s="32"/>
      <c r="N362" s="32"/>
      <c r="O362" s="41"/>
      <c r="P362" s="315"/>
      <c r="Q362" s="315"/>
      <c r="R362" s="315"/>
      <c r="S362" s="315"/>
      <c r="T362" s="315"/>
    </row>
    <row r="363" spans="1:20" s="30" customFormat="1" x14ac:dyDescent="0.25">
      <c r="A363" s="36"/>
      <c r="B363" s="31"/>
      <c r="C363" s="31"/>
      <c r="D363" s="32"/>
      <c r="H363" s="32"/>
      <c r="J363" s="32"/>
      <c r="K363" s="41"/>
      <c r="L363" s="32"/>
      <c r="N363" s="32"/>
      <c r="O363" s="41"/>
      <c r="P363" s="315"/>
      <c r="Q363" s="315"/>
      <c r="R363" s="315"/>
      <c r="S363" s="315"/>
      <c r="T363" s="315"/>
    </row>
    <row r="364" spans="1:20" s="30" customFormat="1" x14ac:dyDescent="0.25">
      <c r="A364" s="36"/>
      <c r="B364" s="31"/>
      <c r="C364" s="31"/>
      <c r="D364" s="32"/>
      <c r="H364" s="32"/>
      <c r="J364" s="32"/>
      <c r="K364" s="41"/>
      <c r="L364" s="32"/>
      <c r="N364" s="32"/>
      <c r="O364" s="41"/>
      <c r="P364" s="315"/>
      <c r="Q364" s="315"/>
      <c r="R364" s="315"/>
      <c r="S364" s="315"/>
      <c r="T364" s="315"/>
    </row>
    <row r="365" spans="1:20" s="30" customFormat="1" x14ac:dyDescent="0.25">
      <c r="A365" s="36"/>
      <c r="B365" s="31"/>
      <c r="C365" s="31"/>
      <c r="D365" s="32"/>
      <c r="H365" s="32"/>
      <c r="J365" s="32"/>
      <c r="K365" s="41"/>
      <c r="L365" s="32"/>
      <c r="N365" s="32"/>
      <c r="O365" s="41"/>
      <c r="P365" s="315"/>
      <c r="Q365" s="315"/>
      <c r="R365" s="315"/>
      <c r="S365" s="315"/>
      <c r="T365" s="315"/>
    </row>
    <row r="366" spans="1:20" s="30" customFormat="1" x14ac:dyDescent="0.25">
      <c r="A366" s="36"/>
      <c r="B366" s="31"/>
      <c r="C366" s="31"/>
      <c r="D366" s="32"/>
      <c r="H366" s="32"/>
      <c r="J366" s="32"/>
      <c r="K366" s="41"/>
      <c r="L366" s="32"/>
      <c r="N366" s="32"/>
      <c r="O366" s="41"/>
      <c r="P366" s="315"/>
      <c r="Q366" s="315"/>
      <c r="R366" s="315"/>
      <c r="S366" s="315"/>
      <c r="T366" s="315"/>
    </row>
    <row r="367" spans="1:20" s="30" customFormat="1" x14ac:dyDescent="0.25">
      <c r="A367" s="36"/>
      <c r="B367" s="31"/>
      <c r="C367" s="31"/>
      <c r="D367" s="32"/>
      <c r="H367" s="32"/>
      <c r="J367" s="32"/>
      <c r="K367" s="41"/>
      <c r="L367" s="32"/>
      <c r="N367" s="32"/>
      <c r="O367" s="41"/>
      <c r="P367" s="315"/>
      <c r="Q367" s="315"/>
      <c r="R367" s="315"/>
      <c r="S367" s="315"/>
      <c r="T367" s="315"/>
    </row>
    <row r="368" spans="1:20" s="30" customFormat="1" x14ac:dyDescent="0.25">
      <c r="A368" s="36"/>
      <c r="B368" s="31"/>
      <c r="C368" s="31"/>
      <c r="D368" s="32"/>
      <c r="H368" s="32"/>
      <c r="J368" s="32"/>
      <c r="K368" s="41"/>
      <c r="L368" s="32"/>
      <c r="N368" s="32"/>
      <c r="O368" s="41"/>
      <c r="P368" s="315"/>
      <c r="Q368" s="315"/>
      <c r="R368" s="315"/>
      <c r="S368" s="315"/>
      <c r="T368" s="315"/>
    </row>
    <row r="369" spans="1:20" s="30" customFormat="1" x14ac:dyDescent="0.25">
      <c r="A369" s="36"/>
      <c r="B369" s="31"/>
      <c r="C369" s="31"/>
      <c r="D369" s="32"/>
      <c r="H369" s="32"/>
      <c r="J369" s="32"/>
      <c r="K369" s="41"/>
      <c r="L369" s="32"/>
      <c r="N369" s="32"/>
      <c r="O369" s="41"/>
      <c r="P369" s="315"/>
      <c r="Q369" s="315"/>
      <c r="R369" s="315"/>
      <c r="S369" s="315"/>
      <c r="T369" s="315"/>
    </row>
    <row r="370" spans="1:20" s="30" customFormat="1" x14ac:dyDescent="0.25">
      <c r="A370" s="36"/>
      <c r="B370" s="31"/>
      <c r="C370" s="31"/>
      <c r="D370" s="32"/>
      <c r="H370" s="32"/>
      <c r="J370" s="32"/>
      <c r="K370" s="41"/>
      <c r="L370" s="32"/>
      <c r="N370" s="32"/>
      <c r="O370" s="41"/>
      <c r="P370" s="315"/>
      <c r="Q370" s="315"/>
      <c r="R370" s="315"/>
      <c r="S370" s="315"/>
      <c r="T370" s="315"/>
    </row>
    <row r="371" spans="1:20" s="30" customFormat="1" x14ac:dyDescent="0.25">
      <c r="A371" s="36"/>
      <c r="B371" s="31"/>
      <c r="C371" s="31"/>
      <c r="D371" s="32"/>
      <c r="H371" s="32"/>
      <c r="J371" s="32"/>
      <c r="K371" s="41"/>
      <c r="L371" s="32"/>
      <c r="N371" s="32"/>
      <c r="O371" s="41"/>
      <c r="P371" s="315"/>
      <c r="Q371" s="315"/>
      <c r="R371" s="315"/>
      <c r="S371" s="315"/>
      <c r="T371" s="315"/>
    </row>
    <row r="372" spans="1:20" s="30" customFormat="1" x14ac:dyDescent="0.25">
      <c r="A372" s="36"/>
      <c r="B372" s="31"/>
      <c r="C372" s="31"/>
      <c r="D372" s="32"/>
      <c r="H372" s="32"/>
      <c r="J372" s="32"/>
      <c r="K372" s="41"/>
      <c r="L372" s="32"/>
      <c r="N372" s="32"/>
      <c r="O372" s="41"/>
      <c r="P372" s="315"/>
      <c r="Q372" s="315"/>
      <c r="R372" s="315"/>
      <c r="S372" s="315"/>
      <c r="T372" s="315"/>
    </row>
    <row r="373" spans="1:20" s="30" customFormat="1" x14ac:dyDescent="0.25">
      <c r="A373" s="36"/>
      <c r="B373" s="31"/>
      <c r="C373" s="31"/>
      <c r="D373" s="32"/>
      <c r="H373" s="32"/>
      <c r="J373" s="32"/>
      <c r="K373" s="41"/>
      <c r="L373" s="32"/>
      <c r="N373" s="32"/>
      <c r="O373" s="41"/>
      <c r="P373" s="315"/>
      <c r="Q373" s="315"/>
      <c r="R373" s="315"/>
      <c r="S373" s="315"/>
      <c r="T373" s="315"/>
    </row>
    <row r="374" spans="1:20" s="30" customFormat="1" x14ac:dyDescent="0.25">
      <c r="A374" s="36"/>
      <c r="B374" s="31"/>
      <c r="C374" s="31"/>
      <c r="D374" s="32"/>
      <c r="H374" s="32"/>
      <c r="J374" s="32"/>
      <c r="K374" s="41"/>
      <c r="L374" s="32"/>
      <c r="N374" s="32"/>
      <c r="O374" s="41"/>
      <c r="P374" s="315"/>
      <c r="Q374" s="315"/>
      <c r="R374" s="315"/>
      <c r="S374" s="315"/>
      <c r="T374" s="315"/>
    </row>
    <row r="375" spans="1:20" s="30" customFormat="1" x14ac:dyDescent="0.25">
      <c r="A375" s="36"/>
      <c r="B375" s="31"/>
      <c r="C375" s="31"/>
      <c r="D375" s="32"/>
      <c r="H375" s="32"/>
      <c r="J375" s="32"/>
      <c r="K375" s="41"/>
      <c r="L375" s="32"/>
      <c r="N375" s="32"/>
      <c r="O375" s="41"/>
      <c r="P375" s="315"/>
      <c r="Q375" s="315"/>
      <c r="R375" s="315"/>
      <c r="S375" s="315"/>
      <c r="T375" s="315"/>
    </row>
    <row r="376" spans="1:20" s="30" customFormat="1" x14ac:dyDescent="0.25">
      <c r="A376" s="36"/>
      <c r="B376" s="31"/>
      <c r="C376" s="31"/>
      <c r="D376" s="32"/>
      <c r="H376" s="32"/>
      <c r="J376" s="32"/>
      <c r="K376" s="41"/>
      <c r="L376" s="32"/>
      <c r="N376" s="32"/>
      <c r="O376" s="41"/>
      <c r="P376" s="315"/>
      <c r="Q376" s="315"/>
      <c r="R376" s="315"/>
      <c r="S376" s="315"/>
      <c r="T376" s="315"/>
    </row>
    <row r="377" spans="1:20" s="30" customFormat="1" x14ac:dyDescent="0.25">
      <c r="A377" s="36"/>
      <c r="B377" s="31"/>
      <c r="C377" s="31"/>
      <c r="D377" s="32"/>
      <c r="H377" s="32"/>
      <c r="J377" s="32"/>
      <c r="K377" s="41"/>
      <c r="L377" s="32"/>
      <c r="N377" s="32"/>
      <c r="O377" s="41"/>
      <c r="P377" s="315"/>
      <c r="Q377" s="315"/>
      <c r="R377" s="315"/>
      <c r="S377" s="315"/>
      <c r="T377" s="315"/>
    </row>
    <row r="378" spans="1:20" s="30" customFormat="1" x14ac:dyDescent="0.25">
      <c r="A378" s="36"/>
      <c r="B378" s="31"/>
      <c r="C378" s="31"/>
      <c r="D378" s="32"/>
      <c r="H378" s="32"/>
      <c r="J378" s="32"/>
      <c r="K378" s="41"/>
      <c r="L378" s="32"/>
      <c r="N378" s="32"/>
      <c r="O378" s="41"/>
      <c r="P378" s="315"/>
      <c r="Q378" s="315"/>
      <c r="R378" s="315"/>
      <c r="S378" s="315"/>
      <c r="T378" s="315"/>
    </row>
    <row r="379" spans="1:20" s="30" customFormat="1" x14ac:dyDescent="0.25">
      <c r="A379" s="36"/>
      <c r="B379" s="31"/>
      <c r="C379" s="31"/>
      <c r="D379" s="32"/>
      <c r="H379" s="32"/>
      <c r="J379" s="32"/>
      <c r="K379" s="41"/>
      <c r="L379" s="32"/>
      <c r="N379" s="32"/>
      <c r="O379" s="41"/>
      <c r="P379" s="315"/>
      <c r="Q379" s="315"/>
      <c r="R379" s="315"/>
      <c r="S379" s="315"/>
      <c r="T379" s="315"/>
    </row>
    <row r="380" spans="1:20" s="30" customFormat="1" x14ac:dyDescent="0.25">
      <c r="A380" s="36"/>
      <c r="B380" s="31"/>
      <c r="C380" s="31"/>
      <c r="D380" s="32"/>
      <c r="H380" s="32"/>
      <c r="J380" s="32"/>
      <c r="K380" s="41"/>
      <c r="L380" s="32"/>
      <c r="N380" s="32"/>
      <c r="O380" s="41"/>
      <c r="P380" s="315"/>
      <c r="Q380" s="315"/>
      <c r="R380" s="315"/>
      <c r="S380" s="315"/>
      <c r="T380" s="315"/>
    </row>
    <row r="381" spans="1:20" s="30" customFormat="1" x14ac:dyDescent="0.25">
      <c r="A381" s="36"/>
      <c r="B381" s="31"/>
      <c r="C381" s="31"/>
      <c r="D381" s="32"/>
      <c r="H381" s="32"/>
      <c r="J381" s="32"/>
      <c r="K381" s="41"/>
      <c r="L381" s="32"/>
      <c r="N381" s="32"/>
      <c r="O381" s="41"/>
      <c r="P381" s="315"/>
      <c r="Q381" s="315"/>
      <c r="R381" s="315"/>
      <c r="S381" s="315"/>
      <c r="T381" s="315"/>
    </row>
    <row r="382" spans="1:20" s="30" customFormat="1" x14ac:dyDescent="0.25">
      <c r="A382" s="36"/>
      <c r="B382" s="31"/>
      <c r="C382" s="31"/>
      <c r="D382" s="32"/>
      <c r="H382" s="32"/>
      <c r="J382" s="32"/>
      <c r="K382" s="41"/>
      <c r="L382" s="32"/>
      <c r="N382" s="32"/>
      <c r="O382" s="41"/>
      <c r="P382" s="315"/>
      <c r="Q382" s="315"/>
      <c r="R382" s="315"/>
      <c r="S382" s="315"/>
      <c r="T382" s="315"/>
    </row>
    <row r="383" spans="1:20" s="30" customFormat="1" x14ac:dyDescent="0.25">
      <c r="A383" s="36"/>
      <c r="B383" s="31"/>
      <c r="C383" s="31"/>
      <c r="D383" s="32"/>
      <c r="H383" s="32"/>
      <c r="J383" s="32"/>
      <c r="K383" s="41"/>
      <c r="L383" s="32"/>
      <c r="N383" s="32"/>
      <c r="O383" s="41"/>
      <c r="P383" s="315"/>
      <c r="Q383" s="315"/>
      <c r="R383" s="315"/>
      <c r="S383" s="315"/>
      <c r="T383" s="315"/>
    </row>
    <row r="384" spans="1:20" s="30" customFormat="1" x14ac:dyDescent="0.25">
      <c r="A384" s="36"/>
      <c r="B384" s="31"/>
      <c r="C384" s="31"/>
      <c r="D384" s="32"/>
      <c r="H384" s="32"/>
      <c r="J384" s="32"/>
      <c r="K384" s="41"/>
      <c r="L384" s="32"/>
      <c r="N384" s="32"/>
      <c r="O384" s="41"/>
      <c r="P384" s="315"/>
      <c r="Q384" s="315"/>
      <c r="R384" s="315"/>
      <c r="S384" s="315"/>
      <c r="T384" s="315"/>
    </row>
    <row r="385" spans="1:20" s="30" customFormat="1" x14ac:dyDescent="0.25">
      <c r="A385" s="36"/>
      <c r="B385" s="31"/>
      <c r="C385" s="31"/>
      <c r="D385" s="32"/>
      <c r="H385" s="32"/>
      <c r="J385" s="32"/>
      <c r="K385" s="41"/>
      <c r="L385" s="32"/>
      <c r="N385" s="32"/>
      <c r="O385" s="41"/>
      <c r="P385" s="315"/>
      <c r="Q385" s="315"/>
      <c r="R385" s="315"/>
      <c r="S385" s="315"/>
      <c r="T385" s="315"/>
    </row>
    <row r="386" spans="1:20" s="30" customFormat="1" x14ac:dyDescent="0.25">
      <c r="A386" s="36"/>
      <c r="B386" s="31"/>
      <c r="C386" s="31"/>
      <c r="D386" s="32"/>
      <c r="H386" s="32"/>
      <c r="J386" s="32"/>
      <c r="K386" s="41"/>
      <c r="L386" s="32"/>
      <c r="N386" s="32"/>
      <c r="O386" s="41"/>
      <c r="P386" s="315"/>
      <c r="Q386" s="315"/>
      <c r="R386" s="315"/>
      <c r="S386" s="315"/>
      <c r="T386" s="315"/>
    </row>
    <row r="387" spans="1:20" s="30" customFormat="1" x14ac:dyDescent="0.25">
      <c r="A387" s="36"/>
      <c r="B387" s="31"/>
      <c r="C387" s="31"/>
      <c r="D387" s="32"/>
      <c r="H387" s="32"/>
      <c r="J387" s="32"/>
      <c r="K387" s="41"/>
      <c r="L387" s="32"/>
      <c r="N387" s="32"/>
      <c r="O387" s="41"/>
      <c r="P387" s="315"/>
      <c r="Q387" s="315"/>
      <c r="R387" s="315"/>
      <c r="S387" s="315"/>
      <c r="T387" s="315"/>
    </row>
    <row r="388" spans="1:20" s="30" customFormat="1" x14ac:dyDescent="0.25">
      <c r="A388" s="36"/>
      <c r="B388" s="31"/>
      <c r="C388" s="31"/>
      <c r="D388" s="32"/>
      <c r="H388" s="32"/>
      <c r="J388" s="32"/>
      <c r="K388" s="41"/>
      <c r="L388" s="32"/>
      <c r="N388" s="32"/>
      <c r="O388" s="41"/>
      <c r="P388" s="315"/>
      <c r="Q388" s="315"/>
      <c r="R388" s="315"/>
      <c r="S388" s="315"/>
      <c r="T388" s="315"/>
    </row>
    <row r="389" spans="1:20" s="30" customFormat="1" x14ac:dyDescent="0.25">
      <c r="A389" s="36"/>
      <c r="B389" s="31"/>
      <c r="C389" s="31"/>
      <c r="D389" s="32"/>
      <c r="H389" s="32"/>
      <c r="J389" s="32"/>
      <c r="K389" s="41"/>
      <c r="L389" s="32"/>
      <c r="N389" s="32"/>
      <c r="O389" s="41"/>
      <c r="P389" s="315"/>
      <c r="Q389" s="315"/>
      <c r="R389" s="315"/>
      <c r="S389" s="315"/>
      <c r="T389" s="315"/>
    </row>
    <row r="390" spans="1:20" s="30" customFormat="1" x14ac:dyDescent="0.25">
      <c r="A390" s="36"/>
      <c r="B390" s="31"/>
      <c r="C390" s="31"/>
      <c r="D390" s="32"/>
      <c r="H390" s="32"/>
      <c r="J390" s="32"/>
      <c r="K390" s="41"/>
      <c r="L390" s="32"/>
      <c r="N390" s="32"/>
      <c r="O390" s="41"/>
      <c r="P390" s="315"/>
      <c r="Q390" s="315"/>
      <c r="R390" s="315"/>
      <c r="S390" s="315"/>
      <c r="T390" s="315"/>
    </row>
    <row r="391" spans="1:20" s="30" customFormat="1" x14ac:dyDescent="0.25">
      <c r="A391" s="36"/>
      <c r="B391" s="31"/>
      <c r="C391" s="31"/>
      <c r="D391" s="32"/>
      <c r="H391" s="32"/>
      <c r="J391" s="32"/>
      <c r="K391" s="41"/>
      <c r="L391" s="32"/>
      <c r="N391" s="32"/>
      <c r="O391" s="41"/>
      <c r="P391" s="315"/>
      <c r="Q391" s="315"/>
      <c r="R391" s="315"/>
      <c r="S391" s="315"/>
      <c r="T391" s="315"/>
    </row>
    <row r="392" spans="1:20" s="30" customFormat="1" x14ac:dyDescent="0.25">
      <c r="A392" s="36"/>
      <c r="B392" s="31"/>
      <c r="C392" s="31"/>
      <c r="D392" s="32"/>
      <c r="H392" s="32"/>
      <c r="J392" s="32"/>
      <c r="K392" s="41"/>
      <c r="L392" s="32"/>
      <c r="N392" s="32"/>
      <c r="O392" s="41"/>
      <c r="P392" s="315"/>
      <c r="Q392" s="315"/>
      <c r="R392" s="315"/>
      <c r="S392" s="315"/>
      <c r="T392" s="315"/>
    </row>
    <row r="393" spans="1:20" s="30" customFormat="1" x14ac:dyDescent="0.25">
      <c r="A393" s="36"/>
      <c r="B393" s="31"/>
      <c r="C393" s="31"/>
      <c r="D393" s="32"/>
      <c r="H393" s="32"/>
      <c r="J393" s="32"/>
      <c r="K393" s="41"/>
      <c r="L393" s="32"/>
      <c r="N393" s="32"/>
      <c r="O393" s="41"/>
      <c r="P393" s="315"/>
      <c r="Q393" s="315"/>
      <c r="R393" s="315"/>
      <c r="S393" s="315"/>
      <c r="T393" s="315"/>
    </row>
    <row r="394" spans="1:20" s="30" customFormat="1" x14ac:dyDescent="0.25">
      <c r="A394" s="36"/>
      <c r="B394" s="31"/>
      <c r="C394" s="31"/>
      <c r="D394" s="32"/>
      <c r="H394" s="32"/>
      <c r="J394" s="32"/>
      <c r="K394" s="41"/>
      <c r="L394" s="32"/>
      <c r="N394" s="32"/>
      <c r="O394" s="41"/>
      <c r="P394" s="315"/>
      <c r="Q394" s="315"/>
      <c r="R394" s="315"/>
      <c r="S394" s="315"/>
      <c r="T394" s="315"/>
    </row>
    <row r="395" spans="1:20" s="30" customFormat="1" x14ac:dyDescent="0.25">
      <c r="A395" s="36"/>
      <c r="B395" s="31"/>
      <c r="C395" s="31"/>
      <c r="D395" s="32"/>
      <c r="H395" s="32"/>
      <c r="J395" s="32"/>
      <c r="K395" s="41"/>
      <c r="L395" s="32"/>
      <c r="N395" s="32"/>
      <c r="O395" s="41"/>
      <c r="P395" s="315"/>
      <c r="Q395" s="315"/>
      <c r="R395" s="315"/>
      <c r="S395" s="315"/>
      <c r="T395" s="315"/>
    </row>
    <row r="396" spans="1:20" s="30" customFormat="1" x14ac:dyDescent="0.25">
      <c r="A396" s="36"/>
      <c r="B396" s="31"/>
      <c r="C396" s="31"/>
      <c r="D396" s="32"/>
      <c r="H396" s="32"/>
      <c r="J396" s="32"/>
      <c r="K396" s="41"/>
      <c r="L396" s="32"/>
      <c r="N396" s="32"/>
      <c r="O396" s="41"/>
      <c r="P396" s="315"/>
      <c r="Q396" s="315"/>
      <c r="R396" s="315"/>
      <c r="S396" s="315"/>
      <c r="T396" s="315"/>
    </row>
    <row r="397" spans="1:20" s="30" customFormat="1" x14ac:dyDescent="0.25">
      <c r="A397" s="36"/>
      <c r="B397" s="31"/>
      <c r="C397" s="31"/>
      <c r="D397" s="32"/>
      <c r="H397" s="32"/>
      <c r="J397" s="32"/>
      <c r="K397" s="41"/>
      <c r="L397" s="32"/>
      <c r="N397" s="32"/>
      <c r="O397" s="41"/>
      <c r="P397" s="315"/>
      <c r="Q397" s="315"/>
      <c r="R397" s="315"/>
      <c r="S397" s="315"/>
      <c r="T397" s="315"/>
    </row>
    <row r="398" spans="1:20" s="30" customFormat="1" x14ac:dyDescent="0.25">
      <c r="A398" s="36"/>
      <c r="B398" s="31"/>
      <c r="C398" s="31"/>
      <c r="D398" s="32"/>
      <c r="H398" s="32"/>
      <c r="J398" s="32"/>
      <c r="K398" s="41"/>
      <c r="L398" s="32"/>
      <c r="N398" s="32"/>
      <c r="O398" s="41"/>
      <c r="P398" s="315"/>
      <c r="Q398" s="315"/>
      <c r="R398" s="315"/>
      <c r="S398" s="315"/>
      <c r="T398" s="315"/>
    </row>
    <row r="399" spans="1:20" s="30" customFormat="1" x14ac:dyDescent="0.25">
      <c r="A399" s="36"/>
      <c r="B399" s="31"/>
      <c r="C399" s="31"/>
      <c r="D399" s="32"/>
      <c r="H399" s="32"/>
      <c r="J399" s="32"/>
      <c r="K399" s="41"/>
      <c r="L399" s="32"/>
      <c r="N399" s="32"/>
      <c r="O399" s="41"/>
      <c r="P399" s="315"/>
      <c r="Q399" s="315"/>
      <c r="R399" s="315"/>
      <c r="S399" s="315"/>
      <c r="T399" s="315"/>
    </row>
    <row r="400" spans="1:20" s="30" customFormat="1" x14ac:dyDescent="0.25">
      <c r="A400" s="36"/>
      <c r="B400" s="31"/>
      <c r="C400" s="31"/>
      <c r="D400" s="32"/>
      <c r="H400" s="32"/>
      <c r="J400" s="32"/>
      <c r="K400" s="41"/>
      <c r="L400" s="32"/>
      <c r="N400" s="32"/>
      <c r="O400" s="41"/>
      <c r="P400" s="315"/>
      <c r="Q400" s="315"/>
      <c r="R400" s="315"/>
      <c r="S400" s="315"/>
      <c r="T400" s="315"/>
    </row>
    <row r="401" spans="1:20" s="30" customFormat="1" x14ac:dyDescent="0.25">
      <c r="A401" s="36"/>
      <c r="B401" s="31"/>
      <c r="C401" s="31"/>
      <c r="D401" s="32"/>
      <c r="H401" s="32"/>
      <c r="J401" s="32"/>
      <c r="K401" s="41"/>
      <c r="L401" s="32"/>
      <c r="N401" s="32"/>
      <c r="O401" s="41"/>
      <c r="P401" s="315"/>
      <c r="Q401" s="315"/>
      <c r="R401" s="315"/>
      <c r="S401" s="315"/>
      <c r="T401" s="315"/>
    </row>
    <row r="402" spans="1:20" s="30" customFormat="1" x14ac:dyDescent="0.25">
      <c r="A402" s="36"/>
      <c r="B402" s="31"/>
      <c r="C402" s="31"/>
      <c r="D402" s="32"/>
      <c r="H402" s="32"/>
      <c r="J402" s="32"/>
      <c r="K402" s="41"/>
      <c r="L402" s="32"/>
      <c r="N402" s="32"/>
      <c r="O402" s="41"/>
      <c r="P402" s="315"/>
      <c r="Q402" s="315"/>
      <c r="R402" s="315"/>
      <c r="S402" s="315"/>
      <c r="T402" s="315"/>
    </row>
    <row r="403" spans="1:20" s="30" customFormat="1" x14ac:dyDescent="0.25">
      <c r="A403" s="36"/>
      <c r="B403" s="31"/>
      <c r="C403" s="31"/>
      <c r="D403" s="32"/>
      <c r="H403" s="32"/>
      <c r="J403" s="32"/>
      <c r="K403" s="41"/>
      <c r="L403" s="32"/>
      <c r="N403" s="32"/>
      <c r="O403" s="41"/>
      <c r="P403" s="315"/>
      <c r="Q403" s="315"/>
      <c r="R403" s="315"/>
      <c r="S403" s="315"/>
      <c r="T403" s="315"/>
    </row>
    <row r="404" spans="1:20" s="30" customFormat="1" x14ac:dyDescent="0.25">
      <c r="A404" s="36"/>
      <c r="B404" s="31"/>
      <c r="C404" s="31"/>
      <c r="D404" s="32"/>
      <c r="H404" s="32"/>
      <c r="J404" s="32"/>
      <c r="K404" s="41"/>
      <c r="L404" s="32"/>
      <c r="N404" s="32"/>
      <c r="O404" s="41"/>
      <c r="P404" s="315"/>
      <c r="Q404" s="315"/>
      <c r="R404" s="315"/>
      <c r="S404" s="315"/>
      <c r="T404" s="315"/>
    </row>
    <row r="405" spans="1:20" s="30" customFormat="1" x14ac:dyDescent="0.25">
      <c r="A405" s="36"/>
      <c r="B405" s="31"/>
      <c r="C405" s="31"/>
      <c r="D405" s="32"/>
      <c r="H405" s="32"/>
      <c r="J405" s="32"/>
      <c r="K405" s="41"/>
      <c r="L405" s="32"/>
      <c r="N405" s="32"/>
      <c r="O405" s="41"/>
      <c r="P405" s="315"/>
      <c r="Q405" s="315"/>
      <c r="R405" s="315"/>
      <c r="S405" s="315"/>
      <c r="T405" s="315"/>
    </row>
    <row r="406" spans="1:20" s="30" customFormat="1" x14ac:dyDescent="0.25">
      <c r="A406" s="36"/>
      <c r="B406" s="31"/>
      <c r="C406" s="31"/>
      <c r="D406" s="32"/>
      <c r="H406" s="32"/>
      <c r="J406" s="32"/>
      <c r="K406" s="41"/>
      <c r="L406" s="32"/>
      <c r="N406" s="32"/>
      <c r="O406" s="41"/>
      <c r="P406" s="315"/>
      <c r="Q406" s="315"/>
      <c r="R406" s="315"/>
      <c r="S406" s="315"/>
      <c r="T406" s="315"/>
    </row>
    <row r="407" spans="1:20" s="30" customFormat="1" x14ac:dyDescent="0.25">
      <c r="A407" s="36"/>
      <c r="B407" s="31"/>
      <c r="C407" s="31"/>
      <c r="D407" s="32"/>
      <c r="H407" s="32"/>
      <c r="J407" s="32"/>
      <c r="K407" s="41"/>
      <c r="L407" s="32"/>
      <c r="N407" s="32"/>
      <c r="O407" s="41"/>
      <c r="P407" s="315"/>
      <c r="Q407" s="315"/>
      <c r="R407" s="315"/>
      <c r="S407" s="315"/>
      <c r="T407" s="315"/>
    </row>
    <row r="408" spans="1:20" s="30" customFormat="1" x14ac:dyDescent="0.25">
      <c r="A408" s="36"/>
      <c r="B408" s="31"/>
      <c r="C408" s="31"/>
      <c r="D408" s="32"/>
      <c r="H408" s="32"/>
      <c r="J408" s="32"/>
      <c r="K408" s="41"/>
      <c r="L408" s="32"/>
      <c r="N408" s="32"/>
      <c r="O408" s="41"/>
      <c r="P408" s="315"/>
      <c r="Q408" s="315"/>
      <c r="R408" s="315"/>
      <c r="S408" s="315"/>
      <c r="T408" s="315"/>
    </row>
    <row r="409" spans="1:20" s="30" customFormat="1" x14ac:dyDescent="0.25">
      <c r="A409" s="36"/>
      <c r="B409" s="31"/>
      <c r="C409" s="31"/>
      <c r="D409" s="32"/>
      <c r="H409" s="32"/>
      <c r="J409" s="32"/>
      <c r="K409" s="41"/>
      <c r="L409" s="32"/>
      <c r="N409" s="32"/>
      <c r="O409" s="41"/>
      <c r="P409" s="315"/>
      <c r="Q409" s="315"/>
      <c r="R409" s="315"/>
      <c r="S409" s="315"/>
      <c r="T409" s="315"/>
    </row>
    <row r="410" spans="1:20" s="30" customFormat="1" x14ac:dyDescent="0.25">
      <c r="A410" s="36"/>
      <c r="B410" s="31"/>
      <c r="C410" s="31"/>
      <c r="D410" s="32"/>
      <c r="H410" s="32"/>
      <c r="J410" s="32"/>
      <c r="K410" s="41"/>
      <c r="L410" s="32"/>
      <c r="N410" s="32"/>
      <c r="O410" s="41"/>
      <c r="P410" s="315"/>
      <c r="Q410" s="315"/>
      <c r="R410" s="315"/>
      <c r="S410" s="315"/>
      <c r="T410" s="315"/>
    </row>
    <row r="411" spans="1:20" s="30" customFormat="1" x14ac:dyDescent="0.25">
      <c r="A411" s="36"/>
      <c r="B411" s="31"/>
      <c r="C411" s="31"/>
      <c r="D411" s="32"/>
      <c r="H411" s="32"/>
      <c r="J411" s="32"/>
      <c r="K411" s="41"/>
      <c r="L411" s="32"/>
      <c r="N411" s="32"/>
      <c r="O411" s="41"/>
      <c r="P411" s="315"/>
      <c r="Q411" s="315"/>
      <c r="R411" s="315"/>
      <c r="S411" s="315"/>
      <c r="T411" s="315"/>
    </row>
    <row r="412" spans="1:20" s="30" customFormat="1" x14ac:dyDescent="0.25">
      <c r="A412" s="36"/>
      <c r="B412" s="31"/>
      <c r="C412" s="31"/>
      <c r="D412" s="32"/>
      <c r="H412" s="32"/>
      <c r="J412" s="32"/>
      <c r="K412" s="41"/>
      <c r="L412" s="32"/>
      <c r="N412" s="32"/>
      <c r="O412" s="41"/>
      <c r="P412" s="315"/>
      <c r="Q412" s="315"/>
      <c r="R412" s="315"/>
      <c r="S412" s="315"/>
      <c r="T412" s="315"/>
    </row>
    <row r="413" spans="1:20" s="30" customFormat="1" x14ac:dyDescent="0.25">
      <c r="A413" s="36"/>
      <c r="B413" s="31"/>
      <c r="C413" s="31"/>
      <c r="D413" s="32"/>
      <c r="H413" s="32"/>
      <c r="J413" s="32"/>
      <c r="K413" s="41"/>
      <c r="L413" s="32"/>
      <c r="N413" s="32"/>
      <c r="O413" s="41"/>
      <c r="P413" s="315"/>
      <c r="Q413" s="315"/>
      <c r="R413" s="315"/>
      <c r="S413" s="315"/>
      <c r="T413" s="315"/>
    </row>
    <row r="414" spans="1:20" s="30" customFormat="1" x14ac:dyDescent="0.25">
      <c r="A414" s="36"/>
      <c r="B414" s="31"/>
      <c r="C414" s="31"/>
      <c r="D414" s="32"/>
      <c r="H414" s="32"/>
      <c r="J414" s="32"/>
      <c r="K414" s="41"/>
      <c r="L414" s="32"/>
      <c r="N414" s="32"/>
      <c r="O414" s="41"/>
      <c r="P414" s="315"/>
      <c r="Q414" s="315"/>
      <c r="R414" s="315"/>
      <c r="S414" s="315"/>
      <c r="T414" s="315"/>
    </row>
    <row r="415" spans="1:20" s="30" customFormat="1" x14ac:dyDescent="0.25">
      <c r="A415" s="36"/>
      <c r="B415" s="31"/>
      <c r="C415" s="31"/>
      <c r="D415" s="32"/>
      <c r="H415" s="32"/>
      <c r="J415" s="32"/>
      <c r="K415" s="41"/>
      <c r="L415" s="32"/>
      <c r="N415" s="32"/>
      <c r="O415" s="41"/>
      <c r="P415" s="315"/>
      <c r="Q415" s="315"/>
      <c r="R415" s="315"/>
      <c r="S415" s="315"/>
      <c r="T415" s="315"/>
    </row>
    <row r="416" spans="1:20" s="30" customFormat="1" x14ac:dyDescent="0.25">
      <c r="A416" s="36"/>
      <c r="B416" s="31"/>
      <c r="C416" s="31"/>
      <c r="D416" s="32"/>
      <c r="H416" s="32"/>
      <c r="J416" s="32"/>
      <c r="K416" s="41"/>
      <c r="L416" s="32"/>
      <c r="N416" s="32"/>
      <c r="O416" s="41"/>
      <c r="P416" s="315"/>
      <c r="Q416" s="315"/>
      <c r="R416" s="315"/>
      <c r="S416" s="315"/>
      <c r="T416" s="315"/>
    </row>
    <row r="417" spans="1:20" s="30" customFormat="1" x14ac:dyDescent="0.25">
      <c r="A417" s="36"/>
      <c r="B417" s="31"/>
      <c r="C417" s="31"/>
      <c r="D417" s="32"/>
      <c r="H417" s="32"/>
      <c r="J417" s="32"/>
      <c r="K417" s="41"/>
      <c r="L417" s="32"/>
      <c r="N417" s="32"/>
      <c r="O417" s="41"/>
      <c r="P417" s="315"/>
      <c r="Q417" s="315"/>
      <c r="R417" s="315"/>
      <c r="S417" s="315"/>
      <c r="T417" s="315"/>
    </row>
    <row r="418" spans="1:20" s="30" customFormat="1" x14ac:dyDescent="0.25">
      <c r="A418" s="36"/>
      <c r="B418" s="31"/>
      <c r="C418" s="31"/>
      <c r="D418" s="32"/>
      <c r="H418" s="32"/>
      <c r="J418" s="32"/>
      <c r="K418" s="41"/>
      <c r="L418" s="32"/>
      <c r="N418" s="32"/>
      <c r="O418" s="41"/>
      <c r="P418" s="315"/>
      <c r="Q418" s="315"/>
      <c r="R418" s="315"/>
      <c r="S418" s="315"/>
      <c r="T418" s="315"/>
    </row>
    <row r="419" spans="1:20" s="30" customFormat="1" x14ac:dyDescent="0.25">
      <c r="A419" s="36"/>
      <c r="B419" s="31"/>
      <c r="C419" s="31"/>
      <c r="D419" s="32"/>
      <c r="H419" s="32"/>
      <c r="J419" s="32"/>
      <c r="K419" s="41"/>
      <c r="L419" s="32"/>
      <c r="N419" s="32"/>
      <c r="O419" s="41"/>
      <c r="P419" s="315"/>
      <c r="Q419" s="315"/>
      <c r="R419" s="315"/>
      <c r="S419" s="315"/>
      <c r="T419" s="315"/>
    </row>
    <row r="420" spans="1:20" s="30" customFormat="1" x14ac:dyDescent="0.25">
      <c r="A420" s="36"/>
      <c r="B420" s="31"/>
      <c r="C420" s="31"/>
      <c r="D420" s="32"/>
      <c r="H420" s="32"/>
      <c r="J420" s="32"/>
      <c r="K420" s="41"/>
      <c r="L420" s="32"/>
      <c r="N420" s="32"/>
      <c r="O420" s="41"/>
      <c r="P420" s="315"/>
      <c r="Q420" s="315"/>
      <c r="R420" s="315"/>
      <c r="S420" s="315"/>
      <c r="T420" s="315"/>
    </row>
    <row r="421" spans="1:20" s="30" customFormat="1" x14ac:dyDescent="0.25">
      <c r="A421" s="36"/>
      <c r="B421" s="31"/>
      <c r="C421" s="31"/>
      <c r="D421" s="32"/>
      <c r="H421" s="32"/>
      <c r="J421" s="32"/>
      <c r="K421" s="41"/>
      <c r="L421" s="32"/>
      <c r="N421" s="32"/>
      <c r="O421" s="41"/>
      <c r="P421" s="315"/>
      <c r="Q421" s="315"/>
      <c r="R421" s="315"/>
      <c r="S421" s="315"/>
      <c r="T421" s="315"/>
    </row>
    <row r="422" spans="1:20" s="30" customFormat="1" x14ac:dyDescent="0.25">
      <c r="A422" s="36"/>
      <c r="B422" s="31"/>
      <c r="C422" s="31"/>
      <c r="D422" s="32"/>
      <c r="H422" s="32"/>
      <c r="J422" s="32"/>
      <c r="K422" s="41"/>
      <c r="L422" s="32"/>
      <c r="N422" s="32"/>
      <c r="O422" s="41"/>
      <c r="P422" s="315"/>
      <c r="Q422" s="315"/>
      <c r="R422" s="315"/>
      <c r="S422" s="315"/>
      <c r="T422" s="315"/>
    </row>
    <row r="423" spans="1:20" s="30" customFormat="1" x14ac:dyDescent="0.25">
      <c r="A423" s="36"/>
      <c r="B423" s="31"/>
      <c r="C423" s="31"/>
      <c r="D423" s="32"/>
      <c r="H423" s="32"/>
      <c r="J423" s="32"/>
      <c r="K423" s="41"/>
      <c r="L423" s="32"/>
      <c r="N423" s="32"/>
      <c r="O423" s="41"/>
      <c r="P423" s="315"/>
      <c r="Q423" s="315"/>
      <c r="R423" s="315"/>
      <c r="S423" s="315"/>
      <c r="T423" s="315"/>
    </row>
    <row r="424" spans="1:20" s="30" customFormat="1" x14ac:dyDescent="0.25">
      <c r="A424" s="36"/>
      <c r="B424" s="31"/>
      <c r="C424" s="31"/>
      <c r="D424" s="32"/>
      <c r="H424" s="32"/>
      <c r="J424" s="32"/>
      <c r="K424" s="41"/>
      <c r="L424" s="32"/>
      <c r="N424" s="32"/>
      <c r="O424" s="41"/>
      <c r="P424" s="315"/>
      <c r="Q424" s="315"/>
      <c r="R424" s="315"/>
      <c r="S424" s="315"/>
      <c r="T424" s="315"/>
    </row>
    <row r="425" spans="1:20" s="30" customFormat="1" x14ac:dyDescent="0.25">
      <c r="A425" s="36"/>
      <c r="B425" s="31"/>
      <c r="C425" s="31"/>
      <c r="D425" s="32"/>
      <c r="H425" s="32"/>
      <c r="J425" s="32"/>
      <c r="K425" s="41"/>
      <c r="L425" s="32"/>
      <c r="N425" s="32"/>
      <c r="O425" s="41"/>
      <c r="P425" s="315"/>
      <c r="Q425" s="315"/>
      <c r="R425" s="315"/>
      <c r="S425" s="315"/>
      <c r="T425" s="315"/>
    </row>
    <row r="426" spans="1:20" s="30" customFormat="1" x14ac:dyDescent="0.25">
      <c r="A426" s="36"/>
      <c r="B426" s="31"/>
      <c r="C426" s="31"/>
      <c r="D426" s="32"/>
      <c r="H426" s="32"/>
      <c r="J426" s="32"/>
      <c r="K426" s="41"/>
      <c r="L426" s="32"/>
      <c r="N426" s="32"/>
      <c r="O426" s="41"/>
      <c r="P426" s="315"/>
      <c r="Q426" s="315"/>
      <c r="R426" s="315"/>
      <c r="S426" s="315"/>
      <c r="T426" s="315"/>
    </row>
    <row r="427" spans="1:20" s="30" customFormat="1" x14ac:dyDescent="0.25">
      <c r="A427" s="36"/>
      <c r="B427" s="31"/>
      <c r="C427" s="31"/>
      <c r="D427" s="32"/>
      <c r="H427" s="32"/>
      <c r="J427" s="32"/>
      <c r="K427" s="41"/>
      <c r="L427" s="32"/>
      <c r="N427" s="32"/>
      <c r="O427" s="41"/>
      <c r="P427" s="315"/>
      <c r="Q427" s="315"/>
      <c r="R427" s="315"/>
      <c r="S427" s="315"/>
      <c r="T427" s="315"/>
    </row>
    <row r="428" spans="1:20" s="30" customFormat="1" x14ac:dyDescent="0.25">
      <c r="A428" s="36"/>
      <c r="B428" s="31"/>
      <c r="C428" s="31"/>
      <c r="D428" s="32"/>
      <c r="H428" s="32"/>
      <c r="J428" s="32"/>
      <c r="K428" s="41"/>
      <c r="L428" s="32"/>
      <c r="N428" s="32"/>
      <c r="O428" s="41"/>
      <c r="P428" s="315"/>
      <c r="Q428" s="315"/>
      <c r="R428" s="315"/>
      <c r="S428" s="315"/>
      <c r="T428" s="315"/>
    </row>
    <row r="429" spans="1:20" s="30" customFormat="1" x14ac:dyDescent="0.25">
      <c r="A429" s="36"/>
      <c r="B429" s="31"/>
      <c r="C429" s="31"/>
      <c r="D429" s="32"/>
      <c r="H429" s="32"/>
      <c r="J429" s="32"/>
      <c r="K429" s="41"/>
      <c r="L429" s="32"/>
      <c r="N429" s="32"/>
      <c r="O429" s="41"/>
      <c r="P429" s="315"/>
      <c r="Q429" s="315"/>
      <c r="R429" s="315"/>
      <c r="S429" s="315"/>
      <c r="T429" s="315"/>
    </row>
    <row r="430" spans="1:20" s="30" customFormat="1" x14ac:dyDescent="0.25">
      <c r="A430" s="36"/>
      <c r="B430" s="31"/>
      <c r="C430" s="31"/>
      <c r="D430" s="32"/>
      <c r="H430" s="32"/>
      <c r="J430" s="32"/>
      <c r="K430" s="41"/>
      <c r="L430" s="32"/>
      <c r="N430" s="32"/>
      <c r="O430" s="41"/>
      <c r="P430" s="315"/>
      <c r="Q430" s="315"/>
      <c r="R430" s="315"/>
      <c r="S430" s="315"/>
      <c r="T430" s="315"/>
    </row>
    <row r="431" spans="1:20" s="30" customFormat="1" x14ac:dyDescent="0.25">
      <c r="A431" s="36"/>
      <c r="B431" s="31"/>
      <c r="C431" s="31"/>
      <c r="D431" s="32"/>
      <c r="H431" s="32"/>
      <c r="J431" s="32"/>
      <c r="K431" s="41"/>
      <c r="L431" s="32"/>
      <c r="N431" s="32"/>
      <c r="O431" s="41"/>
      <c r="P431" s="315"/>
      <c r="Q431" s="315"/>
      <c r="R431" s="315"/>
      <c r="S431" s="315"/>
      <c r="T431" s="315"/>
    </row>
    <row r="432" spans="1:20" s="30" customFormat="1" x14ac:dyDescent="0.25">
      <c r="A432" s="36"/>
      <c r="B432" s="31"/>
      <c r="C432" s="31"/>
      <c r="D432" s="32"/>
      <c r="H432" s="32"/>
      <c r="J432" s="32"/>
      <c r="K432" s="41"/>
      <c r="L432" s="32"/>
      <c r="N432" s="32"/>
      <c r="O432" s="41"/>
      <c r="P432" s="315"/>
      <c r="Q432" s="315"/>
      <c r="R432" s="315"/>
      <c r="S432" s="315"/>
      <c r="T432" s="315"/>
    </row>
    <row r="433" spans="1:20" s="30" customFormat="1" x14ac:dyDescent="0.25">
      <c r="A433" s="36"/>
      <c r="B433" s="31"/>
      <c r="C433" s="31"/>
      <c r="D433" s="32"/>
      <c r="H433" s="32"/>
      <c r="J433" s="32"/>
      <c r="K433" s="41"/>
      <c r="L433" s="32"/>
      <c r="N433" s="32"/>
      <c r="O433" s="41"/>
      <c r="P433" s="315"/>
      <c r="Q433" s="315"/>
      <c r="R433" s="315"/>
      <c r="S433" s="315"/>
      <c r="T433" s="315"/>
    </row>
    <row r="434" spans="1:20" s="30" customFormat="1" x14ac:dyDescent="0.25">
      <c r="A434" s="36"/>
      <c r="B434" s="31"/>
      <c r="C434" s="31"/>
      <c r="D434" s="32"/>
      <c r="H434" s="32"/>
      <c r="J434" s="32"/>
      <c r="K434" s="41"/>
      <c r="L434" s="32"/>
      <c r="N434" s="32"/>
      <c r="O434" s="41"/>
      <c r="P434" s="315"/>
      <c r="Q434" s="315"/>
      <c r="R434" s="315"/>
      <c r="S434" s="315"/>
      <c r="T434" s="315"/>
    </row>
    <row r="435" spans="1:20" s="30" customFormat="1" x14ac:dyDescent="0.25">
      <c r="A435" s="36"/>
      <c r="B435" s="31"/>
      <c r="C435" s="31"/>
      <c r="D435" s="32"/>
      <c r="H435" s="32"/>
      <c r="J435" s="32"/>
      <c r="K435" s="41"/>
      <c r="L435" s="32"/>
      <c r="N435" s="32"/>
      <c r="O435" s="41"/>
      <c r="P435" s="315"/>
      <c r="Q435" s="315"/>
      <c r="R435" s="315"/>
      <c r="S435" s="315"/>
      <c r="T435" s="315"/>
    </row>
    <row r="436" spans="1:20" s="30" customFormat="1" x14ac:dyDescent="0.25">
      <c r="A436" s="36"/>
      <c r="B436" s="31"/>
      <c r="C436" s="31"/>
      <c r="D436" s="32"/>
      <c r="H436" s="32"/>
      <c r="J436" s="32"/>
      <c r="K436" s="41"/>
      <c r="L436" s="32"/>
      <c r="N436" s="32"/>
      <c r="O436" s="41"/>
      <c r="P436" s="315"/>
      <c r="Q436" s="315"/>
      <c r="R436" s="315"/>
      <c r="S436" s="315"/>
      <c r="T436" s="315"/>
    </row>
    <row r="437" spans="1:20" s="30" customFormat="1" x14ac:dyDescent="0.25">
      <c r="A437" s="36"/>
      <c r="B437" s="31"/>
      <c r="C437" s="31"/>
      <c r="D437" s="32"/>
      <c r="H437" s="32"/>
      <c r="J437" s="32"/>
      <c r="K437" s="41"/>
      <c r="L437" s="32"/>
      <c r="N437" s="32"/>
      <c r="O437" s="41"/>
      <c r="P437" s="315"/>
      <c r="Q437" s="315"/>
      <c r="R437" s="315"/>
      <c r="S437" s="315"/>
      <c r="T437" s="315"/>
    </row>
    <row r="438" spans="1:20" s="30" customFormat="1" x14ac:dyDescent="0.25">
      <c r="A438" s="36"/>
      <c r="B438" s="31"/>
      <c r="C438" s="31"/>
      <c r="D438" s="32"/>
      <c r="H438" s="32"/>
      <c r="J438" s="32"/>
      <c r="K438" s="41"/>
      <c r="L438" s="32"/>
      <c r="N438" s="32"/>
      <c r="O438" s="41"/>
      <c r="P438" s="315"/>
      <c r="Q438" s="315"/>
      <c r="R438" s="315"/>
      <c r="S438" s="315"/>
      <c r="T438" s="315"/>
    </row>
    <row r="439" spans="1:20" s="30" customFormat="1" x14ac:dyDescent="0.25">
      <c r="A439" s="36"/>
      <c r="B439" s="31"/>
      <c r="C439" s="31"/>
      <c r="D439" s="32"/>
      <c r="H439" s="32"/>
      <c r="J439" s="32"/>
      <c r="K439" s="41"/>
      <c r="L439" s="32"/>
      <c r="N439" s="32"/>
      <c r="O439" s="41"/>
      <c r="P439" s="315"/>
      <c r="Q439" s="315"/>
      <c r="R439" s="315"/>
      <c r="S439" s="315"/>
      <c r="T439" s="315"/>
    </row>
    <row r="440" spans="1:20" s="30" customFormat="1" x14ac:dyDescent="0.25">
      <c r="A440" s="36"/>
      <c r="B440" s="31"/>
      <c r="C440" s="31"/>
      <c r="D440" s="32"/>
      <c r="H440" s="32"/>
      <c r="J440" s="32"/>
      <c r="K440" s="41"/>
      <c r="L440" s="32"/>
      <c r="N440" s="32"/>
      <c r="O440" s="41"/>
      <c r="P440" s="315"/>
      <c r="Q440" s="315"/>
      <c r="R440" s="315"/>
      <c r="S440" s="315"/>
      <c r="T440" s="315"/>
    </row>
    <row r="441" spans="1:20" s="30" customFormat="1" x14ac:dyDescent="0.25">
      <c r="A441" s="36"/>
      <c r="B441" s="31"/>
      <c r="C441" s="31"/>
      <c r="D441" s="32"/>
      <c r="H441" s="32"/>
      <c r="J441" s="32"/>
      <c r="K441" s="41"/>
      <c r="L441" s="32"/>
      <c r="N441" s="32"/>
      <c r="O441" s="41"/>
      <c r="P441" s="315"/>
      <c r="Q441" s="315"/>
      <c r="R441" s="315"/>
      <c r="S441" s="315"/>
      <c r="T441" s="315"/>
    </row>
    <row r="442" spans="1:20" s="30" customFormat="1" x14ac:dyDescent="0.25">
      <c r="A442" s="36"/>
      <c r="B442" s="31"/>
      <c r="C442" s="31"/>
      <c r="D442" s="32"/>
      <c r="H442" s="32"/>
      <c r="J442" s="32"/>
      <c r="K442" s="41"/>
      <c r="L442" s="32"/>
      <c r="N442" s="32"/>
      <c r="O442" s="41"/>
      <c r="P442" s="315"/>
      <c r="Q442" s="315"/>
      <c r="R442" s="315"/>
      <c r="S442" s="315"/>
      <c r="T442" s="315"/>
    </row>
    <row r="443" spans="1:20" s="30" customFormat="1" x14ac:dyDescent="0.25">
      <c r="A443" s="36"/>
      <c r="B443" s="31"/>
      <c r="C443" s="31"/>
      <c r="D443" s="32"/>
      <c r="H443" s="32"/>
      <c r="J443" s="32"/>
      <c r="K443" s="41"/>
      <c r="L443" s="32"/>
      <c r="N443" s="32"/>
      <c r="O443" s="41"/>
      <c r="P443" s="315"/>
      <c r="Q443" s="315"/>
      <c r="R443" s="315"/>
      <c r="S443" s="315"/>
      <c r="T443" s="315"/>
    </row>
    <row r="444" spans="1:20" s="30" customFormat="1" x14ac:dyDescent="0.25">
      <c r="A444" s="36"/>
      <c r="B444" s="31"/>
      <c r="C444" s="31"/>
      <c r="D444" s="32"/>
      <c r="H444" s="32"/>
      <c r="J444" s="32"/>
      <c r="K444" s="41"/>
      <c r="L444" s="32"/>
      <c r="N444" s="32"/>
      <c r="O444" s="41"/>
      <c r="P444" s="315"/>
      <c r="Q444" s="315"/>
      <c r="R444" s="315"/>
      <c r="S444" s="315"/>
      <c r="T444" s="315"/>
    </row>
    <row r="445" spans="1:20" s="30" customFormat="1" x14ac:dyDescent="0.25">
      <c r="A445" s="36"/>
      <c r="B445" s="31"/>
      <c r="C445" s="31"/>
      <c r="D445" s="32"/>
      <c r="H445" s="32"/>
      <c r="J445" s="32"/>
      <c r="K445" s="41"/>
      <c r="L445" s="32"/>
      <c r="N445" s="32"/>
      <c r="O445" s="41"/>
      <c r="P445" s="315"/>
      <c r="Q445" s="315"/>
      <c r="R445" s="315"/>
      <c r="S445" s="315"/>
      <c r="T445" s="315"/>
    </row>
    <row r="446" spans="1:20" s="30" customFormat="1" x14ac:dyDescent="0.25">
      <c r="A446" s="36"/>
      <c r="B446" s="31"/>
      <c r="C446" s="31"/>
      <c r="D446" s="32"/>
      <c r="H446" s="32"/>
      <c r="J446" s="32"/>
      <c r="K446" s="41"/>
      <c r="L446" s="32"/>
      <c r="N446" s="32"/>
      <c r="O446" s="41"/>
      <c r="P446" s="315"/>
      <c r="Q446" s="315"/>
      <c r="R446" s="315"/>
      <c r="S446" s="315"/>
      <c r="T446" s="315"/>
    </row>
    <row r="447" spans="1:20" s="30" customFormat="1" x14ac:dyDescent="0.25">
      <c r="A447" s="36"/>
      <c r="B447" s="31"/>
      <c r="C447" s="31"/>
      <c r="D447" s="32"/>
      <c r="H447" s="32"/>
      <c r="J447" s="32"/>
      <c r="K447" s="41"/>
      <c r="L447" s="32"/>
      <c r="N447" s="32"/>
      <c r="O447" s="41"/>
      <c r="P447" s="315"/>
      <c r="Q447" s="315"/>
      <c r="R447" s="315"/>
      <c r="S447" s="315"/>
      <c r="T447" s="315"/>
    </row>
    <row r="448" spans="1:20" s="30" customFormat="1" x14ac:dyDescent="0.25">
      <c r="A448" s="36"/>
      <c r="B448" s="31"/>
      <c r="C448" s="31"/>
      <c r="D448" s="32"/>
      <c r="H448" s="32"/>
      <c r="J448" s="32"/>
      <c r="K448" s="41"/>
      <c r="L448" s="32"/>
      <c r="N448" s="32"/>
      <c r="O448" s="41"/>
      <c r="P448" s="315"/>
      <c r="Q448" s="315"/>
      <c r="R448" s="315"/>
      <c r="S448" s="315"/>
      <c r="T448" s="315"/>
    </row>
    <row r="449" spans="1:20" s="30" customFormat="1" x14ac:dyDescent="0.25">
      <c r="A449" s="36"/>
      <c r="B449" s="31"/>
      <c r="C449" s="31"/>
      <c r="D449" s="32"/>
      <c r="H449" s="32"/>
      <c r="J449" s="32"/>
      <c r="K449" s="41"/>
      <c r="L449" s="32"/>
      <c r="N449" s="32"/>
      <c r="O449" s="41"/>
      <c r="P449" s="315"/>
      <c r="Q449" s="315"/>
      <c r="R449" s="315"/>
      <c r="S449" s="315"/>
      <c r="T449" s="315"/>
    </row>
    <row r="450" spans="1:20" s="30" customFormat="1" x14ac:dyDescent="0.25">
      <c r="A450" s="36"/>
      <c r="B450" s="31"/>
      <c r="C450" s="31"/>
      <c r="D450" s="32"/>
      <c r="H450" s="32"/>
      <c r="J450" s="32"/>
      <c r="K450" s="41"/>
      <c r="L450" s="32"/>
      <c r="N450" s="32"/>
      <c r="O450" s="41"/>
      <c r="P450" s="315"/>
      <c r="Q450" s="315"/>
      <c r="R450" s="315"/>
      <c r="S450" s="315"/>
      <c r="T450" s="315"/>
    </row>
    <row r="451" spans="1:20" s="30" customFormat="1" x14ac:dyDescent="0.25">
      <c r="A451" s="36"/>
      <c r="B451" s="31"/>
      <c r="C451" s="31"/>
      <c r="D451" s="32"/>
      <c r="H451" s="32"/>
      <c r="J451" s="32"/>
      <c r="K451" s="41"/>
      <c r="L451" s="32"/>
      <c r="N451" s="32"/>
      <c r="O451" s="41"/>
      <c r="P451" s="315"/>
      <c r="Q451" s="315"/>
      <c r="R451" s="315"/>
      <c r="S451" s="315"/>
      <c r="T451" s="315"/>
    </row>
    <row r="452" spans="1:20" s="30" customFormat="1" x14ac:dyDescent="0.25">
      <c r="A452" s="36"/>
      <c r="B452" s="31"/>
      <c r="C452" s="31"/>
      <c r="D452" s="32"/>
      <c r="H452" s="32"/>
      <c r="J452" s="32"/>
      <c r="K452" s="41"/>
      <c r="L452" s="32"/>
      <c r="N452" s="32"/>
      <c r="O452" s="41"/>
      <c r="P452" s="315"/>
      <c r="Q452" s="315"/>
      <c r="R452" s="315"/>
      <c r="S452" s="315"/>
      <c r="T452" s="315"/>
    </row>
    <row r="453" spans="1:20" s="30" customFormat="1" x14ac:dyDescent="0.25">
      <c r="A453" s="36"/>
      <c r="B453" s="31"/>
      <c r="C453" s="31"/>
      <c r="D453" s="32"/>
      <c r="H453" s="32"/>
      <c r="J453" s="32"/>
      <c r="K453" s="41"/>
      <c r="L453" s="32"/>
      <c r="N453" s="32"/>
      <c r="O453" s="41"/>
      <c r="P453" s="315"/>
      <c r="Q453" s="315"/>
      <c r="R453" s="315"/>
      <c r="S453" s="315"/>
      <c r="T453" s="315"/>
    </row>
    <row r="454" spans="1:20" s="30" customFormat="1" x14ac:dyDescent="0.25">
      <c r="A454" s="36"/>
      <c r="B454" s="31"/>
      <c r="C454" s="31"/>
      <c r="D454" s="32"/>
      <c r="H454" s="32"/>
      <c r="J454" s="32"/>
      <c r="K454" s="41"/>
      <c r="L454" s="32"/>
      <c r="N454" s="32"/>
      <c r="O454" s="41"/>
      <c r="P454" s="315"/>
      <c r="Q454" s="315"/>
      <c r="R454" s="315"/>
      <c r="S454" s="315"/>
      <c r="T454" s="315"/>
    </row>
    <row r="455" spans="1:20" s="30" customFormat="1" x14ac:dyDescent="0.25">
      <c r="A455" s="36"/>
      <c r="B455" s="31"/>
      <c r="C455" s="31"/>
      <c r="D455" s="32"/>
      <c r="H455" s="32"/>
      <c r="J455" s="32"/>
      <c r="K455" s="41"/>
      <c r="L455" s="32"/>
      <c r="N455" s="32"/>
      <c r="O455" s="41"/>
      <c r="P455" s="315"/>
      <c r="Q455" s="315"/>
      <c r="R455" s="315"/>
      <c r="S455" s="315"/>
      <c r="T455" s="315"/>
    </row>
    <row r="456" spans="1:20" s="30" customFormat="1" x14ac:dyDescent="0.25">
      <c r="A456" s="36"/>
      <c r="B456" s="31"/>
      <c r="C456" s="31"/>
      <c r="D456" s="32"/>
      <c r="H456" s="32"/>
      <c r="J456" s="32"/>
      <c r="K456" s="41"/>
      <c r="L456" s="32"/>
      <c r="N456" s="32"/>
      <c r="O456" s="41"/>
      <c r="P456" s="315"/>
      <c r="Q456" s="315"/>
      <c r="R456" s="315"/>
      <c r="S456" s="315"/>
      <c r="T456" s="315"/>
    </row>
    <row r="457" spans="1:20" s="30" customFormat="1" x14ac:dyDescent="0.25">
      <c r="A457" s="36"/>
      <c r="B457" s="31"/>
      <c r="C457" s="31"/>
      <c r="D457" s="32"/>
      <c r="H457" s="32"/>
      <c r="J457" s="32"/>
      <c r="K457" s="41"/>
      <c r="L457" s="32"/>
      <c r="N457" s="32"/>
      <c r="O457" s="41"/>
      <c r="P457" s="315"/>
      <c r="Q457" s="315"/>
      <c r="R457" s="315"/>
      <c r="S457" s="315"/>
      <c r="T457" s="315"/>
    </row>
    <row r="458" spans="1:20" s="30" customFormat="1" x14ac:dyDescent="0.25">
      <c r="A458" s="36"/>
      <c r="B458" s="31"/>
      <c r="C458" s="31"/>
      <c r="D458" s="32"/>
      <c r="H458" s="32"/>
      <c r="J458" s="32"/>
      <c r="K458" s="41"/>
      <c r="L458" s="32"/>
      <c r="N458" s="32"/>
      <c r="O458" s="41"/>
      <c r="P458" s="315"/>
      <c r="Q458" s="315"/>
      <c r="R458" s="315"/>
      <c r="S458" s="315"/>
      <c r="T458" s="315"/>
    </row>
    <row r="459" spans="1:20" s="30" customFormat="1" x14ac:dyDescent="0.25">
      <c r="A459" s="36"/>
      <c r="B459" s="31"/>
      <c r="C459" s="31"/>
      <c r="D459" s="32"/>
      <c r="H459" s="32"/>
      <c r="J459" s="32"/>
      <c r="K459" s="41"/>
      <c r="L459" s="32"/>
      <c r="N459" s="32"/>
      <c r="O459" s="41"/>
      <c r="P459" s="315"/>
      <c r="Q459" s="315"/>
      <c r="R459" s="315"/>
      <c r="S459" s="315"/>
      <c r="T459" s="315"/>
    </row>
    <row r="460" spans="1:20" s="30" customFormat="1" x14ac:dyDescent="0.25">
      <c r="A460" s="36"/>
      <c r="B460" s="31"/>
      <c r="C460" s="31"/>
      <c r="D460" s="32"/>
      <c r="H460" s="32"/>
      <c r="J460" s="32"/>
      <c r="K460" s="41"/>
      <c r="L460" s="32"/>
      <c r="N460" s="32"/>
      <c r="O460" s="41"/>
      <c r="P460" s="315"/>
      <c r="Q460" s="315"/>
      <c r="R460" s="315"/>
      <c r="S460" s="315"/>
      <c r="T460" s="315"/>
    </row>
    <row r="461" spans="1:20" s="30" customFormat="1" x14ac:dyDescent="0.25">
      <c r="A461" s="36"/>
      <c r="B461" s="31"/>
      <c r="C461" s="31"/>
      <c r="D461" s="32"/>
      <c r="H461" s="32"/>
      <c r="J461" s="32"/>
      <c r="K461" s="41"/>
      <c r="L461" s="32"/>
      <c r="N461" s="32"/>
      <c r="O461" s="41"/>
      <c r="P461" s="315"/>
      <c r="Q461" s="315"/>
      <c r="R461" s="315"/>
      <c r="S461" s="315"/>
      <c r="T461" s="315"/>
    </row>
    <row r="462" spans="1:20" s="30" customFormat="1" x14ac:dyDescent="0.25">
      <c r="A462" s="36"/>
      <c r="B462" s="31"/>
      <c r="C462" s="31"/>
      <c r="D462" s="32"/>
      <c r="H462" s="32"/>
      <c r="J462" s="32"/>
      <c r="K462" s="41"/>
      <c r="L462" s="32"/>
      <c r="N462" s="32"/>
      <c r="O462" s="41"/>
      <c r="P462" s="315"/>
      <c r="Q462" s="315"/>
      <c r="R462" s="315"/>
      <c r="S462" s="315"/>
      <c r="T462" s="315"/>
    </row>
    <row r="463" spans="1:20" s="30" customFormat="1" x14ac:dyDescent="0.25">
      <c r="A463" s="36"/>
      <c r="B463" s="31"/>
      <c r="C463" s="31"/>
      <c r="D463" s="32"/>
      <c r="H463" s="32"/>
      <c r="J463" s="32"/>
      <c r="K463" s="41"/>
      <c r="L463" s="32"/>
      <c r="N463" s="32"/>
      <c r="O463" s="41"/>
      <c r="P463" s="315"/>
      <c r="Q463" s="315"/>
      <c r="R463" s="315"/>
      <c r="S463" s="315"/>
      <c r="T463" s="315"/>
    </row>
    <row r="464" spans="1:20" s="30" customFormat="1" x14ac:dyDescent="0.25">
      <c r="A464" s="36"/>
      <c r="B464" s="31"/>
      <c r="C464" s="31"/>
      <c r="D464" s="32"/>
      <c r="H464" s="32"/>
      <c r="J464" s="32"/>
      <c r="K464" s="41"/>
      <c r="L464" s="32"/>
      <c r="N464" s="32"/>
      <c r="O464" s="41"/>
      <c r="P464" s="315"/>
      <c r="Q464" s="315"/>
      <c r="R464" s="315"/>
      <c r="S464" s="315"/>
      <c r="T464" s="315"/>
    </row>
    <row r="465" spans="1:20" s="30" customFormat="1" x14ac:dyDescent="0.25">
      <c r="A465" s="36"/>
      <c r="B465" s="31"/>
      <c r="C465" s="31"/>
      <c r="D465" s="32"/>
      <c r="H465" s="32"/>
      <c r="J465" s="32"/>
      <c r="K465" s="41"/>
      <c r="L465" s="32"/>
      <c r="N465" s="32"/>
      <c r="O465" s="41"/>
      <c r="P465" s="315"/>
      <c r="Q465" s="315"/>
      <c r="R465" s="315"/>
      <c r="S465" s="315"/>
      <c r="T465" s="315"/>
    </row>
    <row r="466" spans="1:20" s="30" customFormat="1" x14ac:dyDescent="0.25">
      <c r="A466" s="36"/>
      <c r="B466" s="31"/>
      <c r="C466" s="31"/>
      <c r="D466" s="32"/>
      <c r="H466" s="32"/>
      <c r="J466" s="32"/>
      <c r="K466" s="41"/>
      <c r="L466" s="32"/>
      <c r="N466" s="32"/>
      <c r="O466" s="41"/>
      <c r="P466" s="315"/>
      <c r="Q466" s="315"/>
      <c r="R466" s="315"/>
      <c r="S466" s="315"/>
      <c r="T466" s="315"/>
    </row>
    <row r="467" spans="1:20" s="30" customFormat="1" x14ac:dyDescent="0.25">
      <c r="A467" s="36"/>
      <c r="B467" s="31"/>
      <c r="C467" s="31"/>
      <c r="D467" s="32"/>
      <c r="H467" s="32"/>
      <c r="J467" s="32"/>
      <c r="K467" s="41"/>
      <c r="L467" s="32"/>
      <c r="N467" s="32"/>
      <c r="O467" s="41"/>
      <c r="P467" s="315"/>
      <c r="Q467" s="315"/>
      <c r="R467" s="315"/>
      <c r="S467" s="315"/>
      <c r="T467" s="315"/>
    </row>
    <row r="468" spans="1:20" s="30" customFormat="1" x14ac:dyDescent="0.25">
      <c r="A468" s="36"/>
      <c r="B468" s="31"/>
      <c r="C468" s="31"/>
      <c r="D468" s="32"/>
      <c r="H468" s="32"/>
      <c r="J468" s="32"/>
      <c r="K468" s="41"/>
      <c r="L468" s="32"/>
      <c r="N468" s="32"/>
      <c r="O468" s="41"/>
      <c r="P468" s="315"/>
      <c r="Q468" s="315"/>
      <c r="R468" s="315"/>
      <c r="S468" s="315"/>
      <c r="T468" s="315"/>
    </row>
    <row r="469" spans="1:20" s="30" customFormat="1" x14ac:dyDescent="0.25">
      <c r="A469" s="36"/>
      <c r="B469" s="31"/>
      <c r="C469" s="31"/>
      <c r="D469" s="32"/>
      <c r="H469" s="32"/>
      <c r="J469" s="32"/>
      <c r="K469" s="41"/>
      <c r="L469" s="32"/>
      <c r="N469" s="32"/>
      <c r="O469" s="41"/>
      <c r="P469" s="315"/>
      <c r="Q469" s="315"/>
      <c r="R469" s="315"/>
      <c r="S469" s="315"/>
      <c r="T469" s="315"/>
    </row>
    <row r="470" spans="1:20" s="30" customFormat="1" x14ac:dyDescent="0.25">
      <c r="A470" s="36"/>
      <c r="B470" s="31"/>
      <c r="C470" s="31"/>
      <c r="D470" s="32"/>
      <c r="H470" s="32"/>
      <c r="J470" s="32"/>
      <c r="K470" s="41"/>
      <c r="L470" s="32"/>
      <c r="N470" s="32"/>
      <c r="O470" s="41"/>
      <c r="P470" s="315"/>
      <c r="Q470" s="315"/>
      <c r="R470" s="315"/>
      <c r="S470" s="315"/>
      <c r="T470" s="315"/>
    </row>
    <row r="471" spans="1:20" s="30" customFormat="1" x14ac:dyDescent="0.25">
      <c r="A471" s="36"/>
      <c r="B471" s="31"/>
      <c r="C471" s="31"/>
      <c r="D471" s="32"/>
      <c r="H471" s="32"/>
      <c r="J471" s="32"/>
      <c r="K471" s="41"/>
      <c r="L471" s="32"/>
      <c r="N471" s="32"/>
      <c r="O471" s="41"/>
      <c r="P471" s="315"/>
      <c r="Q471" s="315"/>
      <c r="R471" s="315"/>
      <c r="S471" s="315"/>
      <c r="T471" s="315"/>
    </row>
    <row r="472" spans="1:20" s="30" customFormat="1" x14ac:dyDescent="0.25">
      <c r="A472" s="36"/>
      <c r="B472" s="31"/>
      <c r="C472" s="31"/>
      <c r="D472" s="32"/>
      <c r="H472" s="32"/>
      <c r="J472" s="32"/>
      <c r="K472" s="41"/>
      <c r="L472" s="32"/>
      <c r="N472" s="32"/>
      <c r="O472" s="41"/>
      <c r="P472" s="315"/>
      <c r="Q472" s="315"/>
      <c r="R472" s="315"/>
      <c r="S472" s="315"/>
      <c r="T472" s="315"/>
    </row>
    <row r="473" spans="1:20" s="30" customFormat="1" x14ac:dyDescent="0.25">
      <c r="A473" s="36"/>
      <c r="B473" s="31"/>
      <c r="C473" s="31"/>
      <c r="D473" s="32"/>
      <c r="H473" s="32"/>
      <c r="J473" s="32"/>
      <c r="K473" s="41"/>
      <c r="L473" s="32"/>
      <c r="N473" s="32"/>
      <c r="O473" s="41"/>
      <c r="P473" s="315"/>
      <c r="Q473" s="315"/>
      <c r="R473" s="315"/>
      <c r="S473" s="315"/>
      <c r="T473" s="315"/>
    </row>
    <row r="474" spans="1:20" s="30" customFormat="1" x14ac:dyDescent="0.25">
      <c r="A474" s="36"/>
      <c r="B474" s="31"/>
      <c r="C474" s="31"/>
      <c r="D474" s="32"/>
      <c r="H474" s="32"/>
      <c r="J474" s="32"/>
      <c r="K474" s="41"/>
      <c r="L474" s="32"/>
      <c r="N474" s="32"/>
      <c r="O474" s="41"/>
      <c r="P474" s="315"/>
      <c r="Q474" s="315"/>
      <c r="R474" s="315"/>
      <c r="S474" s="315"/>
      <c r="T474" s="315"/>
    </row>
    <row r="475" spans="1:20" s="30" customFormat="1" x14ac:dyDescent="0.25">
      <c r="A475" s="36"/>
      <c r="B475" s="31"/>
      <c r="C475" s="31"/>
      <c r="D475" s="32"/>
      <c r="H475" s="32"/>
      <c r="J475" s="32"/>
      <c r="K475" s="41"/>
      <c r="L475" s="32"/>
      <c r="N475" s="32"/>
      <c r="O475" s="41"/>
      <c r="P475" s="315"/>
      <c r="Q475" s="315"/>
      <c r="R475" s="315"/>
      <c r="S475" s="315"/>
      <c r="T475" s="315"/>
    </row>
    <row r="476" spans="1:20" s="30" customFormat="1" x14ac:dyDescent="0.25">
      <c r="A476" s="36"/>
      <c r="B476" s="31"/>
      <c r="C476" s="31"/>
      <c r="D476" s="32"/>
      <c r="H476" s="32"/>
      <c r="J476" s="32"/>
      <c r="K476" s="41"/>
      <c r="L476" s="32"/>
      <c r="N476" s="32"/>
      <c r="O476" s="41"/>
      <c r="P476" s="315"/>
      <c r="Q476" s="315"/>
      <c r="R476" s="315"/>
      <c r="S476" s="315"/>
      <c r="T476" s="315"/>
    </row>
    <row r="477" spans="1:20" s="30" customFormat="1" x14ac:dyDescent="0.25">
      <c r="A477" s="36"/>
      <c r="B477" s="31"/>
      <c r="C477" s="31"/>
      <c r="D477" s="32"/>
      <c r="H477" s="32"/>
      <c r="J477" s="32"/>
      <c r="K477" s="41"/>
      <c r="L477" s="32"/>
      <c r="N477" s="32"/>
      <c r="O477" s="41"/>
      <c r="P477" s="315"/>
      <c r="Q477" s="315"/>
      <c r="R477" s="315"/>
      <c r="S477" s="315"/>
      <c r="T477" s="315"/>
    </row>
    <row r="478" spans="1:20" s="30" customFormat="1" x14ac:dyDescent="0.25">
      <c r="A478" s="36"/>
      <c r="B478" s="31"/>
      <c r="C478" s="31"/>
      <c r="D478" s="32"/>
      <c r="H478" s="32"/>
      <c r="J478" s="32"/>
      <c r="K478" s="41"/>
      <c r="L478" s="32"/>
      <c r="N478" s="32"/>
      <c r="O478" s="41"/>
      <c r="P478" s="315"/>
      <c r="Q478" s="315"/>
      <c r="R478" s="315"/>
      <c r="S478" s="315"/>
      <c r="T478" s="315"/>
    </row>
    <row r="479" spans="1:20" s="30" customFormat="1" x14ac:dyDescent="0.25">
      <c r="A479" s="36"/>
      <c r="B479" s="31"/>
      <c r="C479" s="31"/>
      <c r="D479" s="32"/>
      <c r="H479" s="32"/>
      <c r="J479" s="32"/>
      <c r="K479" s="41"/>
      <c r="L479" s="32"/>
      <c r="N479" s="32"/>
      <c r="O479" s="41"/>
      <c r="P479" s="315"/>
      <c r="Q479" s="315"/>
      <c r="R479" s="315"/>
      <c r="S479" s="315"/>
      <c r="T479" s="315"/>
    </row>
    <row r="480" spans="1:20" s="30" customFormat="1" x14ac:dyDescent="0.25">
      <c r="A480" s="36"/>
      <c r="B480" s="31"/>
      <c r="C480" s="31"/>
      <c r="D480" s="32"/>
      <c r="H480" s="32"/>
      <c r="J480" s="32"/>
      <c r="K480" s="41"/>
      <c r="L480" s="32"/>
      <c r="N480" s="32"/>
      <c r="O480" s="41"/>
      <c r="P480" s="315"/>
      <c r="Q480" s="315"/>
      <c r="R480" s="315"/>
      <c r="S480" s="315"/>
      <c r="T480" s="315"/>
    </row>
    <row r="481" spans="1:20" s="30" customFormat="1" x14ac:dyDescent="0.25">
      <c r="A481" s="36"/>
      <c r="B481" s="31"/>
      <c r="C481" s="31"/>
      <c r="D481" s="32"/>
      <c r="H481" s="32"/>
      <c r="J481" s="32"/>
      <c r="K481" s="41"/>
      <c r="L481" s="32"/>
      <c r="N481" s="32"/>
      <c r="O481" s="41"/>
      <c r="P481" s="315"/>
      <c r="Q481" s="315"/>
      <c r="R481" s="315"/>
      <c r="S481" s="315"/>
      <c r="T481" s="315"/>
    </row>
    <row r="482" spans="1:20" s="30" customFormat="1" x14ac:dyDescent="0.25">
      <c r="A482" s="36"/>
      <c r="B482" s="31"/>
      <c r="C482" s="31"/>
      <c r="D482" s="32"/>
      <c r="H482" s="32"/>
      <c r="J482" s="32"/>
      <c r="K482" s="41"/>
      <c r="L482" s="32"/>
      <c r="N482" s="32"/>
      <c r="O482" s="41"/>
      <c r="P482" s="315"/>
      <c r="Q482" s="315"/>
      <c r="R482" s="315"/>
      <c r="S482" s="315"/>
      <c r="T482" s="315"/>
    </row>
    <row r="483" spans="1:20" s="30" customFormat="1" x14ac:dyDescent="0.25">
      <c r="A483" s="36"/>
      <c r="B483" s="31"/>
      <c r="C483" s="31"/>
      <c r="D483" s="32"/>
      <c r="H483" s="32"/>
      <c r="J483" s="32"/>
      <c r="K483" s="41"/>
      <c r="L483" s="32"/>
      <c r="N483" s="32"/>
      <c r="O483" s="41"/>
      <c r="P483" s="315"/>
      <c r="Q483" s="315"/>
      <c r="R483" s="315"/>
      <c r="S483" s="315"/>
      <c r="T483" s="315"/>
    </row>
    <row r="484" spans="1:20" s="30" customFormat="1" x14ac:dyDescent="0.25">
      <c r="A484" s="36"/>
      <c r="B484" s="31"/>
      <c r="C484" s="31"/>
      <c r="D484" s="32"/>
      <c r="H484" s="32"/>
      <c r="J484" s="32"/>
      <c r="K484" s="41"/>
      <c r="L484" s="32"/>
      <c r="N484" s="32"/>
      <c r="O484" s="41"/>
      <c r="P484" s="315"/>
      <c r="Q484" s="315"/>
      <c r="R484" s="315"/>
      <c r="S484" s="315"/>
      <c r="T484" s="315"/>
    </row>
    <row r="485" spans="1:20" s="30" customFormat="1" x14ac:dyDescent="0.25">
      <c r="A485" s="36"/>
      <c r="B485" s="31"/>
      <c r="C485" s="31"/>
      <c r="D485" s="32"/>
      <c r="H485" s="32"/>
      <c r="J485" s="32"/>
      <c r="K485" s="41"/>
      <c r="L485" s="32"/>
      <c r="N485" s="32"/>
      <c r="O485" s="41"/>
      <c r="P485" s="315"/>
      <c r="Q485" s="315"/>
      <c r="R485" s="315"/>
      <c r="S485" s="315"/>
      <c r="T485" s="315"/>
    </row>
    <row r="486" spans="1:20" s="30" customFormat="1" x14ac:dyDescent="0.25">
      <c r="A486" s="36"/>
      <c r="B486" s="31"/>
      <c r="C486" s="31"/>
      <c r="D486" s="32"/>
      <c r="H486" s="32"/>
      <c r="J486" s="32"/>
      <c r="K486" s="41"/>
      <c r="L486" s="32"/>
      <c r="N486" s="32"/>
      <c r="O486" s="41"/>
      <c r="P486" s="315"/>
      <c r="Q486" s="315"/>
      <c r="R486" s="315"/>
      <c r="S486" s="315"/>
      <c r="T486" s="315"/>
    </row>
    <row r="487" spans="1:20" s="30" customFormat="1" x14ac:dyDescent="0.25">
      <c r="A487" s="36"/>
      <c r="B487" s="31"/>
      <c r="C487" s="31"/>
      <c r="D487" s="32"/>
      <c r="H487" s="32"/>
      <c r="J487" s="32"/>
      <c r="K487" s="41"/>
      <c r="L487" s="32"/>
      <c r="N487" s="32"/>
      <c r="O487" s="41"/>
      <c r="P487" s="315"/>
      <c r="Q487" s="315"/>
      <c r="R487" s="315"/>
      <c r="S487" s="315"/>
      <c r="T487" s="315"/>
    </row>
    <row r="488" spans="1:20" s="30" customFormat="1" x14ac:dyDescent="0.25">
      <c r="A488" s="36"/>
      <c r="B488" s="31"/>
      <c r="C488" s="31"/>
      <c r="D488" s="32"/>
      <c r="H488" s="32"/>
      <c r="J488" s="32"/>
      <c r="K488" s="41"/>
      <c r="L488" s="32"/>
      <c r="N488" s="32"/>
      <c r="O488" s="41"/>
      <c r="P488" s="315"/>
      <c r="Q488" s="315"/>
      <c r="R488" s="315"/>
      <c r="S488" s="315"/>
      <c r="T488" s="315"/>
    </row>
    <row r="489" spans="1:20" s="30" customFormat="1" x14ac:dyDescent="0.25">
      <c r="A489" s="36"/>
      <c r="B489" s="31"/>
      <c r="C489" s="31"/>
      <c r="D489" s="32"/>
      <c r="H489" s="32"/>
      <c r="J489" s="32"/>
      <c r="K489" s="41"/>
      <c r="L489" s="32"/>
      <c r="N489" s="32"/>
      <c r="O489" s="41"/>
      <c r="P489" s="315"/>
      <c r="Q489" s="315"/>
      <c r="R489" s="315"/>
      <c r="S489" s="315"/>
      <c r="T489" s="315"/>
    </row>
    <row r="490" spans="1:20" s="30" customFormat="1" x14ac:dyDescent="0.25">
      <c r="A490" s="36"/>
      <c r="B490" s="31"/>
      <c r="C490" s="31"/>
      <c r="D490" s="32"/>
      <c r="H490" s="32"/>
      <c r="J490" s="32"/>
      <c r="K490" s="41"/>
      <c r="L490" s="32"/>
      <c r="N490" s="32"/>
      <c r="O490" s="41"/>
      <c r="P490" s="315"/>
      <c r="Q490" s="315"/>
      <c r="R490" s="315"/>
      <c r="S490" s="315"/>
      <c r="T490" s="315"/>
    </row>
    <row r="491" spans="1:20" s="30" customFormat="1" x14ac:dyDescent="0.25">
      <c r="A491" s="36"/>
      <c r="B491" s="31"/>
      <c r="C491" s="31"/>
      <c r="D491" s="32"/>
      <c r="H491" s="32"/>
      <c r="J491" s="32"/>
      <c r="K491" s="41"/>
      <c r="L491" s="32"/>
      <c r="N491" s="32"/>
      <c r="O491" s="41"/>
      <c r="P491" s="315"/>
      <c r="Q491" s="315"/>
      <c r="R491" s="315"/>
      <c r="S491" s="315"/>
      <c r="T491" s="315"/>
    </row>
    <row r="492" spans="1:20" s="30" customFormat="1" x14ac:dyDescent="0.25">
      <c r="A492" s="36"/>
      <c r="B492" s="31"/>
      <c r="C492" s="31"/>
      <c r="D492" s="32"/>
      <c r="H492" s="32"/>
      <c r="J492" s="32"/>
      <c r="K492" s="41"/>
      <c r="L492" s="32"/>
      <c r="N492" s="32"/>
      <c r="O492" s="41"/>
      <c r="P492" s="315"/>
      <c r="Q492" s="315"/>
      <c r="R492" s="315"/>
      <c r="S492" s="315"/>
      <c r="T492" s="315"/>
    </row>
    <row r="493" spans="1:20" s="30" customFormat="1" x14ac:dyDescent="0.25">
      <c r="A493" s="36"/>
      <c r="B493" s="31"/>
      <c r="C493" s="31"/>
      <c r="D493" s="32"/>
      <c r="H493" s="32"/>
      <c r="J493" s="32"/>
      <c r="K493" s="41"/>
      <c r="L493" s="32"/>
      <c r="N493" s="32"/>
      <c r="O493" s="41"/>
      <c r="P493" s="315"/>
      <c r="Q493" s="315"/>
      <c r="R493" s="315"/>
      <c r="S493" s="315"/>
      <c r="T493" s="315"/>
    </row>
    <row r="494" spans="1:20" s="30" customFormat="1" x14ac:dyDescent="0.25">
      <c r="A494" s="36"/>
      <c r="B494" s="31"/>
      <c r="C494" s="31"/>
      <c r="D494" s="32"/>
      <c r="H494" s="32"/>
      <c r="J494" s="32"/>
      <c r="K494" s="41"/>
      <c r="L494" s="32"/>
      <c r="N494" s="32"/>
      <c r="O494" s="41"/>
      <c r="P494" s="315"/>
      <c r="Q494" s="315"/>
      <c r="R494" s="315"/>
      <c r="S494" s="315"/>
      <c r="T494" s="315"/>
    </row>
    <row r="495" spans="1:20" s="30" customFormat="1" x14ac:dyDescent="0.25">
      <c r="A495" s="36"/>
      <c r="B495" s="31"/>
      <c r="C495" s="31"/>
      <c r="D495" s="32"/>
      <c r="H495" s="32"/>
      <c r="J495" s="32"/>
      <c r="K495" s="41"/>
      <c r="L495" s="32"/>
      <c r="N495" s="32"/>
      <c r="O495" s="41"/>
      <c r="P495" s="315"/>
      <c r="Q495" s="315"/>
      <c r="R495" s="315"/>
      <c r="S495" s="315"/>
      <c r="T495" s="315"/>
    </row>
    <row r="496" spans="1:20" s="30" customFormat="1" x14ac:dyDescent="0.25">
      <c r="A496" s="36"/>
      <c r="B496" s="31"/>
      <c r="C496" s="31"/>
      <c r="D496" s="32"/>
      <c r="H496" s="32"/>
      <c r="J496" s="32"/>
      <c r="K496" s="41"/>
      <c r="L496" s="32"/>
      <c r="N496" s="32"/>
      <c r="O496" s="41"/>
      <c r="P496" s="315"/>
      <c r="Q496" s="315"/>
      <c r="R496" s="315"/>
      <c r="S496" s="315"/>
      <c r="T496" s="315"/>
    </row>
    <row r="497" spans="1:20" s="30" customFormat="1" x14ac:dyDescent="0.25">
      <c r="A497" s="36"/>
      <c r="B497" s="31"/>
      <c r="C497" s="31"/>
      <c r="D497" s="32"/>
      <c r="H497" s="32"/>
      <c r="J497" s="32"/>
      <c r="K497" s="41"/>
      <c r="L497" s="32"/>
      <c r="N497" s="32"/>
      <c r="O497" s="41"/>
      <c r="P497" s="315"/>
      <c r="Q497" s="315"/>
      <c r="R497" s="315"/>
      <c r="S497" s="315"/>
      <c r="T497" s="315"/>
    </row>
    <row r="498" spans="1:20" s="30" customFormat="1" x14ac:dyDescent="0.25">
      <c r="A498" s="36"/>
      <c r="B498" s="31"/>
      <c r="C498" s="31"/>
      <c r="D498" s="32"/>
      <c r="H498" s="32"/>
      <c r="J498" s="32"/>
      <c r="K498" s="41"/>
      <c r="L498" s="32"/>
      <c r="N498" s="32"/>
      <c r="O498" s="41"/>
      <c r="P498" s="315"/>
      <c r="Q498" s="315"/>
      <c r="R498" s="315"/>
      <c r="S498" s="315"/>
      <c r="T498" s="315"/>
    </row>
    <row r="499" spans="1:20" s="30" customFormat="1" x14ac:dyDescent="0.25">
      <c r="A499" s="36"/>
      <c r="B499" s="31"/>
      <c r="C499" s="31"/>
      <c r="D499" s="32"/>
      <c r="H499" s="32"/>
      <c r="J499" s="32"/>
      <c r="K499" s="41"/>
      <c r="L499" s="32"/>
      <c r="N499" s="32"/>
      <c r="O499" s="41"/>
      <c r="P499" s="315"/>
      <c r="Q499" s="315"/>
      <c r="R499" s="315"/>
      <c r="S499" s="315"/>
      <c r="T499" s="315"/>
    </row>
    <row r="500" spans="1:20" s="30" customFormat="1" x14ac:dyDescent="0.25">
      <c r="A500" s="36"/>
      <c r="B500" s="31"/>
      <c r="C500" s="31"/>
      <c r="D500" s="32"/>
      <c r="H500" s="32"/>
      <c r="J500" s="32"/>
      <c r="K500" s="41"/>
      <c r="L500" s="32"/>
      <c r="N500" s="32"/>
      <c r="O500" s="41"/>
      <c r="P500" s="315"/>
      <c r="Q500" s="315"/>
      <c r="R500" s="315"/>
      <c r="S500" s="315"/>
      <c r="T500" s="315"/>
    </row>
    <row r="501" spans="1:20" s="30" customFormat="1" x14ac:dyDescent="0.25">
      <c r="A501" s="36"/>
      <c r="B501" s="31"/>
      <c r="C501" s="31"/>
      <c r="D501" s="32"/>
      <c r="H501" s="32"/>
      <c r="J501" s="32"/>
      <c r="K501" s="41"/>
      <c r="L501" s="32"/>
      <c r="N501" s="32"/>
      <c r="O501" s="41"/>
      <c r="P501" s="315"/>
      <c r="Q501" s="315"/>
      <c r="R501" s="315"/>
      <c r="S501" s="315"/>
      <c r="T501" s="315"/>
    </row>
    <row r="502" spans="1:20" s="30" customFormat="1" x14ac:dyDescent="0.25">
      <c r="A502" s="36"/>
      <c r="B502" s="31"/>
      <c r="C502" s="31"/>
      <c r="D502" s="32"/>
      <c r="H502" s="32"/>
      <c r="J502" s="32"/>
      <c r="K502" s="41"/>
      <c r="L502" s="32"/>
      <c r="N502" s="32"/>
      <c r="O502" s="41"/>
      <c r="P502" s="315"/>
      <c r="Q502" s="315"/>
      <c r="R502" s="315"/>
      <c r="S502" s="315"/>
      <c r="T502" s="315"/>
    </row>
    <row r="503" spans="1:20" s="30" customFormat="1" x14ac:dyDescent="0.25">
      <c r="A503" s="36"/>
      <c r="B503" s="31"/>
      <c r="C503" s="31"/>
      <c r="D503" s="32"/>
      <c r="H503" s="32"/>
      <c r="J503" s="32"/>
      <c r="K503" s="41"/>
      <c r="L503" s="32"/>
      <c r="N503" s="32"/>
      <c r="O503" s="41"/>
      <c r="P503" s="315"/>
      <c r="Q503" s="315"/>
      <c r="R503" s="315"/>
      <c r="S503" s="315"/>
      <c r="T503" s="315"/>
    </row>
    <row r="504" spans="1:20" s="30" customFormat="1" x14ac:dyDescent="0.25">
      <c r="A504" s="36"/>
      <c r="B504" s="31"/>
      <c r="C504" s="31"/>
      <c r="D504" s="32"/>
      <c r="H504" s="32"/>
      <c r="J504" s="32"/>
      <c r="K504" s="41"/>
      <c r="L504" s="32"/>
      <c r="N504" s="32"/>
      <c r="O504" s="41"/>
      <c r="P504" s="315"/>
      <c r="Q504" s="315"/>
      <c r="R504" s="315"/>
      <c r="S504" s="315"/>
      <c r="T504" s="315"/>
    </row>
    <row r="505" spans="1:20" s="30" customFormat="1" x14ac:dyDescent="0.25">
      <c r="A505" s="36"/>
      <c r="B505" s="31"/>
      <c r="C505" s="31"/>
      <c r="D505" s="32"/>
      <c r="H505" s="32"/>
      <c r="J505" s="32"/>
      <c r="K505" s="41"/>
      <c r="L505" s="32"/>
      <c r="N505" s="32"/>
      <c r="O505" s="41"/>
      <c r="P505" s="315"/>
      <c r="Q505" s="315"/>
      <c r="R505" s="315"/>
      <c r="S505" s="315"/>
      <c r="T505" s="315"/>
    </row>
    <row r="506" spans="1:20" s="30" customFormat="1" x14ac:dyDescent="0.25">
      <c r="A506" s="36"/>
      <c r="B506" s="31"/>
      <c r="C506" s="31"/>
      <c r="D506" s="32"/>
      <c r="H506" s="32"/>
      <c r="J506" s="32"/>
      <c r="K506" s="41"/>
      <c r="L506" s="32"/>
      <c r="N506" s="32"/>
      <c r="O506" s="41"/>
      <c r="P506" s="315"/>
      <c r="Q506" s="315"/>
      <c r="R506" s="315"/>
      <c r="S506" s="315"/>
      <c r="T506" s="315"/>
    </row>
    <row r="507" spans="1:20" s="30" customFormat="1" x14ac:dyDescent="0.25">
      <c r="A507" s="36"/>
      <c r="B507" s="31"/>
      <c r="C507" s="31"/>
      <c r="D507" s="32"/>
      <c r="H507" s="32"/>
      <c r="J507" s="32"/>
      <c r="K507" s="41"/>
      <c r="L507" s="32"/>
      <c r="N507" s="32"/>
      <c r="O507" s="41"/>
      <c r="P507" s="315"/>
      <c r="Q507" s="315"/>
      <c r="R507" s="315"/>
      <c r="S507" s="315"/>
      <c r="T507" s="315"/>
    </row>
    <row r="508" spans="1:20" s="30" customFormat="1" x14ac:dyDescent="0.25">
      <c r="A508" s="36"/>
      <c r="B508" s="31"/>
      <c r="C508" s="31"/>
      <c r="D508" s="32"/>
      <c r="H508" s="32"/>
      <c r="J508" s="32"/>
      <c r="K508" s="41"/>
      <c r="L508" s="32"/>
      <c r="N508" s="32"/>
      <c r="O508" s="41"/>
      <c r="P508" s="315"/>
      <c r="Q508" s="315"/>
      <c r="R508" s="315"/>
      <c r="S508" s="315"/>
      <c r="T508" s="315"/>
    </row>
    <row r="509" spans="1:20" s="30" customFormat="1" x14ac:dyDescent="0.25">
      <c r="A509" s="36"/>
      <c r="B509" s="31"/>
      <c r="C509" s="31"/>
      <c r="D509" s="32"/>
      <c r="H509" s="32"/>
      <c r="J509" s="32"/>
      <c r="K509" s="41"/>
      <c r="L509" s="32"/>
      <c r="N509" s="32"/>
      <c r="O509" s="41"/>
      <c r="P509" s="315"/>
      <c r="Q509" s="315"/>
      <c r="R509" s="315"/>
      <c r="S509" s="315"/>
      <c r="T509" s="315"/>
    </row>
    <row r="510" spans="1:20" s="30" customFormat="1" x14ac:dyDescent="0.25">
      <c r="A510" s="36"/>
      <c r="B510" s="31"/>
      <c r="C510" s="31"/>
      <c r="D510" s="32"/>
      <c r="H510" s="32"/>
      <c r="J510" s="32"/>
      <c r="K510" s="41"/>
      <c r="L510" s="32"/>
      <c r="N510" s="32"/>
      <c r="O510" s="41"/>
      <c r="P510" s="315"/>
      <c r="Q510" s="315"/>
      <c r="R510" s="315"/>
      <c r="S510" s="315"/>
      <c r="T510" s="315"/>
    </row>
    <row r="511" spans="1:20" s="30" customFormat="1" x14ac:dyDescent="0.25">
      <c r="A511" s="36"/>
      <c r="B511" s="31"/>
      <c r="C511" s="31"/>
      <c r="D511" s="32"/>
      <c r="H511" s="32"/>
      <c r="J511" s="32"/>
      <c r="K511" s="41"/>
      <c r="L511" s="32"/>
      <c r="N511" s="32"/>
      <c r="O511" s="41"/>
      <c r="P511" s="315"/>
      <c r="Q511" s="315"/>
      <c r="R511" s="315"/>
      <c r="S511" s="315"/>
      <c r="T511" s="315"/>
    </row>
    <row r="512" spans="1:20" s="30" customFormat="1" x14ac:dyDescent="0.25">
      <c r="A512" s="36"/>
      <c r="B512" s="31"/>
      <c r="C512" s="31"/>
      <c r="D512" s="32"/>
      <c r="H512" s="32"/>
      <c r="J512" s="32"/>
      <c r="K512" s="41"/>
      <c r="L512" s="32"/>
      <c r="N512" s="32"/>
      <c r="O512" s="41"/>
      <c r="P512" s="315"/>
      <c r="Q512" s="315"/>
      <c r="R512" s="315"/>
      <c r="S512" s="315"/>
      <c r="T512" s="315"/>
    </row>
    <row r="513" spans="1:20" s="30" customFormat="1" x14ac:dyDescent="0.25">
      <c r="A513" s="36"/>
      <c r="B513" s="31"/>
      <c r="C513" s="31"/>
      <c r="D513" s="32"/>
      <c r="H513" s="32"/>
      <c r="J513" s="32"/>
      <c r="K513" s="41"/>
      <c r="L513" s="32"/>
      <c r="N513" s="32"/>
      <c r="O513" s="41"/>
      <c r="P513" s="315"/>
      <c r="Q513" s="315"/>
      <c r="R513" s="315"/>
      <c r="S513" s="315"/>
      <c r="T513" s="315"/>
    </row>
    <row r="514" spans="1:20" s="30" customFormat="1" x14ac:dyDescent="0.25">
      <c r="A514" s="36"/>
      <c r="B514" s="31"/>
      <c r="C514" s="31"/>
      <c r="D514" s="32"/>
      <c r="H514" s="32"/>
      <c r="J514" s="32"/>
      <c r="K514" s="41"/>
      <c r="L514" s="32"/>
      <c r="N514" s="32"/>
      <c r="O514" s="41"/>
      <c r="P514" s="315"/>
      <c r="Q514" s="315"/>
      <c r="R514" s="315"/>
      <c r="S514" s="315"/>
      <c r="T514" s="315"/>
    </row>
    <row r="515" spans="1:20" s="30" customFormat="1" x14ac:dyDescent="0.25">
      <c r="A515" s="36"/>
      <c r="B515" s="31"/>
      <c r="C515" s="31"/>
      <c r="D515" s="32"/>
      <c r="H515" s="32"/>
      <c r="J515" s="32"/>
      <c r="K515" s="41"/>
      <c r="L515" s="32"/>
      <c r="N515" s="32"/>
      <c r="O515" s="41"/>
      <c r="P515" s="315"/>
      <c r="Q515" s="315"/>
      <c r="R515" s="315"/>
      <c r="S515" s="315"/>
      <c r="T515" s="315"/>
    </row>
    <row r="516" spans="1:20" s="30" customFormat="1" x14ac:dyDescent="0.25">
      <c r="A516" s="36"/>
      <c r="B516" s="31"/>
      <c r="C516" s="31"/>
      <c r="D516" s="32"/>
      <c r="H516" s="32"/>
      <c r="J516" s="32"/>
      <c r="K516" s="41"/>
      <c r="L516" s="32"/>
      <c r="N516" s="32"/>
      <c r="O516" s="41"/>
      <c r="P516" s="315"/>
      <c r="Q516" s="315"/>
      <c r="R516" s="315"/>
      <c r="S516" s="315"/>
      <c r="T516" s="315"/>
    </row>
    <row r="517" spans="1:20" s="30" customFormat="1" x14ac:dyDescent="0.25">
      <c r="A517" s="36"/>
      <c r="B517" s="31"/>
      <c r="C517" s="31"/>
      <c r="D517" s="32"/>
      <c r="H517" s="32"/>
      <c r="J517" s="32"/>
      <c r="K517" s="41"/>
      <c r="L517" s="32"/>
      <c r="N517" s="32"/>
      <c r="O517" s="41"/>
      <c r="P517" s="315"/>
      <c r="Q517" s="315"/>
      <c r="R517" s="315"/>
      <c r="S517" s="315"/>
      <c r="T517" s="315"/>
    </row>
    <row r="518" spans="1:20" s="30" customFormat="1" x14ac:dyDescent="0.25">
      <c r="A518" s="36"/>
      <c r="B518" s="31"/>
      <c r="C518" s="31"/>
      <c r="D518" s="32"/>
      <c r="H518" s="32"/>
      <c r="J518" s="32"/>
      <c r="K518" s="41"/>
      <c r="L518" s="32"/>
      <c r="N518" s="32"/>
      <c r="O518" s="41"/>
      <c r="P518" s="315"/>
      <c r="Q518" s="315"/>
      <c r="R518" s="315"/>
      <c r="S518" s="315"/>
      <c r="T518" s="315"/>
    </row>
    <row r="519" spans="1:20" s="30" customFormat="1" x14ac:dyDescent="0.25">
      <c r="A519" s="36"/>
      <c r="B519" s="31"/>
      <c r="C519" s="31"/>
      <c r="D519" s="32"/>
      <c r="H519" s="32"/>
      <c r="J519" s="32"/>
      <c r="K519" s="41"/>
      <c r="L519" s="32"/>
      <c r="N519" s="32"/>
      <c r="O519" s="41"/>
      <c r="P519" s="315"/>
      <c r="Q519" s="315"/>
      <c r="R519" s="315"/>
      <c r="S519" s="315"/>
      <c r="T519" s="315"/>
    </row>
    <row r="520" spans="1:20" s="30" customFormat="1" x14ac:dyDescent="0.25">
      <c r="A520" s="36"/>
      <c r="B520" s="31"/>
      <c r="C520" s="31"/>
      <c r="D520" s="32"/>
      <c r="H520" s="32"/>
      <c r="J520" s="32"/>
      <c r="K520" s="41"/>
      <c r="L520" s="32"/>
      <c r="N520" s="32"/>
      <c r="O520" s="41"/>
      <c r="P520" s="315"/>
      <c r="Q520" s="315"/>
      <c r="R520" s="315"/>
      <c r="S520" s="315"/>
      <c r="T520" s="315"/>
    </row>
    <row r="521" spans="1:20" s="30" customFormat="1" x14ac:dyDescent="0.25">
      <c r="A521" s="36"/>
      <c r="B521" s="31"/>
      <c r="C521" s="31"/>
      <c r="D521" s="32"/>
      <c r="H521" s="32"/>
      <c r="J521" s="32"/>
      <c r="K521" s="41"/>
      <c r="L521" s="32"/>
      <c r="N521" s="32"/>
      <c r="O521" s="41"/>
      <c r="P521" s="315"/>
      <c r="Q521" s="315"/>
      <c r="R521" s="315"/>
      <c r="S521" s="315"/>
      <c r="T521" s="315"/>
    </row>
    <row r="522" spans="1:20" s="30" customFormat="1" x14ac:dyDescent="0.25">
      <c r="A522" s="36"/>
      <c r="B522" s="31"/>
      <c r="C522" s="31"/>
      <c r="D522" s="32"/>
      <c r="H522" s="32"/>
      <c r="J522" s="32"/>
      <c r="K522" s="41"/>
      <c r="L522" s="32"/>
      <c r="N522" s="32"/>
      <c r="O522" s="41"/>
      <c r="P522" s="315"/>
      <c r="Q522" s="315"/>
      <c r="R522" s="315"/>
      <c r="S522" s="315"/>
      <c r="T522" s="315"/>
    </row>
    <row r="523" spans="1:20" s="30" customFormat="1" x14ac:dyDescent="0.25">
      <c r="A523" s="36"/>
      <c r="B523" s="31"/>
      <c r="C523" s="31"/>
      <c r="D523" s="32"/>
      <c r="H523" s="32"/>
      <c r="J523" s="32"/>
      <c r="K523" s="41"/>
      <c r="L523" s="32"/>
      <c r="N523" s="32"/>
      <c r="O523" s="41"/>
      <c r="P523" s="315"/>
      <c r="Q523" s="315"/>
      <c r="R523" s="315"/>
      <c r="S523" s="315"/>
      <c r="T523" s="315"/>
    </row>
    <row r="524" spans="1:20" s="30" customFormat="1" x14ac:dyDescent="0.25">
      <c r="A524" s="36"/>
      <c r="B524" s="31"/>
      <c r="C524" s="31"/>
      <c r="D524" s="32"/>
      <c r="H524" s="32"/>
      <c r="J524" s="32"/>
      <c r="K524" s="41"/>
      <c r="L524" s="32"/>
      <c r="N524" s="32"/>
      <c r="O524" s="41"/>
      <c r="P524" s="315"/>
      <c r="Q524" s="315"/>
      <c r="R524" s="315"/>
      <c r="S524" s="315"/>
      <c r="T524" s="315"/>
    </row>
    <row r="525" spans="1:20" s="30" customFormat="1" x14ac:dyDescent="0.25">
      <c r="A525" s="36"/>
      <c r="B525" s="31"/>
      <c r="C525" s="31"/>
      <c r="D525" s="32"/>
      <c r="H525" s="32"/>
      <c r="J525" s="32"/>
      <c r="K525" s="41"/>
      <c r="L525" s="32"/>
      <c r="N525" s="32"/>
      <c r="O525" s="41"/>
      <c r="P525" s="315"/>
      <c r="Q525" s="315"/>
      <c r="R525" s="315"/>
      <c r="S525" s="315"/>
      <c r="T525" s="315"/>
    </row>
    <row r="526" spans="1:20" s="30" customFormat="1" x14ac:dyDescent="0.25">
      <c r="A526" s="36"/>
      <c r="B526" s="31"/>
      <c r="C526" s="31"/>
      <c r="D526" s="32"/>
      <c r="H526" s="32"/>
      <c r="J526" s="32"/>
      <c r="K526" s="41"/>
      <c r="L526" s="32"/>
      <c r="N526" s="32"/>
      <c r="O526" s="41"/>
      <c r="P526" s="315"/>
      <c r="Q526" s="315"/>
      <c r="R526" s="315"/>
      <c r="S526" s="315"/>
      <c r="T526" s="315"/>
    </row>
    <row r="527" spans="1:20" s="30" customFormat="1" x14ac:dyDescent="0.25">
      <c r="A527" s="36"/>
      <c r="B527" s="31"/>
      <c r="C527" s="31"/>
      <c r="D527" s="32"/>
      <c r="H527" s="32"/>
      <c r="J527" s="32"/>
      <c r="K527" s="41"/>
      <c r="L527" s="32"/>
      <c r="N527" s="32"/>
      <c r="O527" s="41"/>
      <c r="P527" s="315"/>
      <c r="Q527" s="315"/>
      <c r="R527" s="315"/>
      <c r="S527" s="315"/>
      <c r="T527" s="315"/>
    </row>
    <row r="528" spans="1:20" s="30" customFormat="1" x14ac:dyDescent="0.25">
      <c r="A528" s="36"/>
      <c r="B528" s="31"/>
      <c r="C528" s="31"/>
      <c r="D528" s="32"/>
      <c r="H528" s="32"/>
      <c r="J528" s="32"/>
      <c r="K528" s="41"/>
      <c r="L528" s="32"/>
      <c r="N528" s="32"/>
      <c r="O528" s="41"/>
      <c r="P528" s="315"/>
      <c r="Q528" s="315"/>
      <c r="R528" s="315"/>
      <c r="S528" s="315"/>
      <c r="T528" s="315"/>
    </row>
    <row r="529" spans="1:20" s="30" customFormat="1" x14ac:dyDescent="0.25">
      <c r="A529" s="36"/>
      <c r="B529" s="31"/>
      <c r="C529" s="31"/>
      <c r="D529" s="32"/>
      <c r="H529" s="32"/>
      <c r="J529" s="32"/>
      <c r="K529" s="41"/>
      <c r="L529" s="32"/>
      <c r="N529" s="32"/>
      <c r="O529" s="41"/>
      <c r="P529" s="315"/>
      <c r="Q529" s="315"/>
      <c r="R529" s="315"/>
      <c r="S529" s="315"/>
      <c r="T529" s="315"/>
    </row>
    <row r="530" spans="1:20" s="30" customFormat="1" x14ac:dyDescent="0.25">
      <c r="A530" s="36"/>
      <c r="B530" s="31"/>
      <c r="C530" s="31"/>
      <c r="D530" s="32"/>
      <c r="H530" s="32"/>
      <c r="J530" s="32"/>
      <c r="K530" s="41"/>
      <c r="L530" s="32"/>
      <c r="N530" s="32"/>
      <c r="O530" s="41"/>
      <c r="P530" s="315"/>
      <c r="Q530" s="315"/>
      <c r="R530" s="315"/>
      <c r="S530" s="315"/>
      <c r="T530" s="315"/>
    </row>
    <row r="531" spans="1:20" s="30" customFormat="1" x14ac:dyDescent="0.25">
      <c r="A531" s="36"/>
      <c r="B531" s="31"/>
      <c r="C531" s="31"/>
      <c r="D531" s="32"/>
      <c r="H531" s="32"/>
      <c r="J531" s="32"/>
      <c r="K531" s="41"/>
      <c r="L531" s="32"/>
      <c r="N531" s="32"/>
      <c r="O531" s="41"/>
      <c r="P531" s="315"/>
      <c r="Q531" s="315"/>
      <c r="R531" s="315"/>
      <c r="S531" s="315"/>
      <c r="T531" s="315"/>
    </row>
    <row r="532" spans="1:20" s="30" customFormat="1" x14ac:dyDescent="0.25">
      <c r="A532" s="36"/>
      <c r="B532" s="31"/>
      <c r="C532" s="31"/>
      <c r="D532" s="32"/>
      <c r="H532" s="32"/>
      <c r="J532" s="32"/>
      <c r="K532" s="41"/>
      <c r="L532" s="32"/>
      <c r="N532" s="32"/>
      <c r="O532" s="41"/>
      <c r="P532" s="315"/>
      <c r="Q532" s="315"/>
      <c r="R532" s="315"/>
      <c r="S532" s="315"/>
      <c r="T532" s="315"/>
    </row>
    <row r="533" spans="1:20" s="30" customFormat="1" x14ac:dyDescent="0.25">
      <c r="A533" s="36"/>
      <c r="B533" s="31"/>
      <c r="C533" s="31"/>
      <c r="D533" s="32"/>
      <c r="H533" s="32"/>
      <c r="J533" s="32"/>
      <c r="K533" s="41"/>
      <c r="L533" s="32"/>
      <c r="N533" s="32"/>
      <c r="O533" s="41"/>
      <c r="P533" s="315"/>
      <c r="Q533" s="315"/>
      <c r="R533" s="315"/>
      <c r="S533" s="315"/>
      <c r="T533" s="315"/>
    </row>
    <row r="534" spans="1:20" s="30" customFormat="1" x14ac:dyDescent="0.25">
      <c r="A534" s="36"/>
      <c r="B534" s="31"/>
      <c r="C534" s="31"/>
      <c r="D534" s="32"/>
      <c r="H534" s="32"/>
      <c r="J534" s="32"/>
      <c r="K534" s="41"/>
      <c r="L534" s="32"/>
      <c r="N534" s="32"/>
      <c r="O534" s="41"/>
      <c r="P534" s="315"/>
      <c r="Q534" s="315"/>
      <c r="R534" s="315"/>
      <c r="S534" s="315"/>
      <c r="T534" s="315"/>
    </row>
    <row r="535" spans="1:20" s="30" customFormat="1" x14ac:dyDescent="0.25">
      <c r="A535" s="36"/>
      <c r="B535" s="31"/>
      <c r="C535" s="31"/>
      <c r="D535" s="32"/>
      <c r="H535" s="32"/>
      <c r="J535" s="32"/>
      <c r="K535" s="41"/>
      <c r="L535" s="32"/>
      <c r="N535" s="32"/>
      <c r="O535" s="41"/>
      <c r="P535" s="315"/>
      <c r="Q535" s="315"/>
      <c r="R535" s="315"/>
      <c r="S535" s="315"/>
      <c r="T535" s="315"/>
    </row>
    <row r="536" spans="1:20" s="30" customFormat="1" x14ac:dyDescent="0.25">
      <c r="A536" s="36"/>
      <c r="B536" s="31"/>
      <c r="C536" s="31"/>
      <c r="D536" s="32"/>
      <c r="H536" s="32"/>
      <c r="J536" s="32"/>
      <c r="K536" s="41"/>
      <c r="L536" s="32"/>
      <c r="N536" s="32"/>
      <c r="O536" s="41"/>
      <c r="P536" s="315"/>
      <c r="Q536" s="315"/>
      <c r="R536" s="315"/>
      <c r="S536" s="315"/>
      <c r="T536" s="315"/>
    </row>
    <row r="537" spans="1:20" s="30" customFormat="1" x14ac:dyDescent="0.25">
      <c r="A537" s="36"/>
      <c r="B537" s="31"/>
      <c r="C537" s="31"/>
      <c r="D537" s="32"/>
      <c r="H537" s="32"/>
      <c r="J537" s="32"/>
      <c r="K537" s="41"/>
      <c r="L537" s="32"/>
      <c r="N537" s="32"/>
      <c r="O537" s="41"/>
      <c r="P537" s="315"/>
      <c r="Q537" s="315"/>
      <c r="R537" s="315"/>
      <c r="S537" s="315"/>
      <c r="T537" s="315"/>
    </row>
    <row r="538" spans="1:20" s="30" customFormat="1" x14ac:dyDescent="0.25">
      <c r="A538" s="36"/>
      <c r="B538" s="31"/>
      <c r="C538" s="31"/>
      <c r="D538" s="32"/>
      <c r="H538" s="32"/>
      <c r="J538" s="32"/>
      <c r="K538" s="41"/>
      <c r="L538" s="32"/>
      <c r="N538" s="32"/>
      <c r="O538" s="41"/>
      <c r="P538" s="315"/>
      <c r="Q538" s="315"/>
      <c r="R538" s="315"/>
      <c r="S538" s="315"/>
      <c r="T538" s="315"/>
    </row>
    <row r="539" spans="1:20" s="30" customFormat="1" x14ac:dyDescent="0.25">
      <c r="A539" s="36"/>
      <c r="B539" s="31"/>
      <c r="C539" s="31"/>
      <c r="D539" s="32"/>
      <c r="H539" s="32"/>
      <c r="J539" s="32"/>
      <c r="K539" s="41"/>
      <c r="L539" s="32"/>
      <c r="N539" s="32"/>
      <c r="O539" s="41"/>
      <c r="P539" s="315"/>
      <c r="Q539" s="315"/>
      <c r="R539" s="315"/>
      <c r="S539" s="315"/>
      <c r="T539" s="315"/>
    </row>
    <row r="540" spans="1:20" s="30" customFormat="1" x14ac:dyDescent="0.25">
      <c r="A540" s="36"/>
      <c r="B540" s="31"/>
      <c r="C540" s="31"/>
      <c r="D540" s="32"/>
      <c r="H540" s="32"/>
      <c r="J540" s="32"/>
      <c r="K540" s="41"/>
      <c r="L540" s="32"/>
      <c r="N540" s="32"/>
      <c r="O540" s="41"/>
      <c r="P540" s="315"/>
      <c r="Q540" s="315"/>
      <c r="R540" s="315"/>
      <c r="S540" s="315"/>
      <c r="T540" s="315"/>
    </row>
    <row r="541" spans="1:20" s="30" customFormat="1" x14ac:dyDescent="0.25">
      <c r="A541" s="36"/>
      <c r="B541" s="31"/>
      <c r="C541" s="31"/>
      <c r="D541" s="32"/>
      <c r="H541" s="32"/>
      <c r="J541" s="32"/>
      <c r="K541" s="41"/>
      <c r="L541" s="32"/>
      <c r="N541" s="32"/>
      <c r="O541" s="41"/>
      <c r="P541" s="315"/>
      <c r="Q541" s="315"/>
      <c r="R541" s="315"/>
      <c r="S541" s="315"/>
      <c r="T541" s="315"/>
    </row>
    <row r="542" spans="1:20" s="30" customFormat="1" x14ac:dyDescent="0.25">
      <c r="A542" s="36"/>
      <c r="B542" s="31"/>
      <c r="C542" s="31"/>
      <c r="D542" s="32"/>
      <c r="H542" s="32"/>
      <c r="J542" s="32"/>
      <c r="K542" s="41"/>
      <c r="L542" s="32"/>
      <c r="N542" s="32"/>
      <c r="O542" s="41"/>
      <c r="P542" s="315"/>
      <c r="Q542" s="315"/>
      <c r="R542" s="315"/>
      <c r="S542" s="315"/>
      <c r="T542" s="315"/>
    </row>
    <row r="543" spans="1:20" s="30" customFormat="1" x14ac:dyDescent="0.25">
      <c r="A543" s="36"/>
      <c r="B543" s="31"/>
      <c r="C543" s="31"/>
      <c r="D543" s="32"/>
      <c r="H543" s="32"/>
      <c r="J543" s="32"/>
      <c r="K543" s="41"/>
      <c r="L543" s="32"/>
      <c r="N543" s="32"/>
      <c r="O543" s="41"/>
      <c r="P543" s="315"/>
      <c r="Q543" s="315"/>
      <c r="R543" s="315"/>
      <c r="S543" s="315"/>
      <c r="T543" s="315"/>
    </row>
    <row r="544" spans="1:20" s="30" customFormat="1" x14ac:dyDescent="0.25">
      <c r="A544" s="36"/>
      <c r="B544" s="31"/>
      <c r="C544" s="31"/>
      <c r="D544" s="32"/>
      <c r="H544" s="32"/>
      <c r="J544" s="32"/>
      <c r="K544" s="41"/>
      <c r="L544" s="32"/>
      <c r="N544" s="32"/>
      <c r="O544" s="41"/>
      <c r="P544" s="315"/>
      <c r="Q544" s="315"/>
      <c r="R544" s="315"/>
      <c r="S544" s="315"/>
      <c r="T544" s="315"/>
    </row>
    <row r="545" spans="1:20" s="30" customFormat="1" x14ac:dyDescent="0.25">
      <c r="A545" s="36"/>
      <c r="B545" s="31"/>
      <c r="C545" s="31"/>
      <c r="D545" s="32"/>
      <c r="H545" s="32"/>
      <c r="J545" s="32"/>
      <c r="K545" s="41"/>
      <c r="L545" s="32"/>
      <c r="N545" s="32"/>
      <c r="O545" s="41"/>
      <c r="P545" s="315"/>
      <c r="Q545" s="315"/>
      <c r="R545" s="315"/>
      <c r="S545" s="315"/>
      <c r="T545" s="315"/>
    </row>
    <row r="546" spans="1:20" s="30" customFormat="1" x14ac:dyDescent="0.25">
      <c r="A546" s="36"/>
      <c r="B546" s="31"/>
      <c r="C546" s="31"/>
      <c r="D546" s="32"/>
      <c r="H546" s="32"/>
      <c r="J546" s="32"/>
      <c r="K546" s="41"/>
      <c r="L546" s="32"/>
      <c r="N546" s="32"/>
      <c r="O546" s="41"/>
      <c r="P546" s="315"/>
      <c r="Q546" s="315"/>
      <c r="R546" s="315"/>
      <c r="S546" s="315"/>
      <c r="T546" s="315"/>
    </row>
    <row r="547" spans="1:20" s="30" customFormat="1" x14ac:dyDescent="0.25">
      <c r="A547" s="36"/>
      <c r="B547" s="31"/>
      <c r="C547" s="31"/>
      <c r="D547" s="32"/>
      <c r="H547" s="32"/>
      <c r="J547" s="32"/>
      <c r="K547" s="41"/>
      <c r="L547" s="32"/>
      <c r="N547" s="32"/>
      <c r="O547" s="41"/>
      <c r="P547" s="315"/>
      <c r="Q547" s="315"/>
      <c r="R547" s="315"/>
      <c r="S547" s="315"/>
      <c r="T547" s="315"/>
    </row>
    <row r="548" spans="1:20" s="30" customFormat="1" x14ac:dyDescent="0.25">
      <c r="A548" s="36"/>
      <c r="B548" s="31"/>
      <c r="C548" s="31"/>
      <c r="D548" s="32"/>
      <c r="H548" s="32"/>
      <c r="J548" s="32"/>
      <c r="K548" s="41"/>
      <c r="L548" s="32"/>
      <c r="N548" s="32"/>
      <c r="O548" s="41"/>
      <c r="P548" s="315"/>
      <c r="Q548" s="315"/>
      <c r="R548" s="315"/>
      <c r="S548" s="315"/>
      <c r="T548" s="315"/>
    </row>
    <row r="549" spans="1:20" s="30" customFormat="1" x14ac:dyDescent="0.25">
      <c r="A549" s="36"/>
      <c r="B549" s="31"/>
      <c r="C549" s="31"/>
      <c r="D549" s="32"/>
      <c r="H549" s="32"/>
      <c r="J549" s="32"/>
      <c r="K549" s="41"/>
      <c r="L549" s="32"/>
      <c r="N549" s="32"/>
      <c r="O549" s="41"/>
      <c r="P549" s="315"/>
      <c r="Q549" s="315"/>
      <c r="R549" s="315"/>
      <c r="S549" s="315"/>
      <c r="T549" s="315"/>
    </row>
    <row r="550" spans="1:20" s="30" customFormat="1" x14ac:dyDescent="0.25">
      <c r="A550" s="36"/>
      <c r="B550" s="31"/>
      <c r="C550" s="31"/>
      <c r="D550" s="32"/>
      <c r="H550" s="32"/>
      <c r="J550" s="32"/>
      <c r="K550" s="41"/>
      <c r="L550" s="32"/>
      <c r="N550" s="32"/>
      <c r="O550" s="41"/>
      <c r="P550" s="315"/>
      <c r="Q550" s="315"/>
      <c r="R550" s="315"/>
      <c r="S550" s="315"/>
      <c r="T550" s="315"/>
    </row>
    <row r="551" spans="1:20" s="30" customFormat="1" x14ac:dyDescent="0.25">
      <c r="A551" s="36"/>
      <c r="B551" s="31"/>
      <c r="C551" s="31"/>
      <c r="D551" s="32"/>
      <c r="H551" s="32"/>
      <c r="J551" s="32"/>
      <c r="K551" s="41"/>
      <c r="L551" s="32"/>
      <c r="N551" s="32"/>
      <c r="O551" s="41"/>
      <c r="P551" s="315"/>
      <c r="Q551" s="315"/>
      <c r="R551" s="315"/>
      <c r="S551" s="315"/>
      <c r="T551" s="315"/>
    </row>
    <row r="552" spans="1:20" s="30" customFormat="1" x14ac:dyDescent="0.25">
      <c r="A552" s="36"/>
      <c r="B552" s="31"/>
      <c r="C552" s="31"/>
      <c r="D552" s="32"/>
      <c r="H552" s="32"/>
      <c r="J552" s="32"/>
      <c r="K552" s="41"/>
      <c r="L552" s="32"/>
      <c r="N552" s="32"/>
      <c r="O552" s="41"/>
      <c r="P552" s="315"/>
      <c r="Q552" s="315"/>
      <c r="R552" s="315"/>
      <c r="S552" s="315"/>
      <c r="T552" s="315"/>
    </row>
    <row r="553" spans="1:20" s="30" customFormat="1" x14ac:dyDescent="0.25">
      <c r="A553" s="36"/>
      <c r="B553" s="31"/>
      <c r="C553" s="31"/>
      <c r="D553" s="32"/>
      <c r="H553" s="32"/>
      <c r="J553" s="32"/>
      <c r="K553" s="41"/>
      <c r="L553" s="32"/>
      <c r="N553" s="32"/>
      <c r="O553" s="41"/>
      <c r="P553" s="315"/>
      <c r="Q553" s="315"/>
      <c r="R553" s="315"/>
      <c r="S553" s="315"/>
      <c r="T553" s="315"/>
    </row>
    <row r="554" spans="1:20" s="30" customFormat="1" x14ac:dyDescent="0.25">
      <c r="A554" s="36"/>
      <c r="B554" s="31"/>
      <c r="C554" s="31"/>
      <c r="D554" s="32"/>
      <c r="H554" s="32"/>
      <c r="J554" s="32"/>
      <c r="K554" s="41"/>
      <c r="L554" s="32"/>
      <c r="N554" s="32"/>
      <c r="O554" s="41"/>
      <c r="P554" s="315"/>
      <c r="Q554" s="315"/>
      <c r="R554" s="315"/>
      <c r="S554" s="315"/>
      <c r="T554" s="315"/>
    </row>
    <row r="555" spans="1:20" s="30" customFormat="1" x14ac:dyDescent="0.25">
      <c r="A555" s="36"/>
      <c r="B555" s="31"/>
      <c r="C555" s="31"/>
      <c r="D555" s="32"/>
      <c r="H555" s="32"/>
      <c r="J555" s="32"/>
      <c r="K555" s="41"/>
      <c r="L555" s="32"/>
      <c r="N555" s="32"/>
      <c r="O555" s="41"/>
      <c r="P555" s="315"/>
      <c r="Q555" s="315"/>
      <c r="R555" s="315"/>
      <c r="S555" s="315"/>
      <c r="T555" s="315"/>
    </row>
    <row r="556" spans="1:20" s="30" customFormat="1" x14ac:dyDescent="0.25">
      <c r="A556" s="36"/>
      <c r="B556" s="31"/>
      <c r="C556" s="31"/>
      <c r="D556" s="32"/>
      <c r="H556" s="32"/>
      <c r="J556" s="32"/>
      <c r="K556" s="41"/>
      <c r="L556" s="32"/>
      <c r="N556" s="32"/>
      <c r="O556" s="41"/>
      <c r="P556" s="315"/>
      <c r="Q556" s="315"/>
      <c r="R556" s="315"/>
      <c r="S556" s="315"/>
      <c r="T556" s="315"/>
    </row>
    <row r="557" spans="1:20" s="30" customFormat="1" x14ac:dyDescent="0.25">
      <c r="A557" s="36"/>
      <c r="B557" s="31"/>
      <c r="C557" s="31"/>
      <c r="D557" s="32"/>
      <c r="H557" s="32"/>
      <c r="J557" s="32"/>
      <c r="K557" s="41"/>
      <c r="L557" s="32"/>
      <c r="N557" s="32"/>
      <c r="O557" s="41"/>
      <c r="P557" s="315"/>
      <c r="Q557" s="315"/>
      <c r="R557" s="315"/>
      <c r="S557" s="315"/>
      <c r="T557" s="315"/>
    </row>
    <row r="558" spans="1:20" s="30" customFormat="1" x14ac:dyDescent="0.25">
      <c r="A558" s="36"/>
      <c r="B558" s="31"/>
      <c r="C558" s="31"/>
      <c r="D558" s="32"/>
      <c r="H558" s="32"/>
      <c r="J558" s="32"/>
      <c r="K558" s="41"/>
      <c r="L558" s="32"/>
      <c r="N558" s="32"/>
      <c r="O558" s="41"/>
      <c r="P558" s="315"/>
      <c r="Q558" s="315"/>
      <c r="R558" s="315"/>
      <c r="S558" s="315"/>
      <c r="T558" s="315"/>
    </row>
    <row r="559" spans="1:20" s="30" customFormat="1" x14ac:dyDescent="0.25">
      <c r="A559" s="36"/>
      <c r="B559" s="31"/>
      <c r="C559" s="31"/>
      <c r="D559" s="32"/>
      <c r="H559" s="32"/>
      <c r="J559" s="32"/>
      <c r="K559" s="41"/>
      <c r="L559" s="32"/>
      <c r="N559" s="32"/>
      <c r="O559" s="41"/>
      <c r="P559" s="315"/>
      <c r="Q559" s="315"/>
      <c r="R559" s="315"/>
      <c r="S559" s="315"/>
      <c r="T559" s="315"/>
    </row>
    <row r="560" spans="1:20" s="30" customFormat="1" x14ac:dyDescent="0.25">
      <c r="A560" s="36"/>
      <c r="B560" s="31"/>
      <c r="C560" s="31"/>
      <c r="D560" s="32"/>
      <c r="H560" s="32"/>
      <c r="J560" s="32"/>
      <c r="K560" s="41"/>
      <c r="L560" s="32"/>
      <c r="N560" s="32"/>
      <c r="O560" s="41"/>
      <c r="P560" s="315"/>
      <c r="Q560" s="315"/>
      <c r="R560" s="315"/>
      <c r="S560" s="315"/>
      <c r="T560" s="315"/>
    </row>
    <row r="561" spans="1:20" s="30" customFormat="1" x14ac:dyDescent="0.25">
      <c r="A561" s="36"/>
      <c r="B561" s="31"/>
      <c r="C561" s="31"/>
      <c r="D561" s="32"/>
      <c r="H561" s="32"/>
      <c r="J561" s="32"/>
      <c r="K561" s="41"/>
      <c r="L561" s="32"/>
      <c r="N561" s="32"/>
      <c r="O561" s="41"/>
      <c r="P561" s="315"/>
      <c r="Q561" s="315"/>
      <c r="R561" s="315"/>
      <c r="S561" s="315"/>
      <c r="T561" s="315"/>
    </row>
    <row r="562" spans="1:20" s="30" customFormat="1" x14ac:dyDescent="0.25">
      <c r="A562" s="36"/>
      <c r="B562" s="31"/>
      <c r="C562" s="31"/>
      <c r="D562" s="32"/>
      <c r="H562" s="32"/>
      <c r="J562" s="32"/>
      <c r="K562" s="41"/>
      <c r="L562" s="32"/>
      <c r="N562" s="32"/>
      <c r="O562" s="41"/>
      <c r="P562" s="315"/>
      <c r="Q562" s="315"/>
      <c r="R562" s="315"/>
      <c r="S562" s="315"/>
      <c r="T562" s="315"/>
    </row>
    <row r="563" spans="1:20" s="30" customFormat="1" x14ac:dyDescent="0.25">
      <c r="A563" s="36"/>
      <c r="B563" s="31"/>
      <c r="C563" s="31"/>
      <c r="D563" s="32"/>
      <c r="H563" s="32"/>
      <c r="J563" s="32"/>
      <c r="K563" s="41"/>
      <c r="L563" s="32"/>
      <c r="N563" s="32"/>
      <c r="O563" s="41"/>
      <c r="P563" s="315"/>
      <c r="Q563" s="315"/>
      <c r="R563" s="315"/>
      <c r="S563" s="315"/>
      <c r="T563" s="315"/>
    </row>
    <row r="564" spans="1:20" s="30" customFormat="1" x14ac:dyDescent="0.25">
      <c r="A564" s="36"/>
      <c r="B564" s="31"/>
      <c r="C564" s="31"/>
      <c r="D564" s="32"/>
      <c r="H564" s="32"/>
      <c r="J564" s="32"/>
      <c r="K564" s="41"/>
      <c r="L564" s="32"/>
      <c r="N564" s="32"/>
      <c r="O564" s="41"/>
      <c r="P564" s="315"/>
      <c r="Q564" s="315"/>
      <c r="R564" s="315"/>
      <c r="S564" s="315"/>
      <c r="T564" s="315"/>
    </row>
    <row r="565" spans="1:20" s="30" customFormat="1" x14ac:dyDescent="0.25">
      <c r="A565" s="36"/>
      <c r="B565" s="31"/>
      <c r="C565" s="31"/>
      <c r="D565" s="32"/>
      <c r="H565" s="32"/>
      <c r="J565" s="32"/>
      <c r="K565" s="41"/>
      <c r="L565" s="32"/>
      <c r="N565" s="32"/>
      <c r="O565" s="41"/>
      <c r="P565" s="315"/>
      <c r="Q565" s="315"/>
      <c r="R565" s="315"/>
      <c r="S565" s="315"/>
      <c r="T565" s="315"/>
    </row>
    <row r="566" spans="1:20" s="30" customFormat="1" x14ac:dyDescent="0.25">
      <c r="A566" s="36"/>
      <c r="B566" s="31"/>
      <c r="C566" s="31"/>
      <c r="D566" s="32"/>
      <c r="H566" s="32"/>
      <c r="J566" s="32"/>
      <c r="K566" s="41"/>
      <c r="L566" s="32"/>
      <c r="N566" s="32"/>
      <c r="O566" s="41"/>
      <c r="P566" s="315"/>
      <c r="Q566" s="315"/>
      <c r="R566" s="315"/>
      <c r="S566" s="315"/>
      <c r="T566" s="315"/>
    </row>
    <row r="567" spans="1:20" s="30" customFormat="1" x14ac:dyDescent="0.25">
      <c r="A567" s="36"/>
      <c r="B567" s="31"/>
      <c r="C567" s="31"/>
      <c r="D567" s="32"/>
      <c r="H567" s="32"/>
      <c r="J567" s="32"/>
      <c r="K567" s="41"/>
      <c r="L567" s="32"/>
      <c r="N567" s="32"/>
      <c r="O567" s="41"/>
      <c r="P567" s="315"/>
      <c r="Q567" s="315"/>
      <c r="R567" s="315"/>
      <c r="S567" s="315"/>
      <c r="T567" s="315"/>
    </row>
    <row r="568" spans="1:20" s="30" customFormat="1" x14ac:dyDescent="0.25">
      <c r="A568" s="36"/>
      <c r="B568" s="31"/>
      <c r="C568" s="31"/>
      <c r="D568" s="32"/>
      <c r="H568" s="32"/>
      <c r="J568" s="32"/>
      <c r="K568" s="41"/>
      <c r="L568" s="32"/>
      <c r="N568" s="32"/>
      <c r="O568" s="41"/>
      <c r="P568" s="315"/>
      <c r="Q568" s="315"/>
      <c r="R568" s="315"/>
      <c r="S568" s="315"/>
      <c r="T568" s="315"/>
    </row>
    <row r="569" spans="1:20" s="30" customFormat="1" x14ac:dyDescent="0.25">
      <c r="A569" s="36"/>
      <c r="B569" s="31"/>
      <c r="C569" s="31"/>
      <c r="D569" s="32"/>
      <c r="H569" s="32"/>
      <c r="J569" s="32"/>
      <c r="K569" s="41"/>
      <c r="L569" s="32"/>
      <c r="N569" s="32"/>
      <c r="O569" s="41"/>
      <c r="P569" s="315"/>
      <c r="Q569" s="315"/>
      <c r="R569" s="315"/>
      <c r="S569" s="315"/>
      <c r="T569" s="315"/>
    </row>
    <row r="570" spans="1:20" s="30" customFormat="1" x14ac:dyDescent="0.25">
      <c r="A570" s="36"/>
      <c r="B570" s="31"/>
      <c r="C570" s="31"/>
      <c r="D570" s="32"/>
      <c r="H570" s="32"/>
      <c r="J570" s="32"/>
      <c r="K570" s="41"/>
      <c r="L570" s="32"/>
      <c r="N570" s="32"/>
      <c r="O570" s="41"/>
      <c r="P570" s="315"/>
      <c r="Q570" s="315"/>
      <c r="R570" s="315"/>
      <c r="S570" s="315"/>
      <c r="T570" s="315"/>
    </row>
    <row r="571" spans="1:20" s="30" customFormat="1" x14ac:dyDescent="0.25">
      <c r="A571" s="36"/>
      <c r="B571" s="31"/>
      <c r="C571" s="31"/>
      <c r="D571" s="32"/>
      <c r="H571" s="32"/>
      <c r="J571" s="32"/>
      <c r="K571" s="41"/>
      <c r="L571" s="32"/>
      <c r="N571" s="32"/>
      <c r="O571" s="41"/>
      <c r="P571" s="315"/>
      <c r="Q571" s="315"/>
      <c r="R571" s="315"/>
      <c r="S571" s="315"/>
      <c r="T571" s="315"/>
    </row>
    <row r="572" spans="1:20" s="30" customFormat="1" x14ac:dyDescent="0.25">
      <c r="A572" s="36"/>
      <c r="B572" s="31"/>
      <c r="C572" s="31"/>
      <c r="D572" s="32"/>
      <c r="H572" s="32"/>
      <c r="J572" s="32"/>
      <c r="K572" s="41"/>
      <c r="L572" s="32"/>
      <c r="N572" s="32"/>
      <c r="O572" s="41"/>
      <c r="P572" s="315"/>
      <c r="Q572" s="315"/>
      <c r="R572" s="315"/>
      <c r="S572" s="315"/>
      <c r="T572" s="315"/>
    </row>
    <row r="573" spans="1:20" s="30" customFormat="1" x14ac:dyDescent="0.25">
      <c r="A573" s="36"/>
      <c r="B573" s="31"/>
      <c r="C573" s="31"/>
      <c r="D573" s="32"/>
      <c r="H573" s="32"/>
      <c r="J573" s="32"/>
      <c r="K573" s="41"/>
      <c r="L573" s="32"/>
      <c r="N573" s="32"/>
      <c r="O573" s="41"/>
      <c r="P573" s="315"/>
      <c r="Q573" s="315"/>
      <c r="R573" s="315"/>
      <c r="S573" s="315"/>
      <c r="T573" s="315"/>
    </row>
    <row r="574" spans="1:20" s="30" customFormat="1" x14ac:dyDescent="0.25">
      <c r="A574" s="36"/>
      <c r="B574" s="31"/>
      <c r="C574" s="31"/>
      <c r="D574" s="32"/>
      <c r="H574" s="32"/>
      <c r="J574" s="32"/>
      <c r="K574" s="41"/>
      <c r="L574" s="32"/>
      <c r="N574" s="32"/>
      <c r="O574" s="41"/>
      <c r="P574" s="315"/>
      <c r="Q574" s="315"/>
      <c r="R574" s="315"/>
      <c r="S574" s="315"/>
      <c r="T574" s="315"/>
    </row>
    <row r="575" spans="1:20" s="30" customFormat="1" x14ac:dyDescent="0.25">
      <c r="A575" s="36"/>
      <c r="B575" s="31"/>
      <c r="C575" s="31"/>
      <c r="D575" s="32"/>
      <c r="H575" s="32"/>
      <c r="J575" s="32"/>
      <c r="K575" s="41"/>
      <c r="L575" s="32"/>
      <c r="N575" s="32"/>
      <c r="O575" s="41"/>
      <c r="P575" s="315"/>
      <c r="Q575" s="315"/>
      <c r="R575" s="315"/>
      <c r="S575" s="315"/>
      <c r="T575" s="315"/>
    </row>
    <row r="576" spans="1:20" s="30" customFormat="1" x14ac:dyDescent="0.25">
      <c r="A576" s="36"/>
      <c r="B576" s="31"/>
      <c r="C576" s="31"/>
      <c r="D576" s="32"/>
      <c r="H576" s="32"/>
      <c r="J576" s="32"/>
      <c r="K576" s="41"/>
      <c r="L576" s="32"/>
      <c r="N576" s="32"/>
      <c r="O576" s="41"/>
      <c r="P576" s="315"/>
      <c r="Q576" s="315"/>
      <c r="R576" s="315"/>
      <c r="S576" s="315"/>
      <c r="T576" s="315"/>
    </row>
    <row r="577" spans="1:20" s="30" customFormat="1" x14ac:dyDescent="0.25">
      <c r="A577" s="36"/>
      <c r="B577" s="31"/>
      <c r="C577" s="31"/>
      <c r="D577" s="32"/>
      <c r="H577" s="32"/>
      <c r="J577" s="32"/>
      <c r="K577" s="41"/>
      <c r="L577" s="32"/>
      <c r="N577" s="32"/>
      <c r="O577" s="41"/>
      <c r="P577" s="315"/>
      <c r="Q577" s="315"/>
      <c r="R577" s="315"/>
      <c r="S577" s="315"/>
      <c r="T577" s="315"/>
    </row>
    <row r="578" spans="1:20" s="30" customFormat="1" x14ac:dyDescent="0.25">
      <c r="A578" s="36"/>
      <c r="B578" s="31"/>
      <c r="C578" s="31"/>
      <c r="D578" s="32"/>
      <c r="H578" s="32"/>
      <c r="J578" s="32"/>
      <c r="K578" s="41"/>
      <c r="L578" s="32"/>
      <c r="N578" s="32"/>
      <c r="O578" s="41"/>
      <c r="P578" s="315"/>
      <c r="Q578" s="315"/>
      <c r="R578" s="315"/>
      <c r="S578" s="315"/>
      <c r="T578" s="315"/>
    </row>
    <row r="579" spans="1:20" s="30" customFormat="1" x14ac:dyDescent="0.25">
      <c r="A579" s="36"/>
      <c r="B579" s="31"/>
      <c r="C579" s="31"/>
      <c r="D579" s="32"/>
      <c r="H579" s="32"/>
      <c r="J579" s="32"/>
      <c r="K579" s="41"/>
      <c r="L579" s="32"/>
      <c r="N579" s="32"/>
      <c r="O579" s="41"/>
      <c r="P579" s="315"/>
      <c r="Q579" s="315"/>
      <c r="R579" s="315"/>
      <c r="S579" s="315"/>
      <c r="T579" s="315"/>
    </row>
    <row r="580" spans="1:20" s="30" customFormat="1" x14ac:dyDescent="0.25">
      <c r="A580" s="36"/>
      <c r="B580" s="31"/>
      <c r="C580" s="31"/>
      <c r="D580" s="32"/>
      <c r="H580" s="32"/>
      <c r="J580" s="32"/>
      <c r="K580" s="41"/>
      <c r="L580" s="32"/>
      <c r="N580" s="32"/>
      <c r="O580" s="41"/>
      <c r="P580" s="315"/>
      <c r="Q580" s="315"/>
      <c r="R580" s="315"/>
      <c r="S580" s="315"/>
      <c r="T580" s="315"/>
    </row>
    <row r="581" spans="1:20" s="30" customFormat="1" x14ac:dyDescent="0.25">
      <c r="A581" s="36"/>
      <c r="B581" s="31"/>
      <c r="C581" s="31"/>
      <c r="D581" s="32"/>
      <c r="H581" s="32"/>
      <c r="J581" s="32"/>
      <c r="K581" s="41"/>
      <c r="L581" s="32"/>
      <c r="N581" s="32"/>
      <c r="O581" s="41"/>
      <c r="P581" s="315"/>
      <c r="Q581" s="315"/>
      <c r="R581" s="315"/>
      <c r="S581" s="315"/>
      <c r="T581" s="315"/>
    </row>
    <row r="582" spans="1:20" s="30" customFormat="1" x14ac:dyDescent="0.25">
      <c r="A582" s="36"/>
      <c r="B582" s="31"/>
      <c r="C582" s="31"/>
      <c r="D582" s="32"/>
      <c r="H582" s="32"/>
      <c r="J582" s="32"/>
      <c r="K582" s="41"/>
      <c r="L582" s="32"/>
      <c r="N582" s="32"/>
      <c r="O582" s="41"/>
      <c r="P582" s="315"/>
      <c r="Q582" s="315"/>
      <c r="R582" s="315"/>
      <c r="S582" s="315"/>
      <c r="T582" s="315"/>
    </row>
    <row r="583" spans="1:20" s="30" customFormat="1" x14ac:dyDescent="0.25">
      <c r="A583" s="36"/>
      <c r="B583" s="31"/>
      <c r="C583" s="31"/>
      <c r="D583" s="32"/>
      <c r="H583" s="32"/>
      <c r="J583" s="32"/>
      <c r="K583" s="41"/>
      <c r="L583" s="32"/>
      <c r="N583" s="32"/>
      <c r="O583" s="41"/>
      <c r="P583" s="315"/>
      <c r="Q583" s="315"/>
      <c r="R583" s="315"/>
      <c r="S583" s="315"/>
      <c r="T583" s="315"/>
    </row>
    <row r="584" spans="1:20" s="30" customFormat="1" x14ac:dyDescent="0.25">
      <c r="A584" s="36"/>
      <c r="B584" s="31"/>
      <c r="C584" s="31"/>
      <c r="D584" s="32"/>
      <c r="H584" s="32"/>
      <c r="J584" s="32"/>
      <c r="K584" s="41"/>
      <c r="L584" s="32"/>
      <c r="N584" s="32"/>
      <c r="O584" s="41"/>
      <c r="P584" s="315"/>
      <c r="Q584" s="315"/>
      <c r="R584" s="315"/>
      <c r="S584" s="315"/>
      <c r="T584" s="315"/>
    </row>
    <row r="585" spans="1:20" s="30" customFormat="1" x14ac:dyDescent="0.25">
      <c r="A585" s="36"/>
      <c r="B585" s="31"/>
      <c r="C585" s="31"/>
      <c r="D585" s="32"/>
      <c r="H585" s="32"/>
      <c r="J585" s="32"/>
      <c r="K585" s="41"/>
      <c r="L585" s="32"/>
      <c r="N585" s="32"/>
      <c r="O585" s="41"/>
      <c r="P585" s="315"/>
      <c r="Q585" s="315"/>
      <c r="R585" s="315"/>
      <c r="S585" s="315"/>
      <c r="T585" s="315"/>
    </row>
    <row r="586" spans="1:20" s="30" customFormat="1" x14ac:dyDescent="0.25">
      <c r="A586" s="36"/>
      <c r="B586" s="31"/>
      <c r="C586" s="31"/>
      <c r="D586" s="32"/>
      <c r="H586" s="32"/>
      <c r="J586" s="32"/>
      <c r="K586" s="41"/>
      <c r="L586" s="32"/>
      <c r="N586" s="32"/>
      <c r="O586" s="41"/>
      <c r="P586" s="315"/>
      <c r="Q586" s="315"/>
      <c r="R586" s="315"/>
      <c r="S586" s="315"/>
      <c r="T586" s="315"/>
    </row>
    <row r="587" spans="1:20" s="30" customFormat="1" x14ac:dyDescent="0.25">
      <c r="A587" s="36"/>
      <c r="B587" s="31"/>
      <c r="C587" s="31"/>
      <c r="D587" s="32"/>
      <c r="H587" s="32"/>
      <c r="J587" s="32"/>
      <c r="K587" s="41"/>
      <c r="L587" s="32"/>
      <c r="N587" s="32"/>
      <c r="O587" s="41"/>
      <c r="P587" s="315"/>
      <c r="Q587" s="315"/>
      <c r="R587" s="315"/>
      <c r="S587" s="315"/>
      <c r="T587" s="315"/>
    </row>
    <row r="588" spans="1:20" s="30" customFormat="1" x14ac:dyDescent="0.25">
      <c r="A588" s="36"/>
      <c r="B588" s="31"/>
      <c r="C588" s="31"/>
      <c r="D588" s="32"/>
      <c r="H588" s="32"/>
      <c r="J588" s="32"/>
      <c r="K588" s="41"/>
      <c r="L588" s="32"/>
      <c r="N588" s="32"/>
      <c r="O588" s="41"/>
      <c r="P588" s="315"/>
      <c r="Q588" s="315"/>
      <c r="R588" s="315"/>
      <c r="S588" s="315"/>
      <c r="T588" s="315"/>
    </row>
    <row r="589" spans="1:20" s="30" customFormat="1" x14ac:dyDescent="0.25">
      <c r="A589" s="36"/>
      <c r="B589" s="31"/>
      <c r="C589" s="31"/>
      <c r="D589" s="32"/>
      <c r="H589" s="32"/>
      <c r="J589" s="32"/>
      <c r="K589" s="41"/>
      <c r="L589" s="32"/>
      <c r="N589" s="32"/>
      <c r="O589" s="41"/>
      <c r="P589" s="315"/>
      <c r="Q589" s="315"/>
      <c r="R589" s="315"/>
      <c r="S589" s="315"/>
      <c r="T589" s="315"/>
    </row>
    <row r="590" spans="1:20" s="30" customFormat="1" x14ac:dyDescent="0.25">
      <c r="A590" s="36"/>
      <c r="B590" s="31"/>
      <c r="C590" s="31"/>
      <c r="D590" s="32"/>
      <c r="H590" s="32"/>
      <c r="J590" s="32"/>
      <c r="K590" s="41"/>
      <c r="L590" s="32"/>
      <c r="N590" s="32"/>
      <c r="O590" s="41"/>
      <c r="P590" s="315"/>
      <c r="Q590" s="315"/>
      <c r="R590" s="315"/>
      <c r="S590" s="315"/>
      <c r="T590" s="315"/>
    </row>
    <row r="591" spans="1:20" s="30" customFormat="1" x14ac:dyDescent="0.25">
      <c r="A591" s="36"/>
      <c r="B591" s="31"/>
      <c r="C591" s="31"/>
      <c r="D591" s="32"/>
      <c r="H591" s="32"/>
      <c r="J591" s="32"/>
      <c r="K591" s="41"/>
      <c r="L591" s="32"/>
      <c r="N591" s="32"/>
      <c r="O591" s="41"/>
      <c r="P591" s="315"/>
      <c r="Q591" s="315"/>
      <c r="R591" s="315"/>
      <c r="S591" s="315"/>
      <c r="T591" s="315"/>
    </row>
    <row r="592" spans="1:20" s="30" customFormat="1" x14ac:dyDescent="0.25">
      <c r="A592" s="36"/>
      <c r="B592" s="31"/>
      <c r="C592" s="31"/>
      <c r="D592" s="32"/>
      <c r="H592" s="32"/>
      <c r="J592" s="32"/>
      <c r="K592" s="41"/>
      <c r="L592" s="32"/>
      <c r="N592" s="32"/>
      <c r="O592" s="41"/>
      <c r="P592" s="315"/>
      <c r="Q592" s="315"/>
      <c r="R592" s="315"/>
      <c r="S592" s="315"/>
      <c r="T592" s="315"/>
    </row>
    <row r="593" spans="1:20" s="30" customFormat="1" x14ac:dyDescent="0.25">
      <c r="A593" s="36"/>
      <c r="B593" s="31"/>
      <c r="C593" s="31"/>
      <c r="D593" s="32"/>
      <c r="H593" s="32"/>
      <c r="J593" s="32"/>
      <c r="K593" s="41"/>
      <c r="L593" s="32"/>
      <c r="N593" s="32"/>
      <c r="O593" s="41"/>
      <c r="P593" s="315"/>
      <c r="Q593" s="315"/>
      <c r="R593" s="315"/>
      <c r="S593" s="315"/>
      <c r="T593" s="315"/>
    </row>
    <row r="594" spans="1:20" s="30" customFormat="1" x14ac:dyDescent="0.25">
      <c r="A594" s="36"/>
      <c r="B594" s="31"/>
      <c r="C594" s="31"/>
      <c r="D594" s="32"/>
      <c r="H594" s="32"/>
      <c r="J594" s="32"/>
      <c r="K594" s="41"/>
      <c r="L594" s="32"/>
      <c r="N594" s="32"/>
      <c r="O594" s="41"/>
      <c r="P594" s="315"/>
      <c r="Q594" s="315"/>
      <c r="R594" s="315"/>
      <c r="S594" s="315"/>
      <c r="T594" s="315"/>
    </row>
    <row r="595" spans="1:20" s="30" customFormat="1" x14ac:dyDescent="0.25">
      <c r="A595" s="36"/>
      <c r="B595" s="31"/>
      <c r="C595" s="31"/>
      <c r="D595" s="32"/>
      <c r="H595" s="32"/>
      <c r="J595" s="32"/>
      <c r="K595" s="41"/>
      <c r="L595" s="32"/>
      <c r="N595" s="32"/>
      <c r="O595" s="41"/>
      <c r="P595" s="315"/>
      <c r="Q595" s="315"/>
      <c r="R595" s="315"/>
      <c r="S595" s="315"/>
      <c r="T595" s="315"/>
    </row>
    <row r="596" spans="1:20" s="30" customFormat="1" x14ac:dyDescent="0.25">
      <c r="A596" s="36"/>
      <c r="B596" s="31"/>
      <c r="C596" s="31"/>
      <c r="D596" s="32"/>
      <c r="H596" s="32"/>
      <c r="J596" s="32"/>
      <c r="K596" s="41"/>
      <c r="L596" s="32"/>
      <c r="N596" s="32"/>
      <c r="O596" s="41"/>
      <c r="P596" s="315"/>
      <c r="Q596" s="315"/>
      <c r="R596" s="315"/>
      <c r="S596" s="315"/>
      <c r="T596" s="315"/>
    </row>
    <row r="597" spans="1:20" s="30" customFormat="1" x14ac:dyDescent="0.25">
      <c r="A597" s="36"/>
      <c r="B597" s="31"/>
      <c r="C597" s="31"/>
      <c r="D597" s="32"/>
      <c r="H597" s="32"/>
      <c r="J597" s="32"/>
      <c r="K597" s="41"/>
      <c r="L597" s="32"/>
      <c r="N597" s="32"/>
      <c r="O597" s="41"/>
      <c r="P597" s="315"/>
      <c r="Q597" s="315"/>
      <c r="R597" s="315"/>
      <c r="S597" s="315"/>
      <c r="T597" s="315"/>
    </row>
    <row r="598" spans="1:20" s="30" customFormat="1" x14ac:dyDescent="0.25">
      <c r="A598" s="36"/>
      <c r="B598" s="31"/>
      <c r="C598" s="31"/>
      <c r="D598" s="32"/>
      <c r="H598" s="32"/>
      <c r="J598" s="32"/>
      <c r="K598" s="41"/>
      <c r="L598" s="32"/>
      <c r="N598" s="32"/>
      <c r="O598" s="41"/>
      <c r="P598" s="315"/>
      <c r="Q598" s="315"/>
      <c r="R598" s="315"/>
      <c r="S598" s="315"/>
      <c r="T598" s="315"/>
    </row>
    <row r="599" spans="1:20" s="30" customFormat="1" x14ac:dyDescent="0.25">
      <c r="A599" s="36"/>
      <c r="B599" s="31"/>
      <c r="C599" s="31"/>
      <c r="D599" s="32"/>
      <c r="H599" s="32"/>
      <c r="J599" s="32"/>
      <c r="K599" s="41"/>
      <c r="L599" s="32"/>
      <c r="N599" s="32"/>
      <c r="O599" s="41"/>
      <c r="P599" s="315"/>
      <c r="Q599" s="315"/>
      <c r="R599" s="315"/>
      <c r="S599" s="315"/>
      <c r="T599" s="315"/>
    </row>
    <row r="600" spans="1:20" s="30" customFormat="1" x14ac:dyDescent="0.25">
      <c r="A600" s="36"/>
      <c r="B600" s="31"/>
      <c r="C600" s="31"/>
      <c r="D600" s="32"/>
      <c r="H600" s="32"/>
      <c r="J600" s="32"/>
      <c r="K600" s="41"/>
      <c r="L600" s="32"/>
      <c r="N600" s="32"/>
      <c r="O600" s="41"/>
      <c r="P600" s="315"/>
      <c r="Q600" s="315"/>
      <c r="R600" s="315"/>
      <c r="S600" s="315"/>
      <c r="T600" s="315"/>
    </row>
    <row r="601" spans="1:20" s="30" customFormat="1" x14ac:dyDescent="0.25">
      <c r="A601" s="36"/>
      <c r="B601" s="31"/>
      <c r="C601" s="31"/>
      <c r="D601" s="32"/>
      <c r="H601" s="32"/>
      <c r="J601" s="32"/>
      <c r="K601" s="41"/>
      <c r="L601" s="32"/>
      <c r="N601" s="32"/>
      <c r="O601" s="41"/>
      <c r="P601" s="315"/>
      <c r="Q601" s="315"/>
      <c r="R601" s="315"/>
      <c r="S601" s="315"/>
      <c r="T601" s="315"/>
    </row>
    <row r="602" spans="1:20" s="30" customFormat="1" x14ac:dyDescent="0.25">
      <c r="A602" s="36"/>
      <c r="B602" s="31"/>
      <c r="C602" s="31"/>
      <c r="D602" s="32"/>
      <c r="H602" s="32"/>
      <c r="J602" s="32"/>
      <c r="K602" s="41"/>
      <c r="L602" s="32"/>
      <c r="N602" s="32"/>
      <c r="O602" s="41"/>
      <c r="P602" s="315"/>
      <c r="Q602" s="315"/>
      <c r="R602" s="315"/>
      <c r="S602" s="315"/>
      <c r="T602" s="315"/>
    </row>
    <row r="603" spans="1:20" s="30" customFormat="1" x14ac:dyDescent="0.25">
      <c r="A603" s="36"/>
      <c r="B603" s="31"/>
      <c r="C603" s="31"/>
      <c r="D603" s="32"/>
      <c r="H603" s="32"/>
      <c r="J603" s="32"/>
      <c r="K603" s="41"/>
      <c r="L603" s="32"/>
      <c r="N603" s="32"/>
      <c r="O603" s="41"/>
      <c r="P603" s="315"/>
      <c r="Q603" s="315"/>
      <c r="R603" s="315"/>
      <c r="S603" s="315"/>
      <c r="T603" s="315"/>
    </row>
    <row r="604" spans="1:20" s="30" customFormat="1" x14ac:dyDescent="0.25">
      <c r="A604" s="36"/>
      <c r="B604" s="31"/>
      <c r="C604" s="31"/>
      <c r="D604" s="32"/>
      <c r="H604" s="32"/>
      <c r="J604" s="32"/>
      <c r="K604" s="41"/>
      <c r="L604" s="32"/>
      <c r="N604" s="32"/>
      <c r="O604" s="41"/>
      <c r="P604" s="315"/>
      <c r="Q604" s="315"/>
      <c r="R604" s="315"/>
      <c r="S604" s="315"/>
      <c r="T604" s="315"/>
    </row>
    <row r="605" spans="1:20" s="30" customFormat="1" x14ac:dyDescent="0.25">
      <c r="A605" s="36"/>
      <c r="B605" s="31"/>
      <c r="C605" s="31"/>
      <c r="D605" s="32"/>
      <c r="H605" s="32"/>
      <c r="J605" s="32"/>
      <c r="K605" s="41"/>
      <c r="L605" s="32"/>
      <c r="N605" s="32"/>
      <c r="O605" s="41"/>
      <c r="P605" s="315"/>
      <c r="Q605" s="315"/>
      <c r="R605" s="315"/>
      <c r="S605" s="315"/>
      <c r="T605" s="315"/>
    </row>
    <row r="606" spans="1:20" s="30" customFormat="1" x14ac:dyDescent="0.25">
      <c r="A606" s="36"/>
      <c r="B606" s="31"/>
      <c r="C606" s="31"/>
      <c r="D606" s="32"/>
      <c r="H606" s="32"/>
      <c r="J606" s="32"/>
      <c r="K606" s="41"/>
      <c r="L606" s="32"/>
      <c r="N606" s="32"/>
      <c r="O606" s="41"/>
      <c r="P606" s="315"/>
      <c r="Q606" s="315"/>
      <c r="R606" s="315"/>
      <c r="S606" s="315"/>
      <c r="T606" s="315"/>
    </row>
    <row r="607" spans="1:20" s="30" customFormat="1" x14ac:dyDescent="0.25">
      <c r="A607" s="36"/>
      <c r="B607" s="31"/>
      <c r="C607" s="31"/>
      <c r="D607" s="32"/>
      <c r="H607" s="32"/>
      <c r="J607" s="32"/>
      <c r="K607" s="41"/>
      <c r="L607" s="32"/>
      <c r="N607" s="32"/>
      <c r="O607" s="41"/>
      <c r="P607" s="315"/>
      <c r="Q607" s="315"/>
      <c r="R607" s="315"/>
      <c r="S607" s="315"/>
      <c r="T607" s="315"/>
    </row>
    <row r="608" spans="1:20" s="30" customFormat="1" x14ac:dyDescent="0.25">
      <c r="A608" s="36"/>
      <c r="B608" s="31"/>
      <c r="C608" s="31"/>
      <c r="D608" s="32"/>
      <c r="H608" s="32"/>
      <c r="J608" s="32"/>
      <c r="K608" s="41"/>
      <c r="L608" s="32"/>
      <c r="N608" s="32"/>
      <c r="O608" s="41"/>
      <c r="P608" s="315"/>
      <c r="Q608" s="315"/>
      <c r="R608" s="315"/>
      <c r="S608" s="315"/>
      <c r="T608" s="315"/>
    </row>
    <row r="609" spans="1:20" s="30" customFormat="1" x14ac:dyDescent="0.25">
      <c r="A609" s="36"/>
      <c r="B609" s="31"/>
      <c r="C609" s="31"/>
      <c r="D609" s="32"/>
      <c r="H609" s="32"/>
      <c r="J609" s="32"/>
      <c r="K609" s="41"/>
      <c r="L609" s="32"/>
      <c r="N609" s="32"/>
      <c r="O609" s="41"/>
      <c r="P609" s="315"/>
      <c r="Q609" s="315"/>
      <c r="R609" s="315"/>
      <c r="S609" s="315"/>
      <c r="T609" s="315"/>
    </row>
    <row r="610" spans="1:20" s="30" customFormat="1" x14ac:dyDescent="0.25">
      <c r="A610" s="36"/>
      <c r="B610" s="31"/>
      <c r="C610" s="31"/>
      <c r="D610" s="32"/>
      <c r="H610" s="32"/>
      <c r="J610" s="32"/>
      <c r="K610" s="41"/>
      <c r="L610" s="32"/>
      <c r="N610" s="32"/>
      <c r="O610" s="41"/>
      <c r="P610" s="315"/>
      <c r="Q610" s="315"/>
      <c r="R610" s="315"/>
      <c r="S610" s="315"/>
      <c r="T610" s="315"/>
    </row>
    <row r="611" spans="1:20" s="30" customFormat="1" x14ac:dyDescent="0.25">
      <c r="A611" s="36"/>
      <c r="B611" s="31"/>
      <c r="C611" s="31"/>
      <c r="D611" s="32"/>
      <c r="H611" s="32"/>
      <c r="J611" s="32"/>
      <c r="K611" s="41"/>
      <c r="L611" s="32"/>
      <c r="N611" s="32"/>
      <c r="O611" s="41"/>
      <c r="P611" s="315"/>
      <c r="Q611" s="315"/>
      <c r="R611" s="315"/>
      <c r="S611" s="315"/>
      <c r="T611" s="315"/>
    </row>
    <row r="612" spans="1:20" s="30" customFormat="1" x14ac:dyDescent="0.25">
      <c r="A612" s="36"/>
      <c r="B612" s="31"/>
      <c r="C612" s="31"/>
      <c r="D612" s="32"/>
      <c r="H612" s="32"/>
      <c r="J612" s="32"/>
      <c r="K612" s="41"/>
      <c r="L612" s="32"/>
      <c r="N612" s="32"/>
      <c r="O612" s="41"/>
      <c r="P612" s="315"/>
      <c r="Q612" s="315"/>
      <c r="R612" s="315"/>
      <c r="S612" s="315"/>
      <c r="T612" s="315"/>
    </row>
    <row r="613" spans="1:20" s="30" customFormat="1" x14ac:dyDescent="0.25">
      <c r="A613" s="36"/>
      <c r="B613" s="31"/>
      <c r="C613" s="31"/>
      <c r="D613" s="32"/>
      <c r="H613" s="32"/>
      <c r="J613" s="32"/>
      <c r="K613" s="41"/>
      <c r="L613" s="32"/>
      <c r="N613" s="32"/>
      <c r="O613" s="41"/>
      <c r="P613" s="315"/>
      <c r="Q613" s="315"/>
      <c r="R613" s="315"/>
      <c r="S613" s="315"/>
      <c r="T613" s="315"/>
    </row>
    <row r="614" spans="1:20" s="30" customFormat="1" x14ac:dyDescent="0.25">
      <c r="A614" s="36"/>
      <c r="B614" s="31"/>
      <c r="C614" s="31"/>
      <c r="D614" s="32"/>
      <c r="H614" s="32"/>
      <c r="J614" s="32"/>
      <c r="K614" s="41"/>
      <c r="L614" s="32"/>
      <c r="N614" s="32"/>
      <c r="O614" s="41"/>
      <c r="P614" s="315"/>
      <c r="Q614" s="315"/>
      <c r="R614" s="315"/>
      <c r="S614" s="315"/>
      <c r="T614" s="315"/>
    </row>
    <row r="615" spans="1:20" s="30" customFormat="1" x14ac:dyDescent="0.25">
      <c r="A615" s="36"/>
      <c r="B615" s="31"/>
      <c r="C615" s="31"/>
      <c r="D615" s="32"/>
      <c r="H615" s="32"/>
      <c r="J615" s="32"/>
      <c r="K615" s="41"/>
      <c r="L615" s="32"/>
      <c r="N615" s="32"/>
      <c r="O615" s="41"/>
      <c r="P615" s="315"/>
      <c r="Q615" s="315"/>
      <c r="R615" s="315"/>
      <c r="S615" s="315"/>
      <c r="T615" s="315"/>
    </row>
    <row r="616" spans="1:20" s="30" customFormat="1" x14ac:dyDescent="0.25">
      <c r="A616" s="36"/>
      <c r="B616" s="31"/>
      <c r="C616" s="31"/>
      <c r="D616" s="32"/>
      <c r="H616" s="32"/>
      <c r="J616" s="32"/>
      <c r="K616" s="41"/>
      <c r="L616" s="32"/>
      <c r="N616" s="32"/>
      <c r="O616" s="41"/>
      <c r="P616" s="315"/>
      <c r="Q616" s="315"/>
      <c r="R616" s="315"/>
      <c r="S616" s="315"/>
      <c r="T616" s="315"/>
    </row>
    <row r="617" spans="1:20" s="30" customFormat="1" x14ac:dyDescent="0.25">
      <c r="A617" s="36"/>
      <c r="B617" s="31"/>
      <c r="C617" s="31"/>
      <c r="D617" s="32"/>
      <c r="H617" s="32"/>
      <c r="J617" s="32"/>
      <c r="K617" s="41"/>
      <c r="L617" s="32"/>
      <c r="N617" s="32"/>
      <c r="O617" s="41"/>
      <c r="P617" s="315"/>
      <c r="Q617" s="315"/>
      <c r="R617" s="315"/>
      <c r="S617" s="315"/>
      <c r="T617" s="315"/>
    </row>
    <row r="618" spans="1:20" s="30" customFormat="1" x14ac:dyDescent="0.25">
      <c r="A618" s="36"/>
      <c r="B618" s="31"/>
      <c r="C618" s="31"/>
      <c r="D618" s="32"/>
      <c r="H618" s="32"/>
      <c r="J618" s="32"/>
      <c r="K618" s="41"/>
      <c r="L618" s="32"/>
      <c r="N618" s="32"/>
      <c r="O618" s="41"/>
      <c r="P618" s="315"/>
      <c r="Q618" s="315"/>
      <c r="R618" s="315"/>
      <c r="S618" s="315"/>
      <c r="T618" s="315"/>
    </row>
    <row r="619" spans="1:20" s="30" customFormat="1" x14ac:dyDescent="0.25">
      <c r="A619" s="36"/>
      <c r="B619" s="31"/>
      <c r="C619" s="31"/>
      <c r="D619" s="32"/>
      <c r="H619" s="32"/>
      <c r="J619" s="32"/>
      <c r="K619" s="41"/>
      <c r="L619" s="32"/>
      <c r="N619" s="32"/>
      <c r="O619" s="41"/>
      <c r="P619" s="315"/>
      <c r="Q619" s="315"/>
      <c r="R619" s="315"/>
      <c r="S619" s="315"/>
      <c r="T619" s="315"/>
    </row>
    <row r="620" spans="1:20" s="30" customFormat="1" x14ac:dyDescent="0.25">
      <c r="A620" s="36"/>
      <c r="B620" s="31"/>
      <c r="C620" s="31"/>
      <c r="D620" s="32"/>
      <c r="H620" s="32"/>
      <c r="J620" s="32"/>
      <c r="K620" s="41"/>
      <c r="L620" s="32"/>
      <c r="N620" s="32"/>
      <c r="O620" s="41"/>
      <c r="P620" s="315"/>
      <c r="Q620" s="315"/>
      <c r="R620" s="315"/>
      <c r="S620" s="315"/>
      <c r="T620" s="315"/>
    </row>
    <row r="621" spans="1:20" s="30" customFormat="1" x14ac:dyDescent="0.25">
      <c r="A621" s="36"/>
      <c r="B621" s="31"/>
      <c r="C621" s="31"/>
      <c r="D621" s="32"/>
      <c r="H621" s="32"/>
      <c r="J621" s="32"/>
      <c r="K621" s="41"/>
      <c r="L621" s="32"/>
      <c r="N621" s="32"/>
      <c r="O621" s="41"/>
      <c r="P621" s="315"/>
      <c r="Q621" s="315"/>
      <c r="R621" s="315"/>
      <c r="S621" s="315"/>
      <c r="T621" s="315"/>
    </row>
    <row r="622" spans="1:20" s="30" customFormat="1" x14ac:dyDescent="0.25">
      <c r="A622" s="36"/>
      <c r="B622" s="31"/>
      <c r="C622" s="31"/>
      <c r="D622" s="32"/>
      <c r="H622" s="32"/>
      <c r="J622" s="32"/>
      <c r="K622" s="41"/>
      <c r="L622" s="32"/>
      <c r="N622" s="32"/>
      <c r="O622" s="41"/>
      <c r="P622" s="315"/>
      <c r="Q622" s="315"/>
      <c r="R622" s="315"/>
      <c r="S622" s="315"/>
      <c r="T622" s="315"/>
    </row>
    <row r="623" spans="1:20" s="30" customFormat="1" x14ac:dyDescent="0.25">
      <c r="A623" s="36"/>
      <c r="B623" s="31"/>
      <c r="C623" s="31"/>
      <c r="D623" s="32"/>
      <c r="H623" s="32"/>
      <c r="J623" s="32"/>
      <c r="K623" s="41"/>
      <c r="L623" s="32"/>
      <c r="N623" s="32"/>
      <c r="O623" s="41"/>
      <c r="P623" s="315"/>
      <c r="Q623" s="315"/>
      <c r="R623" s="315"/>
      <c r="S623" s="315"/>
      <c r="T623" s="315"/>
    </row>
    <row r="624" spans="1:20" s="30" customFormat="1" x14ac:dyDescent="0.25">
      <c r="A624" s="36"/>
      <c r="B624" s="31"/>
      <c r="C624" s="31"/>
      <c r="D624" s="32"/>
      <c r="H624" s="32"/>
      <c r="J624" s="32"/>
      <c r="K624" s="41"/>
      <c r="L624" s="32"/>
      <c r="N624" s="32"/>
      <c r="O624" s="41"/>
      <c r="P624" s="315"/>
      <c r="Q624" s="315"/>
      <c r="R624" s="315"/>
      <c r="S624" s="315"/>
      <c r="T624" s="315"/>
    </row>
    <row r="625" spans="1:20" s="30" customFormat="1" x14ac:dyDescent="0.25">
      <c r="A625" s="36"/>
      <c r="B625" s="31"/>
      <c r="C625" s="31"/>
      <c r="D625" s="32"/>
      <c r="H625" s="32"/>
      <c r="J625" s="32"/>
      <c r="K625" s="41"/>
      <c r="L625" s="32"/>
      <c r="N625" s="32"/>
      <c r="O625" s="41"/>
      <c r="P625" s="315"/>
      <c r="Q625" s="315"/>
      <c r="R625" s="315"/>
      <c r="S625" s="315"/>
      <c r="T625" s="315"/>
    </row>
    <row r="626" spans="1:20" s="30" customFormat="1" x14ac:dyDescent="0.25">
      <c r="A626" s="36"/>
      <c r="B626" s="31"/>
      <c r="C626" s="31"/>
      <c r="D626" s="32"/>
      <c r="H626" s="32"/>
      <c r="J626" s="32"/>
      <c r="K626" s="41"/>
      <c r="L626" s="32"/>
      <c r="N626" s="32"/>
      <c r="O626" s="41"/>
      <c r="P626" s="315"/>
      <c r="Q626" s="315"/>
      <c r="R626" s="315"/>
      <c r="S626" s="315"/>
      <c r="T626" s="315"/>
    </row>
    <row r="627" spans="1:20" s="30" customFormat="1" x14ac:dyDescent="0.25">
      <c r="A627" s="36"/>
      <c r="B627" s="31"/>
      <c r="C627" s="31"/>
      <c r="D627" s="32"/>
      <c r="H627" s="32"/>
      <c r="J627" s="32"/>
      <c r="K627" s="41"/>
      <c r="L627" s="32"/>
      <c r="N627" s="32"/>
      <c r="O627" s="41"/>
      <c r="P627" s="315"/>
      <c r="Q627" s="315"/>
      <c r="R627" s="315"/>
      <c r="S627" s="315"/>
      <c r="T627" s="315"/>
    </row>
    <row r="628" spans="1:20" s="30" customFormat="1" x14ac:dyDescent="0.25">
      <c r="A628" s="36"/>
      <c r="B628" s="31"/>
      <c r="C628" s="31"/>
      <c r="D628" s="32"/>
      <c r="H628" s="32"/>
      <c r="J628" s="32"/>
      <c r="K628" s="41"/>
      <c r="L628" s="32"/>
      <c r="N628" s="32"/>
      <c r="O628" s="41"/>
      <c r="P628" s="315"/>
      <c r="Q628" s="315"/>
      <c r="R628" s="315"/>
      <c r="S628" s="315"/>
      <c r="T628" s="315"/>
    </row>
    <row r="629" spans="1:20" s="30" customFormat="1" x14ac:dyDescent="0.25">
      <c r="A629" s="36"/>
      <c r="B629" s="31"/>
      <c r="C629" s="31"/>
      <c r="D629" s="32"/>
      <c r="H629" s="32"/>
      <c r="J629" s="32"/>
      <c r="K629" s="41"/>
      <c r="L629" s="32"/>
      <c r="N629" s="32"/>
      <c r="O629" s="41"/>
      <c r="P629" s="315"/>
      <c r="Q629" s="315"/>
      <c r="R629" s="315"/>
      <c r="S629" s="315"/>
      <c r="T629" s="315"/>
    </row>
    <row r="630" spans="1:20" s="30" customFormat="1" x14ac:dyDescent="0.25">
      <c r="A630" s="36"/>
      <c r="B630" s="31"/>
      <c r="C630" s="31"/>
      <c r="D630" s="32"/>
      <c r="H630" s="32"/>
      <c r="J630" s="32"/>
      <c r="K630" s="41"/>
      <c r="L630" s="32"/>
      <c r="N630" s="32"/>
      <c r="O630" s="41"/>
      <c r="P630" s="315"/>
      <c r="Q630" s="315"/>
      <c r="R630" s="315"/>
      <c r="S630" s="315"/>
      <c r="T630" s="315"/>
    </row>
    <row r="631" spans="1:20" s="30" customFormat="1" x14ac:dyDescent="0.25">
      <c r="A631" s="36"/>
      <c r="B631" s="31"/>
      <c r="C631" s="31"/>
      <c r="D631" s="32"/>
      <c r="H631" s="32"/>
      <c r="J631" s="32"/>
      <c r="K631" s="41"/>
      <c r="L631" s="32"/>
      <c r="N631" s="32"/>
      <c r="O631" s="41"/>
      <c r="P631" s="315"/>
      <c r="Q631" s="315"/>
      <c r="R631" s="315"/>
      <c r="S631" s="315"/>
      <c r="T631" s="315"/>
    </row>
    <row r="632" spans="1:20" s="30" customFormat="1" x14ac:dyDescent="0.25">
      <c r="A632" s="36"/>
      <c r="B632" s="31"/>
      <c r="C632" s="31"/>
      <c r="D632" s="32"/>
      <c r="H632" s="32"/>
      <c r="J632" s="32"/>
      <c r="K632" s="41"/>
      <c r="L632" s="32"/>
      <c r="N632" s="32"/>
      <c r="O632" s="41"/>
      <c r="P632" s="315"/>
      <c r="Q632" s="315"/>
      <c r="R632" s="315"/>
      <c r="S632" s="315"/>
      <c r="T632" s="315"/>
    </row>
    <row r="633" spans="1:20" s="30" customFormat="1" x14ac:dyDescent="0.25">
      <c r="A633" s="36"/>
      <c r="B633" s="31"/>
      <c r="C633" s="31"/>
      <c r="D633" s="32"/>
      <c r="H633" s="32"/>
      <c r="J633" s="32"/>
      <c r="K633" s="41"/>
      <c r="L633" s="32"/>
      <c r="N633" s="32"/>
      <c r="O633" s="41"/>
      <c r="P633" s="315"/>
      <c r="Q633" s="315"/>
      <c r="R633" s="315"/>
      <c r="S633" s="315"/>
      <c r="T633" s="315"/>
    </row>
    <row r="634" spans="1:20" s="30" customFormat="1" x14ac:dyDescent="0.25">
      <c r="A634" s="36"/>
      <c r="B634" s="31"/>
      <c r="C634" s="31"/>
      <c r="D634" s="32"/>
      <c r="H634" s="32"/>
      <c r="J634" s="32"/>
      <c r="K634" s="41"/>
      <c r="L634" s="32"/>
      <c r="N634" s="32"/>
      <c r="O634" s="41"/>
      <c r="P634" s="315"/>
      <c r="Q634" s="315"/>
      <c r="R634" s="315"/>
      <c r="S634" s="315"/>
      <c r="T634" s="315"/>
    </row>
    <row r="635" spans="1:20" s="30" customFormat="1" x14ac:dyDescent="0.25">
      <c r="A635" s="36"/>
      <c r="B635" s="31"/>
      <c r="C635" s="31"/>
      <c r="D635" s="32"/>
      <c r="H635" s="32"/>
      <c r="J635" s="32"/>
      <c r="K635" s="41"/>
      <c r="L635" s="32"/>
      <c r="N635" s="32"/>
      <c r="O635" s="41"/>
      <c r="P635" s="315"/>
      <c r="Q635" s="315"/>
      <c r="R635" s="315"/>
      <c r="S635" s="315"/>
      <c r="T635" s="315"/>
    </row>
    <row r="636" spans="1:20" s="30" customFormat="1" x14ac:dyDescent="0.25">
      <c r="A636" s="36"/>
      <c r="B636" s="31"/>
      <c r="C636" s="31"/>
      <c r="D636" s="32"/>
      <c r="H636" s="32"/>
      <c r="J636" s="32"/>
      <c r="K636" s="41"/>
      <c r="L636" s="32"/>
      <c r="N636" s="32"/>
      <c r="O636" s="41"/>
      <c r="P636" s="315"/>
      <c r="Q636" s="315"/>
      <c r="R636" s="315"/>
      <c r="S636" s="315"/>
      <c r="T636" s="315"/>
    </row>
    <row r="637" spans="1:20" s="30" customFormat="1" x14ac:dyDescent="0.25">
      <c r="A637" s="36"/>
      <c r="B637" s="31"/>
      <c r="C637" s="31"/>
      <c r="D637" s="32"/>
      <c r="H637" s="32"/>
      <c r="J637" s="32"/>
      <c r="K637" s="41"/>
      <c r="L637" s="32"/>
      <c r="N637" s="32"/>
      <c r="O637" s="41"/>
      <c r="P637" s="315"/>
      <c r="Q637" s="315"/>
      <c r="R637" s="315"/>
      <c r="S637" s="315"/>
      <c r="T637" s="315"/>
    </row>
    <row r="638" spans="1:20" s="30" customFormat="1" x14ac:dyDescent="0.25">
      <c r="A638" s="36"/>
      <c r="B638" s="31"/>
      <c r="C638" s="31"/>
      <c r="D638" s="32"/>
      <c r="H638" s="32"/>
      <c r="J638" s="32"/>
      <c r="K638" s="41"/>
      <c r="L638" s="32"/>
      <c r="N638" s="32"/>
      <c r="O638" s="41"/>
      <c r="P638" s="315"/>
      <c r="Q638" s="315"/>
      <c r="R638" s="315"/>
      <c r="S638" s="315"/>
      <c r="T638" s="315"/>
    </row>
    <row r="639" spans="1:20" s="30" customFormat="1" x14ac:dyDescent="0.25">
      <c r="A639" s="36"/>
      <c r="B639" s="31"/>
      <c r="C639" s="31"/>
      <c r="D639" s="32"/>
      <c r="H639" s="32"/>
      <c r="J639" s="32"/>
      <c r="K639" s="41"/>
      <c r="L639" s="32"/>
      <c r="N639" s="32"/>
      <c r="O639" s="41"/>
      <c r="P639" s="315"/>
      <c r="Q639" s="315"/>
      <c r="R639" s="315"/>
      <c r="S639" s="315"/>
      <c r="T639" s="315"/>
    </row>
    <row r="640" spans="1:20" s="30" customFormat="1" x14ac:dyDescent="0.25">
      <c r="A640" s="36"/>
      <c r="B640" s="31"/>
      <c r="C640" s="31"/>
      <c r="D640" s="32"/>
      <c r="H640" s="32"/>
      <c r="J640" s="32"/>
      <c r="K640" s="41"/>
      <c r="L640" s="32"/>
      <c r="N640" s="32"/>
      <c r="O640" s="41"/>
      <c r="P640" s="315"/>
      <c r="Q640" s="315"/>
      <c r="R640" s="315"/>
      <c r="S640" s="315"/>
      <c r="T640" s="315"/>
    </row>
    <row r="641" spans="1:20" s="30" customFormat="1" x14ac:dyDescent="0.25">
      <c r="A641" s="36"/>
      <c r="B641" s="31"/>
      <c r="C641" s="31"/>
      <c r="D641" s="32"/>
      <c r="H641" s="32"/>
      <c r="J641" s="32"/>
      <c r="K641" s="41"/>
      <c r="L641" s="32"/>
      <c r="N641" s="32"/>
      <c r="O641" s="41"/>
      <c r="P641" s="315"/>
      <c r="Q641" s="315"/>
      <c r="R641" s="315"/>
      <c r="S641" s="315"/>
      <c r="T641" s="315"/>
    </row>
    <row r="642" spans="1:20" s="30" customFormat="1" x14ac:dyDescent="0.25">
      <c r="A642" s="36"/>
      <c r="B642" s="31"/>
      <c r="C642" s="31"/>
      <c r="D642" s="32"/>
      <c r="H642" s="32"/>
      <c r="J642" s="32"/>
      <c r="K642" s="41"/>
      <c r="L642" s="32"/>
      <c r="N642" s="32"/>
      <c r="O642" s="41"/>
      <c r="P642" s="315"/>
      <c r="Q642" s="315"/>
      <c r="R642" s="315"/>
      <c r="S642" s="315"/>
      <c r="T642" s="315"/>
    </row>
    <row r="643" spans="1:20" s="30" customFormat="1" x14ac:dyDescent="0.25">
      <c r="A643" s="36"/>
      <c r="B643" s="31"/>
      <c r="C643" s="31"/>
      <c r="D643" s="32"/>
      <c r="H643" s="32"/>
      <c r="J643" s="32"/>
      <c r="K643" s="41"/>
      <c r="L643" s="32"/>
      <c r="N643" s="32"/>
      <c r="O643" s="41"/>
      <c r="P643" s="315"/>
      <c r="Q643" s="315"/>
      <c r="R643" s="315"/>
      <c r="S643" s="315"/>
      <c r="T643" s="315"/>
    </row>
    <row r="644" spans="1:20" s="30" customFormat="1" x14ac:dyDescent="0.25">
      <c r="A644" s="36"/>
      <c r="B644" s="31"/>
      <c r="C644" s="31"/>
      <c r="D644" s="32"/>
      <c r="H644" s="32"/>
      <c r="J644" s="32"/>
      <c r="K644" s="41"/>
      <c r="L644" s="32"/>
      <c r="N644" s="32"/>
      <c r="O644" s="41"/>
      <c r="P644" s="315"/>
      <c r="Q644" s="315"/>
      <c r="R644" s="315"/>
      <c r="S644" s="315"/>
      <c r="T644" s="315"/>
    </row>
    <row r="645" spans="1:20" s="30" customFormat="1" x14ac:dyDescent="0.25">
      <c r="A645" s="36"/>
      <c r="B645" s="31"/>
      <c r="C645" s="31"/>
      <c r="D645" s="32"/>
      <c r="H645" s="32"/>
      <c r="J645" s="32"/>
      <c r="K645" s="41"/>
      <c r="L645" s="32"/>
      <c r="N645" s="32"/>
      <c r="O645" s="41"/>
      <c r="P645" s="315"/>
      <c r="Q645" s="315"/>
      <c r="R645" s="315"/>
      <c r="S645" s="315"/>
      <c r="T645" s="315"/>
    </row>
    <row r="646" spans="1:20" s="30" customFormat="1" x14ac:dyDescent="0.25">
      <c r="A646" s="36"/>
      <c r="B646" s="31"/>
      <c r="C646" s="31"/>
      <c r="D646" s="32"/>
      <c r="H646" s="32"/>
      <c r="J646" s="32"/>
      <c r="K646" s="41"/>
      <c r="L646" s="32"/>
      <c r="N646" s="32"/>
      <c r="O646" s="41"/>
      <c r="P646" s="315"/>
      <c r="Q646" s="315"/>
      <c r="R646" s="315"/>
      <c r="S646" s="315"/>
      <c r="T646" s="315"/>
    </row>
    <row r="647" spans="1:20" s="30" customFormat="1" x14ac:dyDescent="0.25">
      <c r="A647" s="36"/>
      <c r="B647" s="31"/>
      <c r="C647" s="31"/>
      <c r="D647" s="32"/>
      <c r="H647" s="32"/>
      <c r="J647" s="32"/>
      <c r="K647" s="41"/>
      <c r="L647" s="32"/>
      <c r="N647" s="32"/>
      <c r="O647" s="41"/>
      <c r="P647" s="315"/>
      <c r="Q647" s="315"/>
      <c r="R647" s="315"/>
      <c r="S647" s="315"/>
      <c r="T647" s="315"/>
    </row>
    <row r="648" spans="1:20" s="30" customFormat="1" x14ac:dyDescent="0.25">
      <c r="A648" s="36"/>
      <c r="B648" s="31"/>
      <c r="C648" s="31"/>
      <c r="D648" s="32"/>
      <c r="H648" s="32"/>
      <c r="J648" s="32"/>
      <c r="K648" s="41"/>
      <c r="L648" s="32"/>
      <c r="N648" s="32"/>
      <c r="O648" s="41"/>
      <c r="P648" s="315"/>
      <c r="Q648" s="315"/>
      <c r="R648" s="315"/>
      <c r="S648" s="315"/>
      <c r="T648" s="315"/>
    </row>
    <row r="649" spans="1:20" s="30" customFormat="1" x14ac:dyDescent="0.25">
      <c r="A649" s="36"/>
      <c r="B649" s="31"/>
      <c r="C649" s="31"/>
      <c r="D649" s="32"/>
      <c r="H649" s="32"/>
      <c r="J649" s="32"/>
      <c r="K649" s="41"/>
      <c r="L649" s="32"/>
      <c r="N649" s="32"/>
      <c r="O649" s="41"/>
      <c r="P649" s="315"/>
      <c r="Q649" s="315"/>
      <c r="R649" s="315"/>
      <c r="S649" s="315"/>
      <c r="T649" s="315"/>
    </row>
    <row r="650" spans="1:20" s="30" customFormat="1" x14ac:dyDescent="0.25">
      <c r="A650" s="36"/>
      <c r="B650" s="31"/>
      <c r="C650" s="31"/>
      <c r="D650" s="32"/>
      <c r="H650" s="32"/>
      <c r="J650" s="32"/>
      <c r="K650" s="41"/>
      <c r="L650" s="32"/>
      <c r="N650" s="32"/>
      <c r="O650" s="41"/>
      <c r="P650" s="315"/>
      <c r="Q650" s="315"/>
      <c r="R650" s="315"/>
      <c r="S650" s="315"/>
      <c r="T650" s="315"/>
    </row>
    <row r="651" spans="1:20" s="30" customFormat="1" x14ac:dyDescent="0.25">
      <c r="A651" s="36"/>
      <c r="B651" s="31"/>
      <c r="C651" s="31"/>
      <c r="D651" s="32"/>
      <c r="H651" s="32"/>
      <c r="J651" s="32"/>
      <c r="K651" s="41"/>
      <c r="L651" s="32"/>
      <c r="N651" s="32"/>
      <c r="O651" s="41"/>
      <c r="P651" s="315"/>
      <c r="Q651" s="315"/>
      <c r="R651" s="315"/>
      <c r="S651" s="315"/>
      <c r="T651" s="315"/>
    </row>
    <row r="652" spans="1:20" s="30" customFormat="1" x14ac:dyDescent="0.25">
      <c r="A652" s="36"/>
      <c r="B652" s="31"/>
      <c r="C652" s="31"/>
      <c r="D652" s="32"/>
      <c r="H652" s="32"/>
      <c r="J652" s="32"/>
      <c r="K652" s="41"/>
      <c r="L652" s="32"/>
      <c r="N652" s="32"/>
      <c r="O652" s="41"/>
      <c r="P652" s="315"/>
      <c r="Q652" s="315"/>
      <c r="R652" s="315"/>
      <c r="S652" s="315"/>
      <c r="T652" s="315"/>
    </row>
    <row r="653" spans="1:20" s="30" customFormat="1" x14ac:dyDescent="0.25">
      <c r="A653" s="36"/>
      <c r="B653" s="31"/>
      <c r="C653" s="31"/>
      <c r="D653" s="32"/>
      <c r="H653" s="32"/>
      <c r="J653" s="32"/>
      <c r="K653" s="41"/>
      <c r="L653" s="32"/>
      <c r="N653" s="32"/>
      <c r="O653" s="41"/>
      <c r="P653" s="315"/>
      <c r="Q653" s="315"/>
      <c r="R653" s="315"/>
      <c r="S653" s="315"/>
      <c r="T653" s="315"/>
    </row>
    <row r="654" spans="1:20" s="30" customFormat="1" x14ac:dyDescent="0.25">
      <c r="A654" s="36"/>
      <c r="B654" s="31"/>
      <c r="C654" s="31"/>
      <c r="D654" s="32"/>
      <c r="H654" s="32"/>
      <c r="J654" s="32"/>
      <c r="K654" s="41"/>
      <c r="L654" s="32"/>
      <c r="N654" s="32"/>
      <c r="O654" s="41"/>
      <c r="P654" s="315"/>
      <c r="Q654" s="315"/>
      <c r="R654" s="315"/>
      <c r="S654" s="315"/>
      <c r="T654" s="315"/>
    </row>
    <row r="655" spans="1:20" s="30" customFormat="1" x14ac:dyDescent="0.25">
      <c r="A655" s="36"/>
      <c r="B655" s="31"/>
      <c r="C655" s="31"/>
      <c r="D655" s="32"/>
      <c r="H655" s="32"/>
      <c r="J655" s="32"/>
      <c r="K655" s="41"/>
      <c r="L655" s="32"/>
      <c r="N655" s="32"/>
      <c r="O655" s="41"/>
      <c r="P655" s="315"/>
      <c r="Q655" s="315"/>
      <c r="R655" s="315"/>
      <c r="S655" s="315"/>
      <c r="T655" s="315"/>
    </row>
    <row r="656" spans="1:20" s="30" customFormat="1" x14ac:dyDescent="0.25">
      <c r="A656" s="36"/>
      <c r="B656" s="31"/>
      <c r="C656" s="31"/>
      <c r="D656" s="32"/>
      <c r="H656" s="32"/>
      <c r="J656" s="32"/>
      <c r="K656" s="41"/>
      <c r="L656" s="32"/>
      <c r="N656" s="32"/>
      <c r="O656" s="41"/>
      <c r="P656" s="315"/>
      <c r="Q656" s="315"/>
      <c r="R656" s="315"/>
      <c r="S656" s="315"/>
      <c r="T656" s="315"/>
    </row>
    <row r="657" spans="1:20" s="30" customFormat="1" x14ac:dyDescent="0.25">
      <c r="A657" s="36"/>
      <c r="B657" s="31"/>
      <c r="C657" s="31"/>
      <c r="D657" s="32"/>
      <c r="H657" s="32"/>
      <c r="J657" s="32"/>
      <c r="K657" s="41"/>
      <c r="L657" s="32"/>
      <c r="N657" s="32"/>
      <c r="O657" s="41"/>
      <c r="P657" s="315"/>
      <c r="Q657" s="315"/>
      <c r="R657" s="315"/>
      <c r="S657" s="315"/>
      <c r="T657" s="315"/>
    </row>
    <row r="658" spans="1:20" s="30" customFormat="1" x14ac:dyDescent="0.25">
      <c r="A658" s="36"/>
      <c r="B658" s="31"/>
      <c r="C658" s="31"/>
      <c r="D658" s="32"/>
      <c r="H658" s="32"/>
      <c r="J658" s="32"/>
      <c r="K658" s="41"/>
      <c r="L658" s="32"/>
      <c r="N658" s="32"/>
      <c r="O658" s="41"/>
      <c r="P658" s="315"/>
      <c r="Q658" s="315"/>
      <c r="R658" s="315"/>
      <c r="S658" s="315"/>
      <c r="T658" s="315"/>
    </row>
    <row r="659" spans="1:20" s="30" customFormat="1" x14ac:dyDescent="0.25">
      <c r="A659" s="36"/>
      <c r="B659" s="31"/>
      <c r="C659" s="31"/>
      <c r="D659" s="32"/>
      <c r="H659" s="32"/>
      <c r="J659" s="32"/>
      <c r="K659" s="41"/>
      <c r="L659" s="32"/>
      <c r="N659" s="32"/>
      <c r="O659" s="41"/>
      <c r="P659" s="315"/>
      <c r="Q659" s="315"/>
      <c r="R659" s="315"/>
      <c r="S659" s="315"/>
      <c r="T659" s="315"/>
    </row>
    <row r="660" spans="1:20" s="30" customFormat="1" x14ac:dyDescent="0.25">
      <c r="A660" s="36"/>
      <c r="B660" s="31"/>
      <c r="C660" s="31"/>
      <c r="D660" s="32"/>
      <c r="H660" s="32"/>
      <c r="J660" s="32"/>
      <c r="K660" s="41"/>
      <c r="L660" s="32"/>
      <c r="N660" s="32"/>
      <c r="O660" s="41"/>
      <c r="P660" s="315"/>
      <c r="Q660" s="315"/>
      <c r="R660" s="315"/>
      <c r="S660" s="315"/>
      <c r="T660" s="315"/>
    </row>
    <row r="661" spans="1:20" s="30" customFormat="1" x14ac:dyDescent="0.25">
      <c r="A661" s="36"/>
      <c r="B661" s="31"/>
      <c r="C661" s="31"/>
      <c r="D661" s="32"/>
      <c r="H661" s="32"/>
      <c r="J661" s="32"/>
      <c r="K661" s="41"/>
      <c r="L661" s="32"/>
      <c r="N661" s="32"/>
      <c r="O661" s="41"/>
      <c r="P661" s="315"/>
      <c r="Q661" s="315"/>
      <c r="R661" s="315"/>
      <c r="S661" s="315"/>
      <c r="T661" s="315"/>
    </row>
    <row r="662" spans="1:20" s="30" customFormat="1" x14ac:dyDescent="0.25">
      <c r="A662" s="36"/>
      <c r="B662" s="31"/>
      <c r="C662" s="31"/>
      <c r="D662" s="32"/>
      <c r="H662" s="32"/>
      <c r="J662" s="32"/>
      <c r="K662" s="41"/>
      <c r="L662" s="32"/>
      <c r="N662" s="32"/>
      <c r="O662" s="41"/>
      <c r="P662" s="315"/>
      <c r="Q662" s="315"/>
      <c r="R662" s="315"/>
      <c r="S662" s="315"/>
      <c r="T662" s="315"/>
    </row>
    <row r="663" spans="1:20" s="30" customFormat="1" x14ac:dyDescent="0.25">
      <c r="A663" s="36"/>
      <c r="B663" s="31"/>
      <c r="C663" s="31"/>
      <c r="D663" s="32"/>
      <c r="H663" s="32"/>
      <c r="J663" s="32"/>
      <c r="K663" s="41"/>
      <c r="L663" s="32"/>
      <c r="N663" s="32"/>
      <c r="O663" s="41"/>
      <c r="P663" s="315"/>
      <c r="Q663" s="315"/>
      <c r="R663" s="315"/>
      <c r="S663" s="315"/>
      <c r="T663" s="315"/>
    </row>
    <row r="664" spans="1:20" s="30" customFormat="1" x14ac:dyDescent="0.25">
      <c r="A664" s="36"/>
      <c r="B664" s="31"/>
      <c r="C664" s="31"/>
      <c r="D664" s="32"/>
      <c r="H664" s="32"/>
      <c r="J664" s="32"/>
      <c r="K664" s="41"/>
      <c r="L664" s="32"/>
      <c r="N664" s="32"/>
      <c r="O664" s="41"/>
      <c r="P664" s="315"/>
      <c r="Q664" s="315"/>
      <c r="R664" s="315"/>
      <c r="S664" s="315"/>
      <c r="T664" s="315"/>
    </row>
    <row r="665" spans="1:20" s="30" customFormat="1" x14ac:dyDescent="0.25">
      <c r="A665" s="36"/>
      <c r="B665" s="31"/>
      <c r="C665" s="31"/>
      <c r="D665" s="32"/>
      <c r="H665" s="32"/>
      <c r="J665" s="32"/>
      <c r="K665" s="41"/>
      <c r="L665" s="32"/>
      <c r="N665" s="32"/>
      <c r="O665" s="41"/>
      <c r="P665" s="315"/>
      <c r="Q665" s="315"/>
      <c r="R665" s="315"/>
      <c r="S665" s="315"/>
      <c r="T665" s="315"/>
    </row>
    <row r="666" spans="1:20" s="30" customFormat="1" x14ac:dyDescent="0.25">
      <c r="A666" s="36"/>
      <c r="B666" s="31"/>
      <c r="C666" s="31"/>
      <c r="D666" s="32"/>
      <c r="H666" s="32"/>
      <c r="J666" s="32"/>
      <c r="K666" s="41"/>
      <c r="L666" s="32"/>
      <c r="N666" s="32"/>
      <c r="O666" s="41"/>
      <c r="P666" s="315"/>
      <c r="Q666" s="315"/>
      <c r="R666" s="315"/>
      <c r="S666" s="315"/>
      <c r="T666" s="315"/>
    </row>
    <row r="667" spans="1:20" s="30" customFormat="1" x14ac:dyDescent="0.25">
      <c r="A667" s="36"/>
      <c r="B667" s="31"/>
      <c r="C667" s="31"/>
      <c r="D667" s="32"/>
      <c r="H667" s="32"/>
      <c r="J667" s="32"/>
      <c r="K667" s="41"/>
      <c r="L667" s="32"/>
      <c r="N667" s="32"/>
      <c r="O667" s="41"/>
      <c r="P667" s="315"/>
      <c r="Q667" s="315"/>
      <c r="R667" s="315"/>
      <c r="S667" s="315"/>
      <c r="T667" s="315"/>
    </row>
    <row r="668" spans="1:20" s="30" customFormat="1" x14ac:dyDescent="0.25">
      <c r="A668" s="36"/>
      <c r="B668" s="31"/>
      <c r="C668" s="31"/>
      <c r="D668" s="32"/>
      <c r="H668" s="32"/>
      <c r="J668" s="32"/>
      <c r="K668" s="41"/>
      <c r="L668" s="32"/>
      <c r="N668" s="32"/>
      <c r="O668" s="41"/>
      <c r="P668" s="315"/>
      <c r="Q668" s="315"/>
      <c r="R668" s="315"/>
      <c r="S668" s="315"/>
      <c r="T668" s="315"/>
    </row>
    <row r="669" spans="1:20" s="30" customFormat="1" x14ac:dyDescent="0.25">
      <c r="A669" s="36"/>
      <c r="B669" s="31"/>
      <c r="C669" s="31"/>
      <c r="D669" s="32"/>
      <c r="H669" s="32"/>
      <c r="J669" s="32"/>
      <c r="K669" s="41"/>
      <c r="L669" s="32"/>
      <c r="N669" s="32"/>
      <c r="O669" s="41"/>
      <c r="P669" s="315"/>
      <c r="Q669" s="315"/>
      <c r="R669" s="315"/>
      <c r="S669" s="315"/>
      <c r="T669" s="315"/>
    </row>
    <row r="670" spans="1:20" s="30" customFormat="1" x14ac:dyDescent="0.25">
      <c r="A670" s="36"/>
      <c r="B670" s="31"/>
      <c r="C670" s="31"/>
      <c r="D670" s="32"/>
      <c r="H670" s="32"/>
      <c r="J670" s="32"/>
      <c r="K670" s="41"/>
      <c r="L670" s="32"/>
      <c r="N670" s="32"/>
      <c r="O670" s="41"/>
      <c r="P670" s="315"/>
      <c r="Q670" s="315"/>
      <c r="R670" s="315"/>
      <c r="S670" s="315"/>
      <c r="T670" s="315"/>
    </row>
    <row r="671" spans="1:20" s="30" customFormat="1" x14ac:dyDescent="0.25">
      <c r="A671" s="36"/>
      <c r="B671" s="31"/>
      <c r="C671" s="31"/>
      <c r="D671" s="32"/>
      <c r="H671" s="32"/>
      <c r="J671" s="32"/>
      <c r="K671" s="41"/>
      <c r="L671" s="32"/>
      <c r="N671" s="32"/>
      <c r="O671" s="41"/>
      <c r="P671" s="315"/>
      <c r="Q671" s="315"/>
      <c r="R671" s="315"/>
      <c r="S671" s="315"/>
      <c r="T671" s="315"/>
    </row>
    <row r="672" spans="1:20" s="30" customFormat="1" x14ac:dyDescent="0.25">
      <c r="A672" s="36"/>
      <c r="B672" s="31"/>
      <c r="C672" s="31"/>
      <c r="D672" s="32"/>
      <c r="H672" s="32"/>
      <c r="J672" s="32"/>
      <c r="K672" s="41"/>
      <c r="L672" s="32"/>
      <c r="N672" s="32"/>
      <c r="O672" s="41"/>
      <c r="P672" s="315"/>
      <c r="Q672" s="315"/>
      <c r="R672" s="315"/>
      <c r="S672" s="315"/>
      <c r="T672" s="315"/>
    </row>
    <row r="673" spans="1:20" s="30" customFormat="1" x14ac:dyDescent="0.25">
      <c r="A673" s="36"/>
      <c r="B673" s="31"/>
      <c r="C673" s="31"/>
      <c r="D673" s="32"/>
      <c r="H673" s="32"/>
      <c r="J673" s="32"/>
      <c r="K673" s="41"/>
      <c r="L673" s="32"/>
      <c r="N673" s="32"/>
      <c r="O673" s="41"/>
      <c r="P673" s="315"/>
      <c r="Q673" s="315"/>
      <c r="R673" s="315"/>
      <c r="S673" s="315"/>
      <c r="T673" s="315"/>
    </row>
    <row r="674" spans="1:20" s="30" customFormat="1" x14ac:dyDescent="0.25">
      <c r="A674" s="36"/>
      <c r="B674" s="31"/>
      <c r="C674" s="31"/>
      <c r="D674" s="32"/>
      <c r="H674" s="32"/>
      <c r="J674" s="32"/>
      <c r="K674" s="41"/>
      <c r="L674" s="32"/>
      <c r="N674" s="32"/>
      <c r="O674" s="41"/>
      <c r="P674" s="315"/>
      <c r="Q674" s="315"/>
      <c r="R674" s="315"/>
      <c r="S674" s="315"/>
      <c r="T674" s="315"/>
    </row>
    <row r="675" spans="1:20" s="30" customFormat="1" x14ac:dyDescent="0.25">
      <c r="A675" s="36"/>
      <c r="B675" s="31"/>
      <c r="C675" s="31"/>
      <c r="D675" s="32"/>
      <c r="H675" s="32"/>
      <c r="J675" s="32"/>
      <c r="K675" s="41"/>
      <c r="L675" s="32"/>
      <c r="N675" s="32"/>
      <c r="O675" s="41"/>
      <c r="P675" s="315"/>
      <c r="Q675" s="315"/>
      <c r="R675" s="315"/>
      <c r="S675" s="315"/>
      <c r="T675" s="315"/>
    </row>
    <row r="676" spans="1:20" s="30" customFormat="1" x14ac:dyDescent="0.25">
      <c r="A676" s="36"/>
      <c r="B676" s="31"/>
      <c r="C676" s="31"/>
      <c r="D676" s="32"/>
      <c r="H676" s="32"/>
      <c r="J676" s="32"/>
      <c r="K676" s="41"/>
      <c r="L676" s="32"/>
      <c r="N676" s="32"/>
      <c r="O676" s="41"/>
      <c r="P676" s="315"/>
      <c r="Q676" s="315"/>
      <c r="R676" s="315"/>
      <c r="S676" s="315"/>
      <c r="T676" s="315"/>
    </row>
    <row r="677" spans="1:20" s="30" customFormat="1" x14ac:dyDescent="0.25">
      <c r="A677" s="36"/>
      <c r="B677" s="31"/>
      <c r="C677" s="31"/>
      <c r="D677" s="32"/>
      <c r="H677" s="32"/>
      <c r="J677" s="32"/>
      <c r="K677" s="41"/>
      <c r="L677" s="32"/>
      <c r="N677" s="32"/>
      <c r="O677" s="41"/>
      <c r="P677" s="315"/>
      <c r="Q677" s="315"/>
      <c r="R677" s="315"/>
      <c r="S677" s="315"/>
      <c r="T677" s="315"/>
    </row>
    <row r="678" spans="1:20" s="30" customFormat="1" x14ac:dyDescent="0.25">
      <c r="A678" s="36"/>
      <c r="B678" s="31"/>
      <c r="C678" s="31"/>
      <c r="D678" s="32"/>
      <c r="H678" s="32"/>
      <c r="J678" s="32"/>
      <c r="K678" s="41"/>
      <c r="L678" s="32"/>
      <c r="N678" s="32"/>
      <c r="O678" s="41"/>
      <c r="P678" s="315"/>
      <c r="Q678" s="315"/>
      <c r="R678" s="315"/>
      <c r="S678" s="315"/>
      <c r="T678" s="315"/>
    </row>
    <row r="679" spans="1:20" s="30" customFormat="1" x14ac:dyDescent="0.25">
      <c r="A679" s="36"/>
      <c r="B679" s="31"/>
      <c r="C679" s="31"/>
      <c r="D679" s="32"/>
      <c r="H679" s="32"/>
      <c r="J679" s="32"/>
      <c r="K679" s="41"/>
      <c r="L679" s="32"/>
      <c r="N679" s="32"/>
      <c r="O679" s="41"/>
      <c r="P679" s="315"/>
      <c r="Q679" s="315"/>
      <c r="R679" s="315"/>
      <c r="S679" s="315"/>
      <c r="T679" s="315"/>
    </row>
    <row r="680" spans="1:20" s="30" customFormat="1" x14ac:dyDescent="0.25">
      <c r="A680" s="36"/>
      <c r="B680" s="31"/>
      <c r="C680" s="31"/>
      <c r="D680" s="32"/>
      <c r="H680" s="32"/>
      <c r="J680" s="32"/>
      <c r="K680" s="41"/>
      <c r="L680" s="32"/>
      <c r="N680" s="32"/>
      <c r="O680" s="41"/>
      <c r="P680" s="315"/>
      <c r="Q680" s="315"/>
      <c r="R680" s="315"/>
      <c r="S680" s="315"/>
      <c r="T680" s="315"/>
    </row>
    <row r="681" spans="1:20" s="30" customFormat="1" x14ac:dyDescent="0.25">
      <c r="A681" s="36"/>
      <c r="B681" s="31"/>
      <c r="C681" s="31"/>
      <c r="D681" s="32"/>
      <c r="H681" s="32"/>
      <c r="J681" s="32"/>
      <c r="K681" s="41"/>
      <c r="L681" s="32"/>
      <c r="N681" s="32"/>
      <c r="O681" s="41"/>
      <c r="P681" s="315"/>
      <c r="Q681" s="315"/>
      <c r="R681" s="315"/>
      <c r="S681" s="315"/>
      <c r="T681" s="315"/>
    </row>
    <row r="682" spans="1:20" s="30" customFormat="1" x14ac:dyDescent="0.25">
      <c r="A682" s="36"/>
      <c r="B682" s="31"/>
      <c r="C682" s="31"/>
      <c r="D682" s="32"/>
      <c r="H682" s="32"/>
      <c r="J682" s="32"/>
      <c r="K682" s="41"/>
      <c r="L682" s="32"/>
      <c r="N682" s="32"/>
      <c r="O682" s="41"/>
      <c r="P682" s="315"/>
      <c r="Q682" s="315"/>
      <c r="R682" s="315"/>
      <c r="S682" s="315"/>
      <c r="T682" s="315"/>
    </row>
    <row r="683" spans="1:20" s="30" customFormat="1" x14ac:dyDescent="0.25">
      <c r="A683" s="36"/>
      <c r="B683" s="31"/>
      <c r="C683" s="31"/>
      <c r="D683" s="32"/>
      <c r="H683" s="32"/>
      <c r="J683" s="32"/>
      <c r="K683" s="41"/>
      <c r="L683" s="32"/>
      <c r="N683" s="32"/>
      <c r="O683" s="41"/>
      <c r="P683" s="315"/>
      <c r="Q683" s="315"/>
      <c r="R683" s="315"/>
      <c r="S683" s="315"/>
      <c r="T683" s="315"/>
    </row>
    <row r="684" spans="1:20" s="30" customFormat="1" x14ac:dyDescent="0.25">
      <c r="A684" s="36"/>
      <c r="B684" s="31"/>
      <c r="C684" s="31"/>
      <c r="D684" s="32"/>
      <c r="H684" s="32"/>
      <c r="J684" s="32"/>
      <c r="K684" s="41"/>
      <c r="L684" s="32"/>
      <c r="N684" s="32"/>
      <c r="O684" s="41"/>
      <c r="P684" s="315"/>
      <c r="Q684" s="315"/>
      <c r="R684" s="315"/>
      <c r="S684" s="315"/>
      <c r="T684" s="315"/>
    </row>
    <row r="685" spans="1:20" s="30" customFormat="1" x14ac:dyDescent="0.25">
      <c r="A685" s="36"/>
      <c r="B685" s="31"/>
      <c r="C685" s="31"/>
      <c r="D685" s="32"/>
      <c r="H685" s="32"/>
      <c r="J685" s="32"/>
      <c r="K685" s="41"/>
      <c r="L685" s="32"/>
      <c r="N685" s="32"/>
      <c r="O685" s="41"/>
      <c r="P685" s="315"/>
      <c r="Q685" s="315"/>
      <c r="R685" s="315"/>
      <c r="S685" s="315"/>
      <c r="T685" s="315"/>
    </row>
    <row r="686" spans="1:20" s="30" customFormat="1" x14ac:dyDescent="0.25">
      <c r="A686" s="36"/>
      <c r="B686" s="31"/>
      <c r="C686" s="31"/>
      <c r="D686" s="32"/>
      <c r="H686" s="32"/>
      <c r="J686" s="32"/>
      <c r="K686" s="41"/>
      <c r="L686" s="32"/>
      <c r="N686" s="32"/>
      <c r="O686" s="41"/>
      <c r="P686" s="315"/>
      <c r="Q686" s="315"/>
      <c r="R686" s="315"/>
      <c r="S686" s="315"/>
      <c r="T686" s="315"/>
    </row>
    <row r="687" spans="1:20" s="30" customFormat="1" x14ac:dyDescent="0.25">
      <c r="A687" s="36"/>
      <c r="B687" s="31"/>
      <c r="C687" s="31"/>
      <c r="D687" s="32"/>
      <c r="H687" s="32"/>
      <c r="J687" s="32"/>
      <c r="K687" s="41"/>
      <c r="L687" s="32"/>
      <c r="N687" s="32"/>
      <c r="O687" s="41"/>
      <c r="P687" s="315"/>
      <c r="Q687" s="315"/>
      <c r="R687" s="315"/>
      <c r="S687" s="315"/>
      <c r="T687" s="315"/>
    </row>
    <row r="688" spans="1:20" s="30" customFormat="1" x14ac:dyDescent="0.25">
      <c r="A688" s="36"/>
      <c r="B688" s="31"/>
      <c r="C688" s="31"/>
      <c r="D688" s="32"/>
      <c r="H688" s="32"/>
      <c r="J688" s="32"/>
      <c r="K688" s="41"/>
      <c r="L688" s="32"/>
      <c r="N688" s="32"/>
      <c r="O688" s="41"/>
      <c r="P688" s="315"/>
      <c r="Q688" s="315"/>
      <c r="R688" s="315"/>
      <c r="S688" s="315"/>
      <c r="T688" s="315"/>
    </row>
    <row r="689" spans="1:20" s="30" customFormat="1" x14ac:dyDescent="0.25">
      <c r="A689" s="36"/>
      <c r="B689" s="31"/>
      <c r="C689" s="31"/>
      <c r="D689" s="32"/>
      <c r="H689" s="32"/>
      <c r="J689" s="32"/>
      <c r="K689" s="41"/>
      <c r="L689" s="32"/>
      <c r="N689" s="32"/>
      <c r="O689" s="41"/>
      <c r="P689" s="315"/>
      <c r="Q689" s="315"/>
      <c r="R689" s="315"/>
      <c r="S689" s="315"/>
      <c r="T689" s="315"/>
    </row>
    <row r="690" spans="1:20" s="30" customFormat="1" x14ac:dyDescent="0.25">
      <c r="A690" s="36"/>
      <c r="B690" s="31"/>
      <c r="C690" s="31"/>
      <c r="D690" s="32"/>
      <c r="H690" s="32"/>
      <c r="J690" s="32"/>
      <c r="K690" s="41"/>
      <c r="L690" s="32"/>
      <c r="N690" s="32"/>
      <c r="O690" s="41"/>
      <c r="P690" s="315"/>
      <c r="Q690" s="315"/>
      <c r="R690" s="315"/>
      <c r="S690" s="315"/>
      <c r="T690" s="315"/>
    </row>
    <row r="691" spans="1:20" s="30" customFormat="1" x14ac:dyDescent="0.25">
      <c r="A691" s="36"/>
      <c r="B691" s="31"/>
      <c r="C691" s="31"/>
      <c r="D691" s="32"/>
      <c r="H691" s="32"/>
      <c r="J691" s="32"/>
      <c r="K691" s="41"/>
      <c r="L691" s="32"/>
      <c r="N691" s="32"/>
      <c r="O691" s="41"/>
      <c r="P691" s="315"/>
      <c r="Q691" s="315"/>
      <c r="R691" s="315"/>
      <c r="S691" s="315"/>
      <c r="T691" s="315"/>
    </row>
    <row r="692" spans="1:20" s="30" customFormat="1" x14ac:dyDescent="0.25">
      <c r="A692" s="36"/>
      <c r="B692" s="31"/>
      <c r="C692" s="31"/>
      <c r="D692" s="32"/>
      <c r="H692" s="32"/>
      <c r="J692" s="32"/>
      <c r="K692" s="41"/>
      <c r="L692" s="32"/>
      <c r="N692" s="32"/>
      <c r="O692" s="41"/>
      <c r="P692" s="315"/>
      <c r="Q692" s="315"/>
      <c r="R692" s="315"/>
      <c r="S692" s="315"/>
      <c r="T692" s="315"/>
    </row>
    <row r="693" spans="1:20" s="30" customFormat="1" x14ac:dyDescent="0.25">
      <c r="A693" s="36"/>
      <c r="B693" s="31"/>
      <c r="C693" s="31"/>
      <c r="D693" s="32"/>
      <c r="H693" s="32"/>
      <c r="J693" s="32"/>
      <c r="K693" s="41"/>
      <c r="L693" s="32"/>
      <c r="N693" s="32"/>
      <c r="O693" s="41"/>
      <c r="P693" s="315"/>
      <c r="Q693" s="315"/>
      <c r="R693" s="315"/>
      <c r="S693" s="315"/>
      <c r="T693" s="315"/>
    </row>
    <row r="694" spans="1:20" s="30" customFormat="1" x14ac:dyDescent="0.25">
      <c r="A694" s="36"/>
      <c r="B694" s="31"/>
      <c r="C694" s="31"/>
      <c r="D694" s="32"/>
      <c r="H694" s="32"/>
      <c r="J694" s="32"/>
      <c r="K694" s="41"/>
      <c r="L694" s="32"/>
      <c r="N694" s="32"/>
      <c r="O694" s="41"/>
      <c r="P694" s="315"/>
      <c r="Q694" s="315"/>
      <c r="R694" s="315"/>
      <c r="S694" s="315"/>
      <c r="T694" s="315"/>
    </row>
    <row r="695" spans="1:20" s="30" customFormat="1" x14ac:dyDescent="0.25">
      <c r="A695" s="36"/>
      <c r="B695" s="31"/>
      <c r="C695" s="31"/>
      <c r="D695" s="32"/>
      <c r="H695" s="32"/>
      <c r="J695" s="32"/>
      <c r="K695" s="41"/>
      <c r="L695" s="32"/>
      <c r="N695" s="32"/>
      <c r="O695" s="41"/>
      <c r="P695" s="315"/>
      <c r="Q695" s="315"/>
      <c r="R695" s="315"/>
      <c r="S695" s="315"/>
      <c r="T695" s="315"/>
    </row>
    <row r="696" spans="1:20" s="30" customFormat="1" x14ac:dyDescent="0.25">
      <c r="A696" s="36"/>
      <c r="B696" s="31"/>
      <c r="C696" s="31"/>
      <c r="D696" s="32"/>
      <c r="H696" s="32"/>
      <c r="J696" s="32"/>
      <c r="K696" s="41"/>
      <c r="L696" s="32"/>
      <c r="N696" s="32"/>
      <c r="O696" s="41"/>
      <c r="P696" s="315"/>
      <c r="Q696" s="315"/>
      <c r="R696" s="315"/>
      <c r="S696" s="315"/>
      <c r="T696" s="315"/>
    </row>
    <row r="697" spans="1:20" s="30" customFormat="1" x14ac:dyDescent="0.25">
      <c r="A697" s="36"/>
      <c r="B697" s="31"/>
      <c r="C697" s="31"/>
      <c r="D697" s="32"/>
      <c r="H697" s="32"/>
      <c r="J697" s="32"/>
      <c r="K697" s="41"/>
      <c r="L697" s="32"/>
      <c r="N697" s="32"/>
      <c r="O697" s="41"/>
      <c r="P697" s="315"/>
      <c r="Q697" s="315"/>
      <c r="R697" s="315"/>
      <c r="S697" s="315"/>
      <c r="T697" s="315"/>
    </row>
    <row r="698" spans="1:20" s="30" customFormat="1" x14ac:dyDescent="0.25">
      <c r="A698" s="36"/>
      <c r="B698" s="31"/>
      <c r="C698" s="31"/>
      <c r="D698" s="32"/>
      <c r="H698" s="32"/>
      <c r="J698" s="32"/>
      <c r="K698" s="41"/>
      <c r="L698" s="32"/>
      <c r="N698" s="32"/>
      <c r="O698" s="41"/>
      <c r="P698" s="315"/>
      <c r="Q698" s="315"/>
      <c r="R698" s="315"/>
      <c r="S698" s="315"/>
      <c r="T698" s="315"/>
    </row>
    <row r="699" spans="1:20" s="30" customFormat="1" x14ac:dyDescent="0.25">
      <c r="A699" s="36"/>
      <c r="B699" s="31"/>
      <c r="C699" s="31"/>
      <c r="D699" s="32"/>
      <c r="H699" s="32"/>
      <c r="J699" s="32"/>
      <c r="K699" s="41"/>
      <c r="L699" s="32"/>
      <c r="N699" s="32"/>
      <c r="O699" s="41"/>
      <c r="P699" s="315"/>
      <c r="Q699" s="315"/>
      <c r="R699" s="315"/>
      <c r="S699" s="315"/>
      <c r="T699" s="315"/>
    </row>
    <row r="700" spans="1:20" s="30" customFormat="1" x14ac:dyDescent="0.25">
      <c r="A700" s="36"/>
      <c r="B700" s="31"/>
      <c r="C700" s="31"/>
      <c r="D700" s="32"/>
      <c r="H700" s="32"/>
      <c r="J700" s="32"/>
      <c r="K700" s="41"/>
      <c r="L700" s="32"/>
      <c r="N700" s="32"/>
      <c r="O700" s="41"/>
      <c r="P700" s="315"/>
      <c r="Q700" s="315"/>
      <c r="R700" s="315"/>
      <c r="S700" s="315"/>
      <c r="T700" s="315"/>
    </row>
    <row r="701" spans="1:20" s="30" customFormat="1" x14ac:dyDescent="0.25">
      <c r="A701" s="36"/>
      <c r="B701" s="31"/>
      <c r="C701" s="31"/>
      <c r="D701" s="32"/>
      <c r="H701" s="32"/>
      <c r="J701" s="32"/>
      <c r="K701" s="41"/>
      <c r="L701" s="32"/>
      <c r="N701" s="32"/>
      <c r="O701" s="41"/>
      <c r="P701" s="315"/>
      <c r="Q701" s="315"/>
      <c r="R701" s="315"/>
      <c r="S701" s="315"/>
      <c r="T701" s="315"/>
    </row>
    <row r="702" spans="1:20" s="30" customFormat="1" x14ac:dyDescent="0.25">
      <c r="A702" s="36"/>
      <c r="B702" s="31"/>
      <c r="C702" s="31"/>
      <c r="D702" s="32"/>
      <c r="H702" s="32"/>
      <c r="J702" s="32"/>
      <c r="K702" s="41"/>
      <c r="L702" s="32"/>
      <c r="N702" s="32"/>
      <c r="O702" s="41"/>
      <c r="P702" s="315"/>
      <c r="Q702" s="315"/>
      <c r="R702" s="315"/>
      <c r="S702" s="315"/>
      <c r="T702" s="315"/>
    </row>
    <row r="703" spans="1:20" s="30" customFormat="1" x14ac:dyDescent="0.25">
      <c r="A703" s="36"/>
      <c r="B703" s="31"/>
      <c r="C703" s="31"/>
      <c r="D703" s="32"/>
      <c r="H703" s="32"/>
      <c r="J703" s="32"/>
      <c r="K703" s="41"/>
      <c r="L703" s="32"/>
      <c r="N703" s="32"/>
      <c r="O703" s="41"/>
      <c r="P703" s="315"/>
      <c r="Q703" s="315"/>
      <c r="R703" s="315"/>
      <c r="S703" s="315"/>
      <c r="T703" s="315"/>
    </row>
    <row r="704" spans="1:20" s="30" customFormat="1" x14ac:dyDescent="0.25">
      <c r="A704" s="36"/>
      <c r="B704" s="31"/>
      <c r="C704" s="31"/>
      <c r="D704" s="32"/>
      <c r="H704" s="32"/>
      <c r="J704" s="32"/>
      <c r="K704" s="41"/>
      <c r="L704" s="32"/>
      <c r="N704" s="32"/>
      <c r="O704" s="41"/>
      <c r="P704" s="315"/>
      <c r="Q704" s="315"/>
      <c r="R704" s="315"/>
      <c r="S704" s="315"/>
      <c r="T704" s="315"/>
    </row>
    <row r="705" spans="1:20" s="30" customFormat="1" x14ac:dyDescent="0.25">
      <c r="A705" s="36"/>
      <c r="B705" s="31"/>
      <c r="C705" s="31"/>
      <c r="D705" s="32"/>
      <c r="H705" s="32"/>
      <c r="J705" s="32"/>
      <c r="K705" s="41"/>
      <c r="L705" s="32"/>
      <c r="N705" s="32"/>
      <c r="O705" s="41"/>
      <c r="P705" s="315"/>
      <c r="Q705" s="315"/>
      <c r="R705" s="315"/>
      <c r="S705" s="315"/>
      <c r="T705" s="315"/>
    </row>
    <row r="706" spans="1:20" s="30" customFormat="1" x14ac:dyDescent="0.25">
      <c r="A706" s="36"/>
      <c r="B706" s="31"/>
      <c r="C706" s="31"/>
      <c r="D706" s="32"/>
      <c r="H706" s="32"/>
      <c r="J706" s="32"/>
      <c r="K706" s="41"/>
      <c r="L706" s="32"/>
      <c r="N706" s="32"/>
      <c r="O706" s="41"/>
      <c r="P706" s="315"/>
      <c r="Q706" s="315"/>
      <c r="R706" s="315"/>
      <c r="S706" s="315"/>
      <c r="T706" s="315"/>
    </row>
    <row r="707" spans="1:20" s="30" customFormat="1" x14ac:dyDescent="0.25">
      <c r="A707" s="36"/>
      <c r="B707" s="31"/>
      <c r="C707" s="31"/>
      <c r="D707" s="32"/>
      <c r="H707" s="32"/>
      <c r="J707" s="32"/>
      <c r="K707" s="41"/>
      <c r="L707" s="32"/>
      <c r="N707" s="32"/>
      <c r="O707" s="41"/>
      <c r="P707" s="315"/>
      <c r="Q707" s="315"/>
      <c r="R707" s="315"/>
      <c r="S707" s="315"/>
      <c r="T707" s="315"/>
    </row>
    <row r="708" spans="1:20" s="30" customFormat="1" x14ac:dyDescent="0.25">
      <c r="A708" s="36"/>
      <c r="B708" s="31"/>
      <c r="C708" s="31"/>
      <c r="D708" s="32"/>
      <c r="H708" s="32"/>
      <c r="J708" s="32"/>
      <c r="K708" s="41"/>
      <c r="L708" s="32"/>
      <c r="N708" s="32"/>
      <c r="O708" s="41"/>
      <c r="P708" s="315"/>
      <c r="Q708" s="315"/>
      <c r="R708" s="315"/>
      <c r="S708" s="315"/>
      <c r="T708" s="315"/>
    </row>
    <row r="709" spans="1:20" s="30" customFormat="1" x14ac:dyDescent="0.25">
      <c r="A709" s="36"/>
      <c r="B709" s="31"/>
      <c r="C709" s="31"/>
      <c r="D709" s="32"/>
      <c r="H709" s="32"/>
      <c r="J709" s="32"/>
      <c r="K709" s="41"/>
      <c r="L709" s="32"/>
      <c r="N709" s="32"/>
      <c r="O709" s="41"/>
      <c r="P709" s="315"/>
      <c r="Q709" s="315"/>
      <c r="R709" s="315"/>
      <c r="S709" s="315"/>
      <c r="T709" s="315"/>
    </row>
    <row r="710" spans="1:20" s="30" customFormat="1" x14ac:dyDescent="0.25">
      <c r="A710" s="36"/>
      <c r="B710" s="31"/>
      <c r="C710" s="31"/>
      <c r="D710" s="32"/>
      <c r="H710" s="32"/>
      <c r="J710" s="32"/>
      <c r="K710" s="41"/>
      <c r="L710" s="32"/>
      <c r="N710" s="32"/>
      <c r="O710" s="41"/>
      <c r="P710" s="315"/>
      <c r="Q710" s="315"/>
      <c r="R710" s="315"/>
      <c r="S710" s="315"/>
      <c r="T710" s="315"/>
    </row>
    <row r="711" spans="1:20" s="30" customFormat="1" x14ac:dyDescent="0.25">
      <c r="A711" s="36"/>
      <c r="B711" s="31"/>
      <c r="C711" s="31"/>
      <c r="D711" s="32"/>
      <c r="H711" s="32"/>
      <c r="J711" s="32"/>
      <c r="K711" s="41"/>
      <c r="L711" s="32"/>
      <c r="N711" s="32"/>
      <c r="O711" s="41"/>
      <c r="P711" s="315"/>
      <c r="Q711" s="315"/>
      <c r="R711" s="315"/>
      <c r="S711" s="315"/>
      <c r="T711" s="315"/>
    </row>
    <row r="712" spans="1:20" s="30" customFormat="1" x14ac:dyDescent="0.25">
      <c r="A712" s="36"/>
      <c r="B712" s="31"/>
      <c r="C712" s="31"/>
      <c r="D712" s="32"/>
      <c r="H712" s="32"/>
      <c r="J712" s="32"/>
      <c r="K712" s="41"/>
      <c r="L712" s="32"/>
      <c r="N712" s="32"/>
      <c r="O712" s="41"/>
      <c r="P712" s="315"/>
      <c r="Q712" s="315"/>
      <c r="R712" s="315"/>
      <c r="S712" s="315"/>
      <c r="T712" s="315"/>
    </row>
    <row r="713" spans="1:20" s="30" customFormat="1" x14ac:dyDescent="0.25">
      <c r="A713" s="36"/>
      <c r="B713" s="31"/>
      <c r="C713" s="31"/>
      <c r="D713" s="32"/>
      <c r="H713" s="32"/>
      <c r="J713" s="32"/>
      <c r="K713" s="41"/>
      <c r="L713" s="32"/>
      <c r="N713" s="32"/>
      <c r="O713" s="41"/>
      <c r="P713" s="315"/>
      <c r="Q713" s="315"/>
      <c r="R713" s="315"/>
      <c r="S713" s="315"/>
      <c r="T713" s="315"/>
    </row>
    <row r="714" spans="1:20" s="30" customFormat="1" x14ac:dyDescent="0.25">
      <c r="A714" s="36"/>
      <c r="B714" s="31"/>
      <c r="C714" s="31"/>
      <c r="D714" s="32"/>
      <c r="H714" s="32"/>
      <c r="J714" s="32"/>
      <c r="K714" s="41"/>
      <c r="L714" s="32"/>
      <c r="N714" s="32"/>
      <c r="O714" s="41"/>
      <c r="P714" s="315"/>
      <c r="Q714" s="315"/>
      <c r="R714" s="315"/>
      <c r="S714" s="315"/>
      <c r="T714" s="315"/>
    </row>
    <row r="715" spans="1:20" s="30" customFormat="1" x14ac:dyDescent="0.25">
      <c r="A715" s="36"/>
      <c r="B715" s="31"/>
      <c r="C715" s="31"/>
      <c r="D715" s="32"/>
      <c r="H715" s="32"/>
      <c r="J715" s="32"/>
      <c r="K715" s="41"/>
      <c r="L715" s="32"/>
      <c r="N715" s="32"/>
      <c r="O715" s="41"/>
      <c r="P715" s="315"/>
      <c r="Q715" s="315"/>
      <c r="R715" s="315"/>
      <c r="S715" s="315"/>
      <c r="T715" s="315"/>
    </row>
    <row r="716" spans="1:20" s="30" customFormat="1" x14ac:dyDescent="0.25">
      <c r="A716" s="36"/>
      <c r="B716" s="31"/>
      <c r="C716" s="31"/>
      <c r="D716" s="32"/>
      <c r="H716" s="32"/>
      <c r="J716" s="32"/>
      <c r="K716" s="41"/>
      <c r="L716" s="32"/>
      <c r="N716" s="32"/>
      <c r="O716" s="41"/>
      <c r="P716" s="315"/>
      <c r="Q716" s="315"/>
      <c r="R716" s="315"/>
      <c r="S716" s="315"/>
      <c r="T716" s="315"/>
    </row>
    <row r="717" spans="1:20" s="30" customFormat="1" x14ac:dyDescent="0.25">
      <c r="A717" s="36"/>
      <c r="B717" s="31"/>
      <c r="C717" s="31"/>
      <c r="D717" s="32"/>
      <c r="H717" s="32"/>
      <c r="J717" s="32"/>
      <c r="K717" s="41"/>
      <c r="L717" s="32"/>
      <c r="N717" s="32"/>
      <c r="O717" s="41"/>
      <c r="P717" s="315"/>
      <c r="Q717" s="315"/>
      <c r="R717" s="315"/>
      <c r="S717" s="315"/>
      <c r="T717" s="315"/>
    </row>
    <row r="718" spans="1:20" s="30" customFormat="1" x14ac:dyDescent="0.25">
      <c r="A718" s="36"/>
      <c r="B718" s="31"/>
      <c r="C718" s="31"/>
      <c r="D718" s="32"/>
      <c r="H718" s="32"/>
      <c r="J718" s="32"/>
      <c r="K718" s="41"/>
      <c r="L718" s="32"/>
      <c r="N718" s="32"/>
      <c r="O718" s="41"/>
      <c r="P718" s="315"/>
      <c r="Q718" s="315"/>
      <c r="R718" s="315"/>
      <c r="S718" s="315"/>
      <c r="T718" s="315"/>
    </row>
    <row r="719" spans="1:20" s="30" customFormat="1" x14ac:dyDescent="0.25">
      <c r="A719" s="36"/>
      <c r="B719" s="31"/>
      <c r="C719" s="31"/>
      <c r="D719" s="32"/>
      <c r="H719" s="32"/>
      <c r="J719" s="32"/>
      <c r="K719" s="41"/>
      <c r="L719" s="32"/>
      <c r="N719" s="32"/>
      <c r="O719" s="41"/>
      <c r="P719" s="315"/>
      <c r="Q719" s="315"/>
      <c r="R719" s="315"/>
      <c r="S719" s="315"/>
      <c r="T719" s="315"/>
    </row>
    <row r="720" spans="1:20" s="30" customFormat="1" x14ac:dyDescent="0.25">
      <c r="A720" s="36"/>
      <c r="B720" s="31"/>
      <c r="C720" s="31"/>
      <c r="D720" s="32"/>
      <c r="H720" s="32"/>
      <c r="J720" s="32"/>
      <c r="K720" s="41"/>
      <c r="L720" s="32"/>
      <c r="N720" s="32"/>
      <c r="O720" s="41"/>
      <c r="P720" s="315"/>
      <c r="Q720" s="315"/>
      <c r="R720" s="315"/>
      <c r="S720" s="315"/>
      <c r="T720" s="315"/>
    </row>
    <row r="721" spans="1:20" s="30" customFormat="1" x14ac:dyDescent="0.25">
      <c r="A721" s="36"/>
      <c r="B721" s="31"/>
      <c r="C721" s="31"/>
      <c r="D721" s="32"/>
      <c r="H721" s="32"/>
      <c r="J721" s="32"/>
      <c r="K721" s="41"/>
      <c r="L721" s="32"/>
      <c r="N721" s="32"/>
      <c r="O721" s="41"/>
      <c r="P721" s="315"/>
      <c r="Q721" s="315"/>
      <c r="R721" s="315"/>
      <c r="S721" s="315"/>
      <c r="T721" s="315"/>
    </row>
    <row r="722" spans="1:20" s="30" customFormat="1" x14ac:dyDescent="0.25">
      <c r="A722" s="36"/>
      <c r="B722" s="31"/>
      <c r="C722" s="31"/>
      <c r="D722" s="32"/>
      <c r="H722" s="32"/>
      <c r="J722" s="32"/>
      <c r="K722" s="41"/>
      <c r="L722" s="32"/>
      <c r="N722" s="32"/>
      <c r="O722" s="41"/>
      <c r="P722" s="315"/>
      <c r="Q722" s="315"/>
      <c r="R722" s="315"/>
      <c r="S722" s="315"/>
      <c r="T722" s="315"/>
    </row>
    <row r="723" spans="1:20" s="30" customFormat="1" x14ac:dyDescent="0.25">
      <c r="A723" s="36"/>
      <c r="B723" s="31"/>
      <c r="C723" s="31"/>
      <c r="D723" s="32"/>
      <c r="H723" s="32"/>
      <c r="J723" s="32"/>
      <c r="K723" s="41"/>
      <c r="L723" s="32"/>
      <c r="N723" s="32"/>
      <c r="O723" s="41"/>
      <c r="P723" s="315"/>
      <c r="Q723" s="315"/>
      <c r="R723" s="315"/>
      <c r="S723" s="315"/>
      <c r="T723" s="315"/>
    </row>
    <row r="724" spans="1:20" s="30" customFormat="1" x14ac:dyDescent="0.25">
      <c r="A724" s="36"/>
      <c r="B724" s="31"/>
      <c r="C724" s="31"/>
      <c r="D724" s="32"/>
      <c r="H724" s="32"/>
      <c r="J724" s="32"/>
      <c r="K724" s="41"/>
      <c r="L724" s="32"/>
      <c r="N724" s="32"/>
      <c r="O724" s="41"/>
      <c r="P724" s="315"/>
      <c r="Q724" s="315"/>
      <c r="R724" s="315"/>
      <c r="S724" s="315"/>
      <c r="T724" s="315"/>
    </row>
    <row r="725" spans="1:20" s="30" customFormat="1" x14ac:dyDescent="0.25">
      <c r="A725" s="36"/>
      <c r="B725" s="31"/>
      <c r="C725" s="31"/>
      <c r="D725" s="32"/>
      <c r="H725" s="32"/>
      <c r="J725" s="32"/>
      <c r="K725" s="41"/>
      <c r="L725" s="32"/>
      <c r="N725" s="32"/>
      <c r="O725" s="41"/>
      <c r="P725" s="315"/>
      <c r="Q725" s="315"/>
      <c r="R725" s="315"/>
      <c r="S725" s="315"/>
      <c r="T725" s="315"/>
    </row>
    <row r="726" spans="1:20" s="30" customFormat="1" x14ac:dyDescent="0.25">
      <c r="A726" s="36"/>
      <c r="B726" s="31"/>
      <c r="C726" s="31"/>
      <c r="D726" s="32"/>
      <c r="H726" s="32"/>
      <c r="J726" s="32"/>
      <c r="K726" s="41"/>
      <c r="L726" s="32"/>
      <c r="N726" s="32"/>
      <c r="O726" s="41"/>
      <c r="P726" s="315"/>
      <c r="Q726" s="315"/>
      <c r="R726" s="315"/>
      <c r="S726" s="315"/>
      <c r="T726" s="315"/>
    </row>
    <row r="727" spans="1:20" s="30" customFormat="1" x14ac:dyDescent="0.25">
      <c r="A727" s="36"/>
      <c r="B727" s="31"/>
      <c r="C727" s="31"/>
      <c r="D727" s="32"/>
      <c r="H727" s="32"/>
      <c r="J727" s="32"/>
      <c r="K727" s="41"/>
      <c r="L727" s="32"/>
      <c r="N727" s="32"/>
      <c r="O727" s="41"/>
      <c r="P727" s="315"/>
      <c r="Q727" s="315"/>
      <c r="R727" s="315"/>
      <c r="S727" s="315"/>
      <c r="T727" s="315"/>
    </row>
    <row r="728" spans="1:20" s="30" customFormat="1" x14ac:dyDescent="0.25">
      <c r="A728" s="36"/>
      <c r="B728" s="31"/>
      <c r="C728" s="31"/>
      <c r="D728" s="32"/>
      <c r="H728" s="32"/>
      <c r="J728" s="32"/>
      <c r="K728" s="41"/>
      <c r="L728" s="32"/>
      <c r="N728" s="32"/>
      <c r="O728" s="41"/>
      <c r="P728" s="315"/>
      <c r="Q728" s="315"/>
      <c r="R728" s="315"/>
      <c r="S728" s="315"/>
      <c r="T728" s="315"/>
    </row>
    <row r="729" spans="1:20" s="30" customFormat="1" x14ac:dyDescent="0.25">
      <c r="A729" s="36"/>
      <c r="B729" s="31"/>
      <c r="C729" s="31"/>
      <c r="D729" s="32"/>
      <c r="H729" s="32"/>
      <c r="J729" s="32"/>
      <c r="K729" s="41"/>
      <c r="L729" s="32"/>
      <c r="N729" s="32"/>
      <c r="O729" s="41"/>
      <c r="P729" s="315"/>
      <c r="Q729" s="315"/>
      <c r="R729" s="315"/>
      <c r="S729" s="315"/>
      <c r="T729" s="315"/>
    </row>
    <row r="730" spans="1:20" s="30" customFormat="1" x14ac:dyDescent="0.25">
      <c r="A730" s="36"/>
      <c r="B730" s="31"/>
      <c r="C730" s="31"/>
      <c r="D730" s="32"/>
      <c r="H730" s="32"/>
      <c r="J730" s="32"/>
      <c r="K730" s="41"/>
      <c r="L730" s="32"/>
      <c r="N730" s="32"/>
      <c r="O730" s="41"/>
      <c r="P730" s="315"/>
      <c r="Q730" s="315"/>
      <c r="R730" s="315"/>
      <c r="S730" s="315"/>
      <c r="T730" s="315"/>
    </row>
    <row r="731" spans="1:20" s="30" customFormat="1" x14ac:dyDescent="0.25">
      <c r="A731" s="36"/>
      <c r="B731" s="31"/>
      <c r="C731" s="31"/>
      <c r="D731" s="32"/>
      <c r="H731" s="32"/>
      <c r="J731" s="32"/>
      <c r="K731" s="41"/>
      <c r="L731" s="32"/>
      <c r="N731" s="32"/>
      <c r="O731" s="41"/>
      <c r="P731" s="315"/>
      <c r="Q731" s="315"/>
      <c r="R731" s="315"/>
      <c r="S731" s="315"/>
      <c r="T731" s="315"/>
    </row>
    <row r="732" spans="1:20" s="30" customFormat="1" x14ac:dyDescent="0.25">
      <c r="A732" s="36"/>
      <c r="B732" s="31"/>
      <c r="C732" s="31"/>
      <c r="D732" s="32"/>
      <c r="H732" s="32"/>
      <c r="J732" s="32"/>
      <c r="K732" s="41"/>
      <c r="L732" s="32"/>
      <c r="N732" s="32"/>
      <c r="O732" s="41"/>
      <c r="P732" s="315"/>
      <c r="Q732" s="315"/>
      <c r="R732" s="315"/>
      <c r="S732" s="315"/>
      <c r="T732" s="315"/>
    </row>
    <row r="733" spans="1:20" s="30" customFormat="1" x14ac:dyDescent="0.25">
      <c r="A733" s="36"/>
      <c r="B733" s="31"/>
      <c r="C733" s="31"/>
      <c r="D733" s="32"/>
      <c r="H733" s="32"/>
      <c r="J733" s="32"/>
      <c r="K733" s="41"/>
      <c r="L733" s="32"/>
      <c r="N733" s="32"/>
      <c r="O733" s="41"/>
      <c r="P733" s="315"/>
      <c r="Q733" s="315"/>
      <c r="R733" s="315"/>
      <c r="S733" s="315"/>
      <c r="T733" s="315"/>
    </row>
    <row r="734" spans="1:20" s="30" customFormat="1" x14ac:dyDescent="0.25">
      <c r="A734" s="36"/>
      <c r="B734" s="31"/>
      <c r="C734" s="31"/>
      <c r="D734" s="32"/>
      <c r="H734" s="32"/>
      <c r="J734" s="32"/>
      <c r="K734" s="41"/>
      <c r="L734" s="32"/>
      <c r="N734" s="32"/>
      <c r="O734" s="41"/>
      <c r="P734" s="315"/>
      <c r="Q734" s="315"/>
      <c r="R734" s="315"/>
      <c r="S734" s="315"/>
      <c r="T734" s="315"/>
    </row>
    <row r="735" spans="1:20" s="30" customFormat="1" x14ac:dyDescent="0.25">
      <c r="A735" s="36"/>
      <c r="B735" s="31"/>
      <c r="C735" s="31"/>
      <c r="D735" s="32"/>
      <c r="H735" s="32"/>
      <c r="J735" s="32"/>
      <c r="K735" s="41"/>
      <c r="L735" s="32"/>
      <c r="N735" s="32"/>
      <c r="O735" s="41"/>
      <c r="P735" s="315"/>
      <c r="Q735" s="315"/>
      <c r="R735" s="315"/>
      <c r="S735" s="315"/>
      <c r="T735" s="315"/>
    </row>
    <row r="736" spans="1:20" s="30" customFormat="1" x14ac:dyDescent="0.25">
      <c r="A736" s="36"/>
      <c r="B736" s="31"/>
      <c r="C736" s="31"/>
      <c r="D736" s="32"/>
      <c r="H736" s="32"/>
      <c r="J736" s="32"/>
      <c r="K736" s="41"/>
      <c r="L736" s="32"/>
      <c r="N736" s="32"/>
      <c r="O736" s="41"/>
      <c r="P736" s="315"/>
      <c r="Q736" s="315"/>
      <c r="R736" s="315"/>
      <c r="S736" s="315"/>
      <c r="T736" s="315"/>
    </row>
    <row r="737" spans="1:20" s="30" customFormat="1" x14ac:dyDescent="0.25">
      <c r="A737" s="36"/>
      <c r="B737" s="31"/>
      <c r="C737" s="31"/>
      <c r="D737" s="32"/>
      <c r="H737" s="32"/>
      <c r="J737" s="32"/>
      <c r="K737" s="41"/>
      <c r="L737" s="32"/>
      <c r="N737" s="32"/>
      <c r="O737" s="41"/>
      <c r="P737" s="315"/>
      <c r="Q737" s="315"/>
      <c r="R737" s="315"/>
      <c r="S737" s="315"/>
      <c r="T737" s="315"/>
    </row>
    <row r="738" spans="1:20" s="30" customFormat="1" x14ac:dyDescent="0.25">
      <c r="A738" s="36"/>
      <c r="B738" s="31"/>
      <c r="C738" s="31"/>
      <c r="D738" s="32"/>
      <c r="H738" s="32"/>
      <c r="J738" s="32"/>
      <c r="K738" s="41"/>
      <c r="L738" s="32"/>
      <c r="N738" s="32"/>
      <c r="O738" s="41"/>
      <c r="P738" s="315"/>
      <c r="Q738" s="315"/>
      <c r="R738" s="315"/>
      <c r="S738" s="315"/>
      <c r="T738" s="315"/>
    </row>
    <row r="739" spans="1:20" s="30" customFormat="1" x14ac:dyDescent="0.25">
      <c r="A739" s="36"/>
      <c r="B739" s="31"/>
      <c r="C739" s="31"/>
      <c r="D739" s="32"/>
      <c r="H739" s="32"/>
      <c r="J739" s="32"/>
      <c r="K739" s="41"/>
      <c r="L739" s="32"/>
      <c r="N739" s="32"/>
      <c r="O739" s="41"/>
      <c r="P739" s="315"/>
      <c r="Q739" s="315"/>
      <c r="R739" s="315"/>
      <c r="S739" s="315"/>
      <c r="T739" s="315"/>
    </row>
    <row r="740" spans="1:20" s="30" customFormat="1" x14ac:dyDescent="0.25">
      <c r="A740" s="36"/>
      <c r="B740" s="31"/>
      <c r="C740" s="31"/>
      <c r="D740" s="32"/>
      <c r="H740" s="32"/>
      <c r="J740" s="32"/>
      <c r="K740" s="41"/>
      <c r="L740" s="32"/>
      <c r="N740" s="32"/>
      <c r="O740" s="41"/>
      <c r="P740" s="315"/>
      <c r="Q740" s="315"/>
      <c r="R740" s="315"/>
      <c r="S740" s="315"/>
      <c r="T740" s="315"/>
    </row>
    <row r="741" spans="1:20" s="30" customFormat="1" x14ac:dyDescent="0.25">
      <c r="A741" s="36"/>
      <c r="B741" s="31"/>
      <c r="C741" s="31"/>
      <c r="D741" s="32"/>
      <c r="H741" s="32"/>
      <c r="J741" s="32"/>
      <c r="K741" s="41"/>
      <c r="L741" s="32"/>
      <c r="N741" s="32"/>
      <c r="O741" s="41"/>
      <c r="P741" s="315"/>
      <c r="Q741" s="315"/>
      <c r="R741" s="315"/>
      <c r="S741" s="315"/>
      <c r="T741" s="315"/>
    </row>
    <row r="742" spans="1:20" s="30" customFormat="1" x14ac:dyDescent="0.25">
      <c r="A742" s="36"/>
      <c r="B742" s="31"/>
      <c r="C742" s="31"/>
      <c r="D742" s="32"/>
      <c r="H742" s="32"/>
      <c r="J742" s="32"/>
      <c r="K742" s="41"/>
      <c r="L742" s="32"/>
      <c r="N742" s="32"/>
      <c r="O742" s="41"/>
      <c r="P742" s="315"/>
      <c r="Q742" s="315"/>
      <c r="R742" s="315"/>
      <c r="S742" s="315"/>
      <c r="T742" s="315"/>
    </row>
    <row r="743" spans="1:20" s="30" customFormat="1" x14ac:dyDescent="0.25">
      <c r="A743" s="36"/>
      <c r="B743" s="31"/>
      <c r="C743" s="31"/>
      <c r="D743" s="32"/>
      <c r="H743" s="32"/>
      <c r="J743" s="32"/>
      <c r="K743" s="41"/>
      <c r="L743" s="32"/>
      <c r="N743" s="32"/>
      <c r="O743" s="41"/>
      <c r="P743" s="315"/>
      <c r="Q743" s="315"/>
      <c r="R743" s="315"/>
      <c r="S743" s="315"/>
      <c r="T743" s="315"/>
    </row>
    <row r="744" spans="1:20" s="30" customFormat="1" x14ac:dyDescent="0.25">
      <c r="A744" s="36"/>
      <c r="B744" s="31"/>
      <c r="C744" s="31"/>
      <c r="D744" s="32"/>
      <c r="H744" s="32"/>
      <c r="J744" s="32"/>
      <c r="K744" s="41"/>
      <c r="L744" s="32"/>
      <c r="N744" s="32"/>
      <c r="O744" s="41"/>
      <c r="P744" s="315"/>
      <c r="Q744" s="315"/>
      <c r="R744" s="315"/>
      <c r="S744" s="315"/>
      <c r="T744" s="315"/>
    </row>
    <row r="745" spans="1:20" s="30" customFormat="1" x14ac:dyDescent="0.25">
      <c r="A745" s="36"/>
      <c r="B745" s="31"/>
      <c r="C745" s="31"/>
      <c r="D745" s="32"/>
      <c r="H745" s="32"/>
      <c r="J745" s="32"/>
      <c r="K745" s="41"/>
      <c r="L745" s="32"/>
      <c r="N745" s="32"/>
      <c r="O745" s="41"/>
      <c r="P745" s="315"/>
      <c r="Q745" s="315"/>
      <c r="R745" s="315"/>
      <c r="S745" s="315"/>
      <c r="T745" s="315"/>
    </row>
    <row r="746" spans="1:20" s="30" customFormat="1" x14ac:dyDescent="0.25">
      <c r="A746" s="36"/>
      <c r="B746" s="31"/>
      <c r="C746" s="31"/>
      <c r="D746" s="32"/>
      <c r="H746" s="32"/>
      <c r="J746" s="32"/>
      <c r="K746" s="41"/>
      <c r="L746" s="32"/>
      <c r="N746" s="32"/>
      <c r="O746" s="41"/>
      <c r="P746" s="315"/>
      <c r="Q746" s="315"/>
      <c r="R746" s="315"/>
      <c r="S746" s="315"/>
      <c r="T746" s="315"/>
    </row>
    <row r="747" spans="1:20" s="30" customFormat="1" x14ac:dyDescent="0.25">
      <c r="A747" s="36"/>
      <c r="B747" s="31"/>
      <c r="C747" s="31"/>
      <c r="D747" s="32"/>
      <c r="H747" s="32"/>
      <c r="J747" s="32"/>
      <c r="K747" s="41"/>
      <c r="L747" s="32"/>
      <c r="N747" s="32"/>
      <c r="O747" s="41"/>
      <c r="P747" s="315"/>
      <c r="Q747" s="315"/>
      <c r="R747" s="315"/>
      <c r="S747" s="315"/>
      <c r="T747" s="315"/>
    </row>
    <row r="748" spans="1:20" s="30" customFormat="1" x14ac:dyDescent="0.25">
      <c r="A748" s="36"/>
      <c r="B748" s="31"/>
      <c r="C748" s="31"/>
      <c r="D748" s="32"/>
      <c r="H748" s="32"/>
      <c r="J748" s="32"/>
      <c r="K748" s="41"/>
      <c r="L748" s="32"/>
      <c r="N748" s="32"/>
      <c r="O748" s="41"/>
      <c r="P748" s="315"/>
      <c r="Q748" s="315"/>
      <c r="R748" s="315"/>
      <c r="S748" s="315"/>
      <c r="T748" s="315"/>
    </row>
    <row r="749" spans="1:20" s="30" customFormat="1" x14ac:dyDescent="0.25">
      <c r="A749" s="36"/>
      <c r="B749" s="31"/>
      <c r="C749" s="31"/>
      <c r="D749" s="32"/>
      <c r="H749" s="32"/>
      <c r="J749" s="32"/>
      <c r="K749" s="41"/>
      <c r="L749" s="32"/>
      <c r="N749" s="32"/>
      <c r="O749" s="41"/>
      <c r="P749" s="315"/>
      <c r="Q749" s="315"/>
      <c r="R749" s="315"/>
      <c r="S749" s="315"/>
      <c r="T749" s="315"/>
    </row>
    <row r="750" spans="1:20" s="30" customFormat="1" x14ac:dyDescent="0.25">
      <c r="A750" s="36"/>
      <c r="B750" s="31"/>
      <c r="C750" s="31"/>
      <c r="D750" s="32"/>
      <c r="H750" s="32"/>
      <c r="J750" s="32"/>
      <c r="K750" s="41"/>
      <c r="L750" s="32"/>
      <c r="N750" s="32"/>
      <c r="O750" s="41"/>
      <c r="P750" s="315"/>
      <c r="Q750" s="315"/>
      <c r="R750" s="315"/>
      <c r="S750" s="315"/>
      <c r="T750" s="315"/>
    </row>
    <row r="751" spans="1:20" s="30" customFormat="1" x14ac:dyDescent="0.25">
      <c r="A751" s="36"/>
      <c r="B751" s="31"/>
      <c r="C751" s="31"/>
      <c r="D751" s="32"/>
      <c r="H751" s="32"/>
      <c r="J751" s="32"/>
      <c r="K751" s="41"/>
      <c r="L751" s="32"/>
      <c r="N751" s="32"/>
      <c r="O751" s="41"/>
      <c r="P751" s="315"/>
      <c r="Q751" s="315"/>
      <c r="R751" s="315"/>
      <c r="S751" s="315"/>
      <c r="T751" s="315"/>
    </row>
    <row r="752" spans="1:20" s="30" customFormat="1" x14ac:dyDescent="0.25">
      <c r="A752" s="36"/>
      <c r="B752" s="31"/>
      <c r="C752" s="31"/>
      <c r="D752" s="32"/>
      <c r="H752" s="32"/>
      <c r="J752" s="32"/>
      <c r="K752" s="41"/>
      <c r="L752" s="32"/>
      <c r="N752" s="32"/>
      <c r="O752" s="41"/>
      <c r="P752" s="315"/>
      <c r="Q752" s="315"/>
      <c r="R752" s="315"/>
      <c r="S752" s="315"/>
      <c r="T752" s="315"/>
    </row>
    <row r="753" spans="1:20" s="30" customFormat="1" x14ac:dyDescent="0.25">
      <c r="A753" s="36"/>
      <c r="B753" s="31"/>
      <c r="C753" s="31"/>
      <c r="D753" s="32"/>
      <c r="H753" s="32"/>
      <c r="J753" s="32"/>
      <c r="K753" s="41"/>
      <c r="L753" s="32"/>
      <c r="N753" s="32"/>
      <c r="O753" s="41"/>
      <c r="P753" s="315"/>
      <c r="Q753" s="315"/>
      <c r="R753" s="315"/>
      <c r="S753" s="315"/>
      <c r="T753" s="315"/>
    </row>
    <row r="754" spans="1:20" s="30" customFormat="1" x14ac:dyDescent="0.25">
      <c r="A754" s="36"/>
      <c r="B754" s="31"/>
      <c r="C754" s="31"/>
      <c r="D754" s="32"/>
      <c r="H754" s="32"/>
      <c r="J754" s="32"/>
      <c r="K754" s="41"/>
      <c r="L754" s="32"/>
      <c r="N754" s="32"/>
      <c r="O754" s="41"/>
      <c r="P754" s="315"/>
      <c r="Q754" s="315"/>
      <c r="R754" s="315"/>
      <c r="S754" s="315"/>
      <c r="T754" s="315"/>
    </row>
    <row r="755" spans="1:20" s="30" customFormat="1" x14ac:dyDescent="0.25">
      <c r="A755" s="36"/>
      <c r="B755" s="31"/>
      <c r="C755" s="31"/>
      <c r="D755" s="32"/>
      <c r="H755" s="32"/>
      <c r="J755" s="32"/>
      <c r="K755" s="41"/>
      <c r="L755" s="32"/>
      <c r="N755" s="32"/>
      <c r="O755" s="41"/>
      <c r="P755" s="315"/>
      <c r="Q755" s="315"/>
      <c r="R755" s="315"/>
      <c r="S755" s="315"/>
      <c r="T755" s="315"/>
    </row>
    <row r="756" spans="1:20" s="30" customFormat="1" x14ac:dyDescent="0.25">
      <c r="A756" s="36"/>
      <c r="B756" s="31"/>
      <c r="C756" s="31"/>
      <c r="D756" s="32"/>
      <c r="H756" s="32"/>
      <c r="J756" s="32"/>
      <c r="K756" s="41"/>
      <c r="L756" s="32"/>
      <c r="N756" s="32"/>
      <c r="O756" s="41"/>
      <c r="P756" s="315"/>
      <c r="Q756" s="315"/>
      <c r="R756" s="315"/>
      <c r="S756" s="315"/>
      <c r="T756" s="315"/>
    </row>
    <row r="757" spans="1:20" s="30" customFormat="1" x14ac:dyDescent="0.25">
      <c r="A757" s="36"/>
      <c r="B757" s="31"/>
      <c r="C757" s="31"/>
      <c r="D757" s="32"/>
      <c r="H757" s="32"/>
      <c r="J757" s="32"/>
      <c r="K757" s="41"/>
      <c r="L757" s="32"/>
      <c r="N757" s="32"/>
      <c r="O757" s="41"/>
      <c r="P757" s="315"/>
      <c r="Q757" s="315"/>
      <c r="R757" s="315"/>
      <c r="S757" s="315"/>
      <c r="T757" s="315"/>
    </row>
    <row r="758" spans="1:20" s="30" customFormat="1" x14ac:dyDescent="0.25">
      <c r="A758" s="36"/>
      <c r="B758" s="31"/>
      <c r="C758" s="31"/>
      <c r="D758" s="32"/>
      <c r="H758" s="32"/>
      <c r="J758" s="32"/>
      <c r="K758" s="41"/>
      <c r="L758" s="32"/>
      <c r="N758" s="32"/>
      <c r="O758" s="41"/>
      <c r="P758" s="315"/>
      <c r="Q758" s="315"/>
      <c r="R758" s="315"/>
      <c r="S758" s="315"/>
      <c r="T758" s="315"/>
    </row>
    <row r="759" spans="1:20" s="30" customFormat="1" x14ac:dyDescent="0.25">
      <c r="A759" s="36"/>
      <c r="B759" s="31"/>
      <c r="C759" s="31"/>
      <c r="D759" s="32"/>
      <c r="H759" s="32"/>
      <c r="J759" s="32"/>
      <c r="K759" s="41"/>
      <c r="L759" s="32"/>
      <c r="N759" s="32"/>
      <c r="O759" s="41"/>
      <c r="P759" s="315"/>
      <c r="Q759" s="315"/>
      <c r="R759" s="315"/>
      <c r="S759" s="315"/>
      <c r="T759" s="315"/>
    </row>
    <row r="760" spans="1:20" s="30" customFormat="1" x14ac:dyDescent="0.25">
      <c r="A760" s="36"/>
      <c r="B760" s="31"/>
      <c r="C760" s="31"/>
      <c r="D760" s="32"/>
      <c r="H760" s="32"/>
      <c r="J760" s="32"/>
      <c r="K760" s="41"/>
      <c r="L760" s="32"/>
      <c r="N760" s="32"/>
      <c r="O760" s="41"/>
      <c r="P760" s="315"/>
      <c r="Q760" s="315"/>
      <c r="R760" s="315"/>
      <c r="S760" s="315"/>
      <c r="T760" s="315"/>
    </row>
  </sheetData>
  <sheetProtection algorithmName="SHA-512" hashValue="5XZBJwP4pZRM3huYbazjAeo27TAaPqAA4U82Xf22RqpfNGul4YWaPWbw1R5RJoI5mha1eELzx3qN9iJvKxzHaA==" saltValue="YHFtulVYE3zbbMHTnycPHA==" spinCount="100000" sheet="1" objects="1" scenarios="1"/>
  <mergeCells count="7">
    <mergeCell ref="Q5:S5"/>
    <mergeCell ref="A21:C21"/>
    <mergeCell ref="A22:C22"/>
    <mergeCell ref="A5:C5"/>
    <mergeCell ref="E5:G5"/>
    <mergeCell ref="I5:K5"/>
    <mergeCell ref="M5:O5"/>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F7288B-14FE-4857-AD53-629F0A6945F4}">
  <sheetPr>
    <tabColor theme="0"/>
  </sheetPr>
  <dimension ref="A1:Q84"/>
  <sheetViews>
    <sheetView topLeftCell="A3" zoomScale="80" zoomScaleNormal="80" workbookViewId="0">
      <pane ySplit="11" topLeftCell="A14" activePane="bottomLeft" state="frozen"/>
      <selection activeCell="A3" sqref="A3"/>
      <selection pane="bottomLeft" activeCell="P67" sqref="P67"/>
    </sheetView>
    <sheetView topLeftCell="A59" workbookViewId="1"/>
  </sheetViews>
  <sheetFormatPr defaultColWidth="15.85546875" defaultRowHeight="15.75" x14ac:dyDescent="0.25"/>
  <cols>
    <col min="1" max="1" width="3.42578125" style="191" customWidth="1"/>
    <col min="2" max="2" width="49.140625" style="174" customWidth="1"/>
    <col min="3" max="3" width="18.28515625" style="186" bestFit="1" customWidth="1"/>
    <col min="4" max="4" width="12.5703125" style="186" customWidth="1"/>
    <col min="5" max="5" width="31.5703125" style="186" customWidth="1"/>
    <col min="6" max="6" width="1" style="186" customWidth="1"/>
    <col min="7" max="7" width="17.7109375" style="186" customWidth="1"/>
    <col min="8" max="8" width="14.5703125" style="186" customWidth="1"/>
    <col min="9" max="9" width="33.28515625" style="186" customWidth="1"/>
    <col min="10" max="10" width="1" style="186" customWidth="1"/>
    <col min="11" max="11" width="12.85546875" style="186" bestFit="1" customWidth="1"/>
    <col min="12" max="12" width="12.42578125" style="186" bestFit="1" customWidth="1"/>
    <col min="13" max="13" width="36.140625" style="186" customWidth="1"/>
    <col min="14" max="14" width="0.85546875" style="186" customWidth="1"/>
    <col min="15" max="16" width="15.85546875" style="186"/>
    <col min="17" max="17" width="34" style="186" bestFit="1" customWidth="1"/>
    <col min="18" max="16384" width="15.85546875" style="186"/>
  </cols>
  <sheetData>
    <row r="1" spans="1:17" x14ac:dyDescent="0.25">
      <c r="B1" s="32" t="s">
        <v>6</v>
      </c>
      <c r="C1" s="271" t="str">
        <f>'FFP CLINs X007-X021'!B1</f>
        <v>NAME</v>
      </c>
      <c r="D1" s="270"/>
    </row>
    <row r="2" spans="1:17" ht="16.5" thickBot="1" x14ac:dyDescent="0.3"/>
    <row r="3" spans="1:17" ht="16.5" thickBot="1" x14ac:dyDescent="0.3">
      <c r="B3" s="126" t="s">
        <v>626</v>
      </c>
      <c r="C3" s="494" t="str">
        <f>'FFP CLINs X007-X021'!B1</f>
        <v>NAME</v>
      </c>
    </row>
    <row r="4" spans="1:17" ht="16.5" thickBot="1" x14ac:dyDescent="0.3"/>
    <row r="5" spans="1:17" ht="33" customHeight="1" thickBot="1" x14ac:dyDescent="0.3">
      <c r="A5" s="557" t="s">
        <v>303</v>
      </c>
      <c r="B5" s="558"/>
      <c r="C5" s="559"/>
      <c r="Q5" s="501" t="s">
        <v>5</v>
      </c>
    </row>
    <row r="7" spans="1:17" s="259" customFormat="1" x14ac:dyDescent="0.2">
      <c r="A7" s="260"/>
      <c r="B7" s="261" t="s">
        <v>130</v>
      </c>
    </row>
    <row r="8" spans="1:17" s="259" customFormat="1" x14ac:dyDescent="0.25">
      <c r="A8" s="258"/>
      <c r="B8" s="258" t="s">
        <v>606</v>
      </c>
    </row>
    <row r="9" spans="1:17" s="259" customFormat="1" x14ac:dyDescent="0.25">
      <c r="A9" s="258"/>
      <c r="B9" s="258" t="s">
        <v>390</v>
      </c>
    </row>
    <row r="10" spans="1:17" s="259" customFormat="1" x14ac:dyDescent="0.25">
      <c r="A10" s="258"/>
      <c r="B10" s="258" t="s">
        <v>607</v>
      </c>
    </row>
    <row r="11" spans="1:17" s="259" customFormat="1" x14ac:dyDescent="0.25">
      <c r="A11" s="258"/>
      <c r="B11" s="258" t="s">
        <v>608</v>
      </c>
    </row>
    <row r="12" spans="1:17" x14ac:dyDescent="0.25">
      <c r="A12" s="192"/>
      <c r="B12" s="258" t="s">
        <v>609</v>
      </c>
      <c r="C12" s="194"/>
    </row>
    <row r="13" spans="1:17" x14ac:dyDescent="0.25">
      <c r="A13" s="192"/>
      <c r="B13" s="258" t="s">
        <v>471</v>
      </c>
      <c r="C13" s="194"/>
    </row>
    <row r="14" spans="1:17" ht="16.5" thickBot="1" x14ac:dyDescent="0.3"/>
    <row r="15" spans="1:17" ht="16.5" thickBot="1" x14ac:dyDescent="0.3">
      <c r="A15" s="193"/>
      <c r="B15" s="620" t="s">
        <v>472</v>
      </c>
      <c r="C15" s="594" t="s">
        <v>134</v>
      </c>
      <c r="D15" s="595"/>
      <c r="E15" s="596"/>
      <c r="F15" s="151"/>
      <c r="G15" s="594" t="s">
        <v>134</v>
      </c>
      <c r="H15" s="595"/>
      <c r="I15" s="596"/>
      <c r="J15" s="151"/>
      <c r="K15" s="594" t="s">
        <v>134</v>
      </c>
      <c r="L15" s="595"/>
      <c r="M15" s="596"/>
      <c r="N15" s="151"/>
      <c r="O15" s="594" t="s">
        <v>134</v>
      </c>
      <c r="P15" s="595"/>
      <c r="Q15" s="596"/>
    </row>
    <row r="16" spans="1:17" ht="16.5" thickBot="1" x14ac:dyDescent="0.3">
      <c r="A16" s="193"/>
      <c r="B16" s="621"/>
      <c r="C16" s="617" t="s">
        <v>299</v>
      </c>
      <c r="D16" s="618"/>
      <c r="E16" s="619"/>
      <c r="F16" s="152"/>
      <c r="G16" s="617" t="s">
        <v>300</v>
      </c>
      <c r="H16" s="618"/>
      <c r="I16" s="619"/>
      <c r="J16" s="152"/>
      <c r="K16" s="617" t="s">
        <v>301</v>
      </c>
      <c r="L16" s="618"/>
      <c r="M16" s="619"/>
      <c r="N16" s="152"/>
      <c r="O16" s="617" t="s">
        <v>302</v>
      </c>
      <c r="P16" s="618"/>
      <c r="Q16" s="619"/>
    </row>
    <row r="17" spans="1:17" x14ac:dyDescent="0.25">
      <c r="A17" s="193"/>
      <c r="B17" s="153" t="s">
        <v>110</v>
      </c>
      <c r="C17" s="153" t="s">
        <v>91</v>
      </c>
      <c r="D17" s="154" t="s">
        <v>5</v>
      </c>
      <c r="E17" s="155" t="s">
        <v>139</v>
      </c>
      <c r="F17" s="156"/>
      <c r="G17" s="153" t="s">
        <v>91</v>
      </c>
      <c r="H17" s="154" t="s">
        <v>5</v>
      </c>
      <c r="I17" s="155" t="s">
        <v>139</v>
      </c>
      <c r="J17" s="156"/>
      <c r="K17" s="153" t="s">
        <v>91</v>
      </c>
      <c r="L17" s="154" t="s">
        <v>5</v>
      </c>
      <c r="M17" s="155" t="s">
        <v>139</v>
      </c>
      <c r="N17" s="156"/>
      <c r="O17" s="153" t="s">
        <v>91</v>
      </c>
      <c r="P17" s="154" t="s">
        <v>5</v>
      </c>
      <c r="Q17" s="155" t="s">
        <v>139</v>
      </c>
    </row>
    <row r="18" spans="1:17" ht="28.5" customHeight="1" thickBot="1" x14ac:dyDescent="0.3">
      <c r="A18" s="193"/>
      <c r="B18" s="203" t="s">
        <v>558</v>
      </c>
      <c r="C18" s="289"/>
      <c r="D18" s="290"/>
      <c r="E18" s="291"/>
      <c r="F18" s="156"/>
      <c r="G18" s="289"/>
      <c r="H18" s="290"/>
      <c r="I18" s="291"/>
      <c r="J18" s="156"/>
      <c r="K18" s="289"/>
      <c r="L18" s="290"/>
      <c r="M18" s="291"/>
      <c r="N18" s="156"/>
      <c r="O18" s="289"/>
      <c r="P18" s="290"/>
      <c r="Q18" s="291"/>
    </row>
    <row r="19" spans="1:17" ht="16.5" thickBot="1" x14ac:dyDescent="0.3">
      <c r="A19" s="193"/>
      <c r="B19" s="299" t="s">
        <v>151</v>
      </c>
      <c r="C19" s="257">
        <f>'PRIME CPIF LABOR INPUTS'!D28</f>
        <v>0</v>
      </c>
      <c r="D19" s="205"/>
      <c r="E19" s="164">
        <f>'PRIME CPIF LABOR INPUTS'!F28</f>
        <v>0</v>
      </c>
      <c r="F19" s="165"/>
      <c r="G19" s="257">
        <f>'PRIME CPIF LABOR INPUTS'!H28</f>
        <v>0</v>
      </c>
      <c r="H19" s="205"/>
      <c r="I19" s="164">
        <f>'PRIME CPIF LABOR INPUTS'!J28</f>
        <v>0</v>
      </c>
      <c r="J19" s="165"/>
      <c r="K19" s="257">
        <f>'PRIME CPIF LABOR INPUTS'!L28</f>
        <v>0</v>
      </c>
      <c r="L19" s="205"/>
      <c r="M19" s="164">
        <f>'PRIME CPIF LABOR INPUTS'!N28</f>
        <v>0</v>
      </c>
      <c r="N19" s="165"/>
      <c r="O19" s="257">
        <f>'PRIME CPIF LABOR INPUTS'!P28</f>
        <v>0</v>
      </c>
      <c r="P19" s="205"/>
      <c r="Q19" s="164">
        <f>'PRIME CPIF LABOR INPUTS'!R28</f>
        <v>0</v>
      </c>
    </row>
    <row r="20" spans="1:17" x14ac:dyDescent="0.25">
      <c r="A20" s="193"/>
      <c r="B20" s="204"/>
      <c r="C20" s="153" t="s">
        <v>399</v>
      </c>
      <c r="D20" s="154" t="s">
        <v>396</v>
      </c>
      <c r="E20" s="155" t="s">
        <v>398</v>
      </c>
      <c r="F20" s="166"/>
      <c r="G20" s="153" t="s">
        <v>399</v>
      </c>
      <c r="H20" s="154" t="s">
        <v>396</v>
      </c>
      <c r="I20" s="155" t="s">
        <v>398</v>
      </c>
      <c r="J20" s="166"/>
      <c r="K20" s="153" t="s">
        <v>399</v>
      </c>
      <c r="L20" s="154" t="s">
        <v>396</v>
      </c>
      <c r="M20" s="155" t="s">
        <v>398</v>
      </c>
      <c r="N20" s="166"/>
      <c r="O20" s="153" t="s">
        <v>399</v>
      </c>
      <c r="P20" s="154" t="s">
        <v>396</v>
      </c>
      <c r="Q20" s="155" t="s">
        <v>398</v>
      </c>
    </row>
    <row r="21" spans="1:17" ht="66" customHeight="1" x14ac:dyDescent="0.25">
      <c r="A21" s="193"/>
      <c r="B21" s="344" t="s">
        <v>611</v>
      </c>
      <c r="C21" s="405"/>
      <c r="D21" s="406"/>
      <c r="E21" s="400"/>
      <c r="F21" s="165"/>
      <c r="G21" s="405"/>
      <c r="H21" s="406"/>
      <c r="I21" s="400"/>
      <c r="J21" s="165"/>
      <c r="K21" s="405"/>
      <c r="L21" s="406"/>
      <c r="M21" s="400"/>
      <c r="N21" s="165"/>
      <c r="O21" s="405"/>
      <c r="P21" s="406"/>
      <c r="Q21" s="400"/>
    </row>
    <row r="22" spans="1:17" x14ac:dyDescent="0.25">
      <c r="A22" s="193"/>
      <c r="B22" s="167" t="str">
        <f>'PRIME CPIF RATES (ALL)'!B35</f>
        <v>Indirect Labor Category:  [Labor Fringe]</v>
      </c>
      <c r="C22" s="215">
        <f>E19</f>
        <v>0</v>
      </c>
      <c r="D22" s="243">
        <f>'PRIME CPIF RATES (ALL)'!C35</f>
        <v>0</v>
      </c>
      <c r="E22" s="168">
        <f>ROUND(C22*D22,2)</f>
        <v>0</v>
      </c>
      <c r="F22" s="165"/>
      <c r="G22" s="215">
        <f>I19</f>
        <v>0</v>
      </c>
      <c r="H22" s="243">
        <f>'PRIME CPIF RATES (ALL)'!D35</f>
        <v>0</v>
      </c>
      <c r="I22" s="168">
        <f>ROUND(G22*H22,2)</f>
        <v>0</v>
      </c>
      <c r="J22" s="165"/>
      <c r="K22" s="215">
        <f>+M19</f>
        <v>0</v>
      </c>
      <c r="L22" s="243">
        <f>'PRIME CPIF RATES (ALL)'!E35</f>
        <v>0</v>
      </c>
      <c r="M22" s="168">
        <f>ROUND(K22*L22,2)</f>
        <v>0</v>
      </c>
      <c r="N22" s="165"/>
      <c r="O22" s="215">
        <f>+Q19</f>
        <v>0</v>
      </c>
      <c r="P22" s="243">
        <f>'PRIME CPIF RATES (ALL)'!F35</f>
        <v>0</v>
      </c>
      <c r="Q22" s="168">
        <f>ROUND(O22*P22,2)</f>
        <v>0</v>
      </c>
    </row>
    <row r="23" spans="1:17" x14ac:dyDescent="0.25">
      <c r="A23" s="193"/>
      <c r="B23" s="167" t="str">
        <f>'PRIME CPIF RATES (ALL)'!B36</f>
        <v>Indirect Labor Category: [Labor Overhead]</v>
      </c>
      <c r="C23" s="215">
        <f>C22+E22</f>
        <v>0</v>
      </c>
      <c r="D23" s="243">
        <f>'PRIME CPIF RATES (ALL)'!C36</f>
        <v>0</v>
      </c>
      <c r="E23" s="168">
        <f>ROUND(C23*D23,2)</f>
        <v>0</v>
      </c>
      <c r="F23" s="165"/>
      <c r="G23" s="215">
        <f>G22+I22</f>
        <v>0</v>
      </c>
      <c r="H23" s="243">
        <f>'PRIME CPIF RATES (ALL)'!D36</f>
        <v>0</v>
      </c>
      <c r="I23" s="168">
        <f>ROUND(G23*H23,2)</f>
        <v>0</v>
      </c>
      <c r="J23" s="165"/>
      <c r="K23" s="215">
        <f>+K22+M22</f>
        <v>0</v>
      </c>
      <c r="L23" s="243">
        <f>'PRIME CPIF RATES (ALL)'!E36</f>
        <v>0</v>
      </c>
      <c r="M23" s="168">
        <f>ROUND(K23*L23,2)</f>
        <v>0</v>
      </c>
      <c r="N23" s="165"/>
      <c r="O23" s="215">
        <f>+O22+Q22</f>
        <v>0</v>
      </c>
      <c r="P23" s="243">
        <f>'PRIME CPIF RATES (ALL)'!F36</f>
        <v>0</v>
      </c>
      <c r="Q23" s="168">
        <f>ROUND(O23*P23,2)</f>
        <v>0</v>
      </c>
    </row>
    <row r="24" spans="1:17" x14ac:dyDescent="0.25">
      <c r="A24" s="193"/>
      <c r="B24" s="167" t="str">
        <f>'PRIME CPIF RATES (ALL)'!B37</f>
        <v>Indirect Labor Category: [G&amp;A]</v>
      </c>
      <c r="C24" s="215">
        <f>C23+E23</f>
        <v>0</v>
      </c>
      <c r="D24" s="243">
        <f>'PRIME CPIF RATES (ALL)'!C37</f>
        <v>0</v>
      </c>
      <c r="E24" s="168">
        <f>ROUND(C24*D24,2)</f>
        <v>0</v>
      </c>
      <c r="F24" s="165"/>
      <c r="G24" s="215">
        <f>G23+I23</f>
        <v>0</v>
      </c>
      <c r="H24" s="243">
        <f>'PRIME CPIF RATES (ALL)'!D37</f>
        <v>0</v>
      </c>
      <c r="I24" s="168">
        <f>ROUND(G24*H24,2)</f>
        <v>0</v>
      </c>
      <c r="J24" s="165"/>
      <c r="K24" s="215">
        <f>+K23+M23</f>
        <v>0</v>
      </c>
      <c r="L24" s="243">
        <f>'PRIME CPIF RATES (ALL)'!E37</f>
        <v>0</v>
      </c>
      <c r="M24" s="168">
        <f>ROUND(K24*L24,2)</f>
        <v>0</v>
      </c>
      <c r="N24" s="165"/>
      <c r="O24" s="215">
        <f>+O23+Q23</f>
        <v>0</v>
      </c>
      <c r="P24" s="243">
        <f>'PRIME CPIF RATES (ALL)'!F37</f>
        <v>0</v>
      </c>
      <c r="Q24" s="168">
        <f>ROUND(O24*P24,2)</f>
        <v>0</v>
      </c>
    </row>
    <row r="25" spans="1:17" x14ac:dyDescent="0.25">
      <c r="A25" s="193"/>
      <c r="B25" s="167" t="str">
        <f>'PRIME CPIF RATES (ALL)'!B38</f>
        <v>Indirect Labor Category: [FCCOM]</v>
      </c>
      <c r="C25" s="215">
        <f>C24+E24</f>
        <v>0</v>
      </c>
      <c r="D25" s="502">
        <f>'PRIME CPIF RATES (ALL)'!C38</f>
        <v>0</v>
      </c>
      <c r="E25" s="168">
        <f>ROUND(C25*D25,2)</f>
        <v>0</v>
      </c>
      <c r="F25" s="165"/>
      <c r="G25" s="215">
        <f>I19</f>
        <v>0</v>
      </c>
      <c r="H25" s="243">
        <f>'PRIME CPIF RATES (ALL)'!D38</f>
        <v>0</v>
      </c>
      <c r="I25" s="168">
        <f>ROUND(G25*H25,2)</f>
        <v>0</v>
      </c>
      <c r="J25" s="165"/>
      <c r="K25" s="215">
        <f>K24+M24</f>
        <v>0</v>
      </c>
      <c r="L25" s="243">
        <f>'PRIME CPIF RATES (ALL)'!E38</f>
        <v>0</v>
      </c>
      <c r="M25" s="168">
        <f>ROUND(K25*L25,2)</f>
        <v>0</v>
      </c>
      <c r="N25" s="165"/>
      <c r="O25" s="215">
        <f>O24+Q24</f>
        <v>0</v>
      </c>
      <c r="P25" s="243">
        <f>'PRIME CPIF RATES (ALL)'!F38</f>
        <v>0</v>
      </c>
      <c r="Q25" s="168">
        <f>ROUND(O25*P25,2)</f>
        <v>0</v>
      </c>
    </row>
    <row r="26" spans="1:17" x14ac:dyDescent="0.25">
      <c r="A26" s="193"/>
      <c r="B26" s="167" t="str">
        <f>'PRIME CPIF RATES (ALL)'!B39</f>
        <v>Indirect Labor Category: [Target Fee]</v>
      </c>
      <c r="C26" s="215">
        <f>C24+E24</f>
        <v>0</v>
      </c>
      <c r="D26" s="243">
        <f>'PRIME CPIF RATES (ALL)'!C39</f>
        <v>0</v>
      </c>
      <c r="E26" s="168">
        <f>ROUND(C26*D26,2)</f>
        <v>0</v>
      </c>
      <c r="F26" s="165"/>
      <c r="G26" s="215">
        <f>G24+I24</f>
        <v>0</v>
      </c>
      <c r="H26" s="243">
        <f>'PRIME CPIF RATES (ALL)'!D39</f>
        <v>0</v>
      </c>
      <c r="I26" s="168">
        <f>ROUND(G26*H26,2)</f>
        <v>0</v>
      </c>
      <c r="J26" s="165"/>
      <c r="K26" s="215">
        <f>+K24+M24</f>
        <v>0</v>
      </c>
      <c r="L26" s="243">
        <f>'PRIME CPIF RATES (ALL)'!E39</f>
        <v>0</v>
      </c>
      <c r="M26" s="168">
        <f>ROUND(K26*L26,2)</f>
        <v>0</v>
      </c>
      <c r="N26" s="165"/>
      <c r="O26" s="215">
        <f>+O24+Q24</f>
        <v>0</v>
      </c>
      <c r="P26" s="243">
        <f>'PRIME CPIF RATES (ALL)'!F39</f>
        <v>0</v>
      </c>
      <c r="Q26" s="168">
        <f>ROUND(O26*P26,2)</f>
        <v>0</v>
      </c>
    </row>
    <row r="27" spans="1:17" x14ac:dyDescent="0.25">
      <c r="A27" s="193"/>
      <c r="B27" s="262" t="s">
        <v>258</v>
      </c>
      <c r="C27" s="210"/>
      <c r="D27" s="211"/>
      <c r="E27" s="230">
        <f>ROUND(SUM(E19,E22,E23,E24),2)</f>
        <v>0</v>
      </c>
      <c r="F27" s="165"/>
      <c r="G27" s="206"/>
      <c r="H27" s="207"/>
      <c r="I27" s="230">
        <f>ROUND(SUM(I19,I22,I23,I24),2)</f>
        <v>0</v>
      </c>
      <c r="J27" s="165"/>
      <c r="K27" s="206"/>
      <c r="L27" s="207"/>
      <c r="M27" s="230">
        <f>ROUND(SUM(M19,M22,M23,M24),2)</f>
        <v>0</v>
      </c>
      <c r="N27" s="165"/>
      <c r="O27" s="206"/>
      <c r="P27" s="207"/>
      <c r="Q27" s="230">
        <f>ROUND(SUM(Q19,Q22,Q23,Q24),2)</f>
        <v>0</v>
      </c>
    </row>
    <row r="28" spans="1:17" x14ac:dyDescent="0.25">
      <c r="A28" s="193"/>
      <c r="B28" s="262" t="s">
        <v>298</v>
      </c>
      <c r="C28" s="210"/>
      <c r="D28" s="211"/>
      <c r="E28" s="230">
        <f>ROUND(E25,2)</f>
        <v>0</v>
      </c>
      <c r="F28" s="165"/>
      <c r="G28" s="206"/>
      <c r="H28" s="207"/>
      <c r="I28" s="230">
        <f>ROUND(I25,2)</f>
        <v>0</v>
      </c>
      <c r="J28" s="165"/>
      <c r="K28" s="206"/>
      <c r="L28" s="207"/>
      <c r="M28" s="230">
        <f>ROUND(M25,2)</f>
        <v>0</v>
      </c>
      <c r="N28" s="165"/>
      <c r="O28" s="206"/>
      <c r="P28" s="207"/>
      <c r="Q28" s="230">
        <f>ROUND(Q25,2)</f>
        <v>0</v>
      </c>
    </row>
    <row r="29" spans="1:17" x14ac:dyDescent="0.25">
      <c r="A29" s="193"/>
      <c r="B29" s="262" t="s">
        <v>136</v>
      </c>
      <c r="C29" s="210"/>
      <c r="D29" s="211"/>
      <c r="E29" s="245">
        <f>ROUND(E26,2)</f>
        <v>0</v>
      </c>
      <c r="F29" s="170"/>
      <c r="G29" s="206"/>
      <c r="H29" s="207"/>
      <c r="I29" s="245">
        <f>ROUND(I26,2)</f>
        <v>0</v>
      </c>
      <c r="J29" s="170"/>
      <c r="K29" s="206"/>
      <c r="L29" s="207"/>
      <c r="M29" s="245">
        <f>ROUND(M26,2)</f>
        <v>0</v>
      </c>
      <c r="N29" s="170"/>
      <c r="O29" s="206"/>
      <c r="P29" s="207"/>
      <c r="Q29" s="245">
        <f>ROUND(Q26,2)</f>
        <v>0</v>
      </c>
    </row>
    <row r="30" spans="1:17" ht="16.5" thickBot="1" x14ac:dyDescent="0.3">
      <c r="A30" s="193"/>
      <c r="B30" s="263" t="s">
        <v>138</v>
      </c>
      <c r="C30" s="212"/>
      <c r="D30" s="213"/>
      <c r="E30" s="246">
        <f>ROUND(SUM(E27:E29),2)</f>
        <v>0</v>
      </c>
      <c r="F30" s="171"/>
      <c r="G30" s="208"/>
      <c r="H30" s="209"/>
      <c r="I30" s="246">
        <f>ROUND(SUM(I27:I29),2)</f>
        <v>0</v>
      </c>
      <c r="J30" s="171"/>
      <c r="K30" s="208"/>
      <c r="L30" s="209"/>
      <c r="M30" s="246">
        <f>ROUND(SUM(M27:M29),2)</f>
        <v>0</v>
      </c>
      <c r="N30" s="171"/>
      <c r="O30" s="208"/>
      <c r="P30" s="209"/>
      <c r="Q30" s="246">
        <f>ROUND(SUM(Q27:Q29),2)</f>
        <v>0</v>
      </c>
    </row>
    <row r="31" spans="1:17" ht="23.25" customHeight="1" thickBot="1" x14ac:dyDescent="0.3">
      <c r="A31" s="193"/>
      <c r="B31" s="172"/>
      <c r="C31" s="173"/>
      <c r="D31" s="173"/>
      <c r="E31" s="173"/>
      <c r="F31" s="256"/>
      <c r="G31" s="173"/>
      <c r="H31" s="173"/>
      <c r="I31" s="173"/>
      <c r="J31" s="256"/>
      <c r="K31" s="173"/>
      <c r="L31" s="173"/>
      <c r="M31" s="173"/>
      <c r="N31" s="165"/>
      <c r="O31" s="173"/>
      <c r="P31" s="173"/>
      <c r="Q31" s="173"/>
    </row>
    <row r="32" spans="1:17" ht="16.5" customHeight="1" thickBot="1" x14ac:dyDescent="0.3">
      <c r="A32" s="193"/>
      <c r="B32" s="620" t="s">
        <v>610</v>
      </c>
      <c r="C32" s="594" t="s">
        <v>145</v>
      </c>
      <c r="D32" s="595"/>
      <c r="E32" s="596"/>
      <c r="F32" s="175"/>
      <c r="G32" s="594" t="s">
        <v>145</v>
      </c>
      <c r="H32" s="595"/>
      <c r="I32" s="596"/>
      <c r="J32" s="175"/>
      <c r="K32" s="594" t="s">
        <v>145</v>
      </c>
      <c r="L32" s="595"/>
      <c r="M32" s="596"/>
      <c r="N32" s="175"/>
      <c r="O32" s="594" t="s">
        <v>145</v>
      </c>
      <c r="P32" s="595"/>
      <c r="Q32" s="596"/>
    </row>
    <row r="33" spans="1:17" ht="16.5" thickBot="1" x14ac:dyDescent="0.3">
      <c r="A33" s="193"/>
      <c r="B33" s="621"/>
      <c r="C33" s="617" t="str">
        <f>C16</f>
        <v>CLIN 0001 - Basic Period (Year 1)</v>
      </c>
      <c r="D33" s="618"/>
      <c r="E33" s="619"/>
      <c r="F33" s="176"/>
      <c r="G33" s="617" t="str">
        <f>G16</f>
        <v>CLIN 0001 - Basic Period (Year 2)</v>
      </c>
      <c r="H33" s="618"/>
      <c r="I33" s="619"/>
      <c r="J33" s="176"/>
      <c r="K33" s="617" t="str">
        <f>K16</f>
        <v>CLIN 0001 - Basic Period (Year 3)</v>
      </c>
      <c r="L33" s="618"/>
      <c r="M33" s="619"/>
      <c r="N33" s="176"/>
      <c r="O33" s="617" t="str">
        <f>O16</f>
        <v>CLIN 0001 - Basic Period (Year 4)</v>
      </c>
      <c r="P33" s="618"/>
      <c r="Q33" s="619"/>
    </row>
    <row r="34" spans="1:17" x14ac:dyDescent="0.25">
      <c r="A34" s="193"/>
      <c r="B34" s="247"/>
      <c r="C34" s="153" t="str">
        <f>C20</f>
        <v>Base Cost</v>
      </c>
      <c r="D34" s="154" t="str">
        <f>D20</f>
        <v>Rate</v>
      </c>
      <c r="E34" s="155" t="s">
        <v>152</v>
      </c>
      <c r="F34" s="166"/>
      <c r="G34" s="153" t="str">
        <f>G20</f>
        <v>Base Cost</v>
      </c>
      <c r="H34" s="154" t="str">
        <f>H20</f>
        <v>Rate</v>
      </c>
      <c r="I34" s="155" t="s">
        <v>152</v>
      </c>
      <c r="J34" s="166"/>
      <c r="K34" s="153" t="str">
        <f>K20</f>
        <v>Base Cost</v>
      </c>
      <c r="L34" s="154" t="str">
        <f>L20</f>
        <v>Rate</v>
      </c>
      <c r="M34" s="155" t="s">
        <v>152</v>
      </c>
      <c r="N34" s="166"/>
      <c r="O34" s="153" t="str">
        <f>O20</f>
        <v>Base Cost</v>
      </c>
      <c r="P34" s="154" t="str">
        <f>P20</f>
        <v>Rate</v>
      </c>
      <c r="Q34" s="155" t="s">
        <v>152</v>
      </c>
    </row>
    <row r="35" spans="1:17" ht="51.75" customHeight="1" x14ac:dyDescent="0.25">
      <c r="A35" s="193"/>
      <c r="B35" s="300" t="s">
        <v>612</v>
      </c>
      <c r="C35" s="231"/>
      <c r="D35" s="232"/>
      <c r="E35" s="400">
        <f>'PRIME CPIF TOTAL MATERIAL'!E11</f>
        <v>0</v>
      </c>
      <c r="F35" s="165"/>
      <c r="G35" s="231"/>
      <c r="H35" s="232"/>
      <c r="I35" s="400">
        <f>'PRIME CPIF TOTAL MATERIAL'!G11</f>
        <v>0</v>
      </c>
      <c r="J35" s="165"/>
      <c r="K35" s="231"/>
      <c r="L35" s="232"/>
      <c r="M35" s="400">
        <f>'PRIME CPIF TOTAL MATERIAL'!I11</f>
        <v>0</v>
      </c>
      <c r="N35" s="165"/>
      <c r="O35" s="231"/>
      <c r="P35" s="232"/>
      <c r="Q35" s="400">
        <f>'PRIME CPIF TOTAL MATERIAL'!K11</f>
        <v>0</v>
      </c>
    </row>
    <row r="36" spans="1:17" ht="67.5" customHeight="1" x14ac:dyDescent="0.25">
      <c r="A36" s="193"/>
      <c r="B36" s="344" t="s">
        <v>389</v>
      </c>
      <c r="C36" s="405"/>
      <c r="D36" s="406"/>
      <c r="E36" s="400"/>
      <c r="F36" s="165"/>
      <c r="G36" s="405"/>
      <c r="H36" s="406"/>
      <c r="I36" s="400"/>
      <c r="J36" s="165"/>
      <c r="K36" s="405"/>
      <c r="L36" s="406"/>
      <c r="M36" s="400"/>
      <c r="N36" s="165"/>
      <c r="O36" s="405"/>
      <c r="P36" s="406"/>
      <c r="Q36" s="400"/>
    </row>
    <row r="37" spans="1:17" x14ac:dyDescent="0.25">
      <c r="A37" s="193"/>
      <c r="B37" s="167" t="str">
        <f>'PRIME CPIF RATES (ALL)'!B52</f>
        <v>Indirect Category: [Material Overhead]</v>
      </c>
      <c r="C37" s="215">
        <f>E35</f>
        <v>0</v>
      </c>
      <c r="D37" s="243">
        <f>'PRIME CPIF RATES (ALL)'!C52</f>
        <v>0</v>
      </c>
      <c r="E37" s="168">
        <f>ROUND(C37*D37,2)</f>
        <v>0</v>
      </c>
      <c r="F37" s="178"/>
      <c r="G37" s="215">
        <f>I35</f>
        <v>0</v>
      </c>
      <c r="H37" s="243">
        <f>'PRIME CPIF RATES (ALL)'!D52</f>
        <v>0</v>
      </c>
      <c r="I37" s="168">
        <f>ROUND(G37*H37,2)</f>
        <v>0</v>
      </c>
      <c r="J37" s="178"/>
      <c r="K37" s="215">
        <f>M35</f>
        <v>0</v>
      </c>
      <c r="L37" s="243">
        <f>'PRIME CPIF RATES (ALL)'!E52</f>
        <v>0</v>
      </c>
      <c r="M37" s="168">
        <f>ROUND(K37*L37,2)</f>
        <v>0</v>
      </c>
      <c r="N37" s="178"/>
      <c r="O37" s="215">
        <f>Q35</f>
        <v>0</v>
      </c>
      <c r="P37" s="243">
        <f>'PRIME CPIF RATES (ALL)'!F52</f>
        <v>0</v>
      </c>
      <c r="Q37" s="168">
        <f>ROUND(O37*P37,2)</f>
        <v>0</v>
      </c>
    </row>
    <row r="38" spans="1:17" x14ac:dyDescent="0.25">
      <c r="A38" s="193"/>
      <c r="B38" s="167" t="str">
        <f>'PRIME CPIF RATES (ALL)'!B53</f>
        <v>Indirect Category: [G&amp;A]</v>
      </c>
      <c r="C38" s="215">
        <f>E35+E37</f>
        <v>0</v>
      </c>
      <c r="D38" s="243">
        <f>'PRIME CPIF RATES (ALL)'!C53</f>
        <v>0</v>
      </c>
      <c r="E38" s="168">
        <f>ROUND(C38*D38,2)</f>
        <v>0</v>
      </c>
      <c r="F38" s="178"/>
      <c r="G38" s="215">
        <f>I35+I37</f>
        <v>0</v>
      </c>
      <c r="H38" s="243">
        <f>'PRIME CPIF RATES (ALL)'!D53</f>
        <v>0</v>
      </c>
      <c r="I38" s="168">
        <f>ROUND(G38*H38,2)</f>
        <v>0</v>
      </c>
      <c r="J38" s="178"/>
      <c r="K38" s="215">
        <f>M35+M37</f>
        <v>0</v>
      </c>
      <c r="L38" s="243">
        <f>'PRIME CPIF RATES (ALL)'!E53</f>
        <v>0</v>
      </c>
      <c r="M38" s="168">
        <f>ROUND(K38*L38,2)</f>
        <v>0</v>
      </c>
      <c r="N38" s="178"/>
      <c r="O38" s="215">
        <f>Q35+Q37</f>
        <v>0</v>
      </c>
      <c r="P38" s="243">
        <f>'PRIME CPIF RATES (ALL)'!F53</f>
        <v>0</v>
      </c>
      <c r="Q38" s="168">
        <f>ROUND(O38*P38,2)</f>
        <v>0</v>
      </c>
    </row>
    <row r="39" spans="1:17" x14ac:dyDescent="0.25">
      <c r="A39" s="193"/>
      <c r="B39" s="167" t="str">
        <f>'PRIME CPIF RATES (ALL)'!B54</f>
        <v>Indirect Category: [FCCOM]</v>
      </c>
      <c r="C39" s="215">
        <f>C38+E38</f>
        <v>0</v>
      </c>
      <c r="D39" s="243">
        <f>'PRIME CPIF RATES (ALL)'!C54</f>
        <v>0</v>
      </c>
      <c r="E39" s="168">
        <f>ROUND(C39*D39,2)</f>
        <v>0</v>
      </c>
      <c r="F39" s="165"/>
      <c r="G39" s="215">
        <f>G38+I38</f>
        <v>0</v>
      </c>
      <c r="H39" s="243">
        <f>'PRIME CPIF RATES (ALL)'!D54</f>
        <v>0</v>
      </c>
      <c r="I39" s="168">
        <f>ROUND(G39*H39,2)</f>
        <v>0</v>
      </c>
      <c r="J39" s="165"/>
      <c r="K39" s="215">
        <f>K38+M38</f>
        <v>0</v>
      </c>
      <c r="L39" s="243">
        <f>'PRIME CPIF RATES (ALL)'!E54</f>
        <v>0</v>
      </c>
      <c r="M39" s="168">
        <f>ROUND(K39*L39,2)</f>
        <v>0</v>
      </c>
      <c r="N39" s="165"/>
      <c r="O39" s="215">
        <f>O38+Q38</f>
        <v>0</v>
      </c>
      <c r="P39" s="243">
        <f>'PRIME CPIF RATES (ALL)'!F54</f>
        <v>0</v>
      </c>
      <c r="Q39" s="168">
        <f>ROUND(O39*P39,2)</f>
        <v>0</v>
      </c>
    </row>
    <row r="40" spans="1:17" x14ac:dyDescent="0.25">
      <c r="A40" s="193"/>
      <c r="B40" s="167" t="str">
        <f>'PRIME CPIF RATES (ALL)'!B55</f>
        <v>Indirect Category: [Target Fee]</v>
      </c>
      <c r="C40" s="215">
        <f>C38+E38</f>
        <v>0</v>
      </c>
      <c r="D40" s="243">
        <f>'PRIME CPIF RATES (ALL)'!C55</f>
        <v>0</v>
      </c>
      <c r="E40" s="168">
        <f>ROUND(C40*D40,2)</f>
        <v>0</v>
      </c>
      <c r="F40" s="165"/>
      <c r="G40" s="215">
        <f>G38+I38</f>
        <v>0</v>
      </c>
      <c r="H40" s="243">
        <f>'PRIME CPIF RATES (ALL)'!D55</f>
        <v>0</v>
      </c>
      <c r="I40" s="168">
        <f>ROUND(G40*H40,2)</f>
        <v>0</v>
      </c>
      <c r="J40" s="165"/>
      <c r="K40" s="215">
        <f>K38+M38</f>
        <v>0</v>
      </c>
      <c r="L40" s="243">
        <f>'PRIME CPIF RATES (ALL)'!E55</f>
        <v>0</v>
      </c>
      <c r="M40" s="168">
        <f>ROUND(K40*L40,2)</f>
        <v>0</v>
      </c>
      <c r="N40" s="165"/>
      <c r="O40" s="215">
        <f>O38+Q38</f>
        <v>0</v>
      </c>
      <c r="P40" s="243">
        <f>'PRIME CPIF RATES (ALL)'!F55</f>
        <v>0</v>
      </c>
      <c r="Q40" s="168">
        <f>ROUND(O40*P40,2)</f>
        <v>0</v>
      </c>
    </row>
    <row r="41" spans="1:17" x14ac:dyDescent="0.25">
      <c r="A41" s="193"/>
      <c r="B41" s="241" t="s">
        <v>259</v>
      </c>
      <c r="C41" s="233"/>
      <c r="D41" s="234"/>
      <c r="E41" s="168">
        <f>ROUND(SUM(E35:E38),2)</f>
        <v>0</v>
      </c>
      <c r="F41" s="165"/>
      <c r="G41" s="233"/>
      <c r="H41" s="234"/>
      <c r="I41" s="168">
        <f>ROUND(SUM(I35:I38),2)</f>
        <v>0</v>
      </c>
      <c r="J41" s="165"/>
      <c r="K41" s="233"/>
      <c r="L41" s="234"/>
      <c r="M41" s="168">
        <f>ROUND(SUM(M35:M38),2)</f>
        <v>0</v>
      </c>
      <c r="N41" s="165"/>
      <c r="O41" s="233"/>
      <c r="P41" s="234"/>
      <c r="Q41" s="168">
        <f>ROUND(SUM(Q35:Q38),2)</f>
        <v>0</v>
      </c>
    </row>
    <row r="42" spans="1:17" x14ac:dyDescent="0.25">
      <c r="A42" s="193"/>
      <c r="B42" s="241" t="s">
        <v>298</v>
      </c>
      <c r="C42" s="231"/>
      <c r="D42" s="235"/>
      <c r="E42" s="168">
        <f>ROUND(E39,2)</f>
        <v>0</v>
      </c>
      <c r="F42" s="165"/>
      <c r="G42" s="231"/>
      <c r="H42" s="235"/>
      <c r="I42" s="168">
        <f>ROUND(I39,2)</f>
        <v>0</v>
      </c>
      <c r="J42" s="165"/>
      <c r="K42" s="231"/>
      <c r="L42" s="235"/>
      <c r="M42" s="168">
        <f>ROUND(M39,2)</f>
        <v>0</v>
      </c>
      <c r="N42" s="165"/>
      <c r="O42" s="231"/>
      <c r="P42" s="235"/>
      <c r="Q42" s="168">
        <f>ROUND(Q39,2)</f>
        <v>0</v>
      </c>
    </row>
    <row r="43" spans="1:17" x14ac:dyDescent="0.2">
      <c r="B43" s="241" t="s">
        <v>136</v>
      </c>
      <c r="C43" s="231"/>
      <c r="D43" s="235"/>
      <c r="E43" s="182">
        <f>ROUND(E40,2)</f>
        <v>0</v>
      </c>
      <c r="F43" s="183"/>
      <c r="G43" s="231"/>
      <c r="H43" s="235"/>
      <c r="I43" s="182">
        <f>ROUND(I40,2)</f>
        <v>0</v>
      </c>
      <c r="J43" s="183"/>
      <c r="K43" s="231"/>
      <c r="L43" s="235"/>
      <c r="M43" s="182">
        <f>ROUND(M40,2)</f>
        <v>0</v>
      </c>
      <c r="N43" s="183"/>
      <c r="O43" s="231"/>
      <c r="P43" s="235"/>
      <c r="Q43" s="182">
        <f>ROUND(Q40,2)</f>
        <v>0</v>
      </c>
    </row>
    <row r="44" spans="1:17" ht="16.5" thickBot="1" x14ac:dyDescent="0.25">
      <c r="B44" s="242" t="s">
        <v>243</v>
      </c>
      <c r="C44" s="236"/>
      <c r="D44" s="237"/>
      <c r="E44" s="160">
        <f>SUM(E41:E43)</f>
        <v>0</v>
      </c>
      <c r="F44" s="161"/>
      <c r="G44" s="236"/>
      <c r="H44" s="237"/>
      <c r="I44" s="160">
        <f>SUM(I41:I43)</f>
        <v>0</v>
      </c>
      <c r="J44" s="161"/>
      <c r="K44" s="236"/>
      <c r="L44" s="237"/>
      <c r="M44" s="160">
        <f>SUM(M41:M43)</f>
        <v>0</v>
      </c>
      <c r="N44" s="161"/>
      <c r="O44" s="236"/>
      <c r="P44" s="237"/>
      <c r="Q44" s="160">
        <f>SUM(Q41:Q43)</f>
        <v>0</v>
      </c>
    </row>
    <row r="45" spans="1:17" ht="21.75" customHeight="1" thickBot="1" x14ac:dyDescent="0.25">
      <c r="B45" s="172"/>
      <c r="E45" s="251"/>
      <c r="F45" s="251"/>
      <c r="G45" s="251"/>
      <c r="H45" s="251"/>
      <c r="I45" s="251"/>
      <c r="J45" s="251"/>
      <c r="K45" s="251"/>
      <c r="N45" s="187"/>
      <c r="O45" s="251"/>
    </row>
    <row r="46" spans="1:17" ht="16.5" thickBot="1" x14ac:dyDescent="0.3">
      <c r="B46" s="620" t="str">
        <f>B15</f>
        <v>CLIN 0001 (CPIF)                                                    TASK 1.01 DEVELOPMENT THROUGH PDR</v>
      </c>
      <c r="C46" s="594" t="s">
        <v>318</v>
      </c>
      <c r="D46" s="595"/>
      <c r="E46" s="596"/>
      <c r="F46" s="175"/>
      <c r="G46" s="594" t="s">
        <v>318</v>
      </c>
      <c r="H46" s="595"/>
      <c r="I46" s="596"/>
      <c r="J46" s="175"/>
      <c r="K46" s="594" t="s">
        <v>318</v>
      </c>
      <c r="L46" s="595"/>
      <c r="M46" s="596"/>
      <c r="N46" s="175"/>
      <c r="O46" s="594" t="s">
        <v>318</v>
      </c>
      <c r="P46" s="595"/>
      <c r="Q46" s="596"/>
    </row>
    <row r="47" spans="1:17" ht="16.5" thickBot="1" x14ac:dyDescent="0.3">
      <c r="B47" s="621"/>
      <c r="C47" s="617" t="str">
        <f>C33</f>
        <v>CLIN 0001 - Basic Period (Year 1)</v>
      </c>
      <c r="D47" s="618"/>
      <c r="E47" s="619"/>
      <c r="F47" s="176"/>
      <c r="G47" s="617" t="str">
        <f>G33</f>
        <v>CLIN 0001 - Basic Period (Year 2)</v>
      </c>
      <c r="H47" s="618"/>
      <c r="I47" s="619"/>
      <c r="J47" s="176"/>
      <c r="K47" s="617" t="str">
        <f>K33</f>
        <v>CLIN 0001 - Basic Period (Year 3)</v>
      </c>
      <c r="L47" s="618"/>
      <c r="M47" s="619"/>
      <c r="N47" s="176"/>
      <c r="O47" s="617" t="str">
        <f>O33</f>
        <v>CLIN 0001 - Basic Period (Year 4)</v>
      </c>
      <c r="P47" s="618"/>
      <c r="Q47" s="619"/>
    </row>
    <row r="48" spans="1:17" x14ac:dyDescent="0.25">
      <c r="B48" s="248"/>
      <c r="C48" s="153" t="str">
        <f>C34</f>
        <v>Base Cost</v>
      </c>
      <c r="D48" s="154" t="str">
        <f>D34</f>
        <v>Rate</v>
      </c>
      <c r="E48" s="155" t="s">
        <v>397</v>
      </c>
      <c r="F48" s="166"/>
      <c r="G48" s="153" t="str">
        <f>G34</f>
        <v>Base Cost</v>
      </c>
      <c r="H48" s="154" t="str">
        <f>H34</f>
        <v>Rate</v>
      </c>
      <c r="I48" s="155" t="s">
        <v>397</v>
      </c>
      <c r="J48" s="166"/>
      <c r="K48" s="153" t="str">
        <f>K34</f>
        <v>Base Cost</v>
      </c>
      <c r="L48" s="154" t="str">
        <f>L34</f>
        <v>Rate</v>
      </c>
      <c r="M48" s="155" t="s">
        <v>397</v>
      </c>
      <c r="N48" s="166"/>
      <c r="O48" s="153" t="str">
        <f>O34</f>
        <v>Base Cost</v>
      </c>
      <c r="P48" s="154" t="str">
        <f>P34</f>
        <v>Rate</v>
      </c>
      <c r="Q48" s="155" t="s">
        <v>397</v>
      </c>
    </row>
    <row r="49" spans="1:17" ht="25.5" x14ac:dyDescent="0.2">
      <c r="B49" s="300" t="s">
        <v>560</v>
      </c>
      <c r="C49" s="285"/>
      <c r="D49" s="285"/>
      <c r="E49" s="345">
        <f>'PRIME CPIF TOTAL SUB'!E11</f>
        <v>0</v>
      </c>
      <c r="F49" s="288"/>
      <c r="G49" s="231"/>
      <c r="H49" s="285"/>
      <c r="I49" s="345">
        <f>'PRIME CPIF TOTAL SUB'!G11</f>
        <v>0</v>
      </c>
      <c r="J49" s="288"/>
      <c r="K49" s="231"/>
      <c r="L49" s="285"/>
      <c r="M49" s="345">
        <f>'PRIME CPIF TOTAL SUB'!I11</f>
        <v>0</v>
      </c>
      <c r="N49" s="165"/>
      <c r="O49" s="231"/>
      <c r="P49" s="285"/>
      <c r="Q49" s="345">
        <f>'PRIME CPIF TOTAL SUB'!K11</f>
        <v>0</v>
      </c>
    </row>
    <row r="50" spans="1:17" ht="76.5" x14ac:dyDescent="0.2">
      <c r="B50" s="344" t="s">
        <v>613</v>
      </c>
      <c r="C50" s="624" t="s">
        <v>5</v>
      </c>
      <c r="D50" s="625"/>
      <c r="E50" s="626"/>
      <c r="F50" s="178"/>
      <c r="G50" s="627"/>
      <c r="H50" s="625"/>
      <c r="I50" s="626"/>
      <c r="J50" s="178"/>
      <c r="K50" s="627"/>
      <c r="L50" s="625"/>
      <c r="M50" s="626"/>
      <c r="N50" s="178"/>
      <c r="O50" s="627"/>
      <c r="P50" s="625"/>
      <c r="Q50" s="626"/>
    </row>
    <row r="51" spans="1:17" x14ac:dyDescent="0.2">
      <c r="B51" s="287" t="str">
        <f>'PRIME CPIF RATES (ALL)'!B44</f>
        <v>Indirect Category: [Overhead]</v>
      </c>
      <c r="C51" s="286">
        <f>E49</f>
        <v>0</v>
      </c>
      <c r="D51" s="243">
        <f>'PRIME CPIF RATES (ALL)'!C44</f>
        <v>0</v>
      </c>
      <c r="E51" s="168">
        <f>ROUND(C51*D51,2)</f>
        <v>0</v>
      </c>
      <c r="F51" s="178"/>
      <c r="G51" s="215">
        <f>I49</f>
        <v>0</v>
      </c>
      <c r="H51" s="243">
        <f>'PRIME CPIF RATES (ALL)'!D44</f>
        <v>0</v>
      </c>
      <c r="I51" s="168">
        <f>ROUND(G51*H51,2)</f>
        <v>0</v>
      </c>
      <c r="J51" s="178"/>
      <c r="K51" s="215">
        <f>M49</f>
        <v>0</v>
      </c>
      <c r="L51" s="243">
        <f>'PRIME CPIF RATES (ALL)'!E44</f>
        <v>0</v>
      </c>
      <c r="M51" s="168">
        <f>ROUND(K51*L51,2)</f>
        <v>0</v>
      </c>
      <c r="N51" s="178"/>
      <c r="O51" s="215">
        <f>Q49</f>
        <v>0</v>
      </c>
      <c r="P51" s="243">
        <f>'PRIME CPIF RATES (ALL)'!F44</f>
        <v>0</v>
      </c>
      <c r="Q51" s="168">
        <f>ROUND(O51*P51,2)</f>
        <v>0</v>
      </c>
    </row>
    <row r="52" spans="1:17" x14ac:dyDescent="0.2">
      <c r="B52" s="287" t="str">
        <f>'PRIME CPIF RATES (ALL)'!B45</f>
        <v>Indirect Category: [G&amp;A]</v>
      </c>
      <c r="C52" s="286">
        <f>C51+E51</f>
        <v>0</v>
      </c>
      <c r="D52" s="243">
        <f>'PRIME CPIF RATES (ALL)'!C45</f>
        <v>0</v>
      </c>
      <c r="E52" s="168">
        <f>ROUND(C52*D52,2)</f>
        <v>0</v>
      </c>
      <c r="F52" s="288"/>
      <c r="G52" s="286">
        <f>G51+I51</f>
        <v>0</v>
      </c>
      <c r="H52" s="243">
        <f>'PRIME CPIF RATES (ALL)'!D45</f>
        <v>0</v>
      </c>
      <c r="I52" s="168">
        <f>ROUND(G52*H52,2)</f>
        <v>0</v>
      </c>
      <c r="J52" s="288"/>
      <c r="K52" s="286">
        <f>K51+M51</f>
        <v>0</v>
      </c>
      <c r="L52" s="243">
        <f>'PRIME CPIF RATES (ALL)'!E45</f>
        <v>0</v>
      </c>
      <c r="M52" s="168">
        <f>ROUND(K52*L52,2)</f>
        <v>0</v>
      </c>
      <c r="N52" s="165"/>
      <c r="O52" s="286">
        <f>O51+Q51</f>
        <v>0</v>
      </c>
      <c r="P52" s="243">
        <f>'PRIME CPIF RATES (ALL)'!F45</f>
        <v>0</v>
      </c>
      <c r="Q52" s="168">
        <f>ROUND(O52*P52,2)</f>
        <v>0</v>
      </c>
    </row>
    <row r="53" spans="1:17" x14ac:dyDescent="0.2">
      <c r="B53" s="351" t="str">
        <f>'PRIME CPIF RATES (ALL)'!B46</f>
        <v>Indirect Category: [FCCOM]</v>
      </c>
      <c r="C53" s="214">
        <f>C52+E52</f>
        <v>0</v>
      </c>
      <c r="D53" s="243">
        <f>'PRIME CPIF RATES (ALL)'!C46</f>
        <v>0</v>
      </c>
      <c r="E53" s="353">
        <f>ROUND(C53*D53,2)</f>
        <v>0</v>
      </c>
      <c r="F53" s="288"/>
      <c r="G53" s="214">
        <f>G52+I52</f>
        <v>0</v>
      </c>
      <c r="H53" s="243">
        <f>'PRIME CPIF RATES (ALL)'!D46</f>
        <v>0</v>
      </c>
      <c r="I53" s="353">
        <f>ROUND(G53*H53,2)</f>
        <v>0</v>
      </c>
      <c r="J53" s="288"/>
      <c r="K53" s="214">
        <f>K52+M52</f>
        <v>0</v>
      </c>
      <c r="L53" s="243">
        <f>'PRIME CPIF RATES (ALL)'!E46</f>
        <v>0</v>
      </c>
      <c r="M53" s="353">
        <f>ROUND(K53*L53,2)</f>
        <v>0</v>
      </c>
      <c r="N53" s="165"/>
      <c r="O53" s="214">
        <f>O52+Q52</f>
        <v>0</v>
      </c>
      <c r="P53" s="243">
        <f>'PRIME CPIF RATES (ALL)'!F46</f>
        <v>0</v>
      </c>
      <c r="Q53" s="353">
        <f>ROUND(O53*P53,2)</f>
        <v>0</v>
      </c>
    </row>
    <row r="54" spans="1:17" x14ac:dyDescent="0.2">
      <c r="B54" s="167" t="str">
        <f>'PRIME CPIF RATES (ALL)'!B47</f>
        <v>Indirect Category: [Target Fee]</v>
      </c>
      <c r="C54" s="214">
        <f>C52+E52</f>
        <v>0</v>
      </c>
      <c r="D54" s="354">
        <f>'PRIME CPIF RATES (ALL)'!C47</f>
        <v>0</v>
      </c>
      <c r="E54" s="353">
        <f>ROUND(C54*D54,2)</f>
        <v>0</v>
      </c>
      <c r="F54" s="288"/>
      <c r="G54" s="214">
        <f>G52+I52</f>
        <v>0</v>
      </c>
      <c r="H54" s="354">
        <f>'PRIME CPIF RATES (ALL)'!D47</f>
        <v>0</v>
      </c>
      <c r="I54" s="353">
        <f>ROUND(G54*H54,2)</f>
        <v>0</v>
      </c>
      <c r="J54" s="288"/>
      <c r="K54" s="214">
        <f>K52+M52</f>
        <v>0</v>
      </c>
      <c r="L54" s="354">
        <f>'PRIME CPIF RATES (ALL)'!E47</f>
        <v>0</v>
      </c>
      <c r="M54" s="353">
        <f>ROUND(K54*L54,2)</f>
        <v>0</v>
      </c>
      <c r="N54" s="165"/>
      <c r="O54" s="214">
        <f>O52+Q52</f>
        <v>0</v>
      </c>
      <c r="P54" s="354">
        <f>'PRIME CPIF RATES (ALL)'!F47</f>
        <v>0</v>
      </c>
      <c r="Q54" s="353">
        <f>ROUND(O54*P54,2)</f>
        <v>0</v>
      </c>
    </row>
    <row r="55" spans="1:17" x14ac:dyDescent="0.2">
      <c r="B55" s="241" t="s">
        <v>320</v>
      </c>
      <c r="C55" s="233"/>
      <c r="D55" s="234"/>
      <c r="E55" s="168">
        <f>ROUND(E49+E51+E52,2)</f>
        <v>0</v>
      </c>
      <c r="F55" s="288"/>
      <c r="G55" s="233"/>
      <c r="H55" s="234"/>
      <c r="I55" s="168">
        <f>ROUND(I49+I51+I52,2)</f>
        <v>0</v>
      </c>
      <c r="J55" s="288"/>
      <c r="K55" s="233"/>
      <c r="L55" s="234"/>
      <c r="M55" s="168">
        <f>ROUND(M49+M51+M52,2)</f>
        <v>0</v>
      </c>
      <c r="N55" s="165"/>
      <c r="O55" s="233"/>
      <c r="P55" s="234"/>
      <c r="Q55" s="168">
        <f>ROUND(Q49+Q51+Q52,2)</f>
        <v>0</v>
      </c>
    </row>
    <row r="56" spans="1:17" x14ac:dyDescent="0.2">
      <c r="B56" s="241" t="s">
        <v>298</v>
      </c>
      <c r="C56" s="231"/>
      <c r="D56" s="235"/>
      <c r="E56" s="168">
        <f>ROUND(E53,2)</f>
        <v>0</v>
      </c>
      <c r="F56" s="288"/>
      <c r="G56" s="231"/>
      <c r="H56" s="235"/>
      <c r="I56" s="168">
        <f>ROUND(I53,2)</f>
        <v>0</v>
      </c>
      <c r="J56" s="288"/>
      <c r="K56" s="231"/>
      <c r="L56" s="235"/>
      <c r="M56" s="168">
        <f>ROUND(M53,2)</f>
        <v>0</v>
      </c>
      <c r="N56" s="165"/>
      <c r="O56" s="231"/>
      <c r="P56" s="235"/>
      <c r="Q56" s="168">
        <f>ROUND(Q53,2)</f>
        <v>0</v>
      </c>
    </row>
    <row r="57" spans="1:17" x14ac:dyDescent="0.2">
      <c r="B57" s="241" t="s">
        <v>136</v>
      </c>
      <c r="C57" s="231"/>
      <c r="D57" s="235"/>
      <c r="E57" s="182">
        <f>ROUND(E54,2)</f>
        <v>0</v>
      </c>
      <c r="F57" s="183"/>
      <c r="G57" s="231"/>
      <c r="H57" s="235"/>
      <c r="I57" s="182">
        <f>ROUND(I54,2)</f>
        <v>0</v>
      </c>
      <c r="J57" s="183"/>
      <c r="K57" s="231"/>
      <c r="L57" s="235"/>
      <c r="M57" s="182">
        <f>ROUND(M54,2)</f>
        <v>0</v>
      </c>
      <c r="N57" s="183"/>
      <c r="O57" s="231"/>
      <c r="P57" s="235"/>
      <c r="Q57" s="182">
        <f>ROUND(Q54,2)</f>
        <v>0</v>
      </c>
    </row>
    <row r="58" spans="1:17" ht="16.5" thickBot="1" x14ac:dyDescent="0.25">
      <c r="B58" s="242" t="s">
        <v>321</v>
      </c>
      <c r="C58" s="236"/>
      <c r="D58" s="237"/>
      <c r="E58" s="160">
        <f>ROUND(SUM(E55:E57),2)</f>
        <v>0</v>
      </c>
      <c r="F58" s="161"/>
      <c r="G58" s="236"/>
      <c r="H58" s="237"/>
      <c r="I58" s="160">
        <f>ROUND(SUM(I55:I57),2)</f>
        <v>0</v>
      </c>
      <c r="J58" s="161"/>
      <c r="K58" s="236"/>
      <c r="L58" s="237"/>
      <c r="M58" s="160">
        <f>ROUND(SUM(M55:M57),2)</f>
        <v>0</v>
      </c>
      <c r="N58" s="161"/>
      <c r="O58" s="236"/>
      <c r="P58" s="237"/>
      <c r="Q58" s="160">
        <f>ROUND(SUM(Q55:Q57),2)</f>
        <v>0</v>
      </c>
    </row>
    <row r="59" spans="1:17" ht="21" customHeight="1" thickBot="1" x14ac:dyDescent="0.25">
      <c r="B59" s="172"/>
      <c r="E59" s="251"/>
      <c r="F59" s="251"/>
      <c r="G59" s="251"/>
      <c r="H59" s="251"/>
      <c r="I59" s="251"/>
      <c r="J59" s="251"/>
      <c r="K59" s="251"/>
      <c r="N59" s="187"/>
      <c r="O59" s="251"/>
    </row>
    <row r="60" spans="1:17" ht="16.5" customHeight="1" thickBot="1" x14ac:dyDescent="0.3">
      <c r="A60" s="193"/>
      <c r="B60" s="620" t="str">
        <f>B32</f>
        <v>CLIN 0001 (CPIF)                                                     TASK 1.01 DEVELOPMENT THROUGH PDR</v>
      </c>
      <c r="C60" s="594" t="s">
        <v>146</v>
      </c>
      <c r="D60" s="595"/>
      <c r="E60" s="596"/>
      <c r="F60" s="175"/>
      <c r="G60" s="594" t="s">
        <v>147</v>
      </c>
      <c r="H60" s="595"/>
      <c r="I60" s="596"/>
      <c r="J60" s="175"/>
      <c r="K60" s="594" t="s">
        <v>147</v>
      </c>
      <c r="L60" s="595"/>
      <c r="M60" s="596"/>
      <c r="N60" s="175"/>
      <c r="O60" s="594" t="s">
        <v>147</v>
      </c>
      <c r="P60" s="595"/>
      <c r="Q60" s="596"/>
    </row>
    <row r="61" spans="1:17" ht="16.5" thickBot="1" x14ac:dyDescent="0.3">
      <c r="A61" s="193"/>
      <c r="B61" s="621"/>
      <c r="C61" s="617" t="str">
        <f>C16</f>
        <v>CLIN 0001 - Basic Period (Year 1)</v>
      </c>
      <c r="D61" s="618"/>
      <c r="E61" s="619"/>
      <c r="F61" s="176"/>
      <c r="G61" s="617" t="str">
        <f>G33</f>
        <v>CLIN 0001 - Basic Period (Year 2)</v>
      </c>
      <c r="H61" s="618"/>
      <c r="I61" s="619"/>
      <c r="J61" s="176"/>
      <c r="K61" s="617" t="str">
        <f>K33</f>
        <v>CLIN 0001 - Basic Period (Year 3)</v>
      </c>
      <c r="L61" s="618"/>
      <c r="M61" s="619"/>
      <c r="N61" s="176"/>
      <c r="O61" s="617" t="str">
        <f>O33</f>
        <v>CLIN 0001 - Basic Period (Year 4)</v>
      </c>
      <c r="P61" s="618"/>
      <c r="Q61" s="619"/>
    </row>
    <row r="62" spans="1:17" x14ac:dyDescent="0.25">
      <c r="A62" s="193"/>
      <c r="B62" s="248"/>
      <c r="C62" s="153" t="str">
        <f>C48</f>
        <v>Base Cost</v>
      </c>
      <c r="D62" s="154" t="str">
        <f>D48</f>
        <v>Rate</v>
      </c>
      <c r="E62" s="155" t="s">
        <v>257</v>
      </c>
      <c r="F62" s="166"/>
      <c r="G62" s="153" t="str">
        <f>G48</f>
        <v>Base Cost</v>
      </c>
      <c r="H62" s="154" t="str">
        <f>H48</f>
        <v>Rate</v>
      </c>
      <c r="I62" s="155" t="s">
        <v>257</v>
      </c>
      <c r="J62" s="166"/>
      <c r="K62" s="153" t="str">
        <f>K48</f>
        <v>Base Cost</v>
      </c>
      <c r="L62" s="154" t="str">
        <f>L48</f>
        <v>Rate</v>
      </c>
      <c r="M62" s="155" t="s">
        <v>257</v>
      </c>
      <c r="N62" s="166"/>
      <c r="O62" s="153" t="str">
        <f>O48</f>
        <v>Base Cost</v>
      </c>
      <c r="P62" s="154" t="str">
        <f>P48</f>
        <v>Rate</v>
      </c>
      <c r="Q62" s="155" t="s">
        <v>257</v>
      </c>
    </row>
    <row r="63" spans="1:17" ht="33" customHeight="1" x14ac:dyDescent="0.25">
      <c r="A63" s="193"/>
      <c r="B63" s="300" t="s">
        <v>561</v>
      </c>
      <c r="C63" s="285"/>
      <c r="D63" s="285"/>
      <c r="E63" s="345">
        <f>'PRIME CPIF TOTAL ODC'!E11</f>
        <v>0</v>
      </c>
      <c r="F63" s="288"/>
      <c r="G63" s="231"/>
      <c r="H63" s="285"/>
      <c r="I63" s="345">
        <f>'PRIME CPIF TOTAL ODC'!G11</f>
        <v>0</v>
      </c>
      <c r="J63" s="288"/>
      <c r="K63" s="231"/>
      <c r="L63" s="285"/>
      <c r="M63" s="400">
        <f>'PRIME CPIF TOTAL ODC'!I11</f>
        <v>0</v>
      </c>
      <c r="N63" s="288"/>
      <c r="O63" s="231"/>
      <c r="P63" s="285"/>
      <c r="Q63" s="400">
        <f>'PRIME CPIF TOTAL ODC'!K11</f>
        <v>0</v>
      </c>
    </row>
    <row r="64" spans="1:17" ht="66" customHeight="1" x14ac:dyDescent="0.25">
      <c r="A64" s="193" t="s">
        <v>395</v>
      </c>
      <c r="B64" s="490" t="s">
        <v>614</v>
      </c>
      <c r="C64" s="404"/>
      <c r="D64" s="404"/>
      <c r="E64" s="403"/>
      <c r="F64" s="288"/>
      <c r="G64" s="405"/>
      <c r="H64" s="404"/>
      <c r="I64" s="403"/>
      <c r="J64" s="288"/>
      <c r="K64" s="405"/>
      <c r="L64" s="404"/>
      <c r="M64" s="400"/>
      <c r="N64" s="288"/>
      <c r="O64" s="405"/>
      <c r="P64" s="404"/>
      <c r="Q64" s="400"/>
    </row>
    <row r="65" spans="1:17" x14ac:dyDescent="0.25">
      <c r="A65" s="193"/>
      <c r="B65" s="287" t="str">
        <f>'PRIME CPIF RATES (ALL)'!B60</f>
        <v>Indirect Category: [Overhead]</v>
      </c>
      <c r="C65" s="286">
        <f>+E63</f>
        <v>0</v>
      </c>
      <c r="D65" s="243">
        <f>'PRIME CPIF RATES (ALL)'!C60</f>
        <v>0</v>
      </c>
      <c r="E65" s="168">
        <f>ROUND(C65*D65,2)</f>
        <v>0</v>
      </c>
      <c r="F65" s="178"/>
      <c r="G65" s="215">
        <f>+I63</f>
        <v>0</v>
      </c>
      <c r="H65" s="243">
        <f>'PRIME CPIF RATES (ALL)'!D60</f>
        <v>0</v>
      </c>
      <c r="I65" s="168">
        <f>ROUND(G65*H65,2)</f>
        <v>0</v>
      </c>
      <c r="J65" s="178"/>
      <c r="K65" s="215">
        <f>+M63</f>
        <v>0</v>
      </c>
      <c r="L65" s="243">
        <f>'PRIME CPIF RATES (ALL)'!E60</f>
        <v>0</v>
      </c>
      <c r="M65" s="168">
        <f>ROUND(K65*L65,2)</f>
        <v>0</v>
      </c>
      <c r="N65" s="178"/>
      <c r="O65" s="215">
        <f>+Q63</f>
        <v>0</v>
      </c>
      <c r="P65" s="243">
        <f>'PRIME CPIF RATES (ALL)'!F60</f>
        <v>0</v>
      </c>
      <c r="Q65" s="168">
        <f>ROUND(O65*P65,2)</f>
        <v>0</v>
      </c>
    </row>
    <row r="66" spans="1:17" x14ac:dyDescent="0.25">
      <c r="A66" s="193"/>
      <c r="B66" s="287" t="str">
        <f>'PRIME CPIF RATES (ALL)'!B61</f>
        <v>Indirect Category: [G&amp;A]</v>
      </c>
      <c r="C66" s="286">
        <f>+C65+E65</f>
        <v>0</v>
      </c>
      <c r="D66" s="243">
        <f>'PRIME CPIF RATES (ALL)'!C61</f>
        <v>0</v>
      </c>
      <c r="E66" s="168">
        <f>ROUND(C66*D66,2)</f>
        <v>0</v>
      </c>
      <c r="F66" s="178"/>
      <c r="G66" s="215">
        <f>+G65+I65</f>
        <v>0</v>
      </c>
      <c r="H66" s="243">
        <f>'PRIME CPIF RATES (ALL)'!D61</f>
        <v>0</v>
      </c>
      <c r="I66" s="168">
        <f>ROUND(G66*H66,2)</f>
        <v>0</v>
      </c>
      <c r="J66" s="178"/>
      <c r="K66" s="215">
        <f>+K65+M65</f>
        <v>0</v>
      </c>
      <c r="L66" s="243">
        <f>'PRIME CPIF RATES (ALL)'!E61</f>
        <v>0</v>
      </c>
      <c r="M66" s="168">
        <f>ROUND(K66*L66,2)</f>
        <v>0</v>
      </c>
      <c r="N66" s="178"/>
      <c r="O66" s="215">
        <f>+O65+Q65</f>
        <v>0</v>
      </c>
      <c r="P66" s="243">
        <f>'PRIME CPIF RATES (ALL)'!F61</f>
        <v>0</v>
      </c>
      <c r="Q66" s="168">
        <f>ROUND(O66*P66,2)</f>
        <v>0</v>
      </c>
    </row>
    <row r="67" spans="1:17" x14ac:dyDescent="0.25">
      <c r="A67" s="193"/>
      <c r="B67" s="287" t="str">
        <f>'PRIME CPIF RATES (ALL)'!B62</f>
        <v xml:space="preserve">Indirect Category: [FCCOM] </v>
      </c>
      <c r="C67" s="286">
        <f>C66+E66</f>
        <v>0</v>
      </c>
      <c r="D67" s="243">
        <f>'PRIME CPIF RATES (ALL)'!C62</f>
        <v>0</v>
      </c>
      <c r="E67" s="168">
        <f>ROUND(C67*D67,2)</f>
        <v>0</v>
      </c>
      <c r="F67" s="288"/>
      <c r="G67" s="286">
        <f>G66+I66</f>
        <v>0</v>
      </c>
      <c r="H67" s="243">
        <f>'PRIME CPIF RATES (ALL)'!D62</f>
        <v>0</v>
      </c>
      <c r="I67" s="168">
        <f>ROUND(G67*H67,2)</f>
        <v>0</v>
      </c>
      <c r="J67" s="288"/>
      <c r="K67" s="286">
        <f>K66+M66</f>
        <v>0</v>
      </c>
      <c r="L67" s="243">
        <f>'PRIME CPIF RATES (ALL)'!E62</f>
        <v>0</v>
      </c>
      <c r="M67" s="168">
        <f>ROUND(K67*L67,2)</f>
        <v>0</v>
      </c>
      <c r="N67" s="288"/>
      <c r="O67" s="286">
        <f>O66+Q66</f>
        <v>0</v>
      </c>
      <c r="P67" s="243">
        <f>'PRIME CPIF RATES (ALL)'!F62</f>
        <v>0</v>
      </c>
      <c r="Q67" s="168">
        <f>ROUND(O67*P67,2)</f>
        <v>0</v>
      </c>
    </row>
    <row r="68" spans="1:17" x14ac:dyDescent="0.25">
      <c r="A68" s="193"/>
      <c r="B68" s="287" t="str">
        <f>'PRIME CPIF RATES (ALL)'!B63</f>
        <v xml:space="preserve">Indirect Category: [Target Fee] </v>
      </c>
      <c r="C68" s="286">
        <f>+C66+E66</f>
        <v>0</v>
      </c>
      <c r="D68" s="243">
        <f>'PRIME CPIF RATES (ALL)'!C63</f>
        <v>0</v>
      </c>
      <c r="E68" s="168">
        <f>ROUND(C68*D68,2)</f>
        <v>0</v>
      </c>
      <c r="F68" s="288"/>
      <c r="G68" s="215">
        <f>+G66+I66</f>
        <v>0</v>
      </c>
      <c r="H68" s="243">
        <f>'PRIME CPIF RATES (ALL)'!D63</f>
        <v>0</v>
      </c>
      <c r="I68" s="168">
        <f>ROUND(G68*H68,2)</f>
        <v>0</v>
      </c>
      <c r="J68" s="288"/>
      <c r="K68" s="215">
        <f>+K66+M66</f>
        <v>0</v>
      </c>
      <c r="L68" s="243">
        <f>'PRIME CPIF RATES (ALL)'!E63</f>
        <v>0</v>
      </c>
      <c r="M68" s="168">
        <f>ROUND(K68*L68,2)</f>
        <v>0</v>
      </c>
      <c r="N68" s="288"/>
      <c r="O68" s="215">
        <f>+O66+Q66</f>
        <v>0</v>
      </c>
      <c r="P68" s="243">
        <f>'PRIME CPIF RATES (ALL)'!F63</f>
        <v>0</v>
      </c>
      <c r="Q68" s="168">
        <f>ROUND(O68*P68,2)</f>
        <v>0</v>
      </c>
    </row>
    <row r="69" spans="1:17" x14ac:dyDescent="0.25">
      <c r="A69" s="193"/>
      <c r="B69" s="241" t="s">
        <v>260</v>
      </c>
      <c r="C69" s="233"/>
      <c r="D69" s="234"/>
      <c r="E69" s="168">
        <f>ROUND(SUM(E63:E66),2)</f>
        <v>0</v>
      </c>
      <c r="F69" s="288"/>
      <c r="G69" s="233"/>
      <c r="H69" s="234"/>
      <c r="I69" s="168">
        <f>ROUND(SUM(I63:I66),2)</f>
        <v>0</v>
      </c>
      <c r="J69" s="288"/>
      <c r="K69" s="233"/>
      <c r="L69" s="234"/>
      <c r="M69" s="168">
        <f>ROUND(SUM(M63:M66),2)</f>
        <v>0</v>
      </c>
      <c r="N69" s="288"/>
      <c r="O69" s="233"/>
      <c r="P69" s="234"/>
      <c r="Q69" s="168">
        <f>ROUND(SUM(Q63:Q66),2)</f>
        <v>0</v>
      </c>
    </row>
    <row r="70" spans="1:17" x14ac:dyDescent="0.25">
      <c r="A70" s="193"/>
      <c r="B70" s="241" t="s">
        <v>298</v>
      </c>
      <c r="C70" s="231"/>
      <c r="D70" s="235"/>
      <c r="E70" s="168">
        <f>ROUND(E67,2)</f>
        <v>0</v>
      </c>
      <c r="F70" s="288"/>
      <c r="G70" s="231"/>
      <c r="H70" s="235"/>
      <c r="I70" s="168">
        <f>ROUND(I67,2)</f>
        <v>0</v>
      </c>
      <c r="J70" s="288"/>
      <c r="K70" s="231"/>
      <c r="L70" s="235"/>
      <c r="M70" s="168">
        <f>ROUND(M67,2)</f>
        <v>0</v>
      </c>
      <c r="N70" s="288"/>
      <c r="O70" s="231"/>
      <c r="P70" s="235"/>
      <c r="Q70" s="168">
        <f>ROUND(Q67,2)</f>
        <v>0</v>
      </c>
    </row>
    <row r="71" spans="1:17" x14ac:dyDescent="0.2">
      <c r="A71" s="186"/>
      <c r="B71" s="241" t="s">
        <v>136</v>
      </c>
      <c r="C71" s="231"/>
      <c r="D71" s="235"/>
      <c r="E71" s="182">
        <f>ROUND(E68,2)</f>
        <v>0</v>
      </c>
      <c r="F71" s="183"/>
      <c r="G71" s="231"/>
      <c r="H71" s="235"/>
      <c r="I71" s="182">
        <f>ROUND(I68,2)</f>
        <v>0</v>
      </c>
      <c r="J71" s="183"/>
      <c r="K71" s="231"/>
      <c r="L71" s="235"/>
      <c r="M71" s="182">
        <f>ROUND(M68,2)</f>
        <v>0</v>
      </c>
      <c r="N71" s="183"/>
      <c r="O71" s="231"/>
      <c r="P71" s="235"/>
      <c r="Q71" s="182">
        <f>ROUND(Q68,2)</f>
        <v>0</v>
      </c>
    </row>
    <row r="72" spans="1:17" ht="16.5" thickBot="1" x14ac:dyDescent="0.25">
      <c r="A72" s="186"/>
      <c r="B72" s="242" t="s">
        <v>244</v>
      </c>
      <c r="C72" s="236"/>
      <c r="D72" s="237"/>
      <c r="E72" s="160">
        <f>ROUND(SUM(E69:E71),2)</f>
        <v>0</v>
      </c>
      <c r="F72" s="161"/>
      <c r="G72" s="236"/>
      <c r="H72" s="237"/>
      <c r="I72" s="160">
        <f>ROUND(SUM(I69:I71),2)</f>
        <v>0</v>
      </c>
      <c r="J72" s="161"/>
      <c r="K72" s="236"/>
      <c r="L72" s="237"/>
      <c r="M72" s="160">
        <f>ROUND(SUM(M69:M71),2)</f>
        <v>0</v>
      </c>
      <c r="N72" s="161"/>
      <c r="O72" s="236"/>
      <c r="P72" s="237"/>
      <c r="Q72" s="160">
        <f>ROUND(SUM(Q69:Q71),2)</f>
        <v>0</v>
      </c>
    </row>
    <row r="73" spans="1:17" ht="21" customHeight="1" thickBot="1" x14ac:dyDescent="0.25">
      <c r="A73" s="186"/>
      <c r="B73" s="172"/>
      <c r="E73" s="251"/>
      <c r="F73" s="251"/>
      <c r="G73" s="251"/>
      <c r="H73" s="251"/>
      <c r="I73" s="251"/>
      <c r="J73" s="251"/>
      <c r="K73" s="251"/>
      <c r="N73" s="187"/>
      <c r="O73" s="251"/>
    </row>
    <row r="74" spans="1:17" ht="16.5" thickBot="1" x14ac:dyDescent="0.3">
      <c r="A74" s="186"/>
      <c r="B74" s="622" t="str">
        <f>B60</f>
        <v>CLIN 0001 (CPIF)                                                     TASK 1.01 DEVELOPMENT THROUGH PDR</v>
      </c>
      <c r="C74" s="614" t="s">
        <v>319</v>
      </c>
      <c r="D74" s="615"/>
      <c r="E74" s="616"/>
      <c r="F74" s="175"/>
      <c r="G74" s="614" t="s">
        <v>319</v>
      </c>
      <c r="H74" s="615"/>
      <c r="I74" s="616"/>
      <c r="J74" s="175"/>
      <c r="K74" s="614" t="s">
        <v>319</v>
      </c>
      <c r="L74" s="615"/>
      <c r="M74" s="616"/>
      <c r="N74" s="175"/>
      <c r="O74" s="614" t="s">
        <v>319</v>
      </c>
      <c r="P74" s="615"/>
      <c r="Q74" s="616"/>
    </row>
    <row r="75" spans="1:17" ht="16.5" thickBot="1" x14ac:dyDescent="0.3">
      <c r="A75" s="186"/>
      <c r="B75" s="623"/>
      <c r="C75" s="276"/>
      <c r="D75" s="277"/>
      <c r="E75" s="188" t="s">
        <v>294</v>
      </c>
      <c r="F75" s="189"/>
      <c r="G75" s="280"/>
      <c r="H75" s="281"/>
      <c r="I75" s="188" t="s">
        <v>295</v>
      </c>
      <c r="J75" s="189"/>
      <c r="K75" s="280"/>
      <c r="L75" s="281"/>
      <c r="M75" s="188" t="s">
        <v>297</v>
      </c>
      <c r="N75" s="189"/>
      <c r="O75" s="280"/>
      <c r="P75" s="281"/>
      <c r="Q75" s="188" t="s">
        <v>296</v>
      </c>
    </row>
    <row r="76" spans="1:17" x14ac:dyDescent="0.2">
      <c r="A76" s="186"/>
      <c r="B76" s="241" t="s">
        <v>261</v>
      </c>
      <c r="C76" s="278"/>
      <c r="D76" s="278"/>
      <c r="E76" s="190">
        <f>ROUND(E27+E41+E55+E69,2)</f>
        <v>0</v>
      </c>
      <c r="F76" s="165"/>
      <c r="G76" s="282"/>
      <c r="H76" s="282"/>
      <c r="I76" s="190">
        <f>ROUND(I27+I41+I55+I69,2)</f>
        <v>0</v>
      </c>
      <c r="J76" s="165"/>
      <c r="K76" s="282"/>
      <c r="L76" s="282"/>
      <c r="M76" s="190">
        <f>ROUND(M27+M41+M55+M69,2)</f>
        <v>0</v>
      </c>
      <c r="N76" s="165"/>
      <c r="O76" s="282"/>
      <c r="P76" s="282"/>
      <c r="Q76" s="190">
        <f>ROUND(Q27+Q41+Q55+Q69,2)</f>
        <v>0</v>
      </c>
    </row>
    <row r="77" spans="1:17" x14ac:dyDescent="0.2">
      <c r="A77" s="186"/>
      <c r="B77" s="241" t="s">
        <v>298</v>
      </c>
      <c r="C77" s="278"/>
      <c r="D77" s="278"/>
      <c r="E77" s="168">
        <f>ROUND(E28+E42+E56+E70,2)</f>
        <v>0</v>
      </c>
      <c r="F77" s="165"/>
      <c r="G77" s="282"/>
      <c r="H77" s="282"/>
      <c r="I77" s="168">
        <f>ROUND(I28+I42+I56+I70,2)</f>
        <v>0</v>
      </c>
      <c r="J77" s="165"/>
      <c r="K77" s="282"/>
      <c r="L77" s="282"/>
      <c r="M77" s="168">
        <f>ROUND(M28+M42+M56+M70,2)</f>
        <v>0</v>
      </c>
      <c r="N77" s="165"/>
      <c r="O77" s="282"/>
      <c r="P77" s="282"/>
      <c r="Q77" s="168">
        <f>ROUND(Q28+Q42+Q56+Q70,2)</f>
        <v>0</v>
      </c>
    </row>
    <row r="78" spans="1:17" x14ac:dyDescent="0.2">
      <c r="A78" s="186"/>
      <c r="B78" s="241" t="s">
        <v>136</v>
      </c>
      <c r="C78" s="278"/>
      <c r="D78" s="278"/>
      <c r="E78" s="169">
        <f>ROUND(E29+E43++E57+E71,2)</f>
        <v>0</v>
      </c>
      <c r="F78" s="170"/>
      <c r="G78" s="282"/>
      <c r="H78" s="282"/>
      <c r="I78" s="169">
        <f>ROUND(I29+I43++I57+I71,2)</f>
        <v>0</v>
      </c>
      <c r="J78" s="170"/>
      <c r="K78" s="282"/>
      <c r="L78" s="282"/>
      <c r="M78" s="169">
        <f>ROUND(M29+M43++M57+M71,2)</f>
        <v>0</v>
      </c>
      <c r="N78" s="170"/>
      <c r="O78" s="282"/>
      <c r="P78" s="282"/>
      <c r="Q78" s="169">
        <f>ROUND(Q29+Q43++Q57+Q71,2)</f>
        <v>0</v>
      </c>
    </row>
    <row r="79" spans="1:17" ht="32.25" thickBot="1" x14ac:dyDescent="0.3">
      <c r="A79" s="186"/>
      <c r="B79" s="267" t="s">
        <v>473</v>
      </c>
      <c r="C79" s="279"/>
      <c r="D79" s="279"/>
      <c r="E79" s="266">
        <f>E76+E77+E78</f>
        <v>0</v>
      </c>
      <c r="F79" s="171"/>
      <c r="G79" s="283"/>
      <c r="H79" s="283"/>
      <c r="I79" s="266">
        <f>I76+I77+I78</f>
        <v>0</v>
      </c>
      <c r="J79" s="171"/>
      <c r="K79" s="283"/>
      <c r="L79" s="283"/>
      <c r="M79" s="266">
        <f>M76+M77+M78</f>
        <v>0</v>
      </c>
      <c r="N79" s="171"/>
      <c r="O79" s="283"/>
      <c r="P79" s="283"/>
      <c r="Q79" s="266">
        <f>Q76+Q77+Q78</f>
        <v>0</v>
      </c>
    </row>
    <row r="80" spans="1:17" ht="16.5" thickBot="1" x14ac:dyDescent="0.3"/>
    <row r="81" spans="9:17" ht="31.5" x14ac:dyDescent="0.25">
      <c r="I81" s="470" t="s">
        <v>5</v>
      </c>
      <c r="M81" s="470" t="s">
        <v>5</v>
      </c>
      <c r="Q81" s="411" t="s">
        <v>474</v>
      </c>
    </row>
    <row r="82" spans="9:17" ht="16.5" thickBot="1" x14ac:dyDescent="0.3">
      <c r="Q82" s="410">
        <f>E79+I79+M79+Q79</f>
        <v>0</v>
      </c>
    </row>
    <row r="84" spans="9:17" x14ac:dyDescent="0.25">
      <c r="Q84" s="470" t="s">
        <v>5</v>
      </c>
    </row>
  </sheetData>
  <mergeCells count="46">
    <mergeCell ref="K50:M50"/>
    <mergeCell ref="O50:Q50"/>
    <mergeCell ref="K46:M46"/>
    <mergeCell ref="C47:E47"/>
    <mergeCell ref="G47:I47"/>
    <mergeCell ref="K47:M47"/>
    <mergeCell ref="B32:B33"/>
    <mergeCell ref="C32:E32"/>
    <mergeCell ref="G32:I32"/>
    <mergeCell ref="K32:M32"/>
    <mergeCell ref="C33:E33"/>
    <mergeCell ref="G33:I33"/>
    <mergeCell ref="K33:M33"/>
    <mergeCell ref="B46:B47"/>
    <mergeCell ref="C46:E46"/>
    <mergeCell ref="G46:I46"/>
    <mergeCell ref="B74:B75"/>
    <mergeCell ref="C74:E74"/>
    <mergeCell ref="G74:I74"/>
    <mergeCell ref="C50:E50"/>
    <mergeCell ref="G50:I50"/>
    <mergeCell ref="K74:M74"/>
    <mergeCell ref="B60:B61"/>
    <mergeCell ref="C60:E60"/>
    <mergeCell ref="G60:I60"/>
    <mergeCell ref="K60:M60"/>
    <mergeCell ref="C61:E61"/>
    <mergeCell ref="G61:I61"/>
    <mergeCell ref="K61:M61"/>
    <mergeCell ref="A5:C5"/>
    <mergeCell ref="C16:E16"/>
    <mergeCell ref="G16:I16"/>
    <mergeCell ref="K16:M16"/>
    <mergeCell ref="B15:B16"/>
    <mergeCell ref="C15:E15"/>
    <mergeCell ref="G15:I15"/>
    <mergeCell ref="K15:M15"/>
    <mergeCell ref="O74:Q74"/>
    <mergeCell ref="O15:Q15"/>
    <mergeCell ref="O16:Q16"/>
    <mergeCell ref="O32:Q32"/>
    <mergeCell ref="O33:Q33"/>
    <mergeCell ref="O60:Q60"/>
    <mergeCell ref="O46:Q46"/>
    <mergeCell ref="O47:Q47"/>
    <mergeCell ref="O61:Q61"/>
  </mergeCells>
  <phoneticPr fontId="29" type="noConversion"/>
  <pageMargins left="0.7" right="0.7" top="0.75" bottom="0.75" header="0.3" footer="0.3"/>
  <pageSetup orientation="portrait" horizontalDpi="1200" verticalDpi="120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16FC06-BB9E-48D0-81A0-58DA440B8933}">
  <sheetPr>
    <tabColor theme="0"/>
  </sheetPr>
  <dimension ref="A1:Q80"/>
  <sheetViews>
    <sheetView zoomScale="80" zoomScaleNormal="80" workbookViewId="0">
      <pane ySplit="11" topLeftCell="A12" activePane="bottomLeft" state="frozen"/>
      <selection pane="bottomLeft" activeCell="P65" sqref="P65"/>
    </sheetView>
    <sheetView workbookViewId="1"/>
  </sheetViews>
  <sheetFormatPr defaultColWidth="15.85546875" defaultRowHeight="15.75" x14ac:dyDescent="0.25"/>
  <cols>
    <col min="1" max="1" width="3.42578125" style="191" customWidth="1"/>
    <col min="2" max="2" width="49.140625" style="174" customWidth="1"/>
    <col min="3" max="3" width="18.28515625" style="186" bestFit="1" customWidth="1"/>
    <col min="4" max="4" width="12.42578125" style="186" bestFit="1" customWidth="1"/>
    <col min="5" max="5" width="32" style="186" customWidth="1"/>
    <col min="6" max="6" width="1" style="186" customWidth="1"/>
    <col min="7" max="7" width="14.28515625" style="186" customWidth="1"/>
    <col min="8" max="8" width="14.5703125" style="186" customWidth="1"/>
    <col min="9" max="9" width="33.28515625" style="186" customWidth="1"/>
    <col min="10" max="10" width="1" style="186" customWidth="1"/>
    <col min="11" max="11" width="16.7109375" style="186" customWidth="1"/>
    <col min="12" max="12" width="16.28515625" style="186" customWidth="1"/>
    <col min="13" max="13" width="34" style="186" bestFit="1" customWidth="1"/>
    <col min="14" max="14" width="0.85546875" style="186" customWidth="1"/>
    <col min="15" max="15" width="23.42578125" style="186" customWidth="1"/>
    <col min="16" max="16" width="15.85546875" style="186"/>
    <col min="17" max="17" width="32.140625" style="186" bestFit="1" customWidth="1"/>
    <col min="18" max="16384" width="15.85546875" style="186"/>
  </cols>
  <sheetData>
    <row r="1" spans="1:17" ht="16.5" thickBot="1" x14ac:dyDescent="0.3">
      <c r="B1" s="126" t="s">
        <v>626</v>
      </c>
      <c r="C1" s="494" t="str">
        <f>'FFP CLINs X007-X021'!B1</f>
        <v>NAME</v>
      </c>
    </row>
    <row r="2" spans="1:17" ht="16.5" thickBot="1" x14ac:dyDescent="0.3"/>
    <row r="3" spans="1:17" ht="39" customHeight="1" thickBot="1" x14ac:dyDescent="0.3">
      <c r="A3" s="557" t="s">
        <v>303</v>
      </c>
      <c r="B3" s="558"/>
      <c r="C3" s="559"/>
      <c r="I3" s="251" t="s">
        <v>149</v>
      </c>
    </row>
    <row r="5" spans="1:17" s="259" customFormat="1" ht="17.25" customHeight="1" x14ac:dyDescent="0.2">
      <c r="A5" s="260"/>
      <c r="B5" s="261" t="s">
        <v>130</v>
      </c>
    </row>
    <row r="6" spans="1:17" s="259" customFormat="1" x14ac:dyDescent="0.25">
      <c r="A6" s="258"/>
      <c r="B6" s="258" t="s">
        <v>606</v>
      </c>
    </row>
    <row r="7" spans="1:17" s="259" customFormat="1" x14ac:dyDescent="0.25">
      <c r="A7" s="258"/>
      <c r="B7" s="258" t="s">
        <v>390</v>
      </c>
    </row>
    <row r="8" spans="1:17" s="259" customFormat="1" x14ac:dyDescent="0.25">
      <c r="A8" s="258"/>
      <c r="B8" s="258" t="s">
        <v>607</v>
      </c>
    </row>
    <row r="9" spans="1:17" s="259" customFormat="1" x14ac:dyDescent="0.25">
      <c r="A9" s="258"/>
      <c r="B9" s="258" t="s">
        <v>608</v>
      </c>
    </row>
    <row r="10" spans="1:17" x14ac:dyDescent="0.25">
      <c r="A10" s="192"/>
      <c r="B10" s="258" t="s">
        <v>609</v>
      </c>
      <c r="C10" s="194"/>
    </row>
    <row r="11" spans="1:17" x14ac:dyDescent="0.25">
      <c r="A11" s="192"/>
      <c r="B11" s="258" t="s">
        <v>475</v>
      </c>
      <c r="C11" s="194"/>
    </row>
    <row r="12" spans="1:17" ht="16.5" thickBot="1" x14ac:dyDescent="0.3"/>
    <row r="13" spans="1:17" ht="16.5" thickBot="1" x14ac:dyDescent="0.3">
      <c r="A13" s="193"/>
      <c r="B13" s="620" t="s">
        <v>476</v>
      </c>
      <c r="C13" s="594" t="s">
        <v>134</v>
      </c>
      <c r="D13" s="595"/>
      <c r="E13" s="596"/>
      <c r="F13" s="151"/>
      <c r="G13" s="594" t="s">
        <v>134</v>
      </c>
      <c r="H13" s="595"/>
      <c r="I13" s="596"/>
      <c r="J13" s="151"/>
      <c r="K13" s="594" t="s">
        <v>134</v>
      </c>
      <c r="L13" s="595"/>
      <c r="M13" s="596"/>
      <c r="N13" s="151"/>
      <c r="O13" s="594" t="s">
        <v>134</v>
      </c>
      <c r="P13" s="595"/>
      <c r="Q13" s="596"/>
    </row>
    <row r="14" spans="1:17" ht="16.5" thickBot="1" x14ac:dyDescent="0.3">
      <c r="A14" s="193"/>
      <c r="B14" s="621"/>
      <c r="C14" s="617" t="s">
        <v>299</v>
      </c>
      <c r="D14" s="618"/>
      <c r="E14" s="619"/>
      <c r="F14" s="152"/>
      <c r="G14" s="617" t="s">
        <v>300</v>
      </c>
      <c r="H14" s="618"/>
      <c r="I14" s="619"/>
      <c r="J14" s="152"/>
      <c r="K14" s="617" t="s">
        <v>301</v>
      </c>
      <c r="L14" s="618"/>
      <c r="M14" s="619"/>
      <c r="N14" s="152"/>
      <c r="O14" s="617" t="s">
        <v>302</v>
      </c>
      <c r="P14" s="618"/>
      <c r="Q14" s="619"/>
    </row>
    <row r="15" spans="1:17" x14ac:dyDescent="0.25">
      <c r="A15" s="193"/>
      <c r="B15" s="153" t="s">
        <v>110</v>
      </c>
      <c r="C15" s="153" t="s">
        <v>91</v>
      </c>
      <c r="D15" s="154" t="s">
        <v>5</v>
      </c>
      <c r="E15" s="155" t="s">
        <v>139</v>
      </c>
      <c r="F15" s="156"/>
      <c r="G15" s="153" t="s">
        <v>91</v>
      </c>
      <c r="H15" s="154" t="s">
        <v>5</v>
      </c>
      <c r="I15" s="155" t="s">
        <v>139</v>
      </c>
      <c r="J15" s="156"/>
      <c r="K15" s="153" t="s">
        <v>91</v>
      </c>
      <c r="L15" s="154" t="s">
        <v>5</v>
      </c>
      <c r="M15" s="155" t="s">
        <v>139</v>
      </c>
      <c r="N15" s="156"/>
      <c r="O15" s="153" t="s">
        <v>91</v>
      </c>
      <c r="P15" s="154" t="s">
        <v>5</v>
      </c>
      <c r="Q15" s="155" t="s">
        <v>139</v>
      </c>
    </row>
    <row r="16" spans="1:17" ht="30" customHeight="1" thickBot="1" x14ac:dyDescent="0.3">
      <c r="A16" s="193"/>
      <c r="B16" s="203" t="s">
        <v>558</v>
      </c>
      <c r="C16" s="289"/>
      <c r="D16" s="290"/>
      <c r="E16" s="291"/>
      <c r="F16" s="156"/>
      <c r="G16" s="289"/>
      <c r="H16" s="290"/>
      <c r="I16" s="291"/>
      <c r="J16" s="156"/>
      <c r="K16" s="289"/>
      <c r="L16" s="290"/>
      <c r="M16" s="291"/>
      <c r="N16" s="156"/>
      <c r="O16" s="289"/>
      <c r="P16" s="290"/>
      <c r="Q16" s="291"/>
    </row>
    <row r="17" spans="1:17" ht="16.5" thickBot="1" x14ac:dyDescent="0.3">
      <c r="A17" s="193"/>
      <c r="B17" s="299" t="s">
        <v>151</v>
      </c>
      <c r="C17" s="163">
        <f>'PRIME CPIF LABOR INPUTS'!D49</f>
        <v>0</v>
      </c>
      <c r="D17" s="205"/>
      <c r="E17" s="314">
        <f>'PRIME CPIF LABOR INPUTS'!F49</f>
        <v>0</v>
      </c>
      <c r="F17" s="165"/>
      <c r="G17" s="163">
        <f>'PRIME CPIF LABOR INPUTS'!H49</f>
        <v>0</v>
      </c>
      <c r="H17" s="205"/>
      <c r="I17" s="314">
        <f>'PRIME CPIF LABOR INPUTS'!J49</f>
        <v>0</v>
      </c>
      <c r="J17" s="165"/>
      <c r="K17" s="163">
        <f>'PRIME CPIF LABOR INPUTS'!L49</f>
        <v>0</v>
      </c>
      <c r="L17" s="205"/>
      <c r="M17" s="314">
        <f>'PRIME CPIF LABOR INPUTS'!N49</f>
        <v>0</v>
      </c>
      <c r="N17" s="165"/>
      <c r="O17" s="163">
        <f>'PRIME CPIF LABOR INPUTS'!P49</f>
        <v>0</v>
      </c>
      <c r="P17" s="205"/>
      <c r="Q17" s="314">
        <f>'PRIME CPIF LABOR INPUTS'!R49</f>
        <v>0</v>
      </c>
    </row>
    <row r="18" spans="1:17" x14ac:dyDescent="0.25">
      <c r="A18" s="193"/>
      <c r="B18" s="204"/>
      <c r="C18" s="153" t="s">
        <v>399</v>
      </c>
      <c r="D18" s="154" t="s">
        <v>396</v>
      </c>
      <c r="E18" s="155" t="s">
        <v>400</v>
      </c>
      <c r="F18" s="166"/>
      <c r="G18" s="153" t="s">
        <v>399</v>
      </c>
      <c r="H18" s="154" t="s">
        <v>396</v>
      </c>
      <c r="I18" s="155" t="s">
        <v>400</v>
      </c>
      <c r="J18" s="166"/>
      <c r="K18" s="153" t="s">
        <v>399</v>
      </c>
      <c r="L18" s="154" t="s">
        <v>396</v>
      </c>
      <c r="M18" s="155" t="s">
        <v>400</v>
      </c>
      <c r="N18" s="166"/>
      <c r="O18" s="153" t="s">
        <v>399</v>
      </c>
      <c r="P18" s="154" t="s">
        <v>396</v>
      </c>
      <c r="Q18" s="155" t="s">
        <v>400</v>
      </c>
    </row>
    <row r="19" spans="1:17" ht="54" customHeight="1" x14ac:dyDescent="0.25">
      <c r="A19" s="193"/>
      <c r="B19" s="344" t="s">
        <v>611</v>
      </c>
      <c r="C19" s="289"/>
      <c r="D19" s="290"/>
      <c r="E19" s="291"/>
      <c r="F19" s="202"/>
      <c r="G19" s="289"/>
      <c r="H19" s="290"/>
      <c r="I19" s="291"/>
      <c r="J19" s="202"/>
      <c r="K19" s="289"/>
      <c r="L19" s="290"/>
      <c r="M19" s="291"/>
      <c r="N19" s="202"/>
      <c r="O19" s="289"/>
      <c r="P19" s="290"/>
      <c r="Q19" s="291"/>
    </row>
    <row r="20" spans="1:17" x14ac:dyDescent="0.25">
      <c r="A20" s="193"/>
      <c r="B20" s="167" t="str">
        <f>'PRIME CPIF RATES (ALL)'!B35</f>
        <v>Indirect Labor Category:  [Labor Fringe]</v>
      </c>
      <c r="C20" s="215">
        <f>+E17</f>
        <v>0</v>
      </c>
      <c r="D20" s="243">
        <f>'PRIME CPIF RATES (ALL)'!C35</f>
        <v>0</v>
      </c>
      <c r="E20" s="168">
        <f>ROUND(C20*D20,2)</f>
        <v>0</v>
      </c>
      <c r="F20" s="165"/>
      <c r="G20" s="215">
        <f>+I17</f>
        <v>0</v>
      </c>
      <c r="H20" s="243">
        <f>'PRIME CPIF RATES (ALL)'!D35</f>
        <v>0</v>
      </c>
      <c r="I20" s="168">
        <f>ROUND(G20*H20,2)</f>
        <v>0</v>
      </c>
      <c r="J20" s="165"/>
      <c r="K20" s="215">
        <f>+M17</f>
        <v>0</v>
      </c>
      <c r="L20" s="243">
        <f>'PRIME CPIF RATES (ALL)'!E35</f>
        <v>0</v>
      </c>
      <c r="M20" s="168">
        <f>ROUND(K20*L20,2)</f>
        <v>0</v>
      </c>
      <c r="N20" s="165"/>
      <c r="O20" s="215">
        <f>+Q17</f>
        <v>0</v>
      </c>
      <c r="P20" s="243">
        <f>'PRIME CPIF RATES (ALL)'!F35</f>
        <v>0</v>
      </c>
      <c r="Q20" s="168">
        <f>ROUND(O20*P20,2)</f>
        <v>0</v>
      </c>
    </row>
    <row r="21" spans="1:17" x14ac:dyDescent="0.25">
      <c r="A21" s="193"/>
      <c r="B21" s="167" t="str">
        <f>'PRIME CPIF RATES (ALL)'!B36</f>
        <v>Indirect Labor Category: [Labor Overhead]</v>
      </c>
      <c r="C21" s="215">
        <f>+C20+E20</f>
        <v>0</v>
      </c>
      <c r="D21" s="243">
        <f>'PRIME CPIF RATES (ALL)'!C36</f>
        <v>0</v>
      </c>
      <c r="E21" s="168">
        <f>ROUND(C21*D21,2)</f>
        <v>0</v>
      </c>
      <c r="F21" s="165"/>
      <c r="G21" s="215">
        <f>+G20+I20</f>
        <v>0</v>
      </c>
      <c r="H21" s="243">
        <f>'PRIME CPIF RATES (ALL)'!D36</f>
        <v>0</v>
      </c>
      <c r="I21" s="168">
        <f>ROUND(G21*H21,2)</f>
        <v>0</v>
      </c>
      <c r="J21" s="165"/>
      <c r="K21" s="215">
        <f>+K20+M20</f>
        <v>0</v>
      </c>
      <c r="L21" s="243">
        <f>'PRIME CPIF RATES (ALL)'!E36</f>
        <v>0</v>
      </c>
      <c r="M21" s="168">
        <f>ROUND(K21*L21,2)</f>
        <v>0</v>
      </c>
      <c r="N21" s="165"/>
      <c r="O21" s="215">
        <f>+O20+Q20</f>
        <v>0</v>
      </c>
      <c r="P21" s="243">
        <f>'PRIME CPIF RATES (ALL)'!F36</f>
        <v>0</v>
      </c>
      <c r="Q21" s="168">
        <f>ROUND(O21*P21,2)</f>
        <v>0</v>
      </c>
    </row>
    <row r="22" spans="1:17" x14ac:dyDescent="0.25">
      <c r="A22" s="193"/>
      <c r="B22" s="167" t="str">
        <f>'PRIME CPIF RATES (ALL)'!B37</f>
        <v>Indirect Labor Category: [G&amp;A]</v>
      </c>
      <c r="C22" s="215">
        <f>+C21+E21</f>
        <v>0</v>
      </c>
      <c r="D22" s="243">
        <f>'PRIME CPIF RATES (ALL)'!C37</f>
        <v>0</v>
      </c>
      <c r="E22" s="168">
        <f>ROUND(C22*D22,2)</f>
        <v>0</v>
      </c>
      <c r="F22" s="165"/>
      <c r="G22" s="215">
        <f>+G21+I21</f>
        <v>0</v>
      </c>
      <c r="H22" s="243">
        <f>'PRIME CPIF RATES (ALL)'!D37</f>
        <v>0</v>
      </c>
      <c r="I22" s="168">
        <f>ROUND(G22*H22,2)</f>
        <v>0</v>
      </c>
      <c r="J22" s="165"/>
      <c r="K22" s="215">
        <f>+K21+M21</f>
        <v>0</v>
      </c>
      <c r="L22" s="243">
        <f>'PRIME CPIF RATES (ALL)'!E37</f>
        <v>0</v>
      </c>
      <c r="M22" s="168">
        <f>ROUND(K22*L22,2)</f>
        <v>0</v>
      </c>
      <c r="N22" s="165"/>
      <c r="O22" s="215">
        <f>+O21+Q21</f>
        <v>0</v>
      </c>
      <c r="P22" s="243">
        <f>'PRIME CPIF RATES (ALL)'!F37</f>
        <v>0</v>
      </c>
      <c r="Q22" s="168">
        <f>ROUND(O22*P22,2)</f>
        <v>0</v>
      </c>
    </row>
    <row r="23" spans="1:17" x14ac:dyDescent="0.25">
      <c r="A23" s="193"/>
      <c r="B23" s="167" t="str">
        <f>'PRIME CPIF RATES (ALL)'!B38</f>
        <v>Indirect Labor Category: [FCCOM]</v>
      </c>
      <c r="C23" s="215">
        <f>C22+E22</f>
        <v>0</v>
      </c>
      <c r="D23" s="243">
        <f>'PRIME CPIF RATES (ALL)'!C38</f>
        <v>0</v>
      </c>
      <c r="E23" s="168">
        <f>ROUND(C23*D23,2)</f>
        <v>0</v>
      </c>
      <c r="F23" s="165"/>
      <c r="G23" s="215">
        <f>G22+I22</f>
        <v>0</v>
      </c>
      <c r="H23" s="243">
        <f>'PRIME CPIF RATES (ALL)'!D38</f>
        <v>0</v>
      </c>
      <c r="I23" s="168">
        <f>ROUND(G23*H23,2)</f>
        <v>0</v>
      </c>
      <c r="J23" s="165"/>
      <c r="K23" s="215">
        <f>K22+M22</f>
        <v>0</v>
      </c>
      <c r="L23" s="243">
        <f>'PRIME CPIF RATES (ALL)'!E38</f>
        <v>0</v>
      </c>
      <c r="M23" s="168">
        <f>ROUND(K23*L23,2)</f>
        <v>0</v>
      </c>
      <c r="N23" s="165"/>
      <c r="O23" s="215">
        <f>O22+Q22</f>
        <v>0</v>
      </c>
      <c r="P23" s="243">
        <f>'PRIME CPIF RATES (ALL)'!F38</f>
        <v>0</v>
      </c>
      <c r="Q23" s="168">
        <f>ROUND(O23*P23,2)</f>
        <v>0</v>
      </c>
    </row>
    <row r="24" spans="1:17" x14ac:dyDescent="0.25">
      <c r="A24" s="193"/>
      <c r="B24" s="167" t="str">
        <f>'PRIME CPIF RATES (ALL)'!B39</f>
        <v>Indirect Labor Category: [Target Fee]</v>
      </c>
      <c r="C24" s="215">
        <f>+C22+E22</f>
        <v>0</v>
      </c>
      <c r="D24" s="243">
        <f>'PRIME CPIF RATES (ALL)'!C39</f>
        <v>0</v>
      </c>
      <c r="E24" s="168">
        <f>ROUND(C24*D24,2)</f>
        <v>0</v>
      </c>
      <c r="F24" s="165"/>
      <c r="G24" s="215">
        <f>+G22+I22</f>
        <v>0</v>
      </c>
      <c r="H24" s="243">
        <f>'PRIME CPIF RATES (ALL)'!D39</f>
        <v>0</v>
      </c>
      <c r="I24" s="168">
        <f>ROUND(G24*H24,2)</f>
        <v>0</v>
      </c>
      <c r="J24" s="165"/>
      <c r="K24" s="215">
        <f>+K22+M22</f>
        <v>0</v>
      </c>
      <c r="L24" s="243">
        <f>'PRIME CPIF RATES (ALL)'!E39</f>
        <v>0</v>
      </c>
      <c r="M24" s="168">
        <f>ROUND(K24*L24,2)</f>
        <v>0</v>
      </c>
      <c r="N24" s="165"/>
      <c r="O24" s="215">
        <f>+O22+Q22</f>
        <v>0</v>
      </c>
      <c r="P24" s="243">
        <f>'PRIME CPIF RATES (ALL)'!F39</f>
        <v>0</v>
      </c>
      <c r="Q24" s="168">
        <f>ROUND(O24*P24,2)</f>
        <v>0</v>
      </c>
    </row>
    <row r="25" spans="1:17" x14ac:dyDescent="0.25">
      <c r="A25" s="193"/>
      <c r="B25" s="262" t="s">
        <v>258</v>
      </c>
      <c r="C25" s="210"/>
      <c r="D25" s="211"/>
      <c r="E25" s="230">
        <f>ROUND(SUM(E17,E20,E21,E22),2)</f>
        <v>0</v>
      </c>
      <c r="F25" s="165"/>
      <c r="G25" s="206"/>
      <c r="H25" s="207"/>
      <c r="I25" s="230">
        <f>ROUND(SUM(I17,I20,I21,I22),2)</f>
        <v>0</v>
      </c>
      <c r="J25" s="165"/>
      <c r="K25" s="206"/>
      <c r="L25" s="207"/>
      <c r="M25" s="230">
        <f>ROUND(SUM(M17,M20,M21,M22),2)</f>
        <v>0</v>
      </c>
      <c r="N25" s="165"/>
      <c r="O25" s="206"/>
      <c r="P25" s="207"/>
      <c r="Q25" s="230">
        <f>ROUND(SUM(Q17,Q20,Q21,Q22),2)</f>
        <v>0</v>
      </c>
    </row>
    <row r="26" spans="1:17" x14ac:dyDescent="0.25">
      <c r="A26" s="193"/>
      <c r="B26" s="262" t="s">
        <v>137</v>
      </c>
      <c r="C26" s="210"/>
      <c r="D26" s="211"/>
      <c r="E26" s="230">
        <f>ROUND(E23,2)</f>
        <v>0</v>
      </c>
      <c r="F26" s="165"/>
      <c r="G26" s="206"/>
      <c r="H26" s="207"/>
      <c r="I26" s="230">
        <f>ROUND(I23,2)</f>
        <v>0</v>
      </c>
      <c r="J26" s="165"/>
      <c r="K26" s="206"/>
      <c r="L26" s="207"/>
      <c r="M26" s="230">
        <f>ROUND(M23,2)</f>
        <v>0</v>
      </c>
      <c r="N26" s="165"/>
      <c r="O26" s="206"/>
      <c r="P26" s="207"/>
      <c r="Q26" s="230">
        <f>ROUND(Q23,2)</f>
        <v>0</v>
      </c>
    </row>
    <row r="27" spans="1:17" x14ac:dyDescent="0.25">
      <c r="A27" s="193"/>
      <c r="B27" s="262" t="s">
        <v>136</v>
      </c>
      <c r="C27" s="210"/>
      <c r="D27" s="211"/>
      <c r="E27" s="245">
        <f>ROUND(E24,2)</f>
        <v>0</v>
      </c>
      <c r="F27" s="170"/>
      <c r="G27" s="206"/>
      <c r="H27" s="207"/>
      <c r="I27" s="245">
        <f>ROUND(I24,2)</f>
        <v>0</v>
      </c>
      <c r="J27" s="170"/>
      <c r="K27" s="206"/>
      <c r="L27" s="207"/>
      <c r="M27" s="245">
        <f>ROUND(M24,2)</f>
        <v>0</v>
      </c>
      <c r="N27" s="170"/>
      <c r="O27" s="206"/>
      <c r="P27" s="207"/>
      <c r="Q27" s="245">
        <f>ROUND(Q24,2)</f>
        <v>0</v>
      </c>
    </row>
    <row r="28" spans="1:17" ht="16.5" thickBot="1" x14ac:dyDescent="0.3">
      <c r="A28" s="193"/>
      <c r="B28" s="263" t="s">
        <v>138</v>
      </c>
      <c r="C28" s="212"/>
      <c r="D28" s="213"/>
      <c r="E28" s="246">
        <f>ROUND(SUM(E25:E27),2)</f>
        <v>0</v>
      </c>
      <c r="F28" s="171"/>
      <c r="G28" s="208"/>
      <c r="H28" s="209"/>
      <c r="I28" s="246">
        <f>ROUND(SUM(I25:I27),2)</f>
        <v>0</v>
      </c>
      <c r="J28" s="171"/>
      <c r="K28" s="208"/>
      <c r="L28" s="209"/>
      <c r="M28" s="246">
        <f>ROUND(SUM(M25:M27),2)</f>
        <v>0</v>
      </c>
      <c r="N28" s="171"/>
      <c r="O28" s="208"/>
      <c r="P28" s="209"/>
      <c r="Q28" s="246">
        <f>ROUND(SUM(Q25:Q27),2)</f>
        <v>0</v>
      </c>
    </row>
    <row r="29" spans="1:17" ht="16.5" thickBot="1" x14ac:dyDescent="0.3">
      <c r="A29" s="193"/>
      <c r="B29" s="172"/>
      <c r="C29" s="173"/>
      <c r="D29" s="173"/>
      <c r="E29" s="256"/>
      <c r="F29" s="256"/>
      <c r="G29" s="256"/>
      <c r="H29" s="256"/>
      <c r="I29" s="256"/>
      <c r="J29" s="256"/>
      <c r="K29" s="256"/>
      <c r="L29" s="173"/>
      <c r="M29" s="173"/>
      <c r="N29" s="165"/>
      <c r="O29" s="256"/>
      <c r="P29" s="173"/>
      <c r="Q29" s="173"/>
    </row>
    <row r="30" spans="1:17" ht="16.5" customHeight="1" thickBot="1" x14ac:dyDescent="0.3">
      <c r="A30" s="193"/>
      <c r="B30" s="620" t="str">
        <f>B13</f>
        <v>CLIN 0001 (CPIF)                                                    TASK 1.02 DEVELOPMENT FROM PDR TO CDR</v>
      </c>
      <c r="C30" s="594" t="s">
        <v>145</v>
      </c>
      <c r="D30" s="595"/>
      <c r="E30" s="596"/>
      <c r="F30" s="175"/>
      <c r="G30" s="594" t="s">
        <v>145</v>
      </c>
      <c r="H30" s="595"/>
      <c r="I30" s="596"/>
      <c r="J30" s="175"/>
      <c r="K30" s="594" t="s">
        <v>145</v>
      </c>
      <c r="L30" s="595"/>
      <c r="M30" s="596"/>
      <c r="N30" s="175"/>
      <c r="O30" s="594" t="s">
        <v>145</v>
      </c>
      <c r="P30" s="595"/>
      <c r="Q30" s="596"/>
    </row>
    <row r="31" spans="1:17" ht="16.5" thickBot="1" x14ac:dyDescent="0.3">
      <c r="A31" s="193"/>
      <c r="B31" s="621"/>
      <c r="C31" s="617" t="str">
        <f>C14</f>
        <v>CLIN 0001 - Basic Period (Year 1)</v>
      </c>
      <c r="D31" s="618"/>
      <c r="E31" s="619"/>
      <c r="F31" s="176"/>
      <c r="G31" s="617" t="str">
        <f>G14</f>
        <v>CLIN 0001 - Basic Period (Year 2)</v>
      </c>
      <c r="H31" s="618"/>
      <c r="I31" s="619"/>
      <c r="J31" s="176"/>
      <c r="K31" s="617" t="str">
        <f>K14</f>
        <v>CLIN 0001 - Basic Period (Year 3)</v>
      </c>
      <c r="L31" s="618"/>
      <c r="M31" s="619"/>
      <c r="N31" s="176"/>
      <c r="O31" s="617" t="str">
        <f>O14</f>
        <v>CLIN 0001 - Basic Period (Year 4)</v>
      </c>
      <c r="P31" s="618"/>
      <c r="Q31" s="619"/>
    </row>
    <row r="32" spans="1:17" x14ac:dyDescent="0.25">
      <c r="A32" s="193"/>
      <c r="B32" s="247"/>
      <c r="C32" s="153" t="str">
        <f>C18</f>
        <v>Base Cost</v>
      </c>
      <c r="D32" s="154" t="str">
        <f>D18</f>
        <v>Rate</v>
      </c>
      <c r="E32" s="155" t="s">
        <v>152</v>
      </c>
      <c r="F32" s="166"/>
      <c r="G32" s="153" t="str">
        <f>G18</f>
        <v>Base Cost</v>
      </c>
      <c r="H32" s="154" t="str">
        <f>H18</f>
        <v>Rate</v>
      </c>
      <c r="I32" s="155" t="s">
        <v>152</v>
      </c>
      <c r="J32" s="166"/>
      <c r="K32" s="153" t="str">
        <f>K18</f>
        <v>Base Cost</v>
      </c>
      <c r="L32" s="154" t="str">
        <f>L18</f>
        <v>Rate</v>
      </c>
      <c r="M32" s="155" t="s">
        <v>152</v>
      </c>
      <c r="N32" s="166"/>
      <c r="O32" s="153" t="str">
        <f>O18</f>
        <v>Base Cost</v>
      </c>
      <c r="P32" s="154" t="str">
        <f>P18</f>
        <v>Rate</v>
      </c>
      <c r="Q32" s="155" t="s">
        <v>152</v>
      </c>
    </row>
    <row r="33" spans="1:17" ht="51.75" x14ac:dyDescent="0.25">
      <c r="A33" s="193"/>
      <c r="B33" s="300" t="s">
        <v>612</v>
      </c>
      <c r="C33" s="231"/>
      <c r="D33" s="232"/>
      <c r="E33" s="400">
        <f>'PRIME CPIF TOTAL MATERIAL'!E12</f>
        <v>0</v>
      </c>
      <c r="F33" s="165"/>
      <c r="G33" s="231"/>
      <c r="H33" s="232"/>
      <c r="I33" s="400">
        <f>'PRIME CPIF TOTAL MATERIAL'!G12</f>
        <v>0</v>
      </c>
      <c r="J33" s="165"/>
      <c r="K33" s="231"/>
      <c r="L33" s="232"/>
      <c r="M33" s="400">
        <f>'PRIME CPIF TOTAL MATERIAL'!I12</f>
        <v>0</v>
      </c>
      <c r="N33" s="165"/>
      <c r="O33" s="231"/>
      <c r="P33" s="232"/>
      <c r="Q33" s="400">
        <f>'PRIME CPIF TOTAL MATERIAL'!K12</f>
        <v>0</v>
      </c>
    </row>
    <row r="34" spans="1:17" ht="67.5" customHeight="1" x14ac:dyDescent="0.25">
      <c r="A34" s="193"/>
      <c r="B34" s="344" t="s">
        <v>389</v>
      </c>
      <c r="C34" s="405"/>
      <c r="D34" s="406"/>
      <c r="E34" s="400"/>
      <c r="F34" s="165"/>
      <c r="G34" s="405"/>
      <c r="H34" s="406"/>
      <c r="I34" s="400"/>
      <c r="J34" s="165"/>
      <c r="K34" s="405"/>
      <c r="L34" s="406"/>
      <c r="M34" s="400"/>
      <c r="N34" s="165"/>
      <c r="O34" s="405"/>
      <c r="P34" s="406"/>
      <c r="Q34" s="400"/>
    </row>
    <row r="35" spans="1:17" x14ac:dyDescent="0.25">
      <c r="A35" s="193"/>
      <c r="B35" s="167" t="str">
        <f>'PRIME CPIF RATES (ALL)'!B52</f>
        <v>Indirect Category: [Material Overhead]</v>
      </c>
      <c r="C35" s="215">
        <f>+E33</f>
        <v>0</v>
      </c>
      <c r="D35" s="243">
        <f>'PRIME CPIF RATES (ALL)'!C52</f>
        <v>0</v>
      </c>
      <c r="E35" s="168">
        <f>ROUND(C35*D35,2)</f>
        <v>0</v>
      </c>
      <c r="F35" s="178"/>
      <c r="G35" s="215">
        <f>+I33</f>
        <v>0</v>
      </c>
      <c r="H35" s="243">
        <f>'PRIME CPIF RATES (ALL)'!D52</f>
        <v>0</v>
      </c>
      <c r="I35" s="168">
        <f>ROUND(G35*H35,2)</f>
        <v>0</v>
      </c>
      <c r="J35" s="178"/>
      <c r="K35" s="215">
        <f>+M33</f>
        <v>0</v>
      </c>
      <c r="L35" s="243">
        <f>'PRIME CPIF RATES (ALL)'!E52</f>
        <v>0</v>
      </c>
      <c r="M35" s="168">
        <f>ROUND(K35*L35,2)</f>
        <v>0</v>
      </c>
      <c r="N35" s="178"/>
      <c r="O35" s="215">
        <f>+Q33</f>
        <v>0</v>
      </c>
      <c r="P35" s="243">
        <f>'PRIME CPIF RATES (ALL)'!F52</f>
        <v>0</v>
      </c>
      <c r="Q35" s="168">
        <f>ROUND(O35*P35,2)</f>
        <v>0</v>
      </c>
    </row>
    <row r="36" spans="1:17" x14ac:dyDescent="0.25">
      <c r="A36" s="193"/>
      <c r="B36" s="167" t="str">
        <f>'PRIME CPIF RATES (ALL)'!B53</f>
        <v>Indirect Category: [G&amp;A]</v>
      </c>
      <c r="C36" s="215">
        <f>+C35+E35</f>
        <v>0</v>
      </c>
      <c r="D36" s="243">
        <f>'PRIME CPIF RATES (ALL)'!C53</f>
        <v>0</v>
      </c>
      <c r="E36" s="168">
        <f>ROUND(C36*D36,2)</f>
        <v>0</v>
      </c>
      <c r="F36" s="178"/>
      <c r="G36" s="215">
        <f>+G35+I35</f>
        <v>0</v>
      </c>
      <c r="H36" s="243">
        <f>'PRIME CPIF RATES (ALL)'!D53</f>
        <v>0</v>
      </c>
      <c r="I36" s="168">
        <f>ROUND(G36*H36,2)</f>
        <v>0</v>
      </c>
      <c r="J36" s="178"/>
      <c r="K36" s="215">
        <f>+K35+M35</f>
        <v>0</v>
      </c>
      <c r="L36" s="243">
        <f>'PRIME CPIF RATES (ALL)'!E53</f>
        <v>0</v>
      </c>
      <c r="M36" s="168">
        <f>ROUND(K36*L36,2)</f>
        <v>0</v>
      </c>
      <c r="N36" s="178"/>
      <c r="O36" s="215">
        <f>+O35+Q35</f>
        <v>0</v>
      </c>
      <c r="P36" s="243">
        <f>'PRIME CPIF RATES (ALL)'!F53</f>
        <v>0</v>
      </c>
      <c r="Q36" s="168">
        <f>ROUND(O36*P36,2)</f>
        <v>0</v>
      </c>
    </row>
    <row r="37" spans="1:17" x14ac:dyDescent="0.25">
      <c r="A37" s="193"/>
      <c r="B37" s="167" t="str">
        <f>'PRIME CPIF RATES (ALL)'!B54</f>
        <v>Indirect Category: [FCCOM]</v>
      </c>
      <c r="C37" s="215">
        <f>C36+E36</f>
        <v>0</v>
      </c>
      <c r="D37" s="243">
        <f>'PRIME CPIF RATES (ALL)'!C54</f>
        <v>0</v>
      </c>
      <c r="E37" s="168">
        <f>ROUND(C37*D37,2)</f>
        <v>0</v>
      </c>
      <c r="F37" s="165"/>
      <c r="G37" s="215">
        <f>G36+I36</f>
        <v>0</v>
      </c>
      <c r="H37" s="243">
        <f>'PRIME CPIF RATES (ALL)'!D54</f>
        <v>0</v>
      </c>
      <c r="I37" s="168">
        <f>ROUND(G37*H37,2)</f>
        <v>0</v>
      </c>
      <c r="J37" s="165"/>
      <c r="K37" s="215">
        <f>K36+M36</f>
        <v>0</v>
      </c>
      <c r="L37" s="243">
        <f>'PRIME CPIF RATES (ALL)'!E54</f>
        <v>0</v>
      </c>
      <c r="M37" s="168">
        <f>ROUND(K37*L37,2)</f>
        <v>0</v>
      </c>
      <c r="N37" s="165"/>
      <c r="O37" s="215">
        <f>O36+Q36</f>
        <v>0</v>
      </c>
      <c r="P37" s="243">
        <f>'PRIME CPIF RATES (ALL)'!F54</f>
        <v>0</v>
      </c>
      <c r="Q37" s="168">
        <f>ROUND(O37*P37,2)</f>
        <v>0</v>
      </c>
    </row>
    <row r="38" spans="1:17" x14ac:dyDescent="0.25">
      <c r="A38" s="193"/>
      <c r="B38" s="167" t="str">
        <f>'PRIME CPIF RATES (ALL)'!B55</f>
        <v>Indirect Category: [Target Fee]</v>
      </c>
      <c r="C38" s="215">
        <f>+C36+E36</f>
        <v>0</v>
      </c>
      <c r="D38" s="243">
        <f>'PRIME CPIF RATES (ALL)'!C55</f>
        <v>0</v>
      </c>
      <c r="E38" s="168">
        <f>ROUND(C38*D38,2)</f>
        <v>0</v>
      </c>
      <c r="F38" s="165"/>
      <c r="G38" s="215">
        <f>+G36+I36</f>
        <v>0</v>
      </c>
      <c r="H38" s="243">
        <f>'PRIME CPIF RATES (ALL)'!D55</f>
        <v>0</v>
      </c>
      <c r="I38" s="168">
        <f>ROUND(G38*H38,2)</f>
        <v>0</v>
      </c>
      <c r="J38" s="165"/>
      <c r="K38" s="215">
        <f>+K36+M36</f>
        <v>0</v>
      </c>
      <c r="L38" s="243">
        <f>'PRIME CPIF RATES (ALL)'!E55</f>
        <v>0</v>
      </c>
      <c r="M38" s="168">
        <f>ROUND(K38*L38,2)</f>
        <v>0</v>
      </c>
      <c r="N38" s="165"/>
      <c r="O38" s="215">
        <f>+O36+Q36</f>
        <v>0</v>
      </c>
      <c r="P38" s="243">
        <f>'PRIME CPIF RATES (ALL)'!F55</f>
        <v>0</v>
      </c>
      <c r="Q38" s="168">
        <f>ROUND(O38*P38,2)</f>
        <v>0</v>
      </c>
    </row>
    <row r="39" spans="1:17" x14ac:dyDescent="0.25">
      <c r="A39" s="193"/>
      <c r="B39" s="241" t="s">
        <v>259</v>
      </c>
      <c r="C39" s="233"/>
      <c r="D39" s="234"/>
      <c r="E39" s="168">
        <f>ROUND(SUM(E33:E36),2)</f>
        <v>0</v>
      </c>
      <c r="F39" s="165"/>
      <c r="G39" s="233"/>
      <c r="H39" s="234"/>
      <c r="I39" s="168">
        <f>ROUND(SUM(I33:I36),2)</f>
        <v>0</v>
      </c>
      <c r="J39" s="165"/>
      <c r="K39" s="233"/>
      <c r="L39" s="234"/>
      <c r="M39" s="168">
        <f>ROUND(SUM(M33:M36),2)</f>
        <v>0</v>
      </c>
      <c r="N39" s="165"/>
      <c r="O39" s="233"/>
      <c r="P39" s="234"/>
      <c r="Q39" s="168">
        <f>ROUND(SUM(Q33:Q36),2)</f>
        <v>0</v>
      </c>
    </row>
    <row r="40" spans="1:17" x14ac:dyDescent="0.25">
      <c r="A40" s="193"/>
      <c r="B40" s="241" t="s">
        <v>137</v>
      </c>
      <c r="C40" s="231"/>
      <c r="D40" s="235"/>
      <c r="E40" s="168">
        <f>ROUND(E37,2)</f>
        <v>0</v>
      </c>
      <c r="F40" s="165"/>
      <c r="G40" s="231"/>
      <c r="H40" s="235"/>
      <c r="I40" s="168">
        <f>ROUND(I37,2)</f>
        <v>0</v>
      </c>
      <c r="J40" s="165"/>
      <c r="K40" s="231"/>
      <c r="L40" s="235"/>
      <c r="M40" s="168">
        <f>ROUND(M37,2)</f>
        <v>0</v>
      </c>
      <c r="N40" s="165"/>
      <c r="O40" s="231"/>
      <c r="P40" s="235"/>
      <c r="Q40" s="168">
        <f>ROUND(Q37,2)</f>
        <v>0</v>
      </c>
    </row>
    <row r="41" spans="1:17" x14ac:dyDescent="0.2">
      <c r="B41" s="241" t="s">
        <v>136</v>
      </c>
      <c r="C41" s="231"/>
      <c r="D41" s="235"/>
      <c r="E41" s="182">
        <f>ROUND(E38,2)</f>
        <v>0</v>
      </c>
      <c r="F41" s="183"/>
      <c r="G41" s="231"/>
      <c r="H41" s="235"/>
      <c r="I41" s="182">
        <f>ROUND(I38,2)</f>
        <v>0</v>
      </c>
      <c r="J41" s="183"/>
      <c r="K41" s="231"/>
      <c r="L41" s="235"/>
      <c r="M41" s="182">
        <f>ROUND(M38,2)</f>
        <v>0</v>
      </c>
      <c r="N41" s="183"/>
      <c r="O41" s="231"/>
      <c r="P41" s="235"/>
      <c r="Q41" s="182">
        <f>ROUND(Q38,2)</f>
        <v>0</v>
      </c>
    </row>
    <row r="42" spans="1:17" ht="16.5" thickBot="1" x14ac:dyDescent="0.25">
      <c r="B42" s="242" t="s">
        <v>243</v>
      </c>
      <c r="C42" s="236"/>
      <c r="D42" s="237"/>
      <c r="E42" s="160">
        <f>SUM(E39:E41)</f>
        <v>0</v>
      </c>
      <c r="F42" s="161"/>
      <c r="G42" s="236"/>
      <c r="H42" s="237"/>
      <c r="I42" s="160">
        <f>SUM(I39:I41)</f>
        <v>0</v>
      </c>
      <c r="J42" s="161"/>
      <c r="K42" s="236"/>
      <c r="L42" s="237"/>
      <c r="M42" s="160">
        <f>SUM(M39:M41)</f>
        <v>0</v>
      </c>
      <c r="N42" s="161"/>
      <c r="O42" s="236"/>
      <c r="P42" s="237"/>
      <c r="Q42" s="160">
        <f>SUM(Q39:Q41)</f>
        <v>0</v>
      </c>
    </row>
    <row r="43" spans="1:17" ht="16.5" thickBot="1" x14ac:dyDescent="0.25">
      <c r="B43" s="172"/>
      <c r="E43" s="251"/>
      <c r="F43" s="251"/>
      <c r="G43" s="251"/>
      <c r="H43" s="251"/>
      <c r="I43" s="251"/>
      <c r="J43" s="251"/>
      <c r="K43" s="251"/>
      <c r="N43" s="187"/>
      <c r="O43" s="251"/>
    </row>
    <row r="44" spans="1:17" ht="16.5" thickBot="1" x14ac:dyDescent="0.3">
      <c r="B44" s="620" t="str">
        <f>B13</f>
        <v>CLIN 0001 (CPIF)                                                    TASK 1.02 DEVELOPMENT FROM PDR TO CDR</v>
      </c>
      <c r="C44" s="594" t="s">
        <v>318</v>
      </c>
      <c r="D44" s="595"/>
      <c r="E44" s="596"/>
      <c r="F44" s="175"/>
      <c r="G44" s="594" t="s">
        <v>318</v>
      </c>
      <c r="H44" s="595"/>
      <c r="I44" s="596"/>
      <c r="J44" s="175"/>
      <c r="K44" s="594" t="s">
        <v>318</v>
      </c>
      <c r="L44" s="595"/>
      <c r="M44" s="596"/>
      <c r="N44" s="175"/>
      <c r="O44" s="594" t="s">
        <v>318</v>
      </c>
      <c r="P44" s="595"/>
      <c r="Q44" s="596"/>
    </row>
    <row r="45" spans="1:17" ht="16.5" thickBot="1" x14ac:dyDescent="0.3">
      <c r="B45" s="621"/>
      <c r="C45" s="617" t="str">
        <f>C31</f>
        <v>CLIN 0001 - Basic Period (Year 1)</v>
      </c>
      <c r="D45" s="618"/>
      <c r="E45" s="619"/>
      <c r="F45" s="176"/>
      <c r="G45" s="617" t="str">
        <f>G31</f>
        <v>CLIN 0001 - Basic Period (Year 2)</v>
      </c>
      <c r="H45" s="618"/>
      <c r="I45" s="619"/>
      <c r="J45" s="176"/>
      <c r="K45" s="617" t="str">
        <f>K31</f>
        <v>CLIN 0001 - Basic Period (Year 3)</v>
      </c>
      <c r="L45" s="618"/>
      <c r="M45" s="619"/>
      <c r="N45" s="176"/>
      <c r="O45" s="617" t="str">
        <f>O31</f>
        <v>CLIN 0001 - Basic Period (Year 4)</v>
      </c>
      <c r="P45" s="618"/>
      <c r="Q45" s="619"/>
    </row>
    <row r="46" spans="1:17" x14ac:dyDescent="0.25">
      <c r="B46" s="248"/>
      <c r="C46" s="153" t="str">
        <f>C32</f>
        <v>Base Cost</v>
      </c>
      <c r="D46" s="154" t="str">
        <f>D32</f>
        <v>Rate</v>
      </c>
      <c r="E46" s="155" t="s">
        <v>397</v>
      </c>
      <c r="F46" s="166"/>
      <c r="G46" s="153" t="str">
        <f>G32</f>
        <v>Base Cost</v>
      </c>
      <c r="H46" s="154" t="str">
        <f>H32</f>
        <v>Rate</v>
      </c>
      <c r="I46" s="155" t="s">
        <v>397</v>
      </c>
      <c r="J46" s="166"/>
      <c r="K46" s="153" t="str">
        <f>K32</f>
        <v>Base Cost</v>
      </c>
      <c r="L46" s="154" t="str">
        <f>L32</f>
        <v>Rate</v>
      </c>
      <c r="M46" s="155" t="s">
        <v>397</v>
      </c>
      <c r="N46" s="166"/>
      <c r="O46" s="153" t="str">
        <f>O32</f>
        <v>Base Cost</v>
      </c>
      <c r="P46" s="154" t="str">
        <f>P32</f>
        <v>Rate</v>
      </c>
      <c r="Q46" s="155" t="s">
        <v>397</v>
      </c>
    </row>
    <row r="47" spans="1:17" ht="25.5" x14ac:dyDescent="0.2">
      <c r="B47" s="300" t="s">
        <v>560</v>
      </c>
      <c r="C47" s="285"/>
      <c r="D47" s="285"/>
      <c r="E47" s="345">
        <f>'PRIME CPIF TOTAL SUB'!E12</f>
        <v>0</v>
      </c>
      <c r="F47" s="288"/>
      <c r="G47" s="231"/>
      <c r="H47" s="285"/>
      <c r="I47" s="345">
        <f>'PRIME CPIF TOTAL SUB'!G12</f>
        <v>0</v>
      </c>
      <c r="J47" s="288"/>
      <c r="K47" s="231"/>
      <c r="L47" s="285"/>
      <c r="M47" s="345">
        <f>'PRIME CPIF TOTAL SUB'!I12</f>
        <v>0</v>
      </c>
      <c r="N47" s="165"/>
      <c r="O47" s="231"/>
      <c r="P47" s="285"/>
      <c r="Q47" s="345">
        <f>'PRIME CPIF TOTAL SUB'!K12</f>
        <v>0</v>
      </c>
    </row>
    <row r="48" spans="1:17" ht="76.5" x14ac:dyDescent="0.2">
      <c r="B48" s="344" t="s">
        <v>613</v>
      </c>
      <c r="C48" s="624" t="s">
        <v>5</v>
      </c>
      <c r="D48" s="625"/>
      <c r="E48" s="626"/>
      <c r="F48" s="178"/>
      <c r="G48" s="627"/>
      <c r="H48" s="625"/>
      <c r="I48" s="626"/>
      <c r="J48" s="178"/>
      <c r="K48" s="627"/>
      <c r="L48" s="625"/>
      <c r="M48" s="626"/>
      <c r="N48" s="178"/>
      <c r="O48" s="627"/>
      <c r="P48" s="625"/>
      <c r="Q48" s="626"/>
    </row>
    <row r="49" spans="1:17" x14ac:dyDescent="0.2">
      <c r="B49" s="287" t="str">
        <f>'PRIME CPIF RATES (ALL)'!B44</f>
        <v>Indirect Category: [Overhead]</v>
      </c>
      <c r="C49" s="286">
        <f>E47</f>
        <v>0</v>
      </c>
      <c r="D49" s="243">
        <f>'PRIME CPIF RATES (ALL)'!C44</f>
        <v>0</v>
      </c>
      <c r="E49" s="168">
        <f>ROUND(C49*D49,2)</f>
        <v>0</v>
      </c>
      <c r="F49" s="178"/>
      <c r="G49" s="215">
        <f>I47</f>
        <v>0</v>
      </c>
      <c r="H49" s="243">
        <f>'PRIME CPIF RATES (ALL)'!D44</f>
        <v>0</v>
      </c>
      <c r="I49" s="168">
        <f>ROUND(G49*H49,2)</f>
        <v>0</v>
      </c>
      <c r="J49" s="178"/>
      <c r="K49" s="215">
        <f>M47</f>
        <v>0</v>
      </c>
      <c r="L49" s="243">
        <f>'PRIME CPIF RATES (ALL)'!E44</f>
        <v>0</v>
      </c>
      <c r="M49" s="168">
        <f>ROUND(K49*L49,2)</f>
        <v>0</v>
      </c>
      <c r="N49" s="178"/>
      <c r="O49" s="215">
        <f>Q47</f>
        <v>0</v>
      </c>
      <c r="P49" s="243">
        <f>'PRIME CPIF RATES (ALL)'!F44</f>
        <v>0</v>
      </c>
      <c r="Q49" s="168">
        <f>ROUND(O49*P49,2)</f>
        <v>0</v>
      </c>
    </row>
    <row r="50" spans="1:17" x14ac:dyDescent="0.2">
      <c r="B50" s="287" t="str">
        <f>'PRIME CPIF RATES (ALL)'!B45</f>
        <v>Indirect Category: [G&amp;A]</v>
      </c>
      <c r="C50" s="286">
        <f>C49+E49</f>
        <v>0</v>
      </c>
      <c r="D50" s="243">
        <f>'PRIME CPIF RATES (ALL)'!C45</f>
        <v>0</v>
      </c>
      <c r="E50" s="168">
        <f>ROUND(C50*D50,2)</f>
        <v>0</v>
      </c>
      <c r="F50" s="288"/>
      <c r="G50" s="286">
        <f>G49+I49</f>
        <v>0</v>
      </c>
      <c r="H50" s="243">
        <f>'PRIME CPIF RATES (ALL)'!D45</f>
        <v>0</v>
      </c>
      <c r="I50" s="168">
        <f>ROUND(G50*H50,2)</f>
        <v>0</v>
      </c>
      <c r="J50" s="288"/>
      <c r="K50" s="286">
        <f>K49+M49</f>
        <v>0</v>
      </c>
      <c r="L50" s="243">
        <f>'PRIME CPIF RATES (ALL)'!E45</f>
        <v>0</v>
      </c>
      <c r="M50" s="168">
        <f>ROUND(K50*L50,2)</f>
        <v>0</v>
      </c>
      <c r="N50" s="165"/>
      <c r="O50" s="286">
        <f>O49+Q49</f>
        <v>0</v>
      </c>
      <c r="P50" s="243">
        <f>'PRIME CPIF RATES (ALL)'!F45</f>
        <v>0</v>
      </c>
      <c r="Q50" s="168">
        <f>ROUND(O50*P50,2)</f>
        <v>0</v>
      </c>
    </row>
    <row r="51" spans="1:17" x14ac:dyDescent="0.2">
      <c r="B51" s="351" t="str">
        <f>'PRIME CPIF RATES (ALL)'!B46</f>
        <v>Indirect Category: [FCCOM]</v>
      </c>
      <c r="C51" s="214">
        <f>C50+E50</f>
        <v>0</v>
      </c>
      <c r="D51" s="243">
        <f>'PRIME CPIF RATES (ALL)'!C46</f>
        <v>0</v>
      </c>
      <c r="E51" s="353">
        <f>ROUND(C51*D51,2)</f>
        <v>0</v>
      </c>
      <c r="F51" s="288"/>
      <c r="G51" s="214">
        <f>G50+I50</f>
        <v>0</v>
      </c>
      <c r="H51" s="243">
        <f>'PRIME CPIF RATES (ALL)'!D46</f>
        <v>0</v>
      </c>
      <c r="I51" s="353">
        <f>ROUND(G51*H51,2)</f>
        <v>0</v>
      </c>
      <c r="J51" s="288"/>
      <c r="K51" s="214">
        <f>K50+M50</f>
        <v>0</v>
      </c>
      <c r="L51" s="243">
        <f>'PRIME CPIF RATES (ALL)'!E46</f>
        <v>0</v>
      </c>
      <c r="M51" s="353">
        <f>ROUND(K51*L51,2)</f>
        <v>0</v>
      </c>
      <c r="N51" s="165"/>
      <c r="O51" s="214">
        <f>O50+Q50</f>
        <v>0</v>
      </c>
      <c r="P51" s="243">
        <f>'PRIME CPIF RATES (ALL)'!F46</f>
        <v>0</v>
      </c>
      <c r="Q51" s="353">
        <f>ROUND(O51*P51,2)</f>
        <v>0</v>
      </c>
    </row>
    <row r="52" spans="1:17" x14ac:dyDescent="0.2">
      <c r="B52" s="167" t="str">
        <f>'PRIME CPIF RATES (ALL)'!B47</f>
        <v>Indirect Category: [Target Fee]</v>
      </c>
      <c r="C52" s="214">
        <f>C50+E50</f>
        <v>0</v>
      </c>
      <c r="D52" s="354">
        <f>'PRIME CPIF RATES (ALL)'!C47</f>
        <v>0</v>
      </c>
      <c r="E52" s="353">
        <f>ROUND(C52*D52,2)</f>
        <v>0</v>
      </c>
      <c r="F52" s="288"/>
      <c r="G52" s="214">
        <f>G50+I50</f>
        <v>0</v>
      </c>
      <c r="H52" s="354">
        <f>'PRIME CPIF RATES (ALL)'!D47</f>
        <v>0</v>
      </c>
      <c r="I52" s="353">
        <f>ROUND(G52*H52,2)</f>
        <v>0</v>
      </c>
      <c r="J52" s="288"/>
      <c r="K52" s="214">
        <f>K50+M50</f>
        <v>0</v>
      </c>
      <c r="L52" s="354">
        <f>'PRIME CPIF RATES (ALL)'!E47</f>
        <v>0</v>
      </c>
      <c r="M52" s="353">
        <f>ROUND(K52*L52,2)</f>
        <v>0</v>
      </c>
      <c r="N52" s="165"/>
      <c r="O52" s="214">
        <f>O50+Q50</f>
        <v>0</v>
      </c>
      <c r="P52" s="354">
        <f>'PRIME CPIF RATES (ALL)'!F47</f>
        <v>0</v>
      </c>
      <c r="Q52" s="353">
        <f>ROUND(O52*P52,2)</f>
        <v>0</v>
      </c>
    </row>
    <row r="53" spans="1:17" x14ac:dyDescent="0.2">
      <c r="B53" s="241" t="s">
        <v>320</v>
      </c>
      <c r="C53" s="233"/>
      <c r="D53" s="234"/>
      <c r="E53" s="168">
        <f>ROUND(E47+E49+E50,2)</f>
        <v>0</v>
      </c>
      <c r="F53" s="288"/>
      <c r="G53" s="233"/>
      <c r="H53" s="234"/>
      <c r="I53" s="168">
        <f>ROUND(I47+I49+I50,2)</f>
        <v>0</v>
      </c>
      <c r="J53" s="288"/>
      <c r="K53" s="233"/>
      <c r="L53" s="234"/>
      <c r="M53" s="168">
        <f>ROUND(M47+M49+M50,2)</f>
        <v>0</v>
      </c>
      <c r="N53" s="165"/>
      <c r="O53" s="233"/>
      <c r="P53" s="234"/>
      <c r="Q53" s="168">
        <f>ROUND(Q47+Q49+Q50,2)</f>
        <v>0</v>
      </c>
    </row>
    <row r="54" spans="1:17" x14ac:dyDescent="0.2">
      <c r="B54" s="241" t="s">
        <v>298</v>
      </c>
      <c r="C54" s="231"/>
      <c r="D54" s="235"/>
      <c r="E54" s="168">
        <f>ROUND(E51,2)</f>
        <v>0</v>
      </c>
      <c r="F54" s="288"/>
      <c r="G54" s="231"/>
      <c r="H54" s="235"/>
      <c r="I54" s="168">
        <f>ROUND(I51,2)</f>
        <v>0</v>
      </c>
      <c r="J54" s="288"/>
      <c r="K54" s="231"/>
      <c r="L54" s="235"/>
      <c r="M54" s="168">
        <f>ROUND(M51,2)</f>
        <v>0</v>
      </c>
      <c r="N54" s="165"/>
      <c r="O54" s="231"/>
      <c r="P54" s="235"/>
      <c r="Q54" s="168">
        <f>ROUND(Q51,2)</f>
        <v>0</v>
      </c>
    </row>
    <row r="55" spans="1:17" x14ac:dyDescent="0.2">
      <c r="B55" s="241" t="s">
        <v>136</v>
      </c>
      <c r="C55" s="231"/>
      <c r="D55" s="235"/>
      <c r="E55" s="182">
        <f>ROUND(E52,2)</f>
        <v>0</v>
      </c>
      <c r="F55" s="183"/>
      <c r="G55" s="231"/>
      <c r="H55" s="235"/>
      <c r="I55" s="182">
        <f>ROUND(I52,2)</f>
        <v>0</v>
      </c>
      <c r="J55" s="183"/>
      <c r="K55" s="231"/>
      <c r="L55" s="235"/>
      <c r="M55" s="182">
        <f>ROUND(M52,2)</f>
        <v>0</v>
      </c>
      <c r="N55" s="183"/>
      <c r="O55" s="231"/>
      <c r="P55" s="235"/>
      <c r="Q55" s="182">
        <f>ROUND(Q52,2)</f>
        <v>0</v>
      </c>
    </row>
    <row r="56" spans="1:17" ht="16.5" thickBot="1" x14ac:dyDescent="0.25">
      <c r="B56" s="242" t="s">
        <v>321</v>
      </c>
      <c r="C56" s="236"/>
      <c r="D56" s="237"/>
      <c r="E56" s="160">
        <f>ROUND(SUM(E53:E55),2)</f>
        <v>0</v>
      </c>
      <c r="F56" s="161"/>
      <c r="G56" s="236"/>
      <c r="H56" s="237"/>
      <c r="I56" s="160">
        <f>ROUND(SUM(I53:I55),2)</f>
        <v>0</v>
      </c>
      <c r="J56" s="161"/>
      <c r="K56" s="236"/>
      <c r="L56" s="237"/>
      <c r="M56" s="160">
        <f>ROUND(SUM(M53:M55),2)</f>
        <v>0</v>
      </c>
      <c r="N56" s="161"/>
      <c r="O56" s="236"/>
      <c r="P56" s="237"/>
      <c r="Q56" s="160">
        <f>ROUND(SUM(Q53:Q55),2)</f>
        <v>0</v>
      </c>
    </row>
    <row r="57" spans="1:17" ht="16.5" thickBot="1" x14ac:dyDescent="0.25">
      <c r="B57" s="172"/>
      <c r="E57" s="251"/>
      <c r="F57" s="251"/>
      <c r="G57" s="251"/>
      <c r="H57" s="251"/>
      <c r="I57" s="251"/>
      <c r="J57" s="251"/>
      <c r="K57" s="251"/>
      <c r="N57" s="187"/>
      <c r="O57" s="251"/>
    </row>
    <row r="58" spans="1:17" ht="16.5" customHeight="1" thickBot="1" x14ac:dyDescent="0.3">
      <c r="A58" s="193"/>
      <c r="B58" s="620" t="str">
        <f>B30</f>
        <v>CLIN 0001 (CPIF)                                                    TASK 1.02 DEVELOPMENT FROM PDR TO CDR</v>
      </c>
      <c r="C58" s="594" t="s">
        <v>146</v>
      </c>
      <c r="D58" s="595"/>
      <c r="E58" s="596"/>
      <c r="F58" s="175"/>
      <c r="G58" s="594" t="s">
        <v>147</v>
      </c>
      <c r="H58" s="595"/>
      <c r="I58" s="596"/>
      <c r="J58" s="175"/>
      <c r="K58" s="594" t="s">
        <v>147</v>
      </c>
      <c r="L58" s="595"/>
      <c r="M58" s="596"/>
      <c r="N58" s="175"/>
      <c r="O58" s="594" t="s">
        <v>147</v>
      </c>
      <c r="P58" s="595"/>
      <c r="Q58" s="596"/>
    </row>
    <row r="59" spans="1:17" ht="16.5" thickBot="1" x14ac:dyDescent="0.3">
      <c r="A59" s="193"/>
      <c r="B59" s="621"/>
      <c r="C59" s="617" t="str">
        <f>C31</f>
        <v>CLIN 0001 - Basic Period (Year 1)</v>
      </c>
      <c r="D59" s="618"/>
      <c r="E59" s="619"/>
      <c r="F59" s="176"/>
      <c r="G59" s="617" t="str">
        <f>G31</f>
        <v>CLIN 0001 - Basic Period (Year 2)</v>
      </c>
      <c r="H59" s="618"/>
      <c r="I59" s="619"/>
      <c r="J59" s="176"/>
      <c r="K59" s="617" t="str">
        <f>K31</f>
        <v>CLIN 0001 - Basic Period (Year 3)</v>
      </c>
      <c r="L59" s="618"/>
      <c r="M59" s="619"/>
      <c r="N59" s="176"/>
      <c r="O59" s="617" t="str">
        <f>O31</f>
        <v>CLIN 0001 - Basic Period (Year 4)</v>
      </c>
      <c r="P59" s="618"/>
      <c r="Q59" s="619"/>
    </row>
    <row r="60" spans="1:17" x14ac:dyDescent="0.25">
      <c r="A60" s="193"/>
      <c r="B60" s="248"/>
      <c r="C60" s="153" t="str">
        <f>C46</f>
        <v>Base Cost</v>
      </c>
      <c r="D60" s="154" t="str">
        <f>D46</f>
        <v>Rate</v>
      </c>
      <c r="E60" s="155" t="s">
        <v>257</v>
      </c>
      <c r="F60" s="166"/>
      <c r="G60" s="153" t="s">
        <v>399</v>
      </c>
      <c r="H60" s="154" t="s">
        <v>396</v>
      </c>
      <c r="I60" s="155" t="s">
        <v>257</v>
      </c>
      <c r="J60" s="166"/>
      <c r="K60" s="153" t="str">
        <f>K46</f>
        <v>Base Cost</v>
      </c>
      <c r="L60" s="154" t="s">
        <v>396</v>
      </c>
      <c r="M60" s="155" t="s">
        <v>257</v>
      </c>
      <c r="N60" s="166"/>
      <c r="O60" s="153" t="str">
        <f>O46</f>
        <v>Base Cost</v>
      </c>
      <c r="P60" s="154" t="s">
        <v>396</v>
      </c>
      <c r="Q60" s="155" t="s">
        <v>257</v>
      </c>
    </row>
    <row r="61" spans="1:17" ht="26.25" x14ac:dyDescent="0.25">
      <c r="A61" s="193"/>
      <c r="B61" s="300" t="s">
        <v>561</v>
      </c>
      <c r="C61" s="231"/>
      <c r="D61" s="232"/>
      <c r="E61" s="345">
        <f>'PRIME CPIF TOTAL ODC'!E12</f>
        <v>0</v>
      </c>
      <c r="F61" s="165"/>
      <c r="G61" s="231"/>
      <c r="H61" s="232"/>
      <c r="I61" s="345">
        <f>'PRIME CPIF TOTAL ODC'!G12</f>
        <v>0</v>
      </c>
      <c r="J61" s="165"/>
      <c r="K61" s="231"/>
      <c r="L61" s="232"/>
      <c r="M61" s="400">
        <f>'PRIME CPIF TOTAL ODC'!I12</f>
        <v>0</v>
      </c>
      <c r="N61" s="165"/>
      <c r="O61" s="231"/>
      <c r="P61" s="232"/>
      <c r="Q61" s="400">
        <f>'PRIME CPIF TOTAL ODC'!K12</f>
        <v>0</v>
      </c>
    </row>
    <row r="62" spans="1:17" ht="66" customHeight="1" x14ac:dyDescent="0.25">
      <c r="A62" s="193" t="s">
        <v>395</v>
      </c>
      <c r="B62" s="490" t="s">
        <v>614</v>
      </c>
      <c r="C62" s="404"/>
      <c r="D62" s="404"/>
      <c r="E62" s="403"/>
      <c r="F62" s="288"/>
      <c r="G62" s="405"/>
      <c r="H62" s="404"/>
      <c r="I62" s="403"/>
      <c r="J62" s="288"/>
      <c r="K62" s="405"/>
      <c r="L62" s="404"/>
      <c r="M62" s="400"/>
      <c r="N62" s="165"/>
      <c r="O62" s="405"/>
      <c r="P62" s="404"/>
      <c r="Q62" s="400"/>
    </row>
    <row r="63" spans="1:17" x14ac:dyDescent="0.25">
      <c r="A63" s="193"/>
      <c r="B63" s="167" t="str">
        <f>'PRIME CPIF RATES (ALL)'!B60</f>
        <v>Indirect Category: [Overhead]</v>
      </c>
      <c r="C63" s="215">
        <f>+E61</f>
        <v>0</v>
      </c>
      <c r="D63" s="243">
        <f>'PRIME CPIF RATES (ALL)'!C60</f>
        <v>0</v>
      </c>
      <c r="E63" s="168">
        <f>ROUND(C63*D63,2)</f>
        <v>0</v>
      </c>
      <c r="F63" s="178"/>
      <c r="G63" s="215">
        <f>+I61</f>
        <v>0</v>
      </c>
      <c r="H63" s="243">
        <f>'PRIME CPIF RATES (ALL)'!D60</f>
        <v>0</v>
      </c>
      <c r="I63" s="168">
        <f>ROUND(G63*H63,2)</f>
        <v>0</v>
      </c>
      <c r="J63" s="178"/>
      <c r="K63" s="215">
        <f>+M61</f>
        <v>0</v>
      </c>
      <c r="L63" s="243">
        <f>'PRIME CPIF RATES (ALL)'!E60</f>
        <v>0</v>
      </c>
      <c r="M63" s="168">
        <f>ROUND(K63*L63,2)</f>
        <v>0</v>
      </c>
      <c r="N63" s="178"/>
      <c r="O63" s="215">
        <f>+Q61</f>
        <v>0</v>
      </c>
      <c r="P63" s="243">
        <f>'PRIME CPIF RATES (ALL)'!F60</f>
        <v>0</v>
      </c>
      <c r="Q63" s="168">
        <f>ROUND(O63*P63,2)</f>
        <v>0</v>
      </c>
    </row>
    <row r="64" spans="1:17" x14ac:dyDescent="0.25">
      <c r="A64" s="193"/>
      <c r="B64" s="167" t="str">
        <f>'PRIME CPIF RATES (ALL)'!B61</f>
        <v>Indirect Category: [G&amp;A]</v>
      </c>
      <c r="C64" s="215">
        <f>+C63+E63</f>
        <v>0</v>
      </c>
      <c r="D64" s="243">
        <f>'PRIME CPIF RATES (ALL)'!C61</f>
        <v>0</v>
      </c>
      <c r="E64" s="168">
        <f>ROUND(C64*D64,2)</f>
        <v>0</v>
      </c>
      <c r="F64" s="178"/>
      <c r="G64" s="215">
        <f>+G63+I63</f>
        <v>0</v>
      </c>
      <c r="H64" s="243">
        <f>'PRIME CPIF RATES (ALL)'!D61</f>
        <v>0</v>
      </c>
      <c r="I64" s="168">
        <f>ROUND(G64*H64,2)</f>
        <v>0</v>
      </c>
      <c r="J64" s="178"/>
      <c r="K64" s="215">
        <f>+K63+M63</f>
        <v>0</v>
      </c>
      <c r="L64" s="243">
        <f>'PRIME CPIF RATES (ALL)'!E61</f>
        <v>0</v>
      </c>
      <c r="M64" s="168">
        <f>ROUND(K64*L64,2)</f>
        <v>0</v>
      </c>
      <c r="N64" s="178"/>
      <c r="O64" s="215">
        <f>+O63+Q63</f>
        <v>0</v>
      </c>
      <c r="P64" s="243">
        <f>'PRIME CPIF RATES (ALL)'!F61</f>
        <v>0</v>
      </c>
      <c r="Q64" s="168">
        <f>ROUND(O64*P64,2)</f>
        <v>0</v>
      </c>
    </row>
    <row r="65" spans="1:17" x14ac:dyDescent="0.25">
      <c r="A65" s="193"/>
      <c r="B65" s="167" t="str">
        <f>'PRIME CPIF RATES (ALL)'!B62</f>
        <v xml:space="preserve">Indirect Category: [FCCOM] </v>
      </c>
      <c r="C65" s="215">
        <f>C64+E64</f>
        <v>0</v>
      </c>
      <c r="D65" s="243">
        <f>'PRIME CPIF RATES (ALL)'!C62</f>
        <v>0</v>
      </c>
      <c r="E65" s="168">
        <f>ROUND(C65*D65,2)</f>
        <v>0</v>
      </c>
      <c r="F65" s="165"/>
      <c r="G65" s="215">
        <f>G64+I64</f>
        <v>0</v>
      </c>
      <c r="H65" s="243">
        <f>'PRIME CPIF RATES (ALL)'!D62</f>
        <v>0</v>
      </c>
      <c r="I65" s="168">
        <f>ROUND(G65*H65,2)</f>
        <v>0</v>
      </c>
      <c r="J65" s="165"/>
      <c r="K65" s="215">
        <f>K64+M64</f>
        <v>0</v>
      </c>
      <c r="L65" s="243">
        <f>'PRIME CPIF RATES (ALL)'!E62</f>
        <v>0</v>
      </c>
      <c r="M65" s="168">
        <f>ROUND(K65*L65,2)</f>
        <v>0</v>
      </c>
      <c r="N65" s="165"/>
      <c r="O65" s="215">
        <f>O64+Q64</f>
        <v>0</v>
      </c>
      <c r="P65" s="243">
        <f>'PRIME CPIF RATES (ALL)'!F62</f>
        <v>0</v>
      </c>
      <c r="Q65" s="168">
        <f>ROUND(O65*P65,2)</f>
        <v>0</v>
      </c>
    </row>
    <row r="66" spans="1:17" x14ac:dyDescent="0.25">
      <c r="A66" s="193"/>
      <c r="B66" s="167" t="str">
        <f>'PRIME CPIF RATES (ALL)'!B63</f>
        <v xml:space="preserve">Indirect Category: [Target Fee] </v>
      </c>
      <c r="C66" s="215">
        <f>+C64+E64</f>
        <v>0</v>
      </c>
      <c r="D66" s="354">
        <f>'PRIME CPIF RATES (ALL)'!C63</f>
        <v>0</v>
      </c>
      <c r="E66" s="168">
        <f>ROUND(C66*D66,2)</f>
        <v>0</v>
      </c>
      <c r="F66" s="165"/>
      <c r="G66" s="215">
        <f>+G64+I64</f>
        <v>0</v>
      </c>
      <c r="H66" s="354">
        <f>'PRIME CPIF RATES (ALL)'!D63</f>
        <v>0</v>
      </c>
      <c r="I66" s="168">
        <f>ROUND(G66*H66,2)</f>
        <v>0</v>
      </c>
      <c r="J66" s="165"/>
      <c r="K66" s="215">
        <f>+K64+M64</f>
        <v>0</v>
      </c>
      <c r="L66" s="354">
        <f>'PRIME CPIF RATES (ALL)'!E63</f>
        <v>0</v>
      </c>
      <c r="M66" s="168">
        <f>ROUND(K66*L66,2)</f>
        <v>0</v>
      </c>
      <c r="N66" s="165"/>
      <c r="O66" s="215">
        <f>+O64+Q64</f>
        <v>0</v>
      </c>
      <c r="P66" s="354">
        <f>'PRIME CPIF RATES (ALL)'!F63</f>
        <v>0</v>
      </c>
      <c r="Q66" s="168">
        <f>ROUND(O66*P66,2)</f>
        <v>0</v>
      </c>
    </row>
    <row r="67" spans="1:17" x14ac:dyDescent="0.25">
      <c r="A67" s="193"/>
      <c r="B67" s="241" t="s">
        <v>260</v>
      </c>
      <c r="C67" s="233"/>
      <c r="D67" s="234"/>
      <c r="E67" s="168">
        <f>ROUND(SUM(E61:E64),2)</f>
        <v>0</v>
      </c>
      <c r="F67" s="165"/>
      <c r="G67" s="233"/>
      <c r="H67" s="234"/>
      <c r="I67" s="168">
        <f>ROUND(SUM(I61:I64),2)</f>
        <v>0</v>
      </c>
      <c r="J67" s="165"/>
      <c r="K67" s="233"/>
      <c r="L67" s="234"/>
      <c r="M67" s="168">
        <f>ROUND(SUM(M61:M64),2)</f>
        <v>0</v>
      </c>
      <c r="N67" s="165"/>
      <c r="O67" s="233"/>
      <c r="P67" s="234"/>
      <c r="Q67" s="168">
        <f>ROUND(SUM(Q61:Q64),2)</f>
        <v>0</v>
      </c>
    </row>
    <row r="68" spans="1:17" x14ac:dyDescent="0.25">
      <c r="A68" s="193"/>
      <c r="B68" s="241" t="s">
        <v>137</v>
      </c>
      <c r="C68" s="231"/>
      <c r="D68" s="235"/>
      <c r="E68" s="168">
        <f>ROUND(E65,2)</f>
        <v>0</v>
      </c>
      <c r="F68" s="165"/>
      <c r="G68" s="231"/>
      <c r="H68" s="235"/>
      <c r="I68" s="168">
        <f>ROUND(I65,2)</f>
        <v>0</v>
      </c>
      <c r="J68" s="165"/>
      <c r="K68" s="231"/>
      <c r="L68" s="235"/>
      <c r="M68" s="168">
        <f>ROUND(M65,2)</f>
        <v>0</v>
      </c>
      <c r="N68" s="165"/>
      <c r="O68" s="231"/>
      <c r="P68" s="235"/>
      <c r="Q68" s="168">
        <f>ROUND(Q65,2)</f>
        <v>0</v>
      </c>
    </row>
    <row r="69" spans="1:17" x14ac:dyDescent="0.2">
      <c r="A69" s="186"/>
      <c r="B69" s="241" t="s">
        <v>136</v>
      </c>
      <c r="C69" s="231"/>
      <c r="D69" s="235"/>
      <c r="E69" s="182">
        <f>ROUND(E66,2)</f>
        <v>0</v>
      </c>
      <c r="F69" s="183"/>
      <c r="G69" s="231"/>
      <c r="H69" s="235"/>
      <c r="I69" s="182">
        <f>ROUND(I66,2)</f>
        <v>0</v>
      </c>
      <c r="J69" s="183"/>
      <c r="K69" s="231"/>
      <c r="L69" s="235"/>
      <c r="M69" s="182">
        <f>ROUND(M66,2)</f>
        <v>0</v>
      </c>
      <c r="N69" s="183"/>
      <c r="O69" s="231"/>
      <c r="P69" s="235"/>
      <c r="Q69" s="182">
        <f>ROUND(Q66,2)</f>
        <v>0</v>
      </c>
    </row>
    <row r="70" spans="1:17" ht="16.5" thickBot="1" x14ac:dyDescent="0.25">
      <c r="A70" s="186"/>
      <c r="B70" s="242" t="s">
        <v>244</v>
      </c>
      <c r="C70" s="236"/>
      <c r="D70" s="237"/>
      <c r="E70" s="160">
        <f>ROUND(SUM(E67:E69),2)</f>
        <v>0</v>
      </c>
      <c r="F70" s="161"/>
      <c r="G70" s="236"/>
      <c r="H70" s="237"/>
      <c r="I70" s="160">
        <f>ROUND(SUM(I67:I69),2)</f>
        <v>0</v>
      </c>
      <c r="J70" s="161"/>
      <c r="K70" s="236"/>
      <c r="L70" s="237"/>
      <c r="M70" s="160">
        <f>ROUND(SUM(M67:M69),2)</f>
        <v>0</v>
      </c>
      <c r="N70" s="161"/>
      <c r="O70" s="236"/>
      <c r="P70" s="237"/>
      <c r="Q70" s="160">
        <f>ROUND(SUM(Q67:Q69),2)</f>
        <v>0</v>
      </c>
    </row>
    <row r="71" spans="1:17" ht="16.5" thickBot="1" x14ac:dyDescent="0.25">
      <c r="A71" s="186"/>
      <c r="B71" s="172"/>
      <c r="E71" s="251"/>
      <c r="F71" s="251"/>
      <c r="G71" s="251"/>
      <c r="H71" s="251"/>
      <c r="I71" s="251"/>
      <c r="J71" s="251"/>
      <c r="K71" s="251"/>
      <c r="N71" s="187"/>
      <c r="O71" s="251"/>
    </row>
    <row r="72" spans="1:17" ht="16.5" thickBot="1" x14ac:dyDescent="0.3">
      <c r="A72" s="186"/>
      <c r="B72" s="628" t="str">
        <f>B58</f>
        <v>CLIN 0001 (CPIF)                                                    TASK 1.02 DEVELOPMENT FROM PDR TO CDR</v>
      </c>
      <c r="C72" s="614" t="s">
        <v>319</v>
      </c>
      <c r="D72" s="615"/>
      <c r="E72" s="616"/>
      <c r="F72" s="175"/>
      <c r="G72" s="614" t="s">
        <v>319</v>
      </c>
      <c r="H72" s="615"/>
      <c r="I72" s="616"/>
      <c r="J72" s="175"/>
      <c r="K72" s="614" t="s">
        <v>319</v>
      </c>
      <c r="L72" s="615"/>
      <c r="M72" s="616"/>
      <c r="N72" s="175"/>
      <c r="O72" s="614" t="s">
        <v>319</v>
      </c>
      <c r="P72" s="615"/>
      <c r="Q72" s="616"/>
    </row>
    <row r="73" spans="1:17" ht="16.5" thickBot="1" x14ac:dyDescent="0.3">
      <c r="A73" s="186"/>
      <c r="B73" s="629"/>
      <c r="C73" s="280"/>
      <c r="D73" s="281"/>
      <c r="E73" s="188" t="s">
        <v>294</v>
      </c>
      <c r="F73" s="189"/>
      <c r="G73" s="280"/>
      <c r="H73" s="281"/>
      <c r="I73" s="188" t="s">
        <v>295</v>
      </c>
      <c r="J73" s="189"/>
      <c r="K73" s="280"/>
      <c r="L73" s="281"/>
      <c r="M73" s="188" t="s">
        <v>297</v>
      </c>
      <c r="N73" s="189"/>
      <c r="O73" s="280"/>
      <c r="P73" s="281"/>
      <c r="Q73" s="188" t="s">
        <v>296</v>
      </c>
    </row>
    <row r="74" spans="1:17" x14ac:dyDescent="0.2">
      <c r="A74" s="186"/>
      <c r="B74" s="167" t="s">
        <v>261</v>
      </c>
      <c r="C74" s="282"/>
      <c r="D74" s="282"/>
      <c r="E74" s="190">
        <f>+ROUND(E25+E39+E53+E67,2)</f>
        <v>0</v>
      </c>
      <c r="F74" s="165"/>
      <c r="G74" s="282"/>
      <c r="H74" s="282"/>
      <c r="I74" s="190">
        <f>+ROUND(I25+I39+I53+I67,2)</f>
        <v>0</v>
      </c>
      <c r="J74" s="165"/>
      <c r="K74" s="282"/>
      <c r="L74" s="282"/>
      <c r="M74" s="190">
        <f>+ROUND(M25+M39+M53+M67,2)</f>
        <v>0</v>
      </c>
      <c r="N74" s="165"/>
      <c r="O74" s="282"/>
      <c r="P74" s="282"/>
      <c r="Q74" s="190">
        <f>+ROUND(Q25+Q39+Q53+Q67,2)</f>
        <v>0</v>
      </c>
    </row>
    <row r="75" spans="1:17" x14ac:dyDescent="0.2">
      <c r="A75" s="186"/>
      <c r="B75" s="167" t="s">
        <v>137</v>
      </c>
      <c r="C75" s="282"/>
      <c r="D75" s="282"/>
      <c r="E75" s="168">
        <f>+ROUND(E26+E40+E54+E68,2)</f>
        <v>0</v>
      </c>
      <c r="F75" s="165"/>
      <c r="G75" s="282"/>
      <c r="H75" s="282"/>
      <c r="I75" s="168">
        <f>+ROUND(I26+I40+I54+I68,2)</f>
        <v>0</v>
      </c>
      <c r="J75" s="165"/>
      <c r="K75" s="282"/>
      <c r="L75" s="282"/>
      <c r="M75" s="168">
        <f>+ROUND(M26+M40+M54+M68,2)</f>
        <v>0</v>
      </c>
      <c r="N75" s="165"/>
      <c r="O75" s="282"/>
      <c r="P75" s="282"/>
      <c r="Q75" s="168">
        <f>+ROUND(Q26+Q40+Q54+Q68,2)</f>
        <v>0</v>
      </c>
    </row>
    <row r="76" spans="1:17" x14ac:dyDescent="0.2">
      <c r="A76" s="186"/>
      <c r="B76" s="167" t="s">
        <v>136</v>
      </c>
      <c r="C76" s="282"/>
      <c r="D76" s="282"/>
      <c r="E76" s="169">
        <f>+ROUND(E27+E41+E55+E69,2)</f>
        <v>0</v>
      </c>
      <c r="F76" s="170"/>
      <c r="G76" s="282"/>
      <c r="H76" s="282"/>
      <c r="I76" s="169">
        <f>+ROUND(I27+I41+I55+I69,2)</f>
        <v>0</v>
      </c>
      <c r="J76" s="170"/>
      <c r="K76" s="282"/>
      <c r="L76" s="282"/>
      <c r="M76" s="169">
        <f>+ROUND(M27+M41+M55+M69,2)</f>
        <v>0</v>
      </c>
      <c r="N76" s="170"/>
      <c r="O76" s="282"/>
      <c r="P76" s="282"/>
      <c r="Q76" s="169">
        <f>+ROUND(Q27+Q41+Q55+Q69,2)</f>
        <v>0</v>
      </c>
    </row>
    <row r="77" spans="1:17" ht="32.25" thickBot="1" x14ac:dyDescent="0.3">
      <c r="A77" s="186"/>
      <c r="B77" s="267" t="s">
        <v>477</v>
      </c>
      <c r="C77" s="283"/>
      <c r="D77" s="283"/>
      <c r="E77" s="266">
        <f>SUM(E74:E76)</f>
        <v>0</v>
      </c>
      <c r="F77" s="171"/>
      <c r="G77" s="283"/>
      <c r="H77" s="283"/>
      <c r="I77" s="266">
        <f>SUM(I74:I76)</f>
        <v>0</v>
      </c>
      <c r="J77" s="171"/>
      <c r="K77" s="283"/>
      <c r="L77" s="283"/>
      <c r="M77" s="266">
        <f>SUM(M74:M76)</f>
        <v>0</v>
      </c>
      <c r="N77" s="171"/>
      <c r="O77" s="283"/>
      <c r="P77" s="283"/>
      <c r="Q77" s="266">
        <f>SUM(Q74:Q76)</f>
        <v>0</v>
      </c>
    </row>
    <row r="78" spans="1:17" ht="16.5" thickBot="1" x14ac:dyDescent="0.3"/>
    <row r="79" spans="1:17" ht="31.5" x14ac:dyDescent="0.25">
      <c r="Q79" s="411" t="s">
        <v>478</v>
      </c>
    </row>
    <row r="80" spans="1:17" ht="16.5" thickBot="1" x14ac:dyDescent="0.3">
      <c r="Q80" s="410">
        <f>E77+I77+M77+Q77</f>
        <v>0</v>
      </c>
    </row>
  </sheetData>
  <mergeCells count="46">
    <mergeCell ref="C48:E48"/>
    <mergeCell ref="G48:I48"/>
    <mergeCell ref="K48:M48"/>
    <mergeCell ref="O48:Q48"/>
    <mergeCell ref="B44:B45"/>
    <mergeCell ref="C44:E44"/>
    <mergeCell ref="G44:I44"/>
    <mergeCell ref="K44:M44"/>
    <mergeCell ref="O44:Q44"/>
    <mergeCell ref="C45:E45"/>
    <mergeCell ref="G45:I45"/>
    <mergeCell ref="K45:M45"/>
    <mergeCell ref="O45:Q45"/>
    <mergeCell ref="A3:C3"/>
    <mergeCell ref="B13:B14"/>
    <mergeCell ref="C13:E13"/>
    <mergeCell ref="G13:I13"/>
    <mergeCell ref="K13:M13"/>
    <mergeCell ref="C14:E14"/>
    <mergeCell ref="G14:I14"/>
    <mergeCell ref="K14:M14"/>
    <mergeCell ref="B30:B31"/>
    <mergeCell ref="C30:E30"/>
    <mergeCell ref="G30:I30"/>
    <mergeCell ref="K30:M30"/>
    <mergeCell ref="C31:E31"/>
    <mergeCell ref="G31:I31"/>
    <mergeCell ref="K31:M31"/>
    <mergeCell ref="C59:E59"/>
    <mergeCell ref="G59:I59"/>
    <mergeCell ref="K59:M59"/>
    <mergeCell ref="B72:B73"/>
    <mergeCell ref="C72:E72"/>
    <mergeCell ref="G72:I72"/>
    <mergeCell ref="K72:M72"/>
    <mergeCell ref="B58:B59"/>
    <mergeCell ref="C58:E58"/>
    <mergeCell ref="G58:I58"/>
    <mergeCell ref="K58:M58"/>
    <mergeCell ref="O59:Q59"/>
    <mergeCell ref="O72:Q72"/>
    <mergeCell ref="O13:Q13"/>
    <mergeCell ref="O14:Q14"/>
    <mergeCell ref="O30:Q30"/>
    <mergeCell ref="O31:Q31"/>
    <mergeCell ref="O58:Q58"/>
  </mergeCells>
  <pageMargins left="0.7" right="0.7" top="0.75" bottom="0.75" header="0.3" footer="0.3"/>
  <pageSetup orientation="portrait" horizontalDpi="1200" verticalDpi="120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8A7FAB-364E-464C-84D0-5C41DFC974A9}">
  <sheetPr>
    <tabColor theme="0"/>
  </sheetPr>
  <dimension ref="A1:Q80"/>
  <sheetViews>
    <sheetView zoomScale="80" zoomScaleNormal="80" workbookViewId="0">
      <pane ySplit="11" topLeftCell="A66" activePane="bottomLeft" state="frozen"/>
      <selection pane="bottomLeft" activeCell="P65" sqref="P65"/>
    </sheetView>
    <sheetView workbookViewId="1"/>
  </sheetViews>
  <sheetFormatPr defaultColWidth="15.85546875" defaultRowHeight="15.75" x14ac:dyDescent="0.25"/>
  <cols>
    <col min="1" max="1" width="3.42578125" style="191" customWidth="1"/>
    <col min="2" max="2" width="49.140625" style="174" customWidth="1"/>
    <col min="3" max="3" width="18.28515625" style="186" bestFit="1" customWidth="1"/>
    <col min="4" max="4" width="12.42578125" style="186" bestFit="1" customWidth="1"/>
    <col min="5" max="5" width="31.140625" style="186" customWidth="1"/>
    <col min="6" max="6" width="1" style="186" customWidth="1"/>
    <col min="7" max="7" width="14.28515625" style="186" customWidth="1"/>
    <col min="8" max="8" width="14.5703125" style="186" customWidth="1"/>
    <col min="9" max="9" width="33.28515625" style="186" customWidth="1"/>
    <col min="10" max="10" width="1" style="186" customWidth="1"/>
    <col min="11" max="11" width="16.7109375" style="186" customWidth="1"/>
    <col min="12" max="12" width="16.28515625" style="186" customWidth="1"/>
    <col min="13" max="13" width="34" style="186" bestFit="1" customWidth="1"/>
    <col min="14" max="14" width="0.85546875" style="186" customWidth="1"/>
    <col min="15" max="16" width="15.85546875" style="186"/>
    <col min="17" max="17" width="32.140625" style="186" bestFit="1" customWidth="1"/>
    <col min="18" max="16384" width="15.85546875" style="186"/>
  </cols>
  <sheetData>
    <row r="1" spans="1:17" ht="16.5" thickBot="1" x14ac:dyDescent="0.3">
      <c r="B1" s="126" t="s">
        <v>626</v>
      </c>
      <c r="C1" s="494" t="str">
        <f>'FFP CLINs X007-X021'!B1</f>
        <v>NAME</v>
      </c>
    </row>
    <row r="2" spans="1:17" ht="16.5" thickBot="1" x14ac:dyDescent="0.3"/>
    <row r="3" spans="1:17" ht="52.5" customHeight="1" thickBot="1" x14ac:dyDescent="0.3">
      <c r="A3" s="557" t="s">
        <v>303</v>
      </c>
      <c r="B3" s="558"/>
      <c r="C3" s="559"/>
      <c r="I3" s="251" t="s">
        <v>149</v>
      </c>
    </row>
    <row r="5" spans="1:17" s="259" customFormat="1" ht="17.25" customHeight="1" x14ac:dyDescent="0.2">
      <c r="A5" s="260"/>
      <c r="B5" s="261" t="s">
        <v>130</v>
      </c>
    </row>
    <row r="6" spans="1:17" s="259" customFormat="1" x14ac:dyDescent="0.25">
      <c r="A6" s="258"/>
      <c r="B6" s="258" t="s">
        <v>606</v>
      </c>
    </row>
    <row r="7" spans="1:17" s="259" customFormat="1" x14ac:dyDescent="0.25">
      <c r="A7" s="258"/>
      <c r="B7" s="258" t="s">
        <v>390</v>
      </c>
    </row>
    <row r="8" spans="1:17" s="259" customFormat="1" x14ac:dyDescent="0.25">
      <c r="A8" s="258"/>
      <c r="B8" s="258" t="s">
        <v>607</v>
      </c>
    </row>
    <row r="9" spans="1:17" s="259" customFormat="1" x14ac:dyDescent="0.25">
      <c r="A9" s="258"/>
      <c r="B9" s="258" t="s">
        <v>608</v>
      </c>
    </row>
    <row r="10" spans="1:17" x14ac:dyDescent="0.25">
      <c r="A10" s="192"/>
      <c r="B10" s="258" t="s">
        <v>609</v>
      </c>
      <c r="C10" s="194"/>
    </row>
    <row r="11" spans="1:17" x14ac:dyDescent="0.25">
      <c r="A11" s="192"/>
      <c r="B11" s="258" t="s">
        <v>479</v>
      </c>
      <c r="C11" s="194"/>
    </row>
    <row r="12" spans="1:17" ht="16.5" thickBot="1" x14ac:dyDescent="0.3"/>
    <row r="13" spans="1:17" ht="16.5" thickBot="1" x14ac:dyDescent="0.3">
      <c r="A13" s="193"/>
      <c r="B13" s="620" t="s">
        <v>480</v>
      </c>
      <c r="C13" s="594" t="s">
        <v>134</v>
      </c>
      <c r="D13" s="595"/>
      <c r="E13" s="596"/>
      <c r="F13" s="151"/>
      <c r="G13" s="594" t="s">
        <v>134</v>
      </c>
      <c r="H13" s="595"/>
      <c r="I13" s="596"/>
      <c r="J13" s="151"/>
      <c r="K13" s="594" t="s">
        <v>134</v>
      </c>
      <c r="L13" s="595"/>
      <c r="M13" s="596"/>
      <c r="N13" s="151"/>
      <c r="O13" s="594" t="s">
        <v>134</v>
      </c>
      <c r="P13" s="595"/>
      <c r="Q13" s="596"/>
    </row>
    <row r="14" spans="1:17" ht="16.5" thickBot="1" x14ac:dyDescent="0.3">
      <c r="A14" s="193"/>
      <c r="B14" s="621"/>
      <c r="C14" s="617" t="s">
        <v>299</v>
      </c>
      <c r="D14" s="618"/>
      <c r="E14" s="619"/>
      <c r="F14" s="152"/>
      <c r="G14" s="617" t="s">
        <v>300</v>
      </c>
      <c r="H14" s="618"/>
      <c r="I14" s="619"/>
      <c r="J14" s="152"/>
      <c r="K14" s="617" t="s">
        <v>301</v>
      </c>
      <c r="L14" s="618"/>
      <c r="M14" s="619"/>
      <c r="N14" s="152"/>
      <c r="O14" s="617" t="s">
        <v>302</v>
      </c>
      <c r="P14" s="618"/>
      <c r="Q14" s="619"/>
    </row>
    <row r="15" spans="1:17" x14ac:dyDescent="0.25">
      <c r="A15" s="193"/>
      <c r="B15" s="153" t="s">
        <v>110</v>
      </c>
      <c r="C15" s="153" t="s">
        <v>91</v>
      </c>
      <c r="D15" s="154" t="s">
        <v>133</v>
      </c>
      <c r="E15" s="155" t="s">
        <v>139</v>
      </c>
      <c r="F15" s="156"/>
      <c r="G15" s="153" t="s">
        <v>91</v>
      </c>
      <c r="H15" s="154" t="s">
        <v>133</v>
      </c>
      <c r="I15" s="155" t="s">
        <v>139</v>
      </c>
      <c r="J15" s="156"/>
      <c r="K15" s="153" t="s">
        <v>91</v>
      </c>
      <c r="L15" s="154" t="s">
        <v>133</v>
      </c>
      <c r="M15" s="155" t="s">
        <v>139</v>
      </c>
      <c r="N15" s="156"/>
      <c r="O15" s="153" t="s">
        <v>91</v>
      </c>
      <c r="P15" s="154" t="s">
        <v>133</v>
      </c>
      <c r="Q15" s="155" t="s">
        <v>139</v>
      </c>
    </row>
    <row r="16" spans="1:17" ht="30" customHeight="1" thickBot="1" x14ac:dyDescent="0.3">
      <c r="A16" s="193"/>
      <c r="B16" s="203" t="s">
        <v>558</v>
      </c>
      <c r="C16" s="289"/>
      <c r="D16" s="290"/>
      <c r="E16" s="291"/>
      <c r="F16" s="156"/>
      <c r="G16" s="289"/>
      <c r="H16" s="290"/>
      <c r="I16" s="291"/>
      <c r="J16" s="156"/>
      <c r="K16" s="289"/>
      <c r="L16" s="290"/>
      <c r="M16" s="291"/>
      <c r="N16" s="156"/>
      <c r="O16" s="289"/>
      <c r="P16" s="290"/>
      <c r="Q16" s="291"/>
    </row>
    <row r="17" spans="1:17" ht="16.5" thickBot="1" x14ac:dyDescent="0.3">
      <c r="A17" s="193"/>
      <c r="B17" s="299" t="s">
        <v>151</v>
      </c>
      <c r="C17" s="163">
        <f>'PRIME CPIF LABOR INPUTS'!D70</f>
        <v>0</v>
      </c>
      <c r="D17" s="205"/>
      <c r="E17" s="164">
        <f>'PRIME CPIF LABOR INPUTS'!F70</f>
        <v>0</v>
      </c>
      <c r="F17" s="165"/>
      <c r="G17" s="163">
        <f>'PRIME CPIF LABOR INPUTS'!H70</f>
        <v>0</v>
      </c>
      <c r="H17" s="205"/>
      <c r="I17" s="164">
        <f>'PRIME CPIF LABOR INPUTS'!J70</f>
        <v>0</v>
      </c>
      <c r="J17" s="165"/>
      <c r="K17" s="163">
        <f>'PRIME CPIF LABOR INPUTS'!L70</f>
        <v>0</v>
      </c>
      <c r="L17" s="205"/>
      <c r="M17" s="164">
        <f>'PRIME CPIF LABOR INPUTS'!N70</f>
        <v>0</v>
      </c>
      <c r="N17" s="165"/>
      <c r="O17" s="163">
        <f>'PRIME CPIF LABOR INPUTS'!P70</f>
        <v>0</v>
      </c>
      <c r="P17" s="205"/>
      <c r="Q17" s="164">
        <f>'PRIME CPIF LABOR INPUTS'!R70</f>
        <v>0</v>
      </c>
    </row>
    <row r="18" spans="1:17" x14ac:dyDescent="0.25">
      <c r="A18" s="193"/>
      <c r="B18" s="204"/>
      <c r="C18" s="153" t="s">
        <v>399</v>
      </c>
      <c r="D18" s="154" t="s">
        <v>396</v>
      </c>
      <c r="E18" s="155" t="s">
        <v>398</v>
      </c>
      <c r="F18" s="166"/>
      <c r="G18" s="153" t="s">
        <v>399</v>
      </c>
      <c r="H18" s="154" t="s">
        <v>396</v>
      </c>
      <c r="I18" s="155" t="s">
        <v>398</v>
      </c>
      <c r="J18" s="166"/>
      <c r="K18" s="153" t="s">
        <v>399</v>
      </c>
      <c r="L18" s="154" t="s">
        <v>396</v>
      </c>
      <c r="M18" s="155" t="s">
        <v>398</v>
      </c>
      <c r="N18" s="166"/>
      <c r="O18" s="153" t="s">
        <v>399</v>
      </c>
      <c r="P18" s="154" t="s">
        <v>396</v>
      </c>
      <c r="Q18" s="155" t="s">
        <v>398</v>
      </c>
    </row>
    <row r="19" spans="1:17" ht="53.25" customHeight="1" x14ac:dyDescent="0.25">
      <c r="A19" s="193"/>
      <c r="B19" s="344" t="s">
        <v>611</v>
      </c>
      <c r="C19" s="289"/>
      <c r="D19" s="290"/>
      <c r="E19" s="291"/>
      <c r="F19" s="202"/>
      <c r="G19" s="289"/>
      <c r="H19" s="290"/>
      <c r="I19" s="291"/>
      <c r="J19" s="202"/>
      <c r="K19" s="289"/>
      <c r="L19" s="290"/>
      <c r="M19" s="291"/>
      <c r="N19" s="202"/>
      <c r="O19" s="289"/>
      <c r="P19" s="290"/>
      <c r="Q19" s="291"/>
    </row>
    <row r="20" spans="1:17" x14ac:dyDescent="0.25">
      <c r="A20" s="193"/>
      <c r="B20" s="167" t="str">
        <f>'PRIME CPIF RATES (ALL)'!B35</f>
        <v>Indirect Labor Category:  [Labor Fringe]</v>
      </c>
      <c r="C20" s="215">
        <f>+E17</f>
        <v>0</v>
      </c>
      <c r="D20" s="243">
        <f>'PRIME CPIF RATES (ALL)'!C35</f>
        <v>0</v>
      </c>
      <c r="E20" s="168">
        <f>ROUND(C20*D20,2)</f>
        <v>0</v>
      </c>
      <c r="F20" s="165"/>
      <c r="G20" s="215">
        <f>+I17</f>
        <v>0</v>
      </c>
      <c r="H20" s="243">
        <f>'PRIME CPIF RATES (ALL)'!D35</f>
        <v>0</v>
      </c>
      <c r="I20" s="168">
        <f>ROUND(G20*H20,2)</f>
        <v>0</v>
      </c>
      <c r="J20" s="165"/>
      <c r="K20" s="215">
        <f>+M17</f>
        <v>0</v>
      </c>
      <c r="L20" s="243">
        <f>'PRIME CPIF RATES (ALL)'!E35</f>
        <v>0</v>
      </c>
      <c r="M20" s="168">
        <f>ROUND(K20*L20,2)</f>
        <v>0</v>
      </c>
      <c r="N20" s="165"/>
      <c r="O20" s="215">
        <f>+Q17</f>
        <v>0</v>
      </c>
      <c r="P20" s="243">
        <f>'PRIME CPIF RATES (ALL)'!F35</f>
        <v>0</v>
      </c>
      <c r="Q20" s="168">
        <f>ROUND(O20*P20,2)</f>
        <v>0</v>
      </c>
    </row>
    <row r="21" spans="1:17" x14ac:dyDescent="0.25">
      <c r="A21" s="193"/>
      <c r="B21" s="167" t="str">
        <f>'PRIME CPIF RATES (ALL)'!B36</f>
        <v>Indirect Labor Category: [Labor Overhead]</v>
      </c>
      <c r="C21" s="215">
        <f>+C20+E20</f>
        <v>0</v>
      </c>
      <c r="D21" s="243">
        <f>'PRIME CPIF RATES (ALL)'!C36</f>
        <v>0</v>
      </c>
      <c r="E21" s="168">
        <f>ROUND(C21*D21,2)</f>
        <v>0</v>
      </c>
      <c r="F21" s="165"/>
      <c r="G21" s="215">
        <f>+G20+I20</f>
        <v>0</v>
      </c>
      <c r="H21" s="243">
        <f>'PRIME CPIF RATES (ALL)'!D36</f>
        <v>0</v>
      </c>
      <c r="I21" s="168">
        <f>ROUND(G21*H21,2)</f>
        <v>0</v>
      </c>
      <c r="J21" s="165"/>
      <c r="K21" s="215">
        <f>+K20+M20</f>
        <v>0</v>
      </c>
      <c r="L21" s="243">
        <f>'PRIME CPIF RATES (ALL)'!E36</f>
        <v>0</v>
      </c>
      <c r="M21" s="168">
        <f>ROUND(K21*L21,2)</f>
        <v>0</v>
      </c>
      <c r="N21" s="165"/>
      <c r="O21" s="215">
        <f>+O20+Q20</f>
        <v>0</v>
      </c>
      <c r="P21" s="243">
        <f>'PRIME CPIF RATES (ALL)'!F36</f>
        <v>0</v>
      </c>
      <c r="Q21" s="168">
        <f>ROUND(O21*P21,2)</f>
        <v>0</v>
      </c>
    </row>
    <row r="22" spans="1:17" x14ac:dyDescent="0.25">
      <c r="A22" s="193"/>
      <c r="B22" s="167" t="str">
        <f>'PRIME CPIF RATES (ALL)'!B37</f>
        <v>Indirect Labor Category: [G&amp;A]</v>
      </c>
      <c r="C22" s="215">
        <f>+C21+E21</f>
        <v>0</v>
      </c>
      <c r="D22" s="243">
        <f>'PRIME CPIF RATES (ALL)'!C37</f>
        <v>0</v>
      </c>
      <c r="E22" s="168">
        <f>ROUND(C22*D22,2)</f>
        <v>0</v>
      </c>
      <c r="F22" s="165"/>
      <c r="G22" s="215">
        <f>+G21+I21</f>
        <v>0</v>
      </c>
      <c r="H22" s="243">
        <f>'PRIME CPIF RATES (ALL)'!D37</f>
        <v>0</v>
      </c>
      <c r="I22" s="168">
        <f>ROUND(G22*H22,2)</f>
        <v>0</v>
      </c>
      <c r="J22" s="165"/>
      <c r="K22" s="215">
        <f>+K21+M21</f>
        <v>0</v>
      </c>
      <c r="L22" s="243">
        <f>'PRIME CPIF RATES (ALL)'!E37</f>
        <v>0</v>
      </c>
      <c r="M22" s="168">
        <f>ROUND(K22*L22,2)</f>
        <v>0</v>
      </c>
      <c r="N22" s="165"/>
      <c r="O22" s="215">
        <f>+O21+Q21</f>
        <v>0</v>
      </c>
      <c r="P22" s="243">
        <f>'PRIME CPIF RATES (ALL)'!F37</f>
        <v>0</v>
      </c>
      <c r="Q22" s="168">
        <f>ROUND(O22*P22,2)</f>
        <v>0</v>
      </c>
    </row>
    <row r="23" spans="1:17" x14ac:dyDescent="0.25">
      <c r="A23" s="193"/>
      <c r="B23" s="167" t="str">
        <f>'PRIME CPIF RATES (ALL)'!B38</f>
        <v>Indirect Labor Category: [FCCOM]</v>
      </c>
      <c r="C23" s="215">
        <f>C22+E22</f>
        <v>0</v>
      </c>
      <c r="D23" s="243">
        <f>'PRIME CPIF RATES (ALL)'!C38</f>
        <v>0</v>
      </c>
      <c r="E23" s="168">
        <f>ROUND(C23*D23,2)</f>
        <v>0</v>
      </c>
      <c r="F23" s="165"/>
      <c r="G23" s="215">
        <f>G22+I22</f>
        <v>0</v>
      </c>
      <c r="H23" s="243">
        <f>'PRIME CPIF RATES (ALL)'!D38</f>
        <v>0</v>
      </c>
      <c r="I23" s="168">
        <f>ROUND(G23*H23,2)</f>
        <v>0</v>
      </c>
      <c r="J23" s="165"/>
      <c r="K23" s="215">
        <f>K22+M22</f>
        <v>0</v>
      </c>
      <c r="L23" s="243">
        <f>'PRIME CPIF RATES (ALL)'!E38</f>
        <v>0</v>
      </c>
      <c r="M23" s="168">
        <f>ROUND(K23*L23,2)</f>
        <v>0</v>
      </c>
      <c r="N23" s="165"/>
      <c r="O23" s="215">
        <f>O22+Q22</f>
        <v>0</v>
      </c>
      <c r="P23" s="243">
        <f>'PRIME CPIF RATES (ALL)'!F38</f>
        <v>0</v>
      </c>
      <c r="Q23" s="168">
        <f>ROUND(O23*P23,2)</f>
        <v>0</v>
      </c>
    </row>
    <row r="24" spans="1:17" x14ac:dyDescent="0.25">
      <c r="A24" s="193"/>
      <c r="B24" s="167" t="str">
        <f>'PRIME CPIF RATES (ALL)'!B39</f>
        <v>Indirect Labor Category: [Target Fee]</v>
      </c>
      <c r="C24" s="215">
        <f>+C22+E22</f>
        <v>0</v>
      </c>
      <c r="D24" s="243">
        <f>'PRIME CPIF RATES (ALL)'!C39</f>
        <v>0</v>
      </c>
      <c r="E24" s="168">
        <f>ROUND(C24*D24,2)</f>
        <v>0</v>
      </c>
      <c r="F24" s="165"/>
      <c r="G24" s="215">
        <f>+G22+I22</f>
        <v>0</v>
      </c>
      <c r="H24" s="243">
        <f>'PRIME CPIF RATES (ALL)'!D39</f>
        <v>0</v>
      </c>
      <c r="I24" s="168">
        <f>ROUND(G24*H24,2)</f>
        <v>0</v>
      </c>
      <c r="J24" s="165"/>
      <c r="K24" s="215">
        <f>+K22+M22</f>
        <v>0</v>
      </c>
      <c r="L24" s="243">
        <f>'PRIME CPIF RATES (ALL)'!E39</f>
        <v>0</v>
      </c>
      <c r="M24" s="168">
        <f>ROUND(K24*L24,2)</f>
        <v>0</v>
      </c>
      <c r="N24" s="165"/>
      <c r="O24" s="215">
        <f>+O22+Q22</f>
        <v>0</v>
      </c>
      <c r="P24" s="243">
        <f>'PRIME CPIF RATES (ALL)'!F39</f>
        <v>0</v>
      </c>
      <c r="Q24" s="168">
        <f>ROUND(O24*P24,2)</f>
        <v>0</v>
      </c>
    </row>
    <row r="25" spans="1:17" x14ac:dyDescent="0.25">
      <c r="A25" s="193"/>
      <c r="B25" s="262" t="s">
        <v>258</v>
      </c>
      <c r="C25" s="210"/>
      <c r="D25" s="211"/>
      <c r="E25" s="230">
        <f>ROUND(SUM(E17,E20,E21,E22),2)</f>
        <v>0</v>
      </c>
      <c r="F25" s="165"/>
      <c r="G25" s="206"/>
      <c r="H25" s="207"/>
      <c r="I25" s="230">
        <f>ROUND(SUM(I17,I20,I21,I22),2)</f>
        <v>0</v>
      </c>
      <c r="J25" s="165"/>
      <c r="K25" s="206"/>
      <c r="L25" s="207"/>
      <c r="M25" s="230">
        <f>ROUND(SUM(M17,M20,M21,M22),2)</f>
        <v>0</v>
      </c>
      <c r="N25" s="165"/>
      <c r="O25" s="206"/>
      <c r="P25" s="207"/>
      <c r="Q25" s="230">
        <f>ROUND(SUM(Q17,Q20,Q21,Q22),2)</f>
        <v>0</v>
      </c>
    </row>
    <row r="26" spans="1:17" x14ac:dyDescent="0.25">
      <c r="A26" s="193"/>
      <c r="B26" s="262" t="s">
        <v>137</v>
      </c>
      <c r="C26" s="210"/>
      <c r="D26" s="211"/>
      <c r="E26" s="230">
        <f>ROUND(E23,2)</f>
        <v>0</v>
      </c>
      <c r="F26" s="165"/>
      <c r="G26" s="206"/>
      <c r="H26" s="207"/>
      <c r="I26" s="230">
        <f>ROUND(I23,2)</f>
        <v>0</v>
      </c>
      <c r="J26" s="165"/>
      <c r="K26" s="206"/>
      <c r="L26" s="207"/>
      <c r="M26" s="230">
        <f>ROUND(M23,2)</f>
        <v>0</v>
      </c>
      <c r="N26" s="165"/>
      <c r="O26" s="206"/>
      <c r="P26" s="207"/>
      <c r="Q26" s="230">
        <f>ROUND(Q23,2)</f>
        <v>0</v>
      </c>
    </row>
    <row r="27" spans="1:17" x14ac:dyDescent="0.25">
      <c r="A27" s="193"/>
      <c r="B27" s="262" t="s">
        <v>136</v>
      </c>
      <c r="C27" s="210"/>
      <c r="D27" s="211"/>
      <c r="E27" s="245">
        <f>ROUND(E24,2)</f>
        <v>0</v>
      </c>
      <c r="F27" s="170"/>
      <c r="G27" s="206"/>
      <c r="H27" s="207"/>
      <c r="I27" s="245">
        <f>ROUND(I24,2)</f>
        <v>0</v>
      </c>
      <c r="J27" s="170"/>
      <c r="K27" s="206"/>
      <c r="L27" s="207"/>
      <c r="M27" s="245">
        <f>ROUND(M24,2)</f>
        <v>0</v>
      </c>
      <c r="N27" s="170"/>
      <c r="O27" s="206"/>
      <c r="P27" s="207"/>
      <c r="Q27" s="245">
        <f>ROUND(Q24,2)</f>
        <v>0</v>
      </c>
    </row>
    <row r="28" spans="1:17" ht="16.5" thickBot="1" x14ac:dyDescent="0.3">
      <c r="A28" s="193"/>
      <c r="B28" s="263" t="s">
        <v>138</v>
      </c>
      <c r="C28" s="212"/>
      <c r="D28" s="213"/>
      <c r="E28" s="246">
        <f>ROUND(SUM(E25:E27),2)</f>
        <v>0</v>
      </c>
      <c r="F28" s="171"/>
      <c r="G28" s="208"/>
      <c r="H28" s="209"/>
      <c r="I28" s="246">
        <f>ROUND(SUM(I25:I27),2)</f>
        <v>0</v>
      </c>
      <c r="J28" s="171"/>
      <c r="K28" s="208"/>
      <c r="L28" s="209"/>
      <c r="M28" s="246">
        <f>ROUND(SUM(M25:M27),2)</f>
        <v>0</v>
      </c>
      <c r="N28" s="171"/>
      <c r="O28" s="208"/>
      <c r="P28" s="209"/>
      <c r="Q28" s="246">
        <f>ROUND(SUM(Q25:Q27),2)</f>
        <v>0</v>
      </c>
    </row>
    <row r="29" spans="1:17" ht="16.5" thickBot="1" x14ac:dyDescent="0.3">
      <c r="A29" s="193"/>
      <c r="B29" s="172"/>
      <c r="C29" s="173"/>
      <c r="D29" s="173"/>
      <c r="E29" s="173"/>
      <c r="F29" s="256"/>
      <c r="G29" s="173"/>
      <c r="H29" s="173"/>
      <c r="I29" s="173"/>
      <c r="J29" s="256"/>
      <c r="K29" s="173"/>
      <c r="L29" s="173"/>
      <c r="M29" s="173"/>
      <c r="N29" s="165"/>
      <c r="O29" s="173"/>
      <c r="P29" s="173"/>
      <c r="Q29" s="173"/>
    </row>
    <row r="30" spans="1:17" ht="16.5" customHeight="1" thickBot="1" x14ac:dyDescent="0.3">
      <c r="A30" s="193"/>
      <c r="B30" s="620" t="str">
        <f>B13</f>
        <v>CLIN 0001 (CPIF)                                                    TASK 1.03 SYSTEM TEST AND EVALUATION</v>
      </c>
      <c r="C30" s="594" t="s">
        <v>145</v>
      </c>
      <c r="D30" s="595"/>
      <c r="E30" s="596"/>
      <c r="F30" s="175"/>
      <c r="G30" s="594" t="s">
        <v>145</v>
      </c>
      <c r="H30" s="595"/>
      <c r="I30" s="596"/>
      <c r="J30" s="175"/>
      <c r="K30" s="594" t="s">
        <v>145</v>
      </c>
      <c r="L30" s="595"/>
      <c r="M30" s="596"/>
      <c r="N30" s="175"/>
      <c r="O30" s="594" t="s">
        <v>145</v>
      </c>
      <c r="P30" s="595"/>
      <c r="Q30" s="596"/>
    </row>
    <row r="31" spans="1:17" ht="16.5" thickBot="1" x14ac:dyDescent="0.3">
      <c r="A31" s="193"/>
      <c r="B31" s="621"/>
      <c r="C31" s="617" t="str">
        <f>C14</f>
        <v>CLIN 0001 - Basic Period (Year 1)</v>
      </c>
      <c r="D31" s="618"/>
      <c r="E31" s="619"/>
      <c r="F31" s="176"/>
      <c r="G31" s="617" t="str">
        <f>G14</f>
        <v>CLIN 0001 - Basic Period (Year 2)</v>
      </c>
      <c r="H31" s="618"/>
      <c r="I31" s="619"/>
      <c r="J31" s="176"/>
      <c r="K31" s="617" t="str">
        <f>K14</f>
        <v>CLIN 0001 - Basic Period (Year 3)</v>
      </c>
      <c r="L31" s="618"/>
      <c r="M31" s="619"/>
      <c r="N31" s="176"/>
      <c r="O31" s="617" t="str">
        <f>O14</f>
        <v>CLIN 0001 - Basic Period (Year 4)</v>
      </c>
      <c r="P31" s="618"/>
      <c r="Q31" s="619"/>
    </row>
    <row r="32" spans="1:17" x14ac:dyDescent="0.25">
      <c r="A32" s="193"/>
      <c r="B32" s="247"/>
      <c r="C32" s="153" t="s">
        <v>399</v>
      </c>
      <c r="D32" s="154" t="s">
        <v>396</v>
      </c>
      <c r="E32" s="155" t="s">
        <v>152</v>
      </c>
      <c r="F32" s="166"/>
      <c r="G32" s="153" t="s">
        <v>399</v>
      </c>
      <c r="H32" s="154" t="s">
        <v>396</v>
      </c>
      <c r="I32" s="155" t="s">
        <v>152</v>
      </c>
      <c r="J32" s="166"/>
      <c r="K32" s="153" t="str">
        <f>K18</f>
        <v>Base Cost</v>
      </c>
      <c r="L32" s="154" t="s">
        <v>396</v>
      </c>
      <c r="M32" s="155" t="s">
        <v>152</v>
      </c>
      <c r="N32" s="166"/>
      <c r="O32" s="153" t="s">
        <v>399</v>
      </c>
      <c r="P32" s="154" t="s">
        <v>396</v>
      </c>
      <c r="Q32" s="155" t="s">
        <v>152</v>
      </c>
    </row>
    <row r="33" spans="1:17" ht="51.75" x14ac:dyDescent="0.25">
      <c r="A33" s="193"/>
      <c r="B33" s="300" t="s">
        <v>612</v>
      </c>
      <c r="C33" s="231"/>
      <c r="D33" s="232"/>
      <c r="E33" s="400">
        <f>'PRIME CPIF TOTAL MATERIAL'!E13</f>
        <v>0</v>
      </c>
      <c r="F33" s="165"/>
      <c r="G33" s="231"/>
      <c r="H33" s="232"/>
      <c r="I33" s="400">
        <f>'PRIME CPIF TOTAL MATERIAL'!G13</f>
        <v>0</v>
      </c>
      <c r="J33" s="165"/>
      <c r="K33" s="231"/>
      <c r="L33" s="232"/>
      <c r="M33" s="400">
        <f>'PRIME CPIF TOTAL MATERIAL'!I13</f>
        <v>0</v>
      </c>
      <c r="N33" s="165"/>
      <c r="O33" s="231"/>
      <c r="P33" s="232"/>
      <c r="Q33" s="400">
        <f>'PRIME CPIF TOTAL MATERIAL'!K13</f>
        <v>0</v>
      </c>
    </row>
    <row r="34" spans="1:17" ht="67.5" customHeight="1" x14ac:dyDescent="0.25">
      <c r="A34" s="193"/>
      <c r="B34" s="344" t="s">
        <v>389</v>
      </c>
      <c r="C34" s="405"/>
      <c r="D34" s="406"/>
      <c r="E34" s="400"/>
      <c r="F34" s="165"/>
      <c r="G34" s="405"/>
      <c r="H34" s="406"/>
      <c r="I34" s="400"/>
      <c r="J34" s="165"/>
      <c r="K34" s="405"/>
      <c r="L34" s="406"/>
      <c r="M34" s="400"/>
      <c r="N34" s="165"/>
      <c r="O34" s="405"/>
      <c r="P34" s="406"/>
      <c r="Q34" s="400"/>
    </row>
    <row r="35" spans="1:17" x14ac:dyDescent="0.25">
      <c r="A35" s="193"/>
      <c r="B35" s="167" t="str">
        <f>'PRIME CPIF RATES (ALL)'!B52</f>
        <v>Indirect Category: [Material Overhead]</v>
      </c>
      <c r="C35" s="215">
        <f>+E33</f>
        <v>0</v>
      </c>
      <c r="D35" s="243">
        <f>'PRIME CPIF RATES (ALL)'!C52</f>
        <v>0</v>
      </c>
      <c r="E35" s="168">
        <f>ROUND(C35*D35,2)</f>
        <v>0</v>
      </c>
      <c r="F35" s="178"/>
      <c r="G35" s="215">
        <f>+I33</f>
        <v>0</v>
      </c>
      <c r="H35" s="243">
        <f>'PRIME CPIF RATES (ALL)'!D52</f>
        <v>0</v>
      </c>
      <c r="I35" s="168">
        <f>ROUND(G35*H35,2)</f>
        <v>0</v>
      </c>
      <c r="J35" s="178"/>
      <c r="K35" s="215">
        <f>+M33</f>
        <v>0</v>
      </c>
      <c r="L35" s="243">
        <f>'PRIME CPIF RATES (ALL)'!E52</f>
        <v>0</v>
      </c>
      <c r="M35" s="168">
        <f>ROUND(K35*L35,2)</f>
        <v>0</v>
      </c>
      <c r="N35" s="178"/>
      <c r="O35" s="215">
        <f>+Q33</f>
        <v>0</v>
      </c>
      <c r="P35" s="243">
        <f>'PRIME CPIF RATES (ALL)'!F52</f>
        <v>0</v>
      </c>
      <c r="Q35" s="168">
        <f>ROUND(O35*P35,2)</f>
        <v>0</v>
      </c>
    </row>
    <row r="36" spans="1:17" x14ac:dyDescent="0.25">
      <c r="A36" s="193"/>
      <c r="B36" s="167" t="str">
        <f>'PRIME CPIF RATES (ALL)'!B53</f>
        <v>Indirect Category: [G&amp;A]</v>
      </c>
      <c r="C36" s="215">
        <f>+C35+E35</f>
        <v>0</v>
      </c>
      <c r="D36" s="243">
        <f>'PRIME CPIF RATES (ALL)'!C53</f>
        <v>0</v>
      </c>
      <c r="E36" s="168">
        <f>ROUND(C36*D36,2)</f>
        <v>0</v>
      </c>
      <c r="F36" s="178"/>
      <c r="G36" s="215">
        <f>+G35+I35</f>
        <v>0</v>
      </c>
      <c r="H36" s="243">
        <f>'PRIME CPIF RATES (ALL)'!D53</f>
        <v>0</v>
      </c>
      <c r="I36" s="168">
        <f>ROUND(G36*H36,2)</f>
        <v>0</v>
      </c>
      <c r="J36" s="178"/>
      <c r="K36" s="215">
        <f>+K35+M35</f>
        <v>0</v>
      </c>
      <c r="L36" s="243">
        <f>'PRIME CPIF RATES (ALL)'!E53</f>
        <v>0</v>
      </c>
      <c r="M36" s="168">
        <f>ROUND(K36*L36,2)</f>
        <v>0</v>
      </c>
      <c r="N36" s="178"/>
      <c r="O36" s="215">
        <f>+O35+Q35</f>
        <v>0</v>
      </c>
      <c r="P36" s="243">
        <f>'PRIME CPIF RATES (ALL)'!F53</f>
        <v>0</v>
      </c>
      <c r="Q36" s="168">
        <f>ROUND(O36*P36,2)</f>
        <v>0</v>
      </c>
    </row>
    <row r="37" spans="1:17" x14ac:dyDescent="0.25">
      <c r="A37" s="193"/>
      <c r="B37" s="167" t="str">
        <f>'PRIME CPIF RATES (ALL)'!B54</f>
        <v>Indirect Category: [FCCOM]</v>
      </c>
      <c r="C37" s="215">
        <f>C36+E36</f>
        <v>0</v>
      </c>
      <c r="D37" s="243">
        <f>'PRIME CPIF RATES (ALL)'!C54</f>
        <v>0</v>
      </c>
      <c r="E37" s="168">
        <f>ROUND(C37*D37,2)</f>
        <v>0</v>
      </c>
      <c r="F37" s="165"/>
      <c r="G37" s="215">
        <f>G36+I36</f>
        <v>0</v>
      </c>
      <c r="H37" s="243">
        <f>'PRIME CPIF RATES (ALL)'!D54</f>
        <v>0</v>
      </c>
      <c r="I37" s="168">
        <f>ROUND(G37*H37,2)</f>
        <v>0</v>
      </c>
      <c r="J37" s="165"/>
      <c r="K37" s="215">
        <f>K36+M36</f>
        <v>0</v>
      </c>
      <c r="L37" s="243">
        <f>'PRIME CPIF RATES (ALL)'!E54</f>
        <v>0</v>
      </c>
      <c r="M37" s="168">
        <f>ROUND(K37*L37,2)</f>
        <v>0</v>
      </c>
      <c r="N37" s="165"/>
      <c r="O37" s="215">
        <f>O36+Q36</f>
        <v>0</v>
      </c>
      <c r="P37" s="243">
        <f>'PRIME CPIF RATES (ALL)'!F54</f>
        <v>0</v>
      </c>
      <c r="Q37" s="168">
        <f>ROUND(O37*P37,2)</f>
        <v>0</v>
      </c>
    </row>
    <row r="38" spans="1:17" x14ac:dyDescent="0.25">
      <c r="A38" s="193"/>
      <c r="B38" s="167" t="str">
        <f>'PRIME CPIF RATES (ALL)'!B55</f>
        <v>Indirect Category: [Target Fee]</v>
      </c>
      <c r="C38" s="215">
        <f>+C36+E36</f>
        <v>0</v>
      </c>
      <c r="D38" s="243">
        <f>'PRIME CPIF RATES (ALL)'!C55</f>
        <v>0</v>
      </c>
      <c r="E38" s="168">
        <f>ROUND(C38*D38,2)</f>
        <v>0</v>
      </c>
      <c r="F38" s="165"/>
      <c r="G38" s="215">
        <f>+G36+I36</f>
        <v>0</v>
      </c>
      <c r="H38" s="243">
        <f>'PRIME CPIF RATES (ALL)'!D55</f>
        <v>0</v>
      </c>
      <c r="I38" s="168">
        <f>ROUND(G38*H38,2)</f>
        <v>0</v>
      </c>
      <c r="J38" s="165"/>
      <c r="K38" s="215">
        <f>+K36+M36</f>
        <v>0</v>
      </c>
      <c r="L38" s="243">
        <f>'PRIME CPIF RATES (ALL)'!E55</f>
        <v>0</v>
      </c>
      <c r="M38" s="168">
        <f>ROUND(K38*L38,2)</f>
        <v>0</v>
      </c>
      <c r="N38" s="165"/>
      <c r="O38" s="215">
        <f>+O36+Q36</f>
        <v>0</v>
      </c>
      <c r="P38" s="243">
        <f>'PRIME CPIF RATES (ALL)'!F55</f>
        <v>0</v>
      </c>
      <c r="Q38" s="168">
        <f>ROUND(O38*P38,2)</f>
        <v>0</v>
      </c>
    </row>
    <row r="39" spans="1:17" x14ac:dyDescent="0.25">
      <c r="A39" s="193"/>
      <c r="B39" s="241" t="s">
        <v>259</v>
      </c>
      <c r="C39" s="233"/>
      <c r="D39" s="234"/>
      <c r="E39" s="168">
        <f>ROUND(SUM(E33:E36),2)</f>
        <v>0</v>
      </c>
      <c r="F39" s="165"/>
      <c r="G39" s="233"/>
      <c r="H39" s="234"/>
      <c r="I39" s="168">
        <f>ROUND(SUM(I33:I36),2)</f>
        <v>0</v>
      </c>
      <c r="J39" s="165"/>
      <c r="K39" s="233"/>
      <c r="L39" s="234"/>
      <c r="M39" s="168">
        <f>ROUND(SUM(M33:M36),2)</f>
        <v>0</v>
      </c>
      <c r="N39" s="165"/>
      <c r="O39" s="233"/>
      <c r="P39" s="234"/>
      <c r="Q39" s="168">
        <f>ROUND(SUM(Q33:Q36),2)</f>
        <v>0</v>
      </c>
    </row>
    <row r="40" spans="1:17" x14ac:dyDescent="0.25">
      <c r="A40" s="193"/>
      <c r="B40" s="241" t="s">
        <v>137</v>
      </c>
      <c r="C40" s="231"/>
      <c r="D40" s="235"/>
      <c r="E40" s="168">
        <f>ROUND(E37,2)</f>
        <v>0</v>
      </c>
      <c r="F40" s="165"/>
      <c r="G40" s="231"/>
      <c r="H40" s="235"/>
      <c r="I40" s="168">
        <f>ROUND(I37,2)</f>
        <v>0</v>
      </c>
      <c r="J40" s="165"/>
      <c r="K40" s="231"/>
      <c r="L40" s="235"/>
      <c r="M40" s="168">
        <f>ROUND(M37,2)</f>
        <v>0</v>
      </c>
      <c r="N40" s="165"/>
      <c r="O40" s="231"/>
      <c r="P40" s="235"/>
      <c r="Q40" s="168">
        <f>ROUND(Q37,2)</f>
        <v>0</v>
      </c>
    </row>
    <row r="41" spans="1:17" x14ac:dyDescent="0.2">
      <c r="B41" s="241" t="s">
        <v>136</v>
      </c>
      <c r="C41" s="231"/>
      <c r="D41" s="235"/>
      <c r="E41" s="182">
        <f>ROUND(E38,2)</f>
        <v>0</v>
      </c>
      <c r="F41" s="183"/>
      <c r="G41" s="231"/>
      <c r="H41" s="235"/>
      <c r="I41" s="182">
        <f>ROUND(I38,2)</f>
        <v>0</v>
      </c>
      <c r="J41" s="183"/>
      <c r="K41" s="231"/>
      <c r="L41" s="235"/>
      <c r="M41" s="182">
        <f>ROUND(M38,2)</f>
        <v>0</v>
      </c>
      <c r="N41" s="183"/>
      <c r="O41" s="231"/>
      <c r="P41" s="235"/>
      <c r="Q41" s="182">
        <f>ROUND(Q38,2)</f>
        <v>0</v>
      </c>
    </row>
    <row r="42" spans="1:17" ht="16.5" thickBot="1" x14ac:dyDescent="0.25">
      <c r="B42" s="242" t="s">
        <v>243</v>
      </c>
      <c r="C42" s="236"/>
      <c r="D42" s="237"/>
      <c r="E42" s="160">
        <f>SUM(E39:E41)</f>
        <v>0</v>
      </c>
      <c r="F42" s="161"/>
      <c r="G42" s="236"/>
      <c r="H42" s="237"/>
      <c r="I42" s="160">
        <f>SUM(I39:I41)</f>
        <v>0</v>
      </c>
      <c r="J42" s="161"/>
      <c r="K42" s="236"/>
      <c r="L42" s="237"/>
      <c r="M42" s="160">
        <f>SUM(M39:M41)</f>
        <v>0</v>
      </c>
      <c r="N42" s="161"/>
      <c r="O42" s="236"/>
      <c r="P42" s="237"/>
      <c r="Q42" s="160">
        <f>SUM(Q39:Q41)</f>
        <v>0</v>
      </c>
    </row>
    <row r="43" spans="1:17" ht="16.5" thickBot="1" x14ac:dyDescent="0.25">
      <c r="B43" s="172"/>
      <c r="F43" s="251"/>
      <c r="J43" s="251"/>
      <c r="N43" s="187"/>
    </row>
    <row r="44" spans="1:17" ht="16.5" thickBot="1" x14ac:dyDescent="0.3">
      <c r="B44" s="620" t="str">
        <f>B13</f>
        <v>CLIN 0001 (CPIF)                                                    TASK 1.03 SYSTEM TEST AND EVALUATION</v>
      </c>
      <c r="C44" s="594" t="s">
        <v>318</v>
      </c>
      <c r="D44" s="595"/>
      <c r="E44" s="596"/>
      <c r="F44" s="175"/>
      <c r="G44" s="594" t="s">
        <v>318</v>
      </c>
      <c r="H44" s="595"/>
      <c r="I44" s="596"/>
      <c r="J44" s="175"/>
      <c r="K44" s="594" t="s">
        <v>318</v>
      </c>
      <c r="L44" s="595"/>
      <c r="M44" s="596"/>
      <c r="N44" s="175"/>
      <c r="O44" s="594" t="s">
        <v>318</v>
      </c>
      <c r="P44" s="595"/>
      <c r="Q44" s="596"/>
    </row>
    <row r="45" spans="1:17" ht="16.5" thickBot="1" x14ac:dyDescent="0.3">
      <c r="B45" s="621"/>
      <c r="C45" s="617" t="str">
        <f>C31</f>
        <v>CLIN 0001 - Basic Period (Year 1)</v>
      </c>
      <c r="D45" s="618"/>
      <c r="E45" s="619"/>
      <c r="F45" s="176"/>
      <c r="G45" s="617" t="str">
        <f>G31</f>
        <v>CLIN 0001 - Basic Period (Year 2)</v>
      </c>
      <c r="H45" s="618"/>
      <c r="I45" s="619"/>
      <c r="J45" s="176"/>
      <c r="K45" s="617" t="str">
        <f>K31</f>
        <v>CLIN 0001 - Basic Period (Year 3)</v>
      </c>
      <c r="L45" s="618"/>
      <c r="M45" s="619"/>
      <c r="N45" s="176"/>
      <c r="O45" s="617" t="str">
        <f>O31</f>
        <v>CLIN 0001 - Basic Period (Year 4)</v>
      </c>
      <c r="P45" s="618"/>
      <c r="Q45" s="619"/>
    </row>
    <row r="46" spans="1:17" x14ac:dyDescent="0.25">
      <c r="B46" s="248"/>
      <c r="C46" s="153" t="str">
        <f>C32</f>
        <v>Base Cost</v>
      </c>
      <c r="D46" s="154" t="s">
        <v>396</v>
      </c>
      <c r="E46" s="155" t="s">
        <v>397</v>
      </c>
      <c r="F46" s="166"/>
      <c r="G46" s="153" t="str">
        <f>G32</f>
        <v>Base Cost</v>
      </c>
      <c r="H46" s="154" t="s">
        <v>396</v>
      </c>
      <c r="I46" s="155" t="s">
        <v>397</v>
      </c>
      <c r="J46" s="166"/>
      <c r="K46" s="153" t="str">
        <f>K32</f>
        <v>Base Cost</v>
      </c>
      <c r="L46" s="154" t="s">
        <v>396</v>
      </c>
      <c r="M46" s="155" t="s">
        <v>397</v>
      </c>
      <c r="N46" s="166"/>
      <c r="O46" s="153" t="str">
        <f>O32</f>
        <v>Base Cost</v>
      </c>
      <c r="P46" s="154" t="s">
        <v>396</v>
      </c>
      <c r="Q46" s="155" t="s">
        <v>397</v>
      </c>
    </row>
    <row r="47" spans="1:17" ht="26.25" thickBot="1" x14ac:dyDescent="0.25">
      <c r="B47" s="300" t="s">
        <v>560</v>
      </c>
      <c r="C47" s="285"/>
      <c r="D47" s="285"/>
      <c r="E47" s="463">
        <f>'PRIME CPIF TOTAL SUB'!E13</f>
        <v>0</v>
      </c>
      <c r="F47" s="288"/>
      <c r="G47" s="231"/>
      <c r="H47" s="285"/>
      <c r="I47" s="345">
        <f>'PRIME CPIF TOTAL SUB'!G13</f>
        <v>0</v>
      </c>
      <c r="J47" s="288"/>
      <c r="K47" s="231"/>
      <c r="L47" s="285"/>
      <c r="M47" s="345">
        <f>'PRIME CPIF TOTAL SUB'!I13</f>
        <v>0</v>
      </c>
      <c r="N47" s="165"/>
      <c r="O47" s="231"/>
      <c r="P47" s="285"/>
      <c r="Q47" s="345">
        <f>'PRIME CPIF TOTAL SUB'!K13</f>
        <v>0</v>
      </c>
    </row>
    <row r="48" spans="1:17" ht="77.25" thickBot="1" x14ac:dyDescent="0.25">
      <c r="B48" s="344" t="s">
        <v>613</v>
      </c>
      <c r="C48" s="630" t="s">
        <v>5</v>
      </c>
      <c r="D48" s="631"/>
      <c r="E48" s="632"/>
      <c r="F48" s="178"/>
      <c r="G48" s="627"/>
      <c r="H48" s="625"/>
      <c r="I48" s="626"/>
      <c r="J48" s="178"/>
      <c r="K48" s="627"/>
      <c r="L48" s="625"/>
      <c r="M48" s="626"/>
      <c r="N48" s="178"/>
      <c r="O48" s="627"/>
      <c r="P48" s="625"/>
      <c r="Q48" s="626"/>
    </row>
    <row r="49" spans="1:17" x14ac:dyDescent="0.2">
      <c r="B49" s="287" t="str">
        <f>'PRIME CPIF RATES (ALL)'!B44</f>
        <v>Indirect Category: [Overhead]</v>
      </c>
      <c r="C49" s="303">
        <f>E47</f>
        <v>0</v>
      </c>
      <c r="D49" s="464">
        <f>'PRIME CPIF RATES (ALL)'!C44</f>
        <v>0</v>
      </c>
      <c r="E49" s="168">
        <f>ROUND(C49*D49,2)</f>
        <v>0</v>
      </c>
      <c r="F49" s="178"/>
      <c r="G49" s="215">
        <f>I47</f>
        <v>0</v>
      </c>
      <c r="H49" s="243">
        <f>'PRIME CPIF RATES (ALL)'!D44</f>
        <v>0</v>
      </c>
      <c r="I49" s="168">
        <f>ROUND(G49*H49,2)</f>
        <v>0</v>
      </c>
      <c r="J49" s="178"/>
      <c r="K49" s="215">
        <f>M47</f>
        <v>0</v>
      </c>
      <c r="L49" s="243">
        <f>'PRIME CPIF RATES (ALL)'!E44</f>
        <v>0</v>
      </c>
      <c r="M49" s="168">
        <f>ROUND(K49*L49,2)</f>
        <v>0</v>
      </c>
      <c r="N49" s="178"/>
      <c r="O49" s="215">
        <f>Q47</f>
        <v>0</v>
      </c>
      <c r="P49" s="243">
        <f>'PRIME CPIF RATES (ALL)'!F44</f>
        <v>0</v>
      </c>
      <c r="Q49" s="168">
        <f>ROUND(O49*P49,2)</f>
        <v>0</v>
      </c>
    </row>
    <row r="50" spans="1:17" x14ac:dyDescent="0.2">
      <c r="B50" s="287" t="str">
        <f>'PRIME CPIF RATES (ALL)'!B45</f>
        <v>Indirect Category: [G&amp;A]</v>
      </c>
      <c r="C50" s="215">
        <f>C49+E49</f>
        <v>0</v>
      </c>
      <c r="D50" s="243">
        <f>'PRIME CPIF RATES (ALL)'!C45</f>
        <v>0</v>
      </c>
      <c r="E50" s="168">
        <f>ROUND(C50*D50,2)</f>
        <v>0</v>
      </c>
      <c r="F50" s="288"/>
      <c r="G50" s="215">
        <f>G49+I49</f>
        <v>0</v>
      </c>
      <c r="H50" s="243">
        <f>'PRIME CPIF RATES (ALL)'!D45</f>
        <v>0</v>
      </c>
      <c r="I50" s="168">
        <f>ROUND(G50*H50,2)</f>
        <v>0</v>
      </c>
      <c r="J50" s="288"/>
      <c r="K50" s="215">
        <f>K49+M49</f>
        <v>0</v>
      </c>
      <c r="L50" s="243">
        <f>'PRIME CPIF RATES (ALL)'!E45</f>
        <v>0</v>
      </c>
      <c r="M50" s="168">
        <f>ROUND(K50*L50,2)</f>
        <v>0</v>
      </c>
      <c r="N50" s="165"/>
      <c r="O50" s="215">
        <f>O49+Q49</f>
        <v>0</v>
      </c>
      <c r="P50" s="243">
        <f>'PRIME CPIF RATES (ALL)'!F45</f>
        <v>0</v>
      </c>
      <c r="Q50" s="168">
        <f>ROUND(O50*P50,2)</f>
        <v>0</v>
      </c>
    </row>
    <row r="51" spans="1:17" x14ac:dyDescent="0.2">
      <c r="B51" s="351" t="str">
        <f>'PRIME CPIF RATES (ALL)'!B46</f>
        <v>Indirect Category: [FCCOM]</v>
      </c>
      <c r="C51" s="215">
        <f>C50+E50</f>
        <v>0</v>
      </c>
      <c r="D51" s="243">
        <f>'PRIME CPIF RATES (ALL)'!C46</f>
        <v>0</v>
      </c>
      <c r="E51" s="353">
        <f>ROUND(C51*D51,2)</f>
        <v>0</v>
      </c>
      <c r="F51" s="288"/>
      <c r="G51" s="214">
        <f>G50+I50</f>
        <v>0</v>
      </c>
      <c r="H51" s="243">
        <f>'PRIME CPIF RATES (ALL)'!D46</f>
        <v>0</v>
      </c>
      <c r="I51" s="353">
        <f>ROUND(G51*H51,2)</f>
        <v>0</v>
      </c>
      <c r="J51" s="288"/>
      <c r="K51" s="214">
        <f>K50+M50</f>
        <v>0</v>
      </c>
      <c r="L51" s="243">
        <f>'PRIME CPIF RATES (ALL)'!E46</f>
        <v>0</v>
      </c>
      <c r="M51" s="353">
        <f>ROUND(K51*L51,2)</f>
        <v>0</v>
      </c>
      <c r="N51" s="165"/>
      <c r="O51" s="214">
        <f>O50+Q50</f>
        <v>0</v>
      </c>
      <c r="P51" s="243">
        <f>'PRIME CPIF RATES (ALL)'!F46</f>
        <v>0</v>
      </c>
      <c r="Q51" s="353">
        <f>ROUND(O51*P51,2)</f>
        <v>0</v>
      </c>
    </row>
    <row r="52" spans="1:17" x14ac:dyDescent="0.2">
      <c r="B52" s="167" t="str">
        <f>'PRIME CPIF RATES (ALL)'!B47</f>
        <v>Indirect Category: [Target Fee]</v>
      </c>
      <c r="C52" s="215">
        <f>C50+E50</f>
        <v>0</v>
      </c>
      <c r="D52" s="354">
        <f>'PRIME CPIF RATES (ALL)'!C47</f>
        <v>0</v>
      </c>
      <c r="E52" s="353">
        <f>ROUND(C52*D52,2)</f>
        <v>0</v>
      </c>
      <c r="F52" s="288"/>
      <c r="G52" s="214">
        <f>G50+I50</f>
        <v>0</v>
      </c>
      <c r="H52" s="354">
        <f>'PRIME CPIF RATES (ALL)'!D47</f>
        <v>0</v>
      </c>
      <c r="I52" s="353">
        <f>ROUND(G52*H52,2)</f>
        <v>0</v>
      </c>
      <c r="J52" s="288"/>
      <c r="K52" s="214">
        <f>K50+M50</f>
        <v>0</v>
      </c>
      <c r="L52" s="354">
        <f>'PRIME CPIF RATES (ALL)'!E47</f>
        <v>0</v>
      </c>
      <c r="M52" s="353">
        <f>ROUND(K52*L52,2)</f>
        <v>0</v>
      </c>
      <c r="N52" s="165"/>
      <c r="O52" s="214">
        <f>O50+Q50</f>
        <v>0</v>
      </c>
      <c r="P52" s="354">
        <f>'PRIME CPIF RATES (ALL)'!F47</f>
        <v>0</v>
      </c>
      <c r="Q52" s="353">
        <f>ROUND(O52*P52,2)</f>
        <v>0</v>
      </c>
    </row>
    <row r="53" spans="1:17" x14ac:dyDescent="0.2">
      <c r="B53" s="241" t="s">
        <v>320</v>
      </c>
      <c r="C53" s="233"/>
      <c r="D53" s="234"/>
      <c r="E53" s="168">
        <f>ROUND(E47+E49+E50,2)</f>
        <v>0</v>
      </c>
      <c r="F53" s="288"/>
      <c r="G53" s="233"/>
      <c r="H53" s="234"/>
      <c r="I53" s="168">
        <f>ROUND(I47+I49+I50,2)</f>
        <v>0</v>
      </c>
      <c r="J53" s="288"/>
      <c r="K53" s="233"/>
      <c r="L53" s="234"/>
      <c r="M53" s="168">
        <f>ROUND(M47+M49+M50,2)</f>
        <v>0</v>
      </c>
      <c r="N53" s="165"/>
      <c r="O53" s="233"/>
      <c r="P53" s="234"/>
      <c r="Q53" s="168">
        <f>ROUND(Q47+Q49+Q50,2)</f>
        <v>0</v>
      </c>
    </row>
    <row r="54" spans="1:17" x14ac:dyDescent="0.2">
      <c r="B54" s="241" t="s">
        <v>298</v>
      </c>
      <c r="C54" s="231"/>
      <c r="D54" s="235"/>
      <c r="E54" s="168">
        <f>ROUND(E51,2)</f>
        <v>0</v>
      </c>
      <c r="F54" s="288"/>
      <c r="G54" s="231"/>
      <c r="H54" s="235"/>
      <c r="I54" s="168">
        <f>ROUND(I51,2)</f>
        <v>0</v>
      </c>
      <c r="J54" s="288"/>
      <c r="K54" s="231"/>
      <c r="L54" s="235"/>
      <c r="M54" s="168">
        <f>ROUND(M51,2)</f>
        <v>0</v>
      </c>
      <c r="N54" s="165"/>
      <c r="O54" s="231"/>
      <c r="P54" s="235"/>
      <c r="Q54" s="168">
        <f>ROUND(Q51,2)</f>
        <v>0</v>
      </c>
    </row>
    <row r="55" spans="1:17" x14ac:dyDescent="0.2">
      <c r="B55" s="241" t="s">
        <v>136</v>
      </c>
      <c r="C55" s="231"/>
      <c r="D55" s="235"/>
      <c r="E55" s="182">
        <f>ROUND(E52,2)</f>
        <v>0</v>
      </c>
      <c r="F55" s="183"/>
      <c r="G55" s="231"/>
      <c r="H55" s="235"/>
      <c r="I55" s="182">
        <f>ROUND(I52,2)</f>
        <v>0</v>
      </c>
      <c r="J55" s="183"/>
      <c r="K55" s="231"/>
      <c r="L55" s="235"/>
      <c r="M55" s="182">
        <f>ROUND(M52,2)</f>
        <v>0</v>
      </c>
      <c r="N55" s="183"/>
      <c r="O55" s="231"/>
      <c r="P55" s="235"/>
      <c r="Q55" s="182">
        <f>ROUND(Q52,2)</f>
        <v>0</v>
      </c>
    </row>
    <row r="56" spans="1:17" ht="16.5" thickBot="1" x14ac:dyDescent="0.25">
      <c r="B56" s="242" t="s">
        <v>321</v>
      </c>
      <c r="C56" s="236"/>
      <c r="D56" s="237"/>
      <c r="E56" s="160">
        <f>ROUND(SUM(E53:E55),2)</f>
        <v>0</v>
      </c>
      <c r="F56" s="161"/>
      <c r="G56" s="236"/>
      <c r="H56" s="237"/>
      <c r="I56" s="160">
        <f>ROUND(SUM(I53:I55),2)</f>
        <v>0</v>
      </c>
      <c r="J56" s="161"/>
      <c r="K56" s="236"/>
      <c r="L56" s="237"/>
      <c r="M56" s="160">
        <f>ROUND(SUM(M53:M55),2)</f>
        <v>0</v>
      </c>
      <c r="N56" s="161"/>
      <c r="O56" s="236"/>
      <c r="P56" s="237"/>
      <c r="Q56" s="160">
        <f>ROUND(SUM(Q53:Q55),2)</f>
        <v>0</v>
      </c>
    </row>
    <row r="57" spans="1:17" ht="16.5" thickBot="1" x14ac:dyDescent="0.25">
      <c r="B57" s="172"/>
      <c r="F57" s="251"/>
      <c r="J57" s="251"/>
      <c r="N57" s="187"/>
    </row>
    <row r="58" spans="1:17" ht="16.5" customHeight="1" thickBot="1" x14ac:dyDescent="0.3">
      <c r="A58" s="193"/>
      <c r="B58" s="620" t="str">
        <f>B30</f>
        <v>CLIN 0001 (CPIF)                                                    TASK 1.03 SYSTEM TEST AND EVALUATION</v>
      </c>
      <c r="C58" s="594" t="s">
        <v>146</v>
      </c>
      <c r="D58" s="595"/>
      <c r="E58" s="596"/>
      <c r="F58" s="175"/>
      <c r="G58" s="594" t="s">
        <v>147</v>
      </c>
      <c r="H58" s="595"/>
      <c r="I58" s="596"/>
      <c r="J58" s="175"/>
      <c r="K58" s="594" t="s">
        <v>147</v>
      </c>
      <c r="L58" s="595"/>
      <c r="M58" s="596"/>
      <c r="N58" s="175"/>
      <c r="O58" s="594" t="s">
        <v>147</v>
      </c>
      <c r="P58" s="595"/>
      <c r="Q58" s="596"/>
    </row>
    <row r="59" spans="1:17" ht="16.5" thickBot="1" x14ac:dyDescent="0.3">
      <c r="A59" s="193"/>
      <c r="B59" s="621"/>
      <c r="C59" s="617" t="str">
        <f>C31</f>
        <v>CLIN 0001 - Basic Period (Year 1)</v>
      </c>
      <c r="D59" s="618"/>
      <c r="E59" s="619"/>
      <c r="F59" s="176"/>
      <c r="G59" s="617" t="str">
        <f>G31</f>
        <v>CLIN 0001 - Basic Period (Year 2)</v>
      </c>
      <c r="H59" s="618"/>
      <c r="I59" s="619"/>
      <c r="J59" s="176"/>
      <c r="K59" s="617" t="str">
        <f>K31</f>
        <v>CLIN 0001 - Basic Period (Year 3)</v>
      </c>
      <c r="L59" s="618"/>
      <c r="M59" s="619"/>
      <c r="N59" s="176"/>
      <c r="O59" s="617" t="str">
        <f>O31</f>
        <v>CLIN 0001 - Basic Period (Year 4)</v>
      </c>
      <c r="P59" s="618"/>
      <c r="Q59" s="619"/>
    </row>
    <row r="60" spans="1:17" x14ac:dyDescent="0.25">
      <c r="A60" s="193"/>
      <c r="B60" s="248"/>
      <c r="C60" s="153" t="str">
        <f>C46</f>
        <v>Base Cost</v>
      </c>
      <c r="D60" s="302" t="s">
        <v>396</v>
      </c>
      <c r="E60" s="155" t="s">
        <v>153</v>
      </c>
      <c r="F60" s="166"/>
      <c r="G60" s="301" t="str">
        <f>G46</f>
        <v>Base Cost</v>
      </c>
      <c r="H60" s="302" t="s">
        <v>396</v>
      </c>
      <c r="I60" s="155" t="s">
        <v>153</v>
      </c>
      <c r="J60" s="166"/>
      <c r="K60" s="301" t="str">
        <f>K46</f>
        <v>Base Cost</v>
      </c>
      <c r="L60" s="302" t="s">
        <v>396</v>
      </c>
      <c r="M60" s="155" t="s">
        <v>153</v>
      </c>
      <c r="N60" s="166"/>
      <c r="O60" s="301" t="str">
        <f>O46</f>
        <v>Base Cost</v>
      </c>
      <c r="P60" s="302" t="s">
        <v>396</v>
      </c>
      <c r="Q60" s="155" t="s">
        <v>153</v>
      </c>
    </row>
    <row r="61" spans="1:17" ht="26.25" x14ac:dyDescent="0.25">
      <c r="A61" s="193"/>
      <c r="B61" s="300" t="s">
        <v>561</v>
      </c>
      <c r="C61" s="285"/>
      <c r="D61" s="285"/>
      <c r="E61" s="401">
        <f>'PRIME CPIF TOTAL ODC'!E13</f>
        <v>0</v>
      </c>
      <c r="F61" s="165"/>
      <c r="G61" s="285"/>
      <c r="H61" s="285"/>
      <c r="I61" s="401">
        <f>'PRIME CPIF TOTAL ODC'!G13</f>
        <v>0</v>
      </c>
      <c r="J61" s="165"/>
      <c r="K61" s="285"/>
      <c r="L61" s="285"/>
      <c r="M61" s="400">
        <f>'PRIME CPIF TOTAL ODC'!I13</f>
        <v>0</v>
      </c>
      <c r="N61" s="165"/>
      <c r="O61" s="285"/>
      <c r="P61" s="285"/>
      <c r="Q61" s="400">
        <f>'PRIME CPIF TOTAL ODC'!K13</f>
        <v>0</v>
      </c>
    </row>
    <row r="62" spans="1:17" ht="66" customHeight="1" x14ac:dyDescent="0.25">
      <c r="A62" s="193" t="s">
        <v>5</v>
      </c>
      <c r="B62" s="490" t="s">
        <v>614</v>
      </c>
      <c r="C62" s="404"/>
      <c r="D62" s="404"/>
      <c r="E62" s="403"/>
      <c r="F62" s="288"/>
      <c r="G62" s="405"/>
      <c r="H62" s="404"/>
      <c r="I62" s="403"/>
      <c r="J62" s="288"/>
      <c r="K62" s="405"/>
      <c r="L62" s="404"/>
      <c r="M62" s="400"/>
      <c r="N62" s="165"/>
      <c r="O62" s="405"/>
      <c r="P62" s="404"/>
      <c r="Q62" s="400"/>
    </row>
    <row r="63" spans="1:17" x14ac:dyDescent="0.25">
      <c r="A63" s="193"/>
      <c r="B63" s="167" t="s">
        <v>125</v>
      </c>
      <c r="C63" s="215">
        <f>+E61</f>
        <v>0</v>
      </c>
      <c r="D63" s="243">
        <f>'PRIME CPIF RATES (ALL)'!C60</f>
        <v>0</v>
      </c>
      <c r="E63" s="168">
        <f>ROUND(C63*D63,2)</f>
        <v>0</v>
      </c>
      <c r="F63" s="178"/>
      <c r="G63" s="286">
        <f>+I61</f>
        <v>0</v>
      </c>
      <c r="H63" s="243">
        <f>'PRIME CPIF RATES (ALL)'!D60</f>
        <v>0</v>
      </c>
      <c r="I63" s="168">
        <f>ROUND(G63*H63,2)</f>
        <v>0</v>
      </c>
      <c r="J63" s="178"/>
      <c r="K63" s="286">
        <f>+M61</f>
        <v>0</v>
      </c>
      <c r="L63" s="243">
        <f>'PRIME CPIF RATES (ALL)'!E60</f>
        <v>0</v>
      </c>
      <c r="M63" s="168">
        <f>ROUND(K63*L63,2)</f>
        <v>0</v>
      </c>
      <c r="N63" s="178"/>
      <c r="O63" s="286">
        <f>+Q61</f>
        <v>0</v>
      </c>
      <c r="P63" s="243">
        <f>'PRIME CPIF RATES (ALL)'!F60</f>
        <v>0</v>
      </c>
      <c r="Q63" s="168">
        <f>ROUND(O63*P63,2)</f>
        <v>0</v>
      </c>
    </row>
    <row r="64" spans="1:17" x14ac:dyDescent="0.25">
      <c r="A64" s="193"/>
      <c r="B64" s="167" t="s">
        <v>126</v>
      </c>
      <c r="C64" s="215">
        <f>+C63+E63</f>
        <v>0</v>
      </c>
      <c r="D64" s="243">
        <f>'PRIME CPIF RATES (ALL)'!C61</f>
        <v>0</v>
      </c>
      <c r="E64" s="168">
        <f>ROUND(C64*D64,2)</f>
        <v>0</v>
      </c>
      <c r="F64" s="178"/>
      <c r="G64" s="215">
        <f>+G63+I63</f>
        <v>0</v>
      </c>
      <c r="H64" s="243">
        <f>'PRIME CPIF RATES (ALL)'!D61</f>
        <v>0</v>
      </c>
      <c r="I64" s="168">
        <f>ROUND(G64*H64,2)</f>
        <v>0</v>
      </c>
      <c r="J64" s="178"/>
      <c r="K64" s="215">
        <f>+K63+M63</f>
        <v>0</v>
      </c>
      <c r="L64" s="243">
        <f>'PRIME CPIF RATES (ALL)'!E61</f>
        <v>0</v>
      </c>
      <c r="M64" s="168">
        <f>ROUND(K64*L64,2)</f>
        <v>0</v>
      </c>
      <c r="N64" s="178"/>
      <c r="O64" s="215">
        <f>+O63+Q63</f>
        <v>0</v>
      </c>
      <c r="P64" s="243">
        <f>'PRIME CPIF RATES (ALL)'!F61</f>
        <v>0</v>
      </c>
      <c r="Q64" s="168">
        <f>ROUND(O64*P64,2)</f>
        <v>0</v>
      </c>
    </row>
    <row r="65" spans="1:17" x14ac:dyDescent="0.25">
      <c r="A65" s="193"/>
      <c r="B65" s="167" t="s">
        <v>566</v>
      </c>
      <c r="C65" s="215">
        <f>C64+E64</f>
        <v>0</v>
      </c>
      <c r="D65" s="243">
        <f>'PRIME CPIF RATES (ALL)'!C62</f>
        <v>0</v>
      </c>
      <c r="E65" s="168">
        <f>ROUND(C65*D65,2)</f>
        <v>0</v>
      </c>
      <c r="F65" s="165"/>
      <c r="G65" s="215">
        <f>G64+I64</f>
        <v>0</v>
      </c>
      <c r="H65" s="243">
        <f>'PRIME CPIF RATES (ALL)'!D62</f>
        <v>0</v>
      </c>
      <c r="I65" s="168">
        <f>ROUND(G65*H65,2)</f>
        <v>0</v>
      </c>
      <c r="J65" s="165"/>
      <c r="K65" s="215">
        <f>K64+M64</f>
        <v>0</v>
      </c>
      <c r="L65" s="243">
        <f>'PRIME CPIF RATES (ALL)'!E62</f>
        <v>0</v>
      </c>
      <c r="M65" s="168">
        <f>ROUND(K65*L65,2)</f>
        <v>0</v>
      </c>
      <c r="N65" s="165"/>
      <c r="O65" s="215">
        <f>O64+Q64</f>
        <v>0</v>
      </c>
      <c r="P65" s="243">
        <f>'PRIME CPIF RATES (ALL)'!F62</f>
        <v>0</v>
      </c>
      <c r="Q65" s="168">
        <f>ROUND(O65*P65,2)</f>
        <v>0</v>
      </c>
    </row>
    <row r="66" spans="1:17" x14ac:dyDescent="0.25">
      <c r="A66" s="193"/>
      <c r="B66" s="167" t="s">
        <v>127</v>
      </c>
      <c r="C66" s="215">
        <f>+C64+E64</f>
        <v>0</v>
      </c>
      <c r="D66" s="354">
        <f>'PRIME CPIF RATES (ALL)'!C63</f>
        <v>0</v>
      </c>
      <c r="E66" s="168">
        <f>ROUND(C66*D66,2)</f>
        <v>0</v>
      </c>
      <c r="F66" s="165"/>
      <c r="G66" s="215">
        <f>+G64+I64</f>
        <v>0</v>
      </c>
      <c r="H66" s="354">
        <f>'PRIME CPIF RATES (ALL)'!D63</f>
        <v>0</v>
      </c>
      <c r="I66" s="168">
        <f>ROUND(G66*H66,2)</f>
        <v>0</v>
      </c>
      <c r="J66" s="165"/>
      <c r="K66" s="215">
        <f>+K64+M64</f>
        <v>0</v>
      </c>
      <c r="L66" s="354">
        <f>'PRIME CPIF RATES (ALL)'!E63</f>
        <v>0</v>
      </c>
      <c r="M66" s="168">
        <f>ROUND(K66*L66,2)</f>
        <v>0</v>
      </c>
      <c r="N66" s="165"/>
      <c r="O66" s="215">
        <f>+O64+Q64</f>
        <v>0</v>
      </c>
      <c r="P66" s="354">
        <f>'PRIME CPIF RATES (ALL)'!F63</f>
        <v>0</v>
      </c>
      <c r="Q66" s="168">
        <f>ROUND(O66*P66,2)</f>
        <v>0</v>
      </c>
    </row>
    <row r="67" spans="1:17" x14ac:dyDescent="0.25">
      <c r="A67" s="193"/>
      <c r="B67" s="241" t="s">
        <v>260</v>
      </c>
      <c r="C67" s="233"/>
      <c r="D67" s="234"/>
      <c r="E67" s="168">
        <f>ROUND(SUM(E61:E64),2)</f>
        <v>0</v>
      </c>
      <c r="F67" s="165"/>
      <c r="G67" s="233"/>
      <c r="H67" s="234"/>
      <c r="I67" s="168">
        <f>ROUND(SUM(I61:I64),2)</f>
        <v>0</v>
      </c>
      <c r="J67" s="165"/>
      <c r="K67" s="233"/>
      <c r="L67" s="234"/>
      <c r="M67" s="168">
        <f>ROUND(SUM(M61:M64),2)</f>
        <v>0</v>
      </c>
      <c r="N67" s="165"/>
      <c r="O67" s="233"/>
      <c r="P67" s="234"/>
      <c r="Q67" s="168">
        <f>ROUND(SUM(Q61:Q64),2)</f>
        <v>0</v>
      </c>
    </row>
    <row r="68" spans="1:17" x14ac:dyDescent="0.25">
      <c r="A68" s="193"/>
      <c r="B68" s="241" t="s">
        <v>137</v>
      </c>
      <c r="C68" s="231"/>
      <c r="D68" s="235"/>
      <c r="E68" s="168">
        <f>ROUND(E65,2)</f>
        <v>0</v>
      </c>
      <c r="F68" s="165"/>
      <c r="G68" s="231"/>
      <c r="H68" s="235"/>
      <c r="I68" s="168">
        <f>ROUND(I65,2)</f>
        <v>0</v>
      </c>
      <c r="J68" s="165"/>
      <c r="K68" s="231"/>
      <c r="L68" s="235"/>
      <c r="M68" s="168">
        <f>ROUND(M65,2)</f>
        <v>0</v>
      </c>
      <c r="N68" s="165"/>
      <c r="O68" s="231"/>
      <c r="P68" s="235"/>
      <c r="Q68" s="168">
        <f>ROUND(Q65,2)</f>
        <v>0</v>
      </c>
    </row>
    <row r="69" spans="1:17" x14ac:dyDescent="0.2">
      <c r="A69" s="186"/>
      <c r="B69" s="241" t="s">
        <v>136</v>
      </c>
      <c r="C69" s="231"/>
      <c r="D69" s="235"/>
      <c r="E69" s="182">
        <f>ROUND(E66,2)</f>
        <v>0</v>
      </c>
      <c r="F69" s="183"/>
      <c r="G69" s="231"/>
      <c r="H69" s="235"/>
      <c r="I69" s="182">
        <f>ROUND(I66,2)</f>
        <v>0</v>
      </c>
      <c r="J69" s="183"/>
      <c r="K69" s="231"/>
      <c r="L69" s="235"/>
      <c r="M69" s="182">
        <f>ROUND(M66,2)</f>
        <v>0</v>
      </c>
      <c r="N69" s="183"/>
      <c r="O69" s="231"/>
      <c r="P69" s="235"/>
      <c r="Q69" s="182">
        <f>ROUND(Q66,2)</f>
        <v>0</v>
      </c>
    </row>
    <row r="70" spans="1:17" ht="16.5" thickBot="1" x14ac:dyDescent="0.25">
      <c r="A70" s="186"/>
      <c r="B70" s="242" t="s">
        <v>244</v>
      </c>
      <c r="C70" s="236"/>
      <c r="D70" s="237"/>
      <c r="E70" s="160">
        <f>ROUND(SUM(E67:E69),2)</f>
        <v>0</v>
      </c>
      <c r="F70" s="161"/>
      <c r="G70" s="236"/>
      <c r="H70" s="237"/>
      <c r="I70" s="160">
        <f>ROUND(SUM(I67:I69),2)</f>
        <v>0</v>
      </c>
      <c r="J70" s="161"/>
      <c r="K70" s="236"/>
      <c r="L70" s="237"/>
      <c r="M70" s="160">
        <f>ROUND(SUM(M67:M69),2)</f>
        <v>0</v>
      </c>
      <c r="N70" s="161"/>
      <c r="O70" s="236"/>
      <c r="P70" s="237"/>
      <c r="Q70" s="160">
        <f>ROUND(SUM(Q67:Q69),2)</f>
        <v>0</v>
      </c>
    </row>
    <row r="71" spans="1:17" ht="16.5" thickBot="1" x14ac:dyDescent="0.25">
      <c r="A71" s="186"/>
      <c r="B71" s="172"/>
      <c r="F71" s="251"/>
      <c r="G71" s="251"/>
      <c r="J71" s="251"/>
      <c r="N71" s="187"/>
    </row>
    <row r="72" spans="1:17" ht="16.5" thickBot="1" x14ac:dyDescent="0.3">
      <c r="A72" s="186"/>
      <c r="B72" s="628" t="str">
        <f>B58</f>
        <v>CLIN 0001 (CPIF)                                                    TASK 1.03 SYSTEM TEST AND EVALUATION</v>
      </c>
      <c r="C72" s="614" t="s">
        <v>319</v>
      </c>
      <c r="D72" s="615"/>
      <c r="E72" s="616"/>
      <c r="F72" s="175"/>
      <c r="G72" s="614" t="s">
        <v>319</v>
      </c>
      <c r="H72" s="615"/>
      <c r="I72" s="616"/>
      <c r="J72" s="175"/>
      <c r="K72" s="614" t="s">
        <v>319</v>
      </c>
      <c r="L72" s="615"/>
      <c r="M72" s="616"/>
      <c r="N72" s="175"/>
      <c r="O72" s="614" t="s">
        <v>319</v>
      </c>
      <c r="P72" s="615"/>
      <c r="Q72" s="616"/>
    </row>
    <row r="73" spans="1:17" ht="16.5" thickBot="1" x14ac:dyDescent="0.3">
      <c r="A73" s="186"/>
      <c r="B73" s="629"/>
      <c r="C73" s="280"/>
      <c r="D73" s="281"/>
      <c r="E73" s="188" t="s">
        <v>294</v>
      </c>
      <c r="F73" s="189"/>
      <c r="G73" s="280"/>
      <c r="H73" s="281"/>
      <c r="I73" s="188" t="s">
        <v>295</v>
      </c>
      <c r="J73" s="189"/>
      <c r="K73" s="280"/>
      <c r="L73" s="281"/>
      <c r="M73" s="188" t="s">
        <v>297</v>
      </c>
      <c r="N73" s="189"/>
      <c r="O73" s="280"/>
      <c r="P73" s="281"/>
      <c r="Q73" s="188" t="s">
        <v>296</v>
      </c>
    </row>
    <row r="74" spans="1:17" x14ac:dyDescent="0.2">
      <c r="A74" s="186"/>
      <c r="B74" s="167" t="s">
        <v>261</v>
      </c>
      <c r="C74" s="282"/>
      <c r="D74" s="282"/>
      <c r="E74" s="190">
        <f>+ROUND(E25+E39+E53+E67,2)</f>
        <v>0</v>
      </c>
      <c r="F74" s="165"/>
      <c r="G74" s="282"/>
      <c r="H74" s="282"/>
      <c r="I74" s="190">
        <f>+ROUND(I25+I39+I53+I67,2)</f>
        <v>0</v>
      </c>
      <c r="J74" s="165"/>
      <c r="K74" s="282"/>
      <c r="L74" s="282"/>
      <c r="M74" s="190">
        <f>+ROUND(M25+M39+M53+M67,2)</f>
        <v>0</v>
      </c>
      <c r="N74" s="165"/>
      <c r="O74" s="282"/>
      <c r="P74" s="282"/>
      <c r="Q74" s="190">
        <f>+ROUND(Q25+Q39+Q53+Q67,2)</f>
        <v>0</v>
      </c>
    </row>
    <row r="75" spans="1:17" x14ac:dyDescent="0.2">
      <c r="A75" s="186"/>
      <c r="B75" s="167" t="s">
        <v>137</v>
      </c>
      <c r="C75" s="282"/>
      <c r="D75" s="282"/>
      <c r="E75" s="168">
        <f>+ROUND(E26+E40+E54+E68,2)</f>
        <v>0</v>
      </c>
      <c r="F75" s="165"/>
      <c r="G75" s="282"/>
      <c r="H75" s="282"/>
      <c r="I75" s="168">
        <f>+ROUND(I26+I40+I54+I68,2)</f>
        <v>0</v>
      </c>
      <c r="J75" s="165"/>
      <c r="K75" s="282"/>
      <c r="L75" s="282"/>
      <c r="M75" s="168">
        <f>+ROUND(M26+M40+M54+M68,2)</f>
        <v>0</v>
      </c>
      <c r="N75" s="165"/>
      <c r="O75" s="282"/>
      <c r="P75" s="282"/>
      <c r="Q75" s="168">
        <f>+ROUND(Q26+Q40+Q54+Q68,2)</f>
        <v>0</v>
      </c>
    </row>
    <row r="76" spans="1:17" x14ac:dyDescent="0.2">
      <c r="A76" s="186"/>
      <c r="B76" s="167" t="s">
        <v>136</v>
      </c>
      <c r="C76" s="282"/>
      <c r="D76" s="282"/>
      <c r="E76" s="169">
        <f>+ROUND(E27+E41+E55+E69,2)</f>
        <v>0</v>
      </c>
      <c r="F76" s="170"/>
      <c r="G76" s="282"/>
      <c r="H76" s="282"/>
      <c r="I76" s="169">
        <f>+ROUND(I27+I41+I55+I69,2)</f>
        <v>0</v>
      </c>
      <c r="J76" s="170"/>
      <c r="K76" s="282"/>
      <c r="L76" s="282"/>
      <c r="M76" s="169">
        <f>+ROUND(M27+M41+M55+M69,2)</f>
        <v>0</v>
      </c>
      <c r="N76" s="170"/>
      <c r="O76" s="282"/>
      <c r="P76" s="282"/>
      <c r="Q76" s="169">
        <f>+ROUND(Q27+Q41+Q55+Q69,2)</f>
        <v>0</v>
      </c>
    </row>
    <row r="77" spans="1:17" ht="32.25" thickBot="1" x14ac:dyDescent="0.3">
      <c r="A77" s="186"/>
      <c r="B77" s="267" t="s">
        <v>481</v>
      </c>
      <c r="C77" s="283"/>
      <c r="D77" s="283"/>
      <c r="E77" s="266">
        <f>SUM(E74:E76)</f>
        <v>0</v>
      </c>
      <c r="F77" s="171"/>
      <c r="G77" s="283"/>
      <c r="H77" s="283"/>
      <c r="I77" s="266">
        <f>SUM(I74:I76)</f>
        <v>0</v>
      </c>
      <c r="J77" s="171"/>
      <c r="K77" s="283"/>
      <c r="L77" s="283"/>
      <c r="M77" s="266">
        <f>SUM(M74:M76)</f>
        <v>0</v>
      </c>
      <c r="N77" s="171"/>
      <c r="O77" s="283"/>
      <c r="P77" s="283"/>
      <c r="Q77" s="266">
        <f>SUM(Q74:Q76)</f>
        <v>0</v>
      </c>
    </row>
    <row r="78" spans="1:17" ht="16.5" thickBot="1" x14ac:dyDescent="0.3"/>
    <row r="79" spans="1:17" ht="31.5" x14ac:dyDescent="0.25">
      <c r="Q79" s="411" t="s">
        <v>482</v>
      </c>
    </row>
    <row r="80" spans="1:17" ht="16.5" thickBot="1" x14ac:dyDescent="0.3">
      <c r="Q80" s="410">
        <f>E77+I77+M77+Q77</f>
        <v>0</v>
      </c>
    </row>
  </sheetData>
  <mergeCells count="46">
    <mergeCell ref="C48:E48"/>
    <mergeCell ref="G48:I48"/>
    <mergeCell ref="K48:M48"/>
    <mergeCell ref="O48:Q48"/>
    <mergeCell ref="B44:B45"/>
    <mergeCell ref="C44:E44"/>
    <mergeCell ref="G44:I44"/>
    <mergeCell ref="K44:M44"/>
    <mergeCell ref="O44:Q44"/>
    <mergeCell ref="C45:E45"/>
    <mergeCell ref="G45:I45"/>
    <mergeCell ref="K45:M45"/>
    <mergeCell ref="O45:Q45"/>
    <mergeCell ref="A3:C3"/>
    <mergeCell ref="B13:B14"/>
    <mergeCell ref="C13:E13"/>
    <mergeCell ref="G13:I13"/>
    <mergeCell ref="K13:M13"/>
    <mergeCell ref="C14:E14"/>
    <mergeCell ref="G14:I14"/>
    <mergeCell ref="K14:M14"/>
    <mergeCell ref="B30:B31"/>
    <mergeCell ref="C30:E30"/>
    <mergeCell ref="G30:I30"/>
    <mergeCell ref="K30:M30"/>
    <mergeCell ref="C31:E31"/>
    <mergeCell ref="G31:I31"/>
    <mergeCell ref="K31:M31"/>
    <mergeCell ref="C59:E59"/>
    <mergeCell ref="G59:I59"/>
    <mergeCell ref="K59:M59"/>
    <mergeCell ref="B72:B73"/>
    <mergeCell ref="C72:E72"/>
    <mergeCell ref="G72:I72"/>
    <mergeCell ref="K72:M72"/>
    <mergeCell ref="B58:B59"/>
    <mergeCell ref="C58:E58"/>
    <mergeCell ref="G58:I58"/>
    <mergeCell ref="K58:M58"/>
    <mergeCell ref="O59:Q59"/>
    <mergeCell ref="O72:Q72"/>
    <mergeCell ref="O13:Q13"/>
    <mergeCell ref="O14:Q14"/>
    <mergeCell ref="O30:Q30"/>
    <mergeCell ref="O31:Q31"/>
    <mergeCell ref="O58:Q58"/>
  </mergeCells>
  <pageMargins left="0.7" right="0.7" top="0.75" bottom="0.75" header="0.3" footer="0.3"/>
  <pageSetup orientation="portrait" horizontalDpi="1200" verticalDpi="120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680B5B-13E5-4F75-A28A-FA0CCCBCC4B1}">
  <sheetPr>
    <tabColor theme="0"/>
  </sheetPr>
  <dimension ref="A1:Q80"/>
  <sheetViews>
    <sheetView zoomScale="80" zoomScaleNormal="80" workbookViewId="0">
      <pane ySplit="11" topLeftCell="A68" activePane="bottomLeft" state="frozen"/>
      <selection pane="bottomLeft" activeCell="P65" sqref="P65"/>
    </sheetView>
    <sheetView workbookViewId="1"/>
  </sheetViews>
  <sheetFormatPr defaultColWidth="15.85546875" defaultRowHeight="15.75" x14ac:dyDescent="0.25"/>
  <cols>
    <col min="1" max="1" width="3.42578125" style="191" customWidth="1"/>
    <col min="2" max="2" width="49.140625" style="174" customWidth="1"/>
    <col min="3" max="3" width="18.28515625" style="186" bestFit="1" customWidth="1"/>
    <col min="4" max="4" width="12.42578125" style="186" bestFit="1" customWidth="1"/>
    <col min="5" max="5" width="32.140625" style="186" bestFit="1" customWidth="1"/>
    <col min="6" max="6" width="1" style="186" customWidth="1"/>
    <col min="7" max="7" width="14.28515625" style="186" customWidth="1"/>
    <col min="8" max="8" width="14.5703125" style="186" customWidth="1"/>
    <col min="9" max="9" width="33.28515625" style="186" customWidth="1"/>
    <col min="10" max="10" width="1" style="186" customWidth="1"/>
    <col min="11" max="11" width="16.7109375" style="186" customWidth="1"/>
    <col min="12" max="12" width="16.28515625" style="186" customWidth="1"/>
    <col min="13" max="13" width="34" style="186" bestFit="1" customWidth="1"/>
    <col min="14" max="14" width="0.85546875" style="186" customWidth="1"/>
    <col min="15" max="15" width="12.85546875" style="186" bestFit="1" customWidth="1"/>
    <col min="16" max="16" width="12.42578125" style="186" bestFit="1" customWidth="1"/>
    <col min="17" max="17" width="34" style="186" bestFit="1" customWidth="1"/>
    <col min="18" max="16384" width="15.85546875" style="186"/>
  </cols>
  <sheetData>
    <row r="1" spans="1:17" ht="16.5" thickBot="1" x14ac:dyDescent="0.3">
      <c r="B1" s="126" t="s">
        <v>626</v>
      </c>
      <c r="C1" s="494" t="str">
        <f>'FFP CLINs X007-X021'!B1</f>
        <v>NAME</v>
      </c>
    </row>
    <row r="2" spans="1:17" ht="16.5" thickBot="1" x14ac:dyDescent="0.3"/>
    <row r="3" spans="1:17" ht="52.5" customHeight="1" thickBot="1" x14ac:dyDescent="0.3">
      <c r="A3" s="557" t="s">
        <v>303</v>
      </c>
      <c r="B3" s="558"/>
      <c r="C3" s="559"/>
      <c r="I3" s="251" t="s">
        <v>149</v>
      </c>
    </row>
    <row r="5" spans="1:17" s="259" customFormat="1" ht="17.25" customHeight="1" x14ac:dyDescent="0.2">
      <c r="A5" s="260"/>
      <c r="B5" s="261" t="s">
        <v>130</v>
      </c>
    </row>
    <row r="6" spans="1:17" s="259" customFormat="1" x14ac:dyDescent="0.25">
      <c r="A6" s="258"/>
      <c r="B6" s="258" t="s">
        <v>606</v>
      </c>
    </row>
    <row r="7" spans="1:17" s="259" customFormat="1" x14ac:dyDescent="0.25">
      <c r="A7" s="258"/>
      <c r="B7" s="258" t="s">
        <v>390</v>
      </c>
    </row>
    <row r="8" spans="1:17" s="259" customFormat="1" x14ac:dyDescent="0.25">
      <c r="A8" s="258"/>
      <c r="B8" s="258" t="s">
        <v>607</v>
      </c>
    </row>
    <row r="9" spans="1:17" s="259" customFormat="1" x14ac:dyDescent="0.25">
      <c r="A9" s="258"/>
      <c r="B9" s="258" t="s">
        <v>608</v>
      </c>
    </row>
    <row r="10" spans="1:17" x14ac:dyDescent="0.25">
      <c r="A10" s="192"/>
      <c r="B10" s="258" t="s">
        <v>609</v>
      </c>
      <c r="C10" s="194"/>
    </row>
    <row r="11" spans="1:17" x14ac:dyDescent="0.25">
      <c r="A11" s="192"/>
      <c r="B11" s="258" t="s">
        <v>483</v>
      </c>
      <c r="C11" s="194"/>
    </row>
    <row r="12" spans="1:17" ht="16.5" thickBot="1" x14ac:dyDescent="0.3"/>
    <row r="13" spans="1:17" ht="16.5" thickBot="1" x14ac:dyDescent="0.3">
      <c r="A13" s="193"/>
      <c r="B13" s="620" t="s">
        <v>484</v>
      </c>
      <c r="C13" s="594" t="s">
        <v>134</v>
      </c>
      <c r="D13" s="595"/>
      <c r="E13" s="596"/>
      <c r="F13" s="151"/>
      <c r="G13" s="594" t="s">
        <v>134</v>
      </c>
      <c r="H13" s="595"/>
      <c r="I13" s="596"/>
      <c r="J13" s="151"/>
      <c r="K13" s="594" t="s">
        <v>134</v>
      </c>
      <c r="L13" s="595"/>
      <c r="M13" s="596"/>
      <c r="N13" s="151"/>
      <c r="O13" s="594" t="s">
        <v>134</v>
      </c>
      <c r="P13" s="595"/>
      <c r="Q13" s="596"/>
    </row>
    <row r="14" spans="1:17" ht="32.25" customHeight="1" thickBot="1" x14ac:dyDescent="0.3">
      <c r="A14" s="193"/>
      <c r="B14" s="621"/>
      <c r="C14" s="617" t="s">
        <v>299</v>
      </c>
      <c r="D14" s="618"/>
      <c r="E14" s="619"/>
      <c r="F14" s="152"/>
      <c r="G14" s="617" t="s">
        <v>300</v>
      </c>
      <c r="H14" s="618"/>
      <c r="I14" s="619"/>
      <c r="J14" s="152"/>
      <c r="K14" s="617" t="s">
        <v>301</v>
      </c>
      <c r="L14" s="618"/>
      <c r="M14" s="619"/>
      <c r="N14" s="152"/>
      <c r="O14" s="617" t="s">
        <v>302</v>
      </c>
      <c r="P14" s="618"/>
      <c r="Q14" s="619"/>
    </row>
    <row r="15" spans="1:17" x14ac:dyDescent="0.25">
      <c r="A15" s="193"/>
      <c r="B15" s="153" t="s">
        <v>110</v>
      </c>
      <c r="C15" s="153" t="s">
        <v>91</v>
      </c>
      <c r="D15" s="154" t="s">
        <v>133</v>
      </c>
      <c r="E15" s="155" t="s">
        <v>139</v>
      </c>
      <c r="F15" s="156"/>
      <c r="G15" s="153" t="s">
        <v>91</v>
      </c>
      <c r="H15" s="154" t="s">
        <v>133</v>
      </c>
      <c r="I15" s="155" t="s">
        <v>139</v>
      </c>
      <c r="J15" s="156"/>
      <c r="K15" s="153" t="s">
        <v>91</v>
      </c>
      <c r="L15" s="154" t="s">
        <v>133</v>
      </c>
      <c r="M15" s="155" t="s">
        <v>139</v>
      </c>
      <c r="N15" s="156"/>
      <c r="O15" s="153" t="s">
        <v>91</v>
      </c>
      <c r="P15" s="154" t="s">
        <v>133</v>
      </c>
      <c r="Q15" s="155" t="s">
        <v>139</v>
      </c>
    </row>
    <row r="16" spans="1:17" ht="30" customHeight="1" thickBot="1" x14ac:dyDescent="0.3">
      <c r="A16" s="193"/>
      <c r="B16" s="203" t="s">
        <v>558</v>
      </c>
      <c r="C16" s="289"/>
      <c r="D16" s="290"/>
      <c r="E16" s="291"/>
      <c r="F16" s="156"/>
      <c r="G16" s="289"/>
      <c r="H16" s="290"/>
      <c r="I16" s="291"/>
      <c r="J16" s="156"/>
      <c r="K16" s="289"/>
      <c r="L16" s="290"/>
      <c r="M16" s="291"/>
      <c r="N16" s="156"/>
      <c r="O16" s="289"/>
      <c r="P16" s="290"/>
      <c r="Q16" s="291"/>
    </row>
    <row r="17" spans="1:17" ht="16.5" thickBot="1" x14ac:dyDescent="0.3">
      <c r="A17" s="193"/>
      <c r="B17" s="299" t="s">
        <v>151</v>
      </c>
      <c r="C17" s="163">
        <f>'PRIME CPIF LABOR INPUTS'!D91</f>
        <v>0</v>
      </c>
      <c r="D17" s="205"/>
      <c r="E17" s="164">
        <f>'PRIME CPIF LABOR INPUTS'!F91</f>
        <v>0</v>
      </c>
      <c r="F17" s="165"/>
      <c r="G17" s="163">
        <f>'PRIME CPIF LABOR INPUTS'!H91</f>
        <v>0</v>
      </c>
      <c r="H17" s="205"/>
      <c r="I17" s="164">
        <f>'PRIME CPIF LABOR INPUTS'!J91</f>
        <v>0</v>
      </c>
      <c r="J17" s="165"/>
      <c r="K17" s="163">
        <f>'PRIME CPIF LABOR INPUTS'!L91</f>
        <v>0</v>
      </c>
      <c r="L17" s="205"/>
      <c r="M17" s="164">
        <f>'PRIME CPIF LABOR INPUTS'!N91</f>
        <v>0</v>
      </c>
      <c r="N17" s="165"/>
      <c r="O17" s="163">
        <f>'PRIME CPIF LABOR INPUTS'!AP91</f>
        <v>0</v>
      </c>
      <c r="P17" s="205"/>
      <c r="Q17" s="164">
        <f>'PRIME CPIF LABOR INPUTS'!R91</f>
        <v>0</v>
      </c>
    </row>
    <row r="18" spans="1:17" x14ac:dyDescent="0.25">
      <c r="A18" s="193"/>
      <c r="B18" s="204"/>
      <c r="C18" s="153" t="s">
        <v>399</v>
      </c>
      <c r="D18" s="154" t="s">
        <v>396</v>
      </c>
      <c r="E18" s="155" t="s">
        <v>398</v>
      </c>
      <c r="F18" s="166"/>
      <c r="G18" s="153" t="s">
        <v>399</v>
      </c>
      <c r="H18" s="154" t="s">
        <v>396</v>
      </c>
      <c r="I18" s="155" t="s">
        <v>398</v>
      </c>
      <c r="J18" s="166"/>
      <c r="K18" s="153" t="s">
        <v>399</v>
      </c>
      <c r="L18" s="154" t="s">
        <v>396</v>
      </c>
      <c r="M18" s="155" t="s">
        <v>398</v>
      </c>
      <c r="N18" s="166"/>
      <c r="O18" s="153" t="s">
        <v>399</v>
      </c>
      <c r="P18" s="154" t="s">
        <v>396</v>
      </c>
      <c r="Q18" s="155" t="s">
        <v>398</v>
      </c>
    </row>
    <row r="19" spans="1:17" ht="54.75" customHeight="1" x14ac:dyDescent="0.25">
      <c r="A19" s="193"/>
      <c r="B19" s="344" t="s">
        <v>611</v>
      </c>
      <c r="C19" s="289"/>
      <c r="D19" s="290"/>
      <c r="E19" s="291"/>
      <c r="F19" s="202"/>
      <c r="G19" s="289"/>
      <c r="H19" s="290"/>
      <c r="I19" s="291"/>
      <c r="J19" s="202"/>
      <c r="K19" s="289"/>
      <c r="L19" s="290"/>
      <c r="M19" s="291"/>
      <c r="N19" s="202"/>
      <c r="O19" s="289"/>
      <c r="P19" s="290"/>
      <c r="Q19" s="291"/>
    </row>
    <row r="20" spans="1:17" x14ac:dyDescent="0.25">
      <c r="A20" s="193"/>
      <c r="B20" s="167" t="str">
        <f>'PRIME CPIF RATES (ALL)'!B35</f>
        <v>Indirect Labor Category:  [Labor Fringe]</v>
      </c>
      <c r="C20" s="215">
        <f>+E17</f>
        <v>0</v>
      </c>
      <c r="D20" s="243">
        <f>'PRIME CPIF RATES (ALL)'!C35</f>
        <v>0</v>
      </c>
      <c r="E20" s="168">
        <f>ROUND(C20*D20,2)</f>
        <v>0</v>
      </c>
      <c r="F20" s="165"/>
      <c r="G20" s="215">
        <f>+I17</f>
        <v>0</v>
      </c>
      <c r="H20" s="243">
        <f>'PRIME CPIF RATES (ALL)'!D35</f>
        <v>0</v>
      </c>
      <c r="I20" s="168">
        <f>ROUND(G20*H20,2)</f>
        <v>0</v>
      </c>
      <c r="J20" s="165"/>
      <c r="K20" s="215">
        <f>+M17</f>
        <v>0</v>
      </c>
      <c r="L20" s="243">
        <f>'PRIME CPIF RATES (ALL)'!E35</f>
        <v>0</v>
      </c>
      <c r="M20" s="168">
        <f>ROUND(K20*L20,2)</f>
        <v>0</v>
      </c>
      <c r="N20" s="165"/>
      <c r="O20" s="215">
        <f>+Q17</f>
        <v>0</v>
      </c>
      <c r="P20" s="243">
        <f>'PRIME CPIF RATES (ALL)'!F35</f>
        <v>0</v>
      </c>
      <c r="Q20" s="168">
        <f>ROUND(O20*P20,2)</f>
        <v>0</v>
      </c>
    </row>
    <row r="21" spans="1:17" x14ac:dyDescent="0.25">
      <c r="A21" s="193"/>
      <c r="B21" s="167" t="str">
        <f>'PRIME CPIF RATES (ALL)'!B36</f>
        <v>Indirect Labor Category: [Labor Overhead]</v>
      </c>
      <c r="C21" s="215">
        <f>+C20+E20</f>
        <v>0</v>
      </c>
      <c r="D21" s="243">
        <f>'PRIME CPIF RATES (ALL)'!C36</f>
        <v>0</v>
      </c>
      <c r="E21" s="168">
        <f>ROUND(C21*D21,2)</f>
        <v>0</v>
      </c>
      <c r="F21" s="165"/>
      <c r="G21" s="215">
        <f>+G20+I20</f>
        <v>0</v>
      </c>
      <c r="H21" s="243">
        <f>'PRIME CPIF RATES (ALL)'!D36</f>
        <v>0</v>
      </c>
      <c r="I21" s="168">
        <f>ROUND(G21*H21,2)</f>
        <v>0</v>
      </c>
      <c r="J21" s="165"/>
      <c r="K21" s="215">
        <f>+K20+M20</f>
        <v>0</v>
      </c>
      <c r="L21" s="243">
        <f>'PRIME CPIF RATES (ALL)'!E36</f>
        <v>0</v>
      </c>
      <c r="M21" s="168">
        <f>ROUND(K21*L21,2)</f>
        <v>0</v>
      </c>
      <c r="N21" s="165"/>
      <c r="O21" s="215">
        <f>+O20+Q20</f>
        <v>0</v>
      </c>
      <c r="P21" s="243">
        <f>'PRIME CPIF RATES (ALL)'!F36</f>
        <v>0</v>
      </c>
      <c r="Q21" s="168">
        <f>ROUND(O21*P21,2)</f>
        <v>0</v>
      </c>
    </row>
    <row r="22" spans="1:17" x14ac:dyDescent="0.25">
      <c r="A22" s="193"/>
      <c r="B22" s="167" t="str">
        <f>'PRIME CPIF RATES (ALL)'!B37</f>
        <v>Indirect Labor Category: [G&amp;A]</v>
      </c>
      <c r="C22" s="215">
        <f>+C21+E21</f>
        <v>0</v>
      </c>
      <c r="D22" s="243">
        <f>'PRIME CPIF RATES (ALL)'!C37</f>
        <v>0</v>
      </c>
      <c r="E22" s="168">
        <f>ROUND(C22*D22,2)</f>
        <v>0</v>
      </c>
      <c r="F22" s="165"/>
      <c r="G22" s="215">
        <f>+G21+I21</f>
        <v>0</v>
      </c>
      <c r="H22" s="243">
        <f>'PRIME CPIF RATES (ALL)'!D37</f>
        <v>0</v>
      </c>
      <c r="I22" s="168">
        <f>ROUND(G22*H22,2)</f>
        <v>0</v>
      </c>
      <c r="J22" s="165"/>
      <c r="K22" s="215">
        <f>+K21+M21</f>
        <v>0</v>
      </c>
      <c r="L22" s="243">
        <f>'PRIME CPIF RATES (ALL)'!E37</f>
        <v>0</v>
      </c>
      <c r="M22" s="168">
        <f>ROUND(K22*L22,2)</f>
        <v>0</v>
      </c>
      <c r="N22" s="165"/>
      <c r="O22" s="215">
        <f>+O21+Q21</f>
        <v>0</v>
      </c>
      <c r="P22" s="243">
        <f>'PRIME CPIF RATES (ALL)'!F37</f>
        <v>0</v>
      </c>
      <c r="Q22" s="168">
        <f>ROUND(O22*P22,2)</f>
        <v>0</v>
      </c>
    </row>
    <row r="23" spans="1:17" x14ac:dyDescent="0.25">
      <c r="A23" s="193"/>
      <c r="B23" s="167" t="str">
        <f>'PRIME CPIF RATES (ALL)'!B38</f>
        <v>Indirect Labor Category: [FCCOM]</v>
      </c>
      <c r="C23" s="215">
        <f>C22+E22</f>
        <v>0</v>
      </c>
      <c r="D23" s="243">
        <f>'PRIME CPIF RATES (ALL)'!C38</f>
        <v>0</v>
      </c>
      <c r="E23" s="168">
        <f>ROUND(C23*D23,2)</f>
        <v>0</v>
      </c>
      <c r="F23" s="165"/>
      <c r="G23" s="215">
        <f>G22+I22</f>
        <v>0</v>
      </c>
      <c r="H23" s="243">
        <f>'PRIME CPIF RATES (ALL)'!D38</f>
        <v>0</v>
      </c>
      <c r="I23" s="168">
        <f>ROUND(G23*H23,2)</f>
        <v>0</v>
      </c>
      <c r="J23" s="165"/>
      <c r="K23" s="215">
        <f>K22+M22</f>
        <v>0</v>
      </c>
      <c r="L23" s="243">
        <f>'PRIME CPIF RATES (ALL)'!E38</f>
        <v>0</v>
      </c>
      <c r="M23" s="168">
        <f>ROUND(K23*L23,2)</f>
        <v>0</v>
      </c>
      <c r="N23" s="165"/>
      <c r="O23" s="215">
        <f>O22+Q22</f>
        <v>0</v>
      </c>
      <c r="P23" s="243">
        <f>'PRIME CPIF RATES (ALL)'!F38</f>
        <v>0</v>
      </c>
      <c r="Q23" s="168">
        <f>ROUND(O23*P23,2)</f>
        <v>0</v>
      </c>
    </row>
    <row r="24" spans="1:17" x14ac:dyDescent="0.25">
      <c r="A24" s="193"/>
      <c r="B24" s="167" t="str">
        <f>'PRIME CPIF RATES (ALL)'!B39</f>
        <v>Indirect Labor Category: [Target Fee]</v>
      </c>
      <c r="C24" s="215">
        <f>+C22+E22</f>
        <v>0</v>
      </c>
      <c r="D24" s="243">
        <f>'PRIME CPIF RATES (ALL)'!C39</f>
        <v>0</v>
      </c>
      <c r="E24" s="168">
        <f>ROUND(C24*D24,2)</f>
        <v>0</v>
      </c>
      <c r="F24" s="165"/>
      <c r="G24" s="215">
        <f>+G22+I22</f>
        <v>0</v>
      </c>
      <c r="H24" s="243">
        <f>'PRIME CPIF RATES (ALL)'!D39</f>
        <v>0</v>
      </c>
      <c r="I24" s="168">
        <f>ROUND(G24*H24,2)</f>
        <v>0</v>
      </c>
      <c r="J24" s="165"/>
      <c r="K24" s="243">
        <f>+K22+M22</f>
        <v>0</v>
      </c>
      <c r="L24" s="243">
        <f>'PRIME CPIF RATES (ALL)'!E39</f>
        <v>0</v>
      </c>
      <c r="M24" s="168">
        <f>ROUND(K24*L24,2)</f>
        <v>0</v>
      </c>
      <c r="N24" s="165"/>
      <c r="O24" s="215">
        <f>+O22+Q22</f>
        <v>0</v>
      </c>
      <c r="P24" s="243">
        <f>'PRIME CPIF RATES (ALL)'!F39</f>
        <v>0</v>
      </c>
      <c r="Q24" s="168">
        <f>ROUND(O24*P24,2)</f>
        <v>0</v>
      </c>
    </row>
    <row r="25" spans="1:17" x14ac:dyDescent="0.25">
      <c r="A25" s="193"/>
      <c r="B25" s="262" t="s">
        <v>258</v>
      </c>
      <c r="C25" s="210"/>
      <c r="D25" s="211"/>
      <c r="E25" s="230">
        <f>ROUND(SUM(E17,E20,E21,E22),2)</f>
        <v>0</v>
      </c>
      <c r="F25" s="165"/>
      <c r="G25" s="206"/>
      <c r="H25" s="207"/>
      <c r="I25" s="230">
        <f>ROUND(SUM(I17,I20,I21,I22),2)</f>
        <v>0</v>
      </c>
      <c r="J25" s="165"/>
      <c r="K25" s="243"/>
      <c r="L25" s="207"/>
      <c r="M25" s="230">
        <f>ROUND(SUM(M17,M20,M21,M22),2)</f>
        <v>0</v>
      </c>
      <c r="N25" s="165"/>
      <c r="O25" s="206"/>
      <c r="P25" s="207"/>
      <c r="Q25" s="230">
        <f>ROUND(SUM(Q17,Q20,Q21,Q22),2)</f>
        <v>0</v>
      </c>
    </row>
    <row r="26" spans="1:17" x14ac:dyDescent="0.25">
      <c r="A26" s="193"/>
      <c r="B26" s="262" t="s">
        <v>137</v>
      </c>
      <c r="C26" s="210"/>
      <c r="D26" s="211"/>
      <c r="E26" s="230">
        <f>ROUND(E23,2)</f>
        <v>0</v>
      </c>
      <c r="F26" s="165"/>
      <c r="G26" s="206"/>
      <c r="H26" s="207"/>
      <c r="I26" s="230">
        <f>ROUND(I23,2)</f>
        <v>0</v>
      </c>
      <c r="J26" s="165"/>
      <c r="K26" s="243"/>
      <c r="L26" s="207"/>
      <c r="M26" s="230">
        <f>ROUND(M23,2)</f>
        <v>0</v>
      </c>
      <c r="N26" s="165"/>
      <c r="O26" s="206"/>
      <c r="P26" s="207"/>
      <c r="Q26" s="230">
        <f>ROUND(Q23,2)</f>
        <v>0</v>
      </c>
    </row>
    <row r="27" spans="1:17" x14ac:dyDescent="0.25">
      <c r="A27" s="193"/>
      <c r="B27" s="262" t="s">
        <v>136</v>
      </c>
      <c r="C27" s="210"/>
      <c r="D27" s="211"/>
      <c r="E27" s="245">
        <f>ROUND(E24,2)</f>
        <v>0</v>
      </c>
      <c r="F27" s="170"/>
      <c r="G27" s="206"/>
      <c r="H27" s="207"/>
      <c r="I27" s="245">
        <f>ROUND(I24,2)</f>
        <v>0</v>
      </c>
      <c r="J27" s="170"/>
      <c r="K27" s="473"/>
      <c r="L27" s="207"/>
      <c r="M27" s="245">
        <f>ROUND(M24,2)</f>
        <v>0</v>
      </c>
      <c r="N27" s="170"/>
      <c r="O27" s="206"/>
      <c r="P27" s="207"/>
      <c r="Q27" s="245">
        <f>ROUND(Q24,2)</f>
        <v>0</v>
      </c>
    </row>
    <row r="28" spans="1:17" ht="16.5" thickBot="1" x14ac:dyDescent="0.3">
      <c r="A28" s="193"/>
      <c r="B28" s="263" t="s">
        <v>138</v>
      </c>
      <c r="C28" s="212"/>
      <c r="D28" s="213"/>
      <c r="E28" s="246">
        <f>ROUND(SUM(E25:E27),2)</f>
        <v>0</v>
      </c>
      <c r="F28" s="171"/>
      <c r="G28" s="208"/>
      <c r="H28" s="209"/>
      <c r="I28" s="246">
        <f>ROUND(SUM(I25:I27),2)</f>
        <v>0</v>
      </c>
      <c r="J28" s="171"/>
      <c r="K28" s="243"/>
      <c r="L28" s="209"/>
      <c r="M28" s="246">
        <f>ROUND(SUM(M25:M27),2)</f>
        <v>0</v>
      </c>
      <c r="N28" s="171"/>
      <c r="O28" s="208"/>
      <c r="P28" s="209"/>
      <c r="Q28" s="246">
        <f>ROUND(SUM(Q25:Q27),2)</f>
        <v>0</v>
      </c>
    </row>
    <row r="29" spans="1:17" ht="16.5" thickBot="1" x14ac:dyDescent="0.3">
      <c r="A29" s="193"/>
      <c r="B29" s="172"/>
      <c r="C29" s="173"/>
      <c r="D29" s="173"/>
      <c r="E29" s="256"/>
      <c r="F29" s="256"/>
      <c r="G29" s="256"/>
      <c r="H29" s="256"/>
      <c r="I29" s="256"/>
      <c r="J29" s="256"/>
      <c r="K29" s="256"/>
      <c r="L29" s="173"/>
      <c r="M29" s="173"/>
      <c r="N29" s="165"/>
      <c r="O29" s="256"/>
      <c r="P29" s="173"/>
      <c r="Q29" s="173"/>
    </row>
    <row r="30" spans="1:17" ht="16.5" customHeight="1" thickBot="1" x14ac:dyDescent="0.3">
      <c r="A30" s="193"/>
      <c r="B30" s="620" t="str">
        <f>B13</f>
        <v>CLIN 0001 (CPIF)                                                    TASK 1.04 MATERIAL - DEVELOPMENT KITS (COTS AND DEVELOPMENTAL)</v>
      </c>
      <c r="C30" s="594" t="s">
        <v>145</v>
      </c>
      <c r="D30" s="595"/>
      <c r="E30" s="596"/>
      <c r="F30" s="175"/>
      <c r="G30" s="594" t="s">
        <v>145</v>
      </c>
      <c r="H30" s="595"/>
      <c r="I30" s="596"/>
      <c r="J30" s="175"/>
      <c r="K30" s="594" t="s">
        <v>145</v>
      </c>
      <c r="L30" s="595"/>
      <c r="M30" s="596"/>
      <c r="N30" s="175"/>
      <c r="O30" s="594" t="s">
        <v>145</v>
      </c>
      <c r="P30" s="595"/>
      <c r="Q30" s="596"/>
    </row>
    <row r="31" spans="1:17" ht="32.25" customHeight="1" thickBot="1" x14ac:dyDescent="0.3">
      <c r="A31" s="193"/>
      <c r="B31" s="621"/>
      <c r="C31" s="617" t="str">
        <f>C14</f>
        <v>CLIN 0001 - Basic Period (Year 1)</v>
      </c>
      <c r="D31" s="618"/>
      <c r="E31" s="619"/>
      <c r="F31" s="176"/>
      <c r="G31" s="617" t="str">
        <f>G14</f>
        <v>CLIN 0001 - Basic Period (Year 2)</v>
      </c>
      <c r="H31" s="618"/>
      <c r="I31" s="619"/>
      <c r="J31" s="176"/>
      <c r="K31" s="617" t="str">
        <f>K14</f>
        <v>CLIN 0001 - Basic Period (Year 3)</v>
      </c>
      <c r="L31" s="618"/>
      <c r="M31" s="619"/>
      <c r="N31" s="176"/>
      <c r="O31" s="617" t="str">
        <f>O14</f>
        <v>CLIN 0001 - Basic Period (Year 4)</v>
      </c>
      <c r="P31" s="618"/>
      <c r="Q31" s="619"/>
    </row>
    <row r="32" spans="1:17" x14ac:dyDescent="0.25">
      <c r="A32" s="193"/>
      <c r="B32" s="247"/>
      <c r="C32" s="153" t="str">
        <f>C18</f>
        <v>Base Cost</v>
      </c>
      <c r="D32" s="154" t="str">
        <f>D18</f>
        <v>Rate</v>
      </c>
      <c r="E32" s="155" t="s">
        <v>152</v>
      </c>
      <c r="F32" s="166"/>
      <c r="G32" s="153" t="str">
        <f>G18</f>
        <v>Base Cost</v>
      </c>
      <c r="H32" s="154" t="str">
        <f>H18</f>
        <v>Rate</v>
      </c>
      <c r="I32" s="155" t="s">
        <v>152</v>
      </c>
      <c r="J32" s="166"/>
      <c r="K32" s="153" t="str">
        <f>K18</f>
        <v>Base Cost</v>
      </c>
      <c r="L32" s="154" t="str">
        <f>L18</f>
        <v>Rate</v>
      </c>
      <c r="M32" s="155" t="s">
        <v>152</v>
      </c>
      <c r="N32" s="166"/>
      <c r="O32" s="153" t="str">
        <f>O18</f>
        <v>Base Cost</v>
      </c>
      <c r="P32" s="154" t="str">
        <f>P18</f>
        <v>Rate</v>
      </c>
      <c r="Q32" s="155" t="s">
        <v>152</v>
      </c>
    </row>
    <row r="33" spans="1:17" ht="51.75" x14ac:dyDescent="0.25">
      <c r="A33" s="193"/>
      <c r="B33" s="300" t="s">
        <v>612</v>
      </c>
      <c r="C33" s="231"/>
      <c r="D33" s="232"/>
      <c r="E33" s="400">
        <f>'PRIME CPIF TOTAL MATERIAL'!E14</f>
        <v>0</v>
      </c>
      <c r="F33" s="165"/>
      <c r="G33" s="231"/>
      <c r="H33" s="232"/>
      <c r="I33" s="400">
        <f>'PRIME CPIF TOTAL MATERIAL'!G14</f>
        <v>0</v>
      </c>
      <c r="J33" s="165"/>
      <c r="K33" s="231"/>
      <c r="L33" s="232"/>
      <c r="M33" s="400">
        <f>'PRIME CPIF TOTAL MATERIAL'!I14</f>
        <v>0</v>
      </c>
      <c r="N33" s="165"/>
      <c r="O33" s="231"/>
      <c r="P33" s="232"/>
      <c r="Q33" s="400">
        <f>'PRIME CPIF TOTAL MATERIAL'!K14</f>
        <v>0</v>
      </c>
    </row>
    <row r="34" spans="1:17" ht="67.5" customHeight="1" x14ac:dyDescent="0.25">
      <c r="A34" s="193"/>
      <c r="B34" s="344" t="s">
        <v>389</v>
      </c>
      <c r="C34" s="405"/>
      <c r="D34" s="406"/>
      <c r="E34" s="400"/>
      <c r="F34" s="165"/>
      <c r="G34" s="405"/>
      <c r="H34" s="406"/>
      <c r="I34" s="400"/>
      <c r="J34" s="165"/>
      <c r="K34" s="405"/>
      <c r="L34" s="406"/>
      <c r="M34" s="400"/>
      <c r="N34" s="165"/>
      <c r="O34" s="405"/>
      <c r="P34" s="406"/>
      <c r="Q34" s="400"/>
    </row>
    <row r="35" spans="1:17" x14ac:dyDescent="0.25">
      <c r="A35" s="193"/>
      <c r="B35" s="167" t="str">
        <f>'PRIME CPIF RATES (ALL)'!B52</f>
        <v>Indirect Category: [Material Overhead]</v>
      </c>
      <c r="C35" s="215">
        <f>+E33</f>
        <v>0</v>
      </c>
      <c r="D35" s="243">
        <f>'PRIME CPIF RATES (ALL)'!C52</f>
        <v>0</v>
      </c>
      <c r="E35" s="168">
        <f>ROUND(C35*D35,2)</f>
        <v>0</v>
      </c>
      <c r="F35" s="178"/>
      <c r="G35" s="215">
        <f>+I33</f>
        <v>0</v>
      </c>
      <c r="H35" s="243">
        <f>'PRIME CPIF RATES (ALL)'!D52</f>
        <v>0</v>
      </c>
      <c r="I35" s="168">
        <f>ROUND(G35*H35,2)</f>
        <v>0</v>
      </c>
      <c r="J35" s="178"/>
      <c r="K35" s="215">
        <f>+M33</f>
        <v>0</v>
      </c>
      <c r="L35" s="243">
        <f>'PRIME CPIF RATES (ALL)'!E52</f>
        <v>0</v>
      </c>
      <c r="M35" s="168">
        <f>ROUND(K35*L35,2)</f>
        <v>0</v>
      </c>
      <c r="N35" s="178"/>
      <c r="O35" s="215">
        <f>+Q33</f>
        <v>0</v>
      </c>
      <c r="P35" s="243">
        <f>'PRIME CPIF RATES (ALL)'!F52</f>
        <v>0</v>
      </c>
      <c r="Q35" s="168">
        <f>ROUND(O35*P35,2)</f>
        <v>0</v>
      </c>
    </row>
    <row r="36" spans="1:17" x14ac:dyDescent="0.25">
      <c r="A36" s="193"/>
      <c r="B36" s="167" t="str">
        <f>'PRIME CPIF RATES (ALL)'!B53</f>
        <v>Indirect Category: [G&amp;A]</v>
      </c>
      <c r="C36" s="215">
        <f>+C35+E35</f>
        <v>0</v>
      </c>
      <c r="D36" s="243">
        <f>'PRIME CPIF RATES (ALL)'!C53</f>
        <v>0</v>
      </c>
      <c r="E36" s="168">
        <f>ROUND(C36*D36,2)</f>
        <v>0</v>
      </c>
      <c r="F36" s="178"/>
      <c r="G36" s="215">
        <f>+G35+I35</f>
        <v>0</v>
      </c>
      <c r="H36" s="243">
        <f>'PRIME CPIF RATES (ALL)'!D53</f>
        <v>0</v>
      </c>
      <c r="I36" s="168">
        <f>ROUND(G36*H36,2)</f>
        <v>0</v>
      </c>
      <c r="J36" s="178"/>
      <c r="K36" s="215">
        <f>+K35+M35</f>
        <v>0</v>
      </c>
      <c r="L36" s="243">
        <f>'PRIME CPIF RATES (ALL)'!E53</f>
        <v>0</v>
      </c>
      <c r="M36" s="168">
        <f>ROUND(K36*L36,2)</f>
        <v>0</v>
      </c>
      <c r="N36" s="178"/>
      <c r="O36" s="215">
        <f>+O35+Q35</f>
        <v>0</v>
      </c>
      <c r="P36" s="243">
        <f>'PRIME CPIF RATES (ALL)'!F53</f>
        <v>0</v>
      </c>
      <c r="Q36" s="168">
        <f>ROUND(O36*P36,2)</f>
        <v>0</v>
      </c>
    </row>
    <row r="37" spans="1:17" x14ac:dyDescent="0.25">
      <c r="A37" s="193"/>
      <c r="B37" s="167" t="str">
        <f>'PRIME CPIF RATES (ALL)'!B54</f>
        <v>Indirect Category: [FCCOM]</v>
      </c>
      <c r="C37" s="215">
        <f>C36+E36</f>
        <v>0</v>
      </c>
      <c r="D37" s="243">
        <f>'PRIME CPIF RATES (ALL)'!C54</f>
        <v>0</v>
      </c>
      <c r="E37" s="168">
        <f>ROUND(C37*D37,2)</f>
        <v>0</v>
      </c>
      <c r="F37" s="165"/>
      <c r="G37" s="215">
        <f>G36+I36</f>
        <v>0</v>
      </c>
      <c r="H37" s="243">
        <f>'PRIME CPIF RATES (ALL)'!D54</f>
        <v>0</v>
      </c>
      <c r="I37" s="168">
        <f>ROUND(G37*H37,2)</f>
        <v>0</v>
      </c>
      <c r="J37" s="165"/>
      <c r="K37" s="215">
        <f>K36+M36</f>
        <v>0</v>
      </c>
      <c r="L37" s="243">
        <f>'PRIME CPIF RATES (ALL)'!E54</f>
        <v>0</v>
      </c>
      <c r="M37" s="168">
        <f>ROUND(K37*L37,2)</f>
        <v>0</v>
      </c>
      <c r="N37" s="165"/>
      <c r="O37" s="215">
        <f>O36+Q36</f>
        <v>0</v>
      </c>
      <c r="P37" s="243">
        <f>'PRIME CPIF RATES (ALL)'!F54</f>
        <v>0</v>
      </c>
      <c r="Q37" s="168">
        <f>ROUND(O37*P37,2)</f>
        <v>0</v>
      </c>
    </row>
    <row r="38" spans="1:17" x14ac:dyDescent="0.25">
      <c r="A38" s="193"/>
      <c r="B38" s="167" t="str">
        <f>'PRIME CPIF RATES (ALL)'!B55</f>
        <v>Indirect Category: [Target Fee]</v>
      </c>
      <c r="C38" s="215">
        <f>+C36+E36</f>
        <v>0</v>
      </c>
      <c r="D38" s="243">
        <f>'PRIME CPIF RATES (ALL)'!C55</f>
        <v>0</v>
      </c>
      <c r="E38" s="168">
        <f>ROUND(C38*D38,2)</f>
        <v>0</v>
      </c>
      <c r="F38" s="165"/>
      <c r="G38" s="215">
        <f>+G36+I36</f>
        <v>0</v>
      </c>
      <c r="H38" s="243">
        <f>'PRIME CPIF RATES (ALL)'!D55</f>
        <v>0</v>
      </c>
      <c r="I38" s="168">
        <f>ROUND(G38*H38,2)</f>
        <v>0</v>
      </c>
      <c r="J38" s="165"/>
      <c r="K38" s="215">
        <f>+K36+M36</f>
        <v>0</v>
      </c>
      <c r="L38" s="243">
        <f>'PRIME CPIF RATES (ALL)'!E55</f>
        <v>0</v>
      </c>
      <c r="M38" s="168">
        <f>ROUND(K38*L38,2)</f>
        <v>0</v>
      </c>
      <c r="N38" s="165"/>
      <c r="O38" s="215">
        <f>+O36+Q36</f>
        <v>0</v>
      </c>
      <c r="P38" s="243">
        <f>'PRIME CPIF RATES (ALL)'!F55</f>
        <v>0</v>
      </c>
      <c r="Q38" s="168">
        <f>ROUND(O38*P38,2)</f>
        <v>0</v>
      </c>
    </row>
    <row r="39" spans="1:17" x14ac:dyDescent="0.25">
      <c r="A39" s="193"/>
      <c r="B39" s="241" t="s">
        <v>259</v>
      </c>
      <c r="C39" s="233"/>
      <c r="D39" s="234"/>
      <c r="E39" s="168">
        <f>ROUND(SUM(E33:E36),2)</f>
        <v>0</v>
      </c>
      <c r="F39" s="165"/>
      <c r="G39" s="233"/>
      <c r="H39" s="234"/>
      <c r="I39" s="168">
        <f>ROUND(SUM(I33:I36),2)</f>
        <v>0</v>
      </c>
      <c r="J39" s="165"/>
      <c r="K39" s="233"/>
      <c r="L39" s="234"/>
      <c r="M39" s="168">
        <f>ROUND(SUM(M33:M36),2)</f>
        <v>0</v>
      </c>
      <c r="N39" s="165"/>
      <c r="O39" s="233"/>
      <c r="P39" s="234"/>
      <c r="Q39" s="168">
        <f>ROUND(SUM(Q33:Q36),2)</f>
        <v>0</v>
      </c>
    </row>
    <row r="40" spans="1:17" x14ac:dyDescent="0.25">
      <c r="A40" s="193"/>
      <c r="B40" s="241" t="s">
        <v>137</v>
      </c>
      <c r="C40" s="231"/>
      <c r="D40" s="235"/>
      <c r="E40" s="168">
        <f>ROUND(E37,2)</f>
        <v>0</v>
      </c>
      <c r="F40" s="165"/>
      <c r="G40" s="231"/>
      <c r="H40" s="235"/>
      <c r="I40" s="168">
        <f>ROUND(I37,2)</f>
        <v>0</v>
      </c>
      <c r="J40" s="165"/>
      <c r="K40" s="231"/>
      <c r="L40" s="235"/>
      <c r="M40" s="168">
        <f>ROUND(M37,2)</f>
        <v>0</v>
      </c>
      <c r="N40" s="165"/>
      <c r="O40" s="231"/>
      <c r="P40" s="235"/>
      <c r="Q40" s="168">
        <f>ROUND(Q37,2)</f>
        <v>0</v>
      </c>
    </row>
    <row r="41" spans="1:17" x14ac:dyDescent="0.2">
      <c r="B41" s="241" t="s">
        <v>136</v>
      </c>
      <c r="C41" s="231"/>
      <c r="D41" s="235"/>
      <c r="E41" s="182">
        <f>ROUND(E38,2)</f>
        <v>0</v>
      </c>
      <c r="F41" s="183"/>
      <c r="G41" s="231"/>
      <c r="H41" s="235"/>
      <c r="I41" s="182">
        <f>ROUND(I38,2)</f>
        <v>0</v>
      </c>
      <c r="J41" s="183"/>
      <c r="K41" s="231"/>
      <c r="L41" s="235"/>
      <c r="M41" s="182">
        <f>ROUND(M38,2)</f>
        <v>0</v>
      </c>
      <c r="N41" s="183"/>
      <c r="O41" s="231"/>
      <c r="P41" s="235"/>
      <c r="Q41" s="182">
        <f>ROUND(Q38,2)</f>
        <v>0</v>
      </c>
    </row>
    <row r="42" spans="1:17" ht="16.5" thickBot="1" x14ac:dyDescent="0.25">
      <c r="B42" s="242" t="s">
        <v>243</v>
      </c>
      <c r="C42" s="236"/>
      <c r="D42" s="237"/>
      <c r="E42" s="160">
        <f>SUM(E39:E41)</f>
        <v>0</v>
      </c>
      <c r="F42" s="161"/>
      <c r="G42" s="236"/>
      <c r="H42" s="237"/>
      <c r="I42" s="160">
        <f>SUM(I39:I41)</f>
        <v>0</v>
      </c>
      <c r="J42" s="161"/>
      <c r="K42" s="236"/>
      <c r="L42" s="237"/>
      <c r="M42" s="160">
        <f>SUM(M39:M41)</f>
        <v>0</v>
      </c>
      <c r="N42" s="161"/>
      <c r="O42" s="236"/>
      <c r="P42" s="237"/>
      <c r="Q42" s="160">
        <f>SUM(Q39:Q41)</f>
        <v>0</v>
      </c>
    </row>
    <row r="43" spans="1:17" ht="16.5" thickBot="1" x14ac:dyDescent="0.25">
      <c r="B43" s="172"/>
      <c r="F43" s="251"/>
      <c r="G43" s="251"/>
      <c r="H43" s="251"/>
      <c r="I43" s="251"/>
      <c r="J43" s="251"/>
      <c r="K43" s="251"/>
      <c r="N43" s="187"/>
      <c r="O43" s="251"/>
    </row>
    <row r="44" spans="1:17" ht="16.5" thickBot="1" x14ac:dyDescent="0.3">
      <c r="B44" s="620" t="str">
        <f>B13</f>
        <v>CLIN 0001 (CPIF)                                                    TASK 1.04 MATERIAL - DEVELOPMENT KITS (COTS AND DEVELOPMENTAL)</v>
      </c>
      <c r="C44" s="594" t="s">
        <v>318</v>
      </c>
      <c r="D44" s="595"/>
      <c r="E44" s="596"/>
      <c r="F44" s="175"/>
      <c r="G44" s="594" t="s">
        <v>318</v>
      </c>
      <c r="H44" s="595"/>
      <c r="I44" s="596"/>
      <c r="J44" s="175"/>
      <c r="K44" s="594" t="s">
        <v>318</v>
      </c>
      <c r="L44" s="595"/>
      <c r="M44" s="596"/>
      <c r="N44" s="175"/>
      <c r="O44" s="594" t="s">
        <v>318</v>
      </c>
      <c r="P44" s="595"/>
      <c r="Q44" s="596"/>
    </row>
    <row r="45" spans="1:17" ht="27.75" customHeight="1" thickBot="1" x14ac:dyDescent="0.3">
      <c r="B45" s="621"/>
      <c r="C45" s="617" t="str">
        <f>C31</f>
        <v>CLIN 0001 - Basic Period (Year 1)</v>
      </c>
      <c r="D45" s="618"/>
      <c r="E45" s="619"/>
      <c r="F45" s="176"/>
      <c r="G45" s="617" t="str">
        <f>G31</f>
        <v>CLIN 0001 - Basic Period (Year 2)</v>
      </c>
      <c r="H45" s="618"/>
      <c r="I45" s="619"/>
      <c r="J45" s="176"/>
      <c r="K45" s="617" t="str">
        <f>K31</f>
        <v>CLIN 0001 - Basic Period (Year 3)</v>
      </c>
      <c r="L45" s="618"/>
      <c r="M45" s="619"/>
      <c r="N45" s="176"/>
      <c r="O45" s="617" t="str">
        <f>O31</f>
        <v>CLIN 0001 - Basic Period (Year 4)</v>
      </c>
      <c r="P45" s="618"/>
      <c r="Q45" s="619"/>
    </row>
    <row r="46" spans="1:17" x14ac:dyDescent="0.25">
      <c r="B46" s="248"/>
      <c r="C46" s="153" t="str">
        <f>C32</f>
        <v>Base Cost</v>
      </c>
      <c r="D46" s="154" t="str">
        <f>D32</f>
        <v>Rate</v>
      </c>
      <c r="E46" s="155" t="s">
        <v>397</v>
      </c>
      <c r="F46" s="166"/>
      <c r="G46" s="153" t="str">
        <f>G32</f>
        <v>Base Cost</v>
      </c>
      <c r="H46" s="154" t="str">
        <f>H32</f>
        <v>Rate</v>
      </c>
      <c r="I46" s="155" t="s">
        <v>397</v>
      </c>
      <c r="J46" s="166"/>
      <c r="K46" s="153" t="str">
        <f>K32</f>
        <v>Base Cost</v>
      </c>
      <c r="L46" s="154" t="str">
        <f>L32</f>
        <v>Rate</v>
      </c>
      <c r="M46" s="155" t="s">
        <v>397</v>
      </c>
      <c r="N46" s="166"/>
      <c r="O46" s="153" t="str">
        <f>O32</f>
        <v>Base Cost</v>
      </c>
      <c r="P46" s="154" t="str">
        <f>P32</f>
        <v>Rate</v>
      </c>
      <c r="Q46" s="155" t="s">
        <v>397</v>
      </c>
    </row>
    <row r="47" spans="1:17" ht="25.5" x14ac:dyDescent="0.2">
      <c r="B47" s="300" t="s">
        <v>560</v>
      </c>
      <c r="C47" s="285"/>
      <c r="D47" s="285"/>
      <c r="E47" s="345">
        <f>'PRIME CPIF TOTAL SUB'!E14</f>
        <v>0</v>
      </c>
      <c r="F47" s="288"/>
      <c r="G47" s="231"/>
      <c r="H47" s="285"/>
      <c r="I47" s="345">
        <f>'PRIME CPIF TOTAL SUB'!G14</f>
        <v>0</v>
      </c>
      <c r="J47" s="288"/>
      <c r="K47" s="231"/>
      <c r="L47" s="285"/>
      <c r="M47" s="345">
        <f>'PRIME CPIF TOTAL SUB'!I14</f>
        <v>0</v>
      </c>
      <c r="N47" s="165"/>
      <c r="O47" s="231"/>
      <c r="P47" s="285"/>
      <c r="Q47" s="345">
        <f>'PRIME CPIF TOTAL SUB'!K14</f>
        <v>0</v>
      </c>
    </row>
    <row r="48" spans="1:17" ht="76.5" x14ac:dyDescent="0.2">
      <c r="B48" s="344" t="s">
        <v>613</v>
      </c>
      <c r="C48" s="624" t="s">
        <v>5</v>
      </c>
      <c r="D48" s="625"/>
      <c r="E48" s="626"/>
      <c r="F48" s="178"/>
      <c r="G48" s="627"/>
      <c r="H48" s="625"/>
      <c r="I48" s="626"/>
      <c r="J48" s="178"/>
      <c r="K48" s="627"/>
      <c r="L48" s="625"/>
      <c r="M48" s="626"/>
      <c r="N48" s="178"/>
      <c r="O48" s="627"/>
      <c r="P48" s="625"/>
      <c r="Q48" s="626"/>
    </row>
    <row r="49" spans="1:17" x14ac:dyDescent="0.2">
      <c r="B49" s="287" t="str">
        <f>'PRIME CPIF RATES (ALL)'!B44</f>
        <v>Indirect Category: [Overhead]</v>
      </c>
      <c r="C49" s="286">
        <f>E47</f>
        <v>0</v>
      </c>
      <c r="D49" s="243">
        <f>'PRIME CPIF RATES (ALL)'!C44</f>
        <v>0</v>
      </c>
      <c r="E49" s="168">
        <f>ROUND(C49*D49,2)</f>
        <v>0</v>
      </c>
      <c r="F49" s="178"/>
      <c r="G49" s="215">
        <f>I47</f>
        <v>0</v>
      </c>
      <c r="H49" s="243">
        <f>'PRIME CPIF RATES (ALL)'!D44</f>
        <v>0</v>
      </c>
      <c r="I49" s="168">
        <f>ROUND(G49*H49,2)</f>
        <v>0</v>
      </c>
      <c r="J49" s="178"/>
      <c r="K49" s="215">
        <f>M47</f>
        <v>0</v>
      </c>
      <c r="L49" s="243">
        <f>'PRIME CPIF RATES (ALL)'!E44</f>
        <v>0</v>
      </c>
      <c r="M49" s="168">
        <f>ROUND(K49*L49,2)</f>
        <v>0</v>
      </c>
      <c r="N49" s="178"/>
      <c r="O49" s="215">
        <f>Q47</f>
        <v>0</v>
      </c>
      <c r="P49" s="243">
        <f>'PRIME CPIF RATES (ALL)'!F44</f>
        <v>0</v>
      </c>
      <c r="Q49" s="168">
        <f>ROUND(O49*P49,2)</f>
        <v>0</v>
      </c>
    </row>
    <row r="50" spans="1:17" x14ac:dyDescent="0.2">
      <c r="B50" s="287" t="str">
        <f>'PRIME CPIF RATES (ALL)'!B45</f>
        <v>Indirect Category: [G&amp;A]</v>
      </c>
      <c r="C50" s="286">
        <f>C49+E49</f>
        <v>0</v>
      </c>
      <c r="D50" s="243">
        <f>'PRIME CPIF RATES (ALL)'!C45</f>
        <v>0</v>
      </c>
      <c r="E50" s="168">
        <f>ROUND(C50*D50,2)</f>
        <v>0</v>
      </c>
      <c r="F50" s="288"/>
      <c r="G50" s="286">
        <f>G49+I49</f>
        <v>0</v>
      </c>
      <c r="H50" s="243">
        <f>'PRIME CPIF RATES (ALL)'!D45</f>
        <v>0</v>
      </c>
      <c r="I50" s="168">
        <f>ROUND(G50*H50,2)</f>
        <v>0</v>
      </c>
      <c r="J50" s="288"/>
      <c r="K50" s="286">
        <f>K49+M49</f>
        <v>0</v>
      </c>
      <c r="L50" s="243">
        <f>'PRIME CPIF RATES (ALL)'!E45</f>
        <v>0</v>
      </c>
      <c r="M50" s="168">
        <f>ROUND(K50*L50,2)</f>
        <v>0</v>
      </c>
      <c r="N50" s="165"/>
      <c r="O50" s="286">
        <f>O49+Q49</f>
        <v>0</v>
      </c>
      <c r="P50" s="243">
        <f>'PRIME CPIF RATES (ALL)'!F45</f>
        <v>0</v>
      </c>
      <c r="Q50" s="168">
        <f>ROUND(O50*P50,2)</f>
        <v>0</v>
      </c>
    </row>
    <row r="51" spans="1:17" x14ac:dyDescent="0.2">
      <c r="B51" s="351" t="str">
        <f>'PRIME CPIF RATES (ALL)'!B46</f>
        <v>Indirect Category: [FCCOM]</v>
      </c>
      <c r="C51" s="214">
        <f>C50+E50</f>
        <v>0</v>
      </c>
      <c r="D51" s="243">
        <f>'PRIME CPIF RATES (ALL)'!C46</f>
        <v>0</v>
      </c>
      <c r="E51" s="353">
        <f>ROUND(C51*D51,2)</f>
        <v>0</v>
      </c>
      <c r="F51" s="288"/>
      <c r="G51" s="214">
        <f>G50+I50</f>
        <v>0</v>
      </c>
      <c r="H51" s="243">
        <f>'PRIME CPIF RATES (ALL)'!D46</f>
        <v>0</v>
      </c>
      <c r="I51" s="353">
        <f>ROUND(G51*H51,2)</f>
        <v>0</v>
      </c>
      <c r="J51" s="288"/>
      <c r="K51" s="214">
        <f>K50+M50</f>
        <v>0</v>
      </c>
      <c r="L51" s="243">
        <f>'PRIME CPIF RATES (ALL)'!E46</f>
        <v>0</v>
      </c>
      <c r="M51" s="353">
        <f>ROUND(K51*L51,2)</f>
        <v>0</v>
      </c>
      <c r="N51" s="165"/>
      <c r="O51" s="214">
        <f>O50+Q50</f>
        <v>0</v>
      </c>
      <c r="P51" s="243">
        <f>'PRIME CPIF RATES (ALL)'!F46</f>
        <v>0</v>
      </c>
      <c r="Q51" s="353">
        <f>ROUND(O51*P51,2)</f>
        <v>0</v>
      </c>
    </row>
    <row r="52" spans="1:17" x14ac:dyDescent="0.2">
      <c r="B52" s="167" t="str">
        <f>'PRIME CPIF RATES (ALL)'!B47</f>
        <v>Indirect Category: [Target Fee]</v>
      </c>
      <c r="C52" s="214">
        <f>C50+E50</f>
        <v>0</v>
      </c>
      <c r="D52" s="354">
        <f>'PRIME CPIF RATES (ALL)'!C47</f>
        <v>0</v>
      </c>
      <c r="E52" s="353">
        <f>ROUND(C52*D52,2)</f>
        <v>0</v>
      </c>
      <c r="F52" s="288"/>
      <c r="G52" s="214">
        <f>G50+I50</f>
        <v>0</v>
      </c>
      <c r="H52" s="354">
        <f>'PRIME CPIF RATES (ALL)'!D47</f>
        <v>0</v>
      </c>
      <c r="I52" s="353">
        <f>ROUND(G52*H52,2)</f>
        <v>0</v>
      </c>
      <c r="J52" s="288"/>
      <c r="K52" s="214">
        <f>K50+M50</f>
        <v>0</v>
      </c>
      <c r="L52" s="354">
        <f>'PRIME CPIF RATES (ALL)'!E47</f>
        <v>0</v>
      </c>
      <c r="M52" s="353">
        <f>ROUND(K52*L52,2)</f>
        <v>0</v>
      </c>
      <c r="N52" s="165"/>
      <c r="O52" s="214">
        <f>O50+Q50</f>
        <v>0</v>
      </c>
      <c r="P52" s="354">
        <f>'PRIME CPIF RATES (ALL)'!F47</f>
        <v>0</v>
      </c>
      <c r="Q52" s="353">
        <f>ROUND(O52*P52,2)</f>
        <v>0</v>
      </c>
    </row>
    <row r="53" spans="1:17" x14ac:dyDescent="0.2">
      <c r="B53" s="241" t="s">
        <v>320</v>
      </c>
      <c r="C53" s="233"/>
      <c r="D53" s="234"/>
      <c r="E53" s="168">
        <f>ROUND(E47+E49+E50,2)</f>
        <v>0</v>
      </c>
      <c r="F53" s="288"/>
      <c r="G53" s="233"/>
      <c r="H53" s="234"/>
      <c r="I53" s="168">
        <f>ROUND(I47+I49+I50,2)</f>
        <v>0</v>
      </c>
      <c r="J53" s="288"/>
      <c r="K53" s="233"/>
      <c r="L53" s="234"/>
      <c r="M53" s="168">
        <f>ROUND(M47+M49+M50,2)</f>
        <v>0</v>
      </c>
      <c r="N53" s="165"/>
      <c r="O53" s="233"/>
      <c r="P53" s="234"/>
      <c r="Q53" s="168">
        <f>ROUND(Q47+Q49+Q50,2)</f>
        <v>0</v>
      </c>
    </row>
    <row r="54" spans="1:17" x14ac:dyDescent="0.2">
      <c r="B54" s="241" t="s">
        <v>298</v>
      </c>
      <c r="C54" s="231"/>
      <c r="D54" s="235"/>
      <c r="E54" s="168">
        <f>ROUND(E51,2)</f>
        <v>0</v>
      </c>
      <c r="F54" s="288"/>
      <c r="G54" s="231"/>
      <c r="H54" s="235"/>
      <c r="I54" s="168">
        <f>ROUND(I51,2)</f>
        <v>0</v>
      </c>
      <c r="J54" s="288"/>
      <c r="K54" s="231"/>
      <c r="L54" s="235"/>
      <c r="M54" s="168">
        <f>ROUND(M51,2)</f>
        <v>0</v>
      </c>
      <c r="N54" s="165"/>
      <c r="O54" s="231"/>
      <c r="P54" s="235"/>
      <c r="Q54" s="168">
        <f>ROUND(Q51,2)</f>
        <v>0</v>
      </c>
    </row>
    <row r="55" spans="1:17" x14ac:dyDescent="0.2">
      <c r="B55" s="241" t="s">
        <v>136</v>
      </c>
      <c r="C55" s="231"/>
      <c r="D55" s="235"/>
      <c r="E55" s="182">
        <f>ROUND(E52,2)</f>
        <v>0</v>
      </c>
      <c r="F55" s="183"/>
      <c r="G55" s="231"/>
      <c r="H55" s="235"/>
      <c r="I55" s="182">
        <f>ROUND(I52,2)</f>
        <v>0</v>
      </c>
      <c r="J55" s="183"/>
      <c r="K55" s="231"/>
      <c r="L55" s="235"/>
      <c r="M55" s="182">
        <f>ROUND(M52,2)</f>
        <v>0</v>
      </c>
      <c r="N55" s="183"/>
      <c r="O55" s="231"/>
      <c r="P55" s="235"/>
      <c r="Q55" s="182">
        <f>ROUND(Q52,2)</f>
        <v>0</v>
      </c>
    </row>
    <row r="56" spans="1:17" ht="16.5" thickBot="1" x14ac:dyDescent="0.25">
      <c r="B56" s="242" t="s">
        <v>321</v>
      </c>
      <c r="C56" s="236"/>
      <c r="D56" s="237"/>
      <c r="E56" s="160">
        <f>ROUND(SUM(E53:E55),2)</f>
        <v>0</v>
      </c>
      <c r="F56" s="161"/>
      <c r="G56" s="236"/>
      <c r="H56" s="237"/>
      <c r="I56" s="160">
        <f>ROUND(SUM(I53:I55),2)</f>
        <v>0</v>
      </c>
      <c r="J56" s="161"/>
      <c r="K56" s="236"/>
      <c r="L56" s="237"/>
      <c r="M56" s="160">
        <f>ROUND(SUM(M53:M55),2)</f>
        <v>0</v>
      </c>
      <c r="N56" s="161"/>
      <c r="O56" s="236"/>
      <c r="P56" s="237"/>
      <c r="Q56" s="160">
        <f>ROUND(SUM(Q53:Q55),2)</f>
        <v>0</v>
      </c>
    </row>
    <row r="57" spans="1:17" ht="16.5" thickBot="1" x14ac:dyDescent="0.25">
      <c r="B57" s="172"/>
      <c r="F57" s="251"/>
      <c r="G57" s="251"/>
      <c r="H57" s="251"/>
      <c r="I57" s="251"/>
      <c r="J57" s="251"/>
      <c r="K57" s="251"/>
      <c r="N57" s="187"/>
      <c r="O57" s="251"/>
    </row>
    <row r="58" spans="1:17" ht="16.5" customHeight="1" thickBot="1" x14ac:dyDescent="0.3">
      <c r="A58" s="193"/>
      <c r="B58" s="620" t="str">
        <f>B30</f>
        <v>CLIN 0001 (CPIF)                                                    TASK 1.04 MATERIAL - DEVELOPMENT KITS (COTS AND DEVELOPMENTAL)</v>
      </c>
      <c r="C58" s="594" t="s">
        <v>146</v>
      </c>
      <c r="D58" s="595"/>
      <c r="E58" s="596"/>
      <c r="F58" s="175"/>
      <c r="G58" s="594" t="s">
        <v>147</v>
      </c>
      <c r="H58" s="595"/>
      <c r="I58" s="596"/>
      <c r="J58" s="175"/>
      <c r="K58" s="594" t="s">
        <v>147</v>
      </c>
      <c r="L58" s="595"/>
      <c r="M58" s="596"/>
      <c r="N58" s="175"/>
      <c r="O58" s="594" t="s">
        <v>147</v>
      </c>
      <c r="P58" s="595"/>
      <c r="Q58" s="596"/>
    </row>
    <row r="59" spans="1:17" ht="33.75" customHeight="1" thickBot="1" x14ac:dyDescent="0.3">
      <c r="A59" s="193"/>
      <c r="B59" s="621"/>
      <c r="C59" s="617" t="str">
        <f>C31</f>
        <v>CLIN 0001 - Basic Period (Year 1)</v>
      </c>
      <c r="D59" s="618"/>
      <c r="E59" s="619"/>
      <c r="F59" s="176"/>
      <c r="G59" s="617" t="str">
        <f>G31</f>
        <v>CLIN 0001 - Basic Period (Year 2)</v>
      </c>
      <c r="H59" s="618"/>
      <c r="I59" s="619"/>
      <c r="J59" s="176"/>
      <c r="K59" s="617" t="str">
        <f>K31</f>
        <v>CLIN 0001 - Basic Period (Year 3)</v>
      </c>
      <c r="L59" s="618"/>
      <c r="M59" s="619"/>
      <c r="N59" s="176"/>
      <c r="O59" s="617" t="str">
        <f>O31</f>
        <v>CLIN 0001 - Basic Period (Year 4)</v>
      </c>
      <c r="P59" s="618"/>
      <c r="Q59" s="619"/>
    </row>
    <row r="60" spans="1:17" x14ac:dyDescent="0.25">
      <c r="A60" s="193"/>
      <c r="B60" s="248"/>
      <c r="C60" s="153" t="s">
        <v>124</v>
      </c>
      <c r="D60" s="154" t="s">
        <v>122</v>
      </c>
      <c r="E60" s="155" t="s">
        <v>153</v>
      </c>
      <c r="F60" s="166"/>
      <c r="G60" s="153" t="str">
        <f>G46</f>
        <v>Base Cost</v>
      </c>
      <c r="H60" s="154" t="str">
        <f>H46</f>
        <v>Rate</v>
      </c>
      <c r="I60" s="155" t="s">
        <v>153</v>
      </c>
      <c r="J60" s="166"/>
      <c r="K60" s="153" t="str">
        <f>K46</f>
        <v>Base Cost</v>
      </c>
      <c r="L60" s="154" t="str">
        <f>L46</f>
        <v>Rate</v>
      </c>
      <c r="M60" s="155" t="s">
        <v>153</v>
      </c>
      <c r="N60" s="166"/>
      <c r="O60" s="153" t="str">
        <f>O46</f>
        <v>Base Cost</v>
      </c>
      <c r="P60" s="154" t="str">
        <f>P46</f>
        <v>Rate</v>
      </c>
      <c r="Q60" s="155" t="s">
        <v>153</v>
      </c>
    </row>
    <row r="61" spans="1:17" ht="26.25" x14ac:dyDescent="0.25">
      <c r="A61" s="193"/>
      <c r="B61" s="300" t="s">
        <v>561</v>
      </c>
      <c r="C61" s="231"/>
      <c r="D61" s="232"/>
      <c r="E61" s="345">
        <f>'PRIME CPIF TOTAL ODC'!E14</f>
        <v>0</v>
      </c>
      <c r="F61" s="165"/>
      <c r="G61" s="231"/>
      <c r="H61" s="232"/>
      <c r="I61" s="345">
        <f>'PRIME CPIF TOTAL ODC'!G14</f>
        <v>0</v>
      </c>
      <c r="J61" s="165"/>
      <c r="K61" s="231"/>
      <c r="L61" s="232"/>
      <c r="M61" s="400">
        <f>'PRIME CPIF TOTAL ODC'!I14</f>
        <v>0</v>
      </c>
      <c r="N61" s="165"/>
      <c r="O61" s="231"/>
      <c r="P61" s="232"/>
      <c r="Q61" s="400">
        <f>'PRIME CPIF TOTAL ODC'!K14</f>
        <v>0</v>
      </c>
    </row>
    <row r="62" spans="1:17" ht="66" customHeight="1" x14ac:dyDescent="0.25">
      <c r="A62" s="193"/>
      <c r="B62" s="490" t="s">
        <v>614</v>
      </c>
      <c r="C62" s="404"/>
      <c r="D62" s="404"/>
      <c r="E62" s="403"/>
      <c r="F62" s="288"/>
      <c r="G62" s="405"/>
      <c r="H62" s="404"/>
      <c r="I62" s="403"/>
      <c r="J62" s="288"/>
      <c r="K62" s="405"/>
      <c r="L62" s="404"/>
      <c r="M62" s="400"/>
      <c r="N62" s="165"/>
      <c r="O62" s="405"/>
      <c r="P62" s="404"/>
      <c r="Q62" s="400"/>
    </row>
    <row r="63" spans="1:17" x14ac:dyDescent="0.25">
      <c r="A63" s="193"/>
      <c r="B63" s="167" t="s">
        <v>125</v>
      </c>
      <c r="C63" s="215">
        <f>+E61</f>
        <v>0</v>
      </c>
      <c r="D63" s="243">
        <f>'PRIME CPIF RATES (ALL)'!C60</f>
        <v>0</v>
      </c>
      <c r="E63" s="168">
        <f>ROUND(C63*D63,2)</f>
        <v>0</v>
      </c>
      <c r="F63" s="178"/>
      <c r="G63" s="215">
        <f>+I61</f>
        <v>0</v>
      </c>
      <c r="H63" s="243">
        <f>'PRIME CPIF RATES (ALL)'!D60</f>
        <v>0</v>
      </c>
      <c r="I63" s="168">
        <f>ROUND(G63*H63,2)</f>
        <v>0</v>
      </c>
      <c r="J63" s="178"/>
      <c r="K63" s="215">
        <f>+M61</f>
        <v>0</v>
      </c>
      <c r="L63" s="243">
        <f>'PRIME CPIF RATES (ALL)'!E60</f>
        <v>0</v>
      </c>
      <c r="M63" s="168">
        <f>ROUND(K63*L63,2)</f>
        <v>0</v>
      </c>
      <c r="N63" s="178"/>
      <c r="O63" s="215">
        <f>+Q61</f>
        <v>0</v>
      </c>
      <c r="P63" s="243">
        <f>'PRIME CPIF RATES (ALL)'!F60</f>
        <v>0</v>
      </c>
      <c r="Q63" s="168">
        <f>ROUND(O63*P63,2)</f>
        <v>0</v>
      </c>
    </row>
    <row r="64" spans="1:17" x14ac:dyDescent="0.25">
      <c r="A64" s="193"/>
      <c r="B64" s="167" t="s">
        <v>126</v>
      </c>
      <c r="C64" s="215">
        <f>+C63+E63</f>
        <v>0</v>
      </c>
      <c r="D64" s="243">
        <f>'PRIME CPIF RATES (ALL)'!C61</f>
        <v>0</v>
      </c>
      <c r="E64" s="168">
        <f>ROUND(C64*D64,2)</f>
        <v>0</v>
      </c>
      <c r="F64" s="178"/>
      <c r="G64" s="215">
        <f>+G63+I63</f>
        <v>0</v>
      </c>
      <c r="H64" s="243">
        <f>'PRIME CPIF RATES (ALL)'!D61</f>
        <v>0</v>
      </c>
      <c r="I64" s="168">
        <f>ROUND(G64*H64,2)</f>
        <v>0</v>
      </c>
      <c r="J64" s="178"/>
      <c r="K64" s="215">
        <f>+K63+M63</f>
        <v>0</v>
      </c>
      <c r="L64" s="243">
        <f>'PRIME CPIF RATES (ALL)'!E61</f>
        <v>0</v>
      </c>
      <c r="M64" s="168">
        <f>ROUND(K64*L64,2)</f>
        <v>0</v>
      </c>
      <c r="N64" s="178"/>
      <c r="O64" s="215">
        <f>+O63+Q63</f>
        <v>0</v>
      </c>
      <c r="P64" s="243">
        <f>'PRIME CPIF RATES (ALL)'!F61</f>
        <v>0</v>
      </c>
      <c r="Q64" s="168">
        <f>ROUND(O64*P64,2)</f>
        <v>0</v>
      </c>
    </row>
    <row r="65" spans="1:17" x14ac:dyDescent="0.25">
      <c r="A65" s="193"/>
      <c r="B65" s="167" t="s">
        <v>566</v>
      </c>
      <c r="C65" s="215">
        <f>C64+E64</f>
        <v>0</v>
      </c>
      <c r="D65" s="243">
        <f>'PRIME CPIF RATES (ALL)'!C62</f>
        <v>0</v>
      </c>
      <c r="E65" s="168">
        <f>ROUND(C65*D65,2)</f>
        <v>0</v>
      </c>
      <c r="F65" s="165"/>
      <c r="G65" s="215">
        <f>G64+I64</f>
        <v>0</v>
      </c>
      <c r="H65" s="243">
        <f>'PRIME CPIF RATES (ALL)'!D62</f>
        <v>0</v>
      </c>
      <c r="I65" s="168">
        <f>ROUND(G65*H65,2)</f>
        <v>0</v>
      </c>
      <c r="J65" s="165"/>
      <c r="K65" s="215">
        <f>K64+M64</f>
        <v>0</v>
      </c>
      <c r="L65" s="243">
        <f>'PRIME CPIF RATES (ALL)'!E62</f>
        <v>0</v>
      </c>
      <c r="M65" s="168">
        <f>ROUND(K65*L65,2)</f>
        <v>0</v>
      </c>
      <c r="N65" s="165"/>
      <c r="O65" s="215">
        <f>O64+Q64</f>
        <v>0</v>
      </c>
      <c r="P65" s="243">
        <f>'PRIME CPIF RATES (ALL)'!F62</f>
        <v>0</v>
      </c>
      <c r="Q65" s="168">
        <f>ROUND(O65*P65,2)</f>
        <v>0</v>
      </c>
    </row>
    <row r="66" spans="1:17" x14ac:dyDescent="0.25">
      <c r="A66" s="193"/>
      <c r="B66" s="167" t="s">
        <v>127</v>
      </c>
      <c r="C66" s="215">
        <f>+C64+E64</f>
        <v>0</v>
      </c>
      <c r="D66" s="354">
        <f>'PRIME CPIF RATES (ALL)'!C63</f>
        <v>0</v>
      </c>
      <c r="E66" s="168">
        <f>ROUND(C66*D66,2)</f>
        <v>0</v>
      </c>
      <c r="F66" s="165"/>
      <c r="G66" s="215">
        <f>+G64+I64</f>
        <v>0</v>
      </c>
      <c r="H66" s="354">
        <f>'PRIME CPIF RATES (ALL)'!D63</f>
        <v>0</v>
      </c>
      <c r="I66" s="168">
        <f>ROUND(G66*H66,2)</f>
        <v>0</v>
      </c>
      <c r="J66" s="165"/>
      <c r="K66" s="392">
        <f>+K64+M64</f>
        <v>0</v>
      </c>
      <c r="L66" s="354">
        <f>'PRIME CPIF RATES (ALL)'!E63</f>
        <v>0</v>
      </c>
      <c r="M66" s="168">
        <f>ROUND(K66*L66,2)</f>
        <v>0</v>
      </c>
      <c r="N66" s="165"/>
      <c r="O66" s="392">
        <f>+O64+Q64</f>
        <v>0</v>
      </c>
      <c r="P66" s="354">
        <f>'PRIME CPIF RATES (ALL)'!F63</f>
        <v>0</v>
      </c>
      <c r="Q66" s="168">
        <f>ROUND(O66*P66,2)</f>
        <v>0</v>
      </c>
    </row>
    <row r="67" spans="1:17" x14ac:dyDescent="0.25">
      <c r="A67" s="193"/>
      <c r="B67" s="241" t="s">
        <v>260</v>
      </c>
      <c r="C67" s="233"/>
      <c r="D67" s="234"/>
      <c r="E67" s="168">
        <f>ROUND(SUM(E61:E64),2)</f>
        <v>0</v>
      </c>
      <c r="F67" s="165"/>
      <c r="G67" s="233"/>
      <c r="H67" s="234"/>
      <c r="I67" s="168">
        <f>ROUND(SUM(I61:I64),2)</f>
        <v>0</v>
      </c>
      <c r="J67" s="165"/>
      <c r="K67" s="233"/>
      <c r="L67" s="234"/>
      <c r="M67" s="168">
        <f>ROUND(SUM(M61:M64),2)</f>
        <v>0</v>
      </c>
      <c r="N67" s="165"/>
      <c r="O67" s="233"/>
      <c r="P67" s="234"/>
      <c r="Q67" s="168">
        <f>ROUND(SUM(Q61:Q64),2)</f>
        <v>0</v>
      </c>
    </row>
    <row r="68" spans="1:17" x14ac:dyDescent="0.25">
      <c r="A68" s="193"/>
      <c r="B68" s="241" t="s">
        <v>137</v>
      </c>
      <c r="C68" s="231"/>
      <c r="D68" s="235"/>
      <c r="E68" s="168">
        <f>ROUND(E65,2)</f>
        <v>0</v>
      </c>
      <c r="F68" s="165"/>
      <c r="G68" s="231"/>
      <c r="H68" s="235"/>
      <c r="I68" s="168">
        <f>ROUND(I65,2)</f>
        <v>0</v>
      </c>
      <c r="J68" s="165"/>
      <c r="K68" s="231"/>
      <c r="L68" s="235"/>
      <c r="M68" s="168">
        <f>ROUND(M65,2)</f>
        <v>0</v>
      </c>
      <c r="N68" s="165"/>
      <c r="O68" s="231"/>
      <c r="P68" s="235"/>
      <c r="Q68" s="168">
        <f>ROUND(Q65,2)</f>
        <v>0</v>
      </c>
    </row>
    <row r="69" spans="1:17" x14ac:dyDescent="0.2">
      <c r="A69" s="186"/>
      <c r="B69" s="241" t="s">
        <v>136</v>
      </c>
      <c r="C69" s="231"/>
      <c r="D69" s="235"/>
      <c r="E69" s="182">
        <f>ROUND(E66,2)</f>
        <v>0</v>
      </c>
      <c r="F69" s="183"/>
      <c r="G69" s="231"/>
      <c r="H69" s="235"/>
      <c r="I69" s="182">
        <f>ROUND(I66,2)</f>
        <v>0</v>
      </c>
      <c r="J69" s="183"/>
      <c r="K69" s="231"/>
      <c r="L69" s="235"/>
      <c r="M69" s="182">
        <f>ROUND(M66,2)</f>
        <v>0</v>
      </c>
      <c r="N69" s="183"/>
      <c r="O69" s="231"/>
      <c r="P69" s="235"/>
      <c r="Q69" s="182">
        <f>ROUND(Q66,2)</f>
        <v>0</v>
      </c>
    </row>
    <row r="70" spans="1:17" ht="16.5" thickBot="1" x14ac:dyDescent="0.25">
      <c r="A70" s="186"/>
      <c r="B70" s="242" t="s">
        <v>244</v>
      </c>
      <c r="C70" s="236"/>
      <c r="D70" s="237"/>
      <c r="E70" s="160">
        <f>ROUND(SUM(E67:E69),2)</f>
        <v>0</v>
      </c>
      <c r="F70" s="161"/>
      <c r="G70" s="236"/>
      <c r="H70" s="237"/>
      <c r="I70" s="160">
        <f>ROUND(SUM(I67:I69),2)</f>
        <v>0</v>
      </c>
      <c r="J70" s="161"/>
      <c r="K70" s="236"/>
      <c r="L70" s="237"/>
      <c r="M70" s="160">
        <f>ROUND(SUM(M67:M69),2)</f>
        <v>0</v>
      </c>
      <c r="N70" s="161"/>
      <c r="O70" s="236"/>
      <c r="P70" s="237"/>
      <c r="Q70" s="160">
        <f>ROUND(SUM(Q67:Q69),2)</f>
        <v>0</v>
      </c>
    </row>
    <row r="71" spans="1:17" ht="16.5" thickBot="1" x14ac:dyDescent="0.25">
      <c r="A71" s="186"/>
      <c r="B71" s="172"/>
      <c r="F71" s="251"/>
      <c r="G71" s="251"/>
      <c r="H71" s="251"/>
      <c r="I71" s="251"/>
      <c r="J71" s="251"/>
      <c r="K71" s="251"/>
      <c r="N71" s="187"/>
      <c r="O71" s="251"/>
    </row>
    <row r="72" spans="1:17" ht="16.5" thickBot="1" x14ac:dyDescent="0.3">
      <c r="A72" s="186"/>
      <c r="B72" s="628" t="str">
        <f>B58</f>
        <v>CLIN 0001 (CPIF)                                                    TASK 1.04 MATERIAL - DEVELOPMENT KITS (COTS AND DEVELOPMENTAL)</v>
      </c>
      <c r="C72" s="614" t="s">
        <v>319</v>
      </c>
      <c r="D72" s="615"/>
      <c r="E72" s="616"/>
      <c r="F72" s="175"/>
      <c r="G72" s="614" t="s">
        <v>319</v>
      </c>
      <c r="H72" s="615"/>
      <c r="I72" s="616"/>
      <c r="J72" s="175"/>
      <c r="K72" s="614" t="s">
        <v>319</v>
      </c>
      <c r="L72" s="615"/>
      <c r="M72" s="616"/>
      <c r="N72" s="175"/>
      <c r="O72" s="614" t="s">
        <v>319</v>
      </c>
      <c r="P72" s="615"/>
      <c r="Q72" s="616"/>
    </row>
    <row r="73" spans="1:17" ht="36" customHeight="1" thickBot="1" x14ac:dyDescent="0.3">
      <c r="A73" s="186"/>
      <c r="B73" s="629"/>
      <c r="C73" s="280"/>
      <c r="D73" s="281"/>
      <c r="E73" s="188" t="s">
        <v>294</v>
      </c>
      <c r="F73" s="189"/>
      <c r="G73" s="280"/>
      <c r="H73" s="281"/>
      <c r="I73" s="188" t="s">
        <v>295</v>
      </c>
      <c r="J73" s="189"/>
      <c r="K73" s="280"/>
      <c r="L73" s="281"/>
      <c r="M73" s="188" t="s">
        <v>297</v>
      </c>
      <c r="N73" s="189"/>
      <c r="O73" s="280"/>
      <c r="P73" s="281"/>
      <c r="Q73" s="188" t="s">
        <v>296</v>
      </c>
    </row>
    <row r="74" spans="1:17" x14ac:dyDescent="0.2">
      <c r="A74" s="186"/>
      <c r="B74" s="167" t="s">
        <v>261</v>
      </c>
      <c r="C74" s="282"/>
      <c r="D74" s="282"/>
      <c r="E74" s="190">
        <f>+ROUND(E25+E39+E53+E67,2)</f>
        <v>0</v>
      </c>
      <c r="F74" s="165"/>
      <c r="G74" s="282"/>
      <c r="H74" s="282"/>
      <c r="I74" s="190">
        <f>+ROUND(I25+I39+I53+I67,2)</f>
        <v>0</v>
      </c>
      <c r="J74" s="165"/>
      <c r="K74" s="282"/>
      <c r="L74" s="282"/>
      <c r="M74" s="190">
        <f>+ROUND(M25+M39+M53+M67,2)</f>
        <v>0</v>
      </c>
      <c r="N74" s="165"/>
      <c r="O74" s="282"/>
      <c r="P74" s="282"/>
      <c r="Q74" s="190">
        <f>+ROUND(Q25+Q39+Q53+Q67,2)</f>
        <v>0</v>
      </c>
    </row>
    <row r="75" spans="1:17" x14ac:dyDescent="0.2">
      <c r="A75" s="186"/>
      <c r="B75" s="167" t="s">
        <v>137</v>
      </c>
      <c r="C75" s="282"/>
      <c r="D75" s="282"/>
      <c r="E75" s="168">
        <f>+ROUND(E26+E40+E54+E68,2)</f>
        <v>0</v>
      </c>
      <c r="F75" s="165"/>
      <c r="G75" s="282"/>
      <c r="H75" s="282"/>
      <c r="I75" s="168">
        <f>+ROUND(I26+I40+I54+I68,2)</f>
        <v>0</v>
      </c>
      <c r="J75" s="165"/>
      <c r="K75" s="282"/>
      <c r="L75" s="282"/>
      <c r="M75" s="168">
        <f>+ROUND(M26+M40+M54+M68,2)</f>
        <v>0</v>
      </c>
      <c r="N75" s="165"/>
      <c r="O75" s="282"/>
      <c r="P75" s="282"/>
      <c r="Q75" s="168">
        <f>+ROUND(Q26+Q40+Q54+Q68,2)</f>
        <v>0</v>
      </c>
    </row>
    <row r="76" spans="1:17" x14ac:dyDescent="0.2">
      <c r="A76" s="186"/>
      <c r="B76" s="167" t="s">
        <v>136</v>
      </c>
      <c r="C76" s="282"/>
      <c r="D76" s="282"/>
      <c r="E76" s="169">
        <f>+ROUND(E27+E41+E55+E69,2)</f>
        <v>0</v>
      </c>
      <c r="F76" s="170"/>
      <c r="G76" s="282"/>
      <c r="H76" s="282"/>
      <c r="I76" s="169">
        <f>+ROUND(I27+I41+I55+I69,2)</f>
        <v>0</v>
      </c>
      <c r="J76" s="170"/>
      <c r="K76" s="282"/>
      <c r="L76" s="282"/>
      <c r="M76" s="169">
        <f>+ROUND(M27+M41+M55+M69,2)</f>
        <v>0</v>
      </c>
      <c r="N76" s="170"/>
      <c r="O76" s="282"/>
      <c r="P76" s="282"/>
      <c r="Q76" s="169">
        <f>+ROUND(Q27+Q41+Q55+Q69,2)</f>
        <v>0</v>
      </c>
    </row>
    <row r="77" spans="1:17" ht="32.25" thickBot="1" x14ac:dyDescent="0.3">
      <c r="A77" s="186"/>
      <c r="B77" s="267" t="s">
        <v>485</v>
      </c>
      <c r="C77" s="283"/>
      <c r="D77" s="283"/>
      <c r="E77" s="266">
        <f>SUM(E74:E76)</f>
        <v>0</v>
      </c>
      <c r="F77" s="171"/>
      <c r="G77" s="283"/>
      <c r="H77" s="283"/>
      <c r="I77" s="266">
        <f>SUM(I74:I76)</f>
        <v>0</v>
      </c>
      <c r="J77" s="171"/>
      <c r="K77" s="283"/>
      <c r="L77" s="283"/>
      <c r="M77" s="266">
        <f>SUM(M74:M76)</f>
        <v>0</v>
      </c>
      <c r="N77" s="171"/>
      <c r="O77" s="283"/>
      <c r="P77" s="283"/>
      <c r="Q77" s="266">
        <f>SUM(Q74:Q76)</f>
        <v>0</v>
      </c>
    </row>
    <row r="78" spans="1:17" ht="16.5" thickBot="1" x14ac:dyDescent="0.3"/>
    <row r="79" spans="1:17" ht="31.5" x14ac:dyDescent="0.25">
      <c r="Q79" s="411" t="s">
        <v>486</v>
      </c>
    </row>
    <row r="80" spans="1:17" ht="16.5" thickBot="1" x14ac:dyDescent="0.3">
      <c r="Q80" s="410">
        <f>E77+I77+M77+Q77</f>
        <v>0</v>
      </c>
    </row>
  </sheetData>
  <mergeCells count="46">
    <mergeCell ref="C48:E48"/>
    <mergeCell ref="G48:I48"/>
    <mergeCell ref="K48:M48"/>
    <mergeCell ref="O48:Q48"/>
    <mergeCell ref="B44:B45"/>
    <mergeCell ref="C44:E44"/>
    <mergeCell ref="G44:I44"/>
    <mergeCell ref="K44:M44"/>
    <mergeCell ref="O44:Q44"/>
    <mergeCell ref="C45:E45"/>
    <mergeCell ref="G45:I45"/>
    <mergeCell ref="K45:M45"/>
    <mergeCell ref="O45:Q45"/>
    <mergeCell ref="A3:C3"/>
    <mergeCell ref="B13:B14"/>
    <mergeCell ref="C13:E13"/>
    <mergeCell ref="G13:I13"/>
    <mergeCell ref="K13:M13"/>
    <mergeCell ref="C14:E14"/>
    <mergeCell ref="G14:I14"/>
    <mergeCell ref="K14:M14"/>
    <mergeCell ref="B30:B31"/>
    <mergeCell ref="C30:E30"/>
    <mergeCell ref="G30:I30"/>
    <mergeCell ref="K30:M30"/>
    <mergeCell ref="C31:E31"/>
    <mergeCell ref="G31:I31"/>
    <mergeCell ref="K31:M31"/>
    <mergeCell ref="C59:E59"/>
    <mergeCell ref="G59:I59"/>
    <mergeCell ref="K59:M59"/>
    <mergeCell ref="B72:B73"/>
    <mergeCell ref="C72:E72"/>
    <mergeCell ref="G72:I72"/>
    <mergeCell ref="K72:M72"/>
    <mergeCell ref="B58:B59"/>
    <mergeCell ref="C58:E58"/>
    <mergeCell ref="G58:I58"/>
    <mergeCell ref="K58:M58"/>
    <mergeCell ref="O59:Q59"/>
    <mergeCell ref="O72:Q72"/>
    <mergeCell ref="O13:Q13"/>
    <mergeCell ref="O14:Q14"/>
    <mergeCell ref="O30:Q30"/>
    <mergeCell ref="O31:Q31"/>
    <mergeCell ref="O58:Q58"/>
  </mergeCells>
  <pageMargins left="0.7" right="0.7" top="0.75" bottom="0.75" header="0.3" footer="0.3"/>
  <pageSetup orientation="portrait" horizontalDpi="1200" verticalDpi="120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E112E-C420-425F-94F0-009D693F5DEE}">
  <sheetPr>
    <tabColor theme="0"/>
  </sheetPr>
  <dimension ref="A1:Q80"/>
  <sheetViews>
    <sheetView zoomScale="80" zoomScaleNormal="80" workbookViewId="0">
      <pane ySplit="11" topLeftCell="A61" activePane="bottomLeft" state="frozen"/>
      <selection pane="bottomLeft" activeCell="P65" sqref="P65"/>
    </sheetView>
    <sheetView workbookViewId="1"/>
  </sheetViews>
  <sheetFormatPr defaultColWidth="15.85546875" defaultRowHeight="15.75" x14ac:dyDescent="0.25"/>
  <cols>
    <col min="1" max="1" width="3.42578125" style="191" customWidth="1"/>
    <col min="2" max="2" width="49.140625" style="174" customWidth="1"/>
    <col min="3" max="3" width="18.28515625" style="186" bestFit="1" customWidth="1"/>
    <col min="4" max="4" width="12.42578125" style="186" bestFit="1" customWidth="1"/>
    <col min="5" max="5" width="32.140625" style="186" bestFit="1" customWidth="1"/>
    <col min="6" max="6" width="1" style="186" customWidth="1"/>
    <col min="7" max="7" width="14.28515625" style="186" customWidth="1"/>
    <col min="8" max="8" width="14.5703125" style="186" customWidth="1"/>
    <col min="9" max="9" width="33.28515625" style="186" customWidth="1"/>
    <col min="10" max="10" width="1" style="186" customWidth="1"/>
    <col min="11" max="11" width="16.7109375" style="186" customWidth="1"/>
    <col min="12" max="12" width="16.28515625" style="186" customWidth="1"/>
    <col min="13" max="13" width="34.42578125" style="186" bestFit="1" customWidth="1"/>
    <col min="14" max="14" width="0.85546875" style="186" customWidth="1"/>
    <col min="15" max="16" width="15.85546875" style="186"/>
    <col min="17" max="17" width="34" style="186" bestFit="1" customWidth="1"/>
    <col min="18" max="16384" width="15.85546875" style="186"/>
  </cols>
  <sheetData>
    <row r="1" spans="1:17" ht="16.5" thickBot="1" x14ac:dyDescent="0.3">
      <c r="B1" s="126" t="s">
        <v>626</v>
      </c>
      <c r="C1" s="494" t="str">
        <f>'FFP CLINs X007-X021'!B1</f>
        <v>NAME</v>
      </c>
    </row>
    <row r="2" spans="1:17" ht="16.5" thickBot="1" x14ac:dyDescent="0.3"/>
    <row r="3" spans="1:17" ht="52.5" customHeight="1" thickBot="1" x14ac:dyDescent="0.3">
      <c r="A3" s="557" t="s">
        <v>303</v>
      </c>
      <c r="B3" s="558"/>
      <c r="C3" s="559"/>
      <c r="I3" s="251" t="s">
        <v>149</v>
      </c>
    </row>
    <row r="5" spans="1:17" s="259" customFormat="1" ht="17.25" customHeight="1" x14ac:dyDescent="0.2">
      <c r="A5" s="260"/>
      <c r="B5" s="261" t="s">
        <v>130</v>
      </c>
    </row>
    <row r="6" spans="1:17" s="259" customFormat="1" x14ac:dyDescent="0.25">
      <c r="A6" s="258"/>
      <c r="B6" s="258" t="s">
        <v>606</v>
      </c>
    </row>
    <row r="7" spans="1:17" s="259" customFormat="1" x14ac:dyDescent="0.25">
      <c r="A7" s="258"/>
      <c r="B7" s="258" t="s">
        <v>390</v>
      </c>
    </row>
    <row r="8" spans="1:17" s="259" customFormat="1" x14ac:dyDescent="0.25">
      <c r="A8" s="258"/>
      <c r="B8" s="258" t="s">
        <v>607</v>
      </c>
    </row>
    <row r="9" spans="1:17" s="259" customFormat="1" x14ac:dyDescent="0.25">
      <c r="A9" s="258"/>
      <c r="B9" s="258" t="s">
        <v>608</v>
      </c>
    </row>
    <row r="10" spans="1:17" x14ac:dyDescent="0.25">
      <c r="A10" s="192"/>
      <c r="B10" s="258" t="s">
        <v>609</v>
      </c>
      <c r="C10" s="194"/>
    </row>
    <row r="11" spans="1:17" x14ac:dyDescent="0.25">
      <c r="A11" s="192"/>
      <c r="B11" s="258" t="s">
        <v>487</v>
      </c>
      <c r="C11" s="194"/>
    </row>
    <row r="12" spans="1:17" ht="16.5" thickBot="1" x14ac:dyDescent="0.3"/>
    <row r="13" spans="1:17" ht="16.5" thickBot="1" x14ac:dyDescent="0.3">
      <c r="A13" s="193"/>
      <c r="B13" s="620" t="s">
        <v>488</v>
      </c>
      <c r="C13" s="594" t="s">
        <v>134</v>
      </c>
      <c r="D13" s="595"/>
      <c r="E13" s="596"/>
      <c r="F13" s="151"/>
      <c r="G13" s="594" t="s">
        <v>134</v>
      </c>
      <c r="H13" s="595"/>
      <c r="I13" s="596"/>
      <c r="J13" s="151"/>
      <c r="K13" s="594" t="s">
        <v>134</v>
      </c>
      <c r="L13" s="595"/>
      <c r="M13" s="596"/>
      <c r="N13" s="151"/>
      <c r="O13" s="594" t="s">
        <v>134</v>
      </c>
      <c r="P13" s="595"/>
      <c r="Q13" s="596"/>
    </row>
    <row r="14" spans="1:17" ht="32.25" customHeight="1" thickBot="1" x14ac:dyDescent="0.3">
      <c r="A14" s="193"/>
      <c r="B14" s="621"/>
      <c r="C14" s="617" t="s">
        <v>299</v>
      </c>
      <c r="D14" s="618"/>
      <c r="E14" s="619"/>
      <c r="F14" s="152"/>
      <c r="G14" s="617" t="s">
        <v>300</v>
      </c>
      <c r="H14" s="618"/>
      <c r="I14" s="619"/>
      <c r="J14" s="152"/>
      <c r="K14" s="617" t="s">
        <v>301</v>
      </c>
      <c r="L14" s="618"/>
      <c r="M14" s="619"/>
      <c r="N14" s="152"/>
      <c r="O14" s="617" t="s">
        <v>302</v>
      </c>
      <c r="P14" s="618"/>
      <c r="Q14" s="619"/>
    </row>
    <row r="15" spans="1:17" x14ac:dyDescent="0.25">
      <c r="A15" s="193"/>
      <c r="B15" s="153" t="s">
        <v>110</v>
      </c>
      <c r="C15" s="153" t="s">
        <v>91</v>
      </c>
      <c r="D15" s="154" t="s">
        <v>133</v>
      </c>
      <c r="E15" s="155" t="s">
        <v>139</v>
      </c>
      <c r="F15" s="156"/>
      <c r="G15" s="153" t="s">
        <v>91</v>
      </c>
      <c r="H15" s="154" t="s">
        <v>133</v>
      </c>
      <c r="I15" s="155" t="s">
        <v>139</v>
      </c>
      <c r="J15" s="156"/>
      <c r="K15" s="153" t="s">
        <v>91</v>
      </c>
      <c r="L15" s="154" t="s">
        <v>133</v>
      </c>
      <c r="M15" s="155" t="s">
        <v>139</v>
      </c>
      <c r="N15" s="156"/>
      <c r="O15" s="153" t="s">
        <v>91</v>
      </c>
      <c r="P15" s="154" t="s">
        <v>133</v>
      </c>
      <c r="Q15" s="155" t="s">
        <v>139</v>
      </c>
    </row>
    <row r="16" spans="1:17" ht="30" customHeight="1" thickBot="1" x14ac:dyDescent="0.3">
      <c r="A16" s="193"/>
      <c r="B16" s="203" t="s">
        <v>558</v>
      </c>
      <c r="C16" s="289"/>
      <c r="D16" s="290"/>
      <c r="E16" s="291"/>
      <c r="F16" s="156"/>
      <c r="G16" s="289"/>
      <c r="H16" s="290"/>
      <c r="I16" s="291"/>
      <c r="J16" s="156"/>
      <c r="K16" s="289"/>
      <c r="L16" s="290"/>
      <c r="M16" s="291"/>
      <c r="N16" s="156"/>
      <c r="O16" s="289"/>
      <c r="P16" s="290"/>
      <c r="Q16" s="291"/>
    </row>
    <row r="17" spans="1:17" ht="16.5" thickBot="1" x14ac:dyDescent="0.3">
      <c r="A17" s="193"/>
      <c r="B17" s="299" t="s">
        <v>151</v>
      </c>
      <c r="C17" s="163">
        <f>'PRIME CPIF LABOR INPUTS'!D112</f>
        <v>0</v>
      </c>
      <c r="D17" s="205"/>
      <c r="E17" s="164">
        <f>'PRIME CPIF LABOR INPUTS'!F112</f>
        <v>0</v>
      </c>
      <c r="F17" s="165"/>
      <c r="G17" s="163">
        <f>'PRIME CPIF LABOR INPUTS'!H112</f>
        <v>0</v>
      </c>
      <c r="H17" s="205"/>
      <c r="I17" s="164">
        <f>'PRIME CPIF LABOR INPUTS'!J112</f>
        <v>0</v>
      </c>
      <c r="J17" s="165"/>
      <c r="K17" s="163">
        <f>'PRIME CPIF LABOR INPUTS'!L112</f>
        <v>0</v>
      </c>
      <c r="L17" s="205"/>
      <c r="M17" s="164">
        <f>'PRIME CPIF LABOR INPUTS'!N112</f>
        <v>0</v>
      </c>
      <c r="N17" s="165"/>
      <c r="O17" s="163">
        <f>'PRIME CPIF LABOR INPUTS'!P112</f>
        <v>0</v>
      </c>
      <c r="P17" s="205"/>
      <c r="Q17" s="164">
        <f>'PRIME CPIF LABOR INPUTS'!R112</f>
        <v>0</v>
      </c>
    </row>
    <row r="18" spans="1:17" x14ac:dyDescent="0.25">
      <c r="A18" s="193"/>
      <c r="B18" s="204"/>
      <c r="C18" s="153" t="s">
        <v>399</v>
      </c>
      <c r="D18" s="154" t="s">
        <v>396</v>
      </c>
      <c r="E18" s="155" t="s">
        <v>398</v>
      </c>
      <c r="F18" s="166"/>
      <c r="G18" s="153" t="s">
        <v>399</v>
      </c>
      <c r="H18" s="154" t="s">
        <v>396</v>
      </c>
      <c r="I18" s="155" t="s">
        <v>398</v>
      </c>
      <c r="J18" s="166"/>
      <c r="K18" s="153" t="s">
        <v>399</v>
      </c>
      <c r="L18" s="154" t="s">
        <v>396</v>
      </c>
      <c r="M18" s="155" t="s">
        <v>398</v>
      </c>
      <c r="N18" s="166"/>
      <c r="O18" s="153" t="s">
        <v>399</v>
      </c>
      <c r="P18" s="154" t="s">
        <v>396</v>
      </c>
      <c r="Q18" s="155" t="s">
        <v>398</v>
      </c>
    </row>
    <row r="19" spans="1:17" ht="39" customHeight="1" x14ac:dyDescent="0.25">
      <c r="A19" s="193"/>
      <c r="B19" s="344" t="s">
        <v>611</v>
      </c>
      <c r="C19" s="289"/>
      <c r="D19" s="290"/>
      <c r="E19" s="291"/>
      <c r="F19" s="202"/>
      <c r="G19" s="289"/>
      <c r="H19" s="290"/>
      <c r="I19" s="291"/>
      <c r="J19" s="202"/>
      <c r="K19" s="289"/>
      <c r="L19" s="290"/>
      <c r="M19" s="291"/>
      <c r="N19" s="202"/>
      <c r="O19" s="289"/>
      <c r="P19" s="290"/>
      <c r="Q19" s="291"/>
    </row>
    <row r="20" spans="1:17" x14ac:dyDescent="0.25">
      <c r="A20" s="193"/>
      <c r="B20" s="167" t="str">
        <f>'PRIME CPIF RATES (ALL)'!B35</f>
        <v>Indirect Labor Category:  [Labor Fringe]</v>
      </c>
      <c r="C20" s="215">
        <f>+E17</f>
        <v>0</v>
      </c>
      <c r="D20" s="243">
        <f>'PRIME CPIF RATES (ALL)'!C35</f>
        <v>0</v>
      </c>
      <c r="E20" s="168">
        <f>ROUND(C20*D20,2)</f>
        <v>0</v>
      </c>
      <c r="F20" s="165"/>
      <c r="G20" s="215">
        <f>+I17</f>
        <v>0</v>
      </c>
      <c r="H20" s="243">
        <f>'PRIME CPIF RATES (ALL)'!D35</f>
        <v>0</v>
      </c>
      <c r="I20" s="168">
        <f>ROUND(G20*H20,2)</f>
        <v>0</v>
      </c>
      <c r="J20" s="165"/>
      <c r="K20" s="215">
        <f>+M17</f>
        <v>0</v>
      </c>
      <c r="L20" s="243">
        <f>'PRIME CPIF RATES (ALL)'!E35</f>
        <v>0</v>
      </c>
      <c r="M20" s="168">
        <f>ROUND(K20*L20,2)</f>
        <v>0</v>
      </c>
      <c r="N20" s="165"/>
      <c r="O20" s="215">
        <f>+Q17</f>
        <v>0</v>
      </c>
      <c r="P20" s="243">
        <f>'PRIME CPIF RATES (ALL)'!F35</f>
        <v>0</v>
      </c>
      <c r="Q20" s="168">
        <f>ROUND(O20*P20,2)</f>
        <v>0</v>
      </c>
    </row>
    <row r="21" spans="1:17" x14ac:dyDescent="0.25">
      <c r="A21" s="193"/>
      <c r="B21" s="167" t="str">
        <f>'PRIME CPIF RATES (ALL)'!B36</f>
        <v>Indirect Labor Category: [Labor Overhead]</v>
      </c>
      <c r="C21" s="215">
        <f>+C20+E20</f>
        <v>0</v>
      </c>
      <c r="D21" s="243">
        <f>'PRIME CPIF RATES (ALL)'!C36</f>
        <v>0</v>
      </c>
      <c r="E21" s="168">
        <f>ROUND(C21*D21,2)</f>
        <v>0</v>
      </c>
      <c r="F21" s="165"/>
      <c r="G21" s="215">
        <f>+G20+I20</f>
        <v>0</v>
      </c>
      <c r="H21" s="243">
        <f>'PRIME CPIF RATES (ALL)'!D36</f>
        <v>0</v>
      </c>
      <c r="I21" s="168">
        <f>ROUND(G21*H21,2)</f>
        <v>0</v>
      </c>
      <c r="J21" s="165"/>
      <c r="K21" s="215">
        <f>+K20+M20</f>
        <v>0</v>
      </c>
      <c r="L21" s="243">
        <f>'PRIME CPIF RATES (ALL)'!E36</f>
        <v>0</v>
      </c>
      <c r="M21" s="168">
        <f>ROUND(K21*L21,2)</f>
        <v>0</v>
      </c>
      <c r="N21" s="165"/>
      <c r="O21" s="215">
        <f>+O20+Q20</f>
        <v>0</v>
      </c>
      <c r="P21" s="243">
        <f>'PRIME CPIF RATES (ALL)'!F36</f>
        <v>0</v>
      </c>
      <c r="Q21" s="168">
        <f>ROUND(O21*P21,2)</f>
        <v>0</v>
      </c>
    </row>
    <row r="22" spans="1:17" x14ac:dyDescent="0.25">
      <c r="A22" s="193"/>
      <c r="B22" s="167" t="str">
        <f>'PRIME CPIF RATES (ALL)'!B37</f>
        <v>Indirect Labor Category: [G&amp;A]</v>
      </c>
      <c r="C22" s="215">
        <f>+C21+E21</f>
        <v>0</v>
      </c>
      <c r="D22" s="243">
        <f>'PRIME CPIF RATES (ALL)'!C37</f>
        <v>0</v>
      </c>
      <c r="E22" s="168">
        <f>ROUND(C22*D22,2)</f>
        <v>0</v>
      </c>
      <c r="F22" s="165"/>
      <c r="G22" s="215">
        <f>+G21+I21</f>
        <v>0</v>
      </c>
      <c r="H22" s="243">
        <f>'PRIME CPIF RATES (ALL)'!D37</f>
        <v>0</v>
      </c>
      <c r="I22" s="168">
        <f>ROUND(G22*H22,2)</f>
        <v>0</v>
      </c>
      <c r="J22" s="165"/>
      <c r="K22" s="215">
        <f>+K21+M21</f>
        <v>0</v>
      </c>
      <c r="L22" s="243">
        <f>'PRIME CPIF RATES (ALL)'!E37</f>
        <v>0</v>
      </c>
      <c r="M22" s="168">
        <f>ROUND(K22*L22,2)</f>
        <v>0</v>
      </c>
      <c r="N22" s="165"/>
      <c r="O22" s="215">
        <f>+O21+Q21</f>
        <v>0</v>
      </c>
      <c r="P22" s="243">
        <f>'PRIME CPIF RATES (ALL)'!F37</f>
        <v>0</v>
      </c>
      <c r="Q22" s="168">
        <f>ROUND(O22*P22,2)</f>
        <v>0</v>
      </c>
    </row>
    <row r="23" spans="1:17" x14ac:dyDescent="0.25">
      <c r="A23" s="193"/>
      <c r="B23" s="167" t="str">
        <f>'PRIME CPIF RATES (ALL)'!B38</f>
        <v>Indirect Labor Category: [FCCOM]</v>
      </c>
      <c r="C23" s="215">
        <f>C22+E22</f>
        <v>0</v>
      </c>
      <c r="D23" s="243">
        <f>'PRIME CPIF RATES (ALL)'!C38</f>
        <v>0</v>
      </c>
      <c r="E23" s="168">
        <f>ROUND(C23*D23,2)</f>
        <v>0</v>
      </c>
      <c r="F23" s="165"/>
      <c r="G23" s="215">
        <f>G22+I22</f>
        <v>0</v>
      </c>
      <c r="H23" s="243">
        <f>'PRIME CPIF RATES (ALL)'!D38</f>
        <v>0</v>
      </c>
      <c r="I23" s="168">
        <f>ROUND(G23*H23,2)</f>
        <v>0</v>
      </c>
      <c r="J23" s="165"/>
      <c r="K23" s="215">
        <f>K22+M22</f>
        <v>0</v>
      </c>
      <c r="L23" s="243">
        <f>'PRIME CPIF RATES (ALL)'!E38</f>
        <v>0</v>
      </c>
      <c r="M23" s="168">
        <f>ROUND(K23*L23,2)</f>
        <v>0</v>
      </c>
      <c r="N23" s="165"/>
      <c r="O23" s="215">
        <f>O22+Q22</f>
        <v>0</v>
      </c>
      <c r="P23" s="243">
        <f>'PRIME CPIF RATES (ALL)'!F38</f>
        <v>0</v>
      </c>
      <c r="Q23" s="168">
        <f>ROUND(O23*P23,2)</f>
        <v>0</v>
      </c>
    </row>
    <row r="24" spans="1:17" x14ac:dyDescent="0.25">
      <c r="A24" s="193"/>
      <c r="B24" s="167" t="str">
        <f>'PRIME CPIF RATES (ALL)'!B39</f>
        <v>Indirect Labor Category: [Target Fee]</v>
      </c>
      <c r="C24" s="215">
        <f>+C22+E22</f>
        <v>0</v>
      </c>
      <c r="D24" s="243">
        <f>'PRIME CPIF RATES (ALL)'!C39</f>
        <v>0</v>
      </c>
      <c r="E24" s="168">
        <f>ROUND(C24*D24,2)</f>
        <v>0</v>
      </c>
      <c r="F24" s="165"/>
      <c r="G24" s="215">
        <f>+G22+I22</f>
        <v>0</v>
      </c>
      <c r="H24" s="243">
        <f>'PRIME CPIF RATES (ALL)'!D39</f>
        <v>0</v>
      </c>
      <c r="I24" s="168">
        <f>ROUND(G24*H24,2)</f>
        <v>0</v>
      </c>
      <c r="J24" s="165"/>
      <c r="K24" s="215">
        <f>+K22+M22</f>
        <v>0</v>
      </c>
      <c r="L24" s="243">
        <f>'PRIME CPIF RATES (ALL)'!E39</f>
        <v>0</v>
      </c>
      <c r="M24" s="168">
        <f>ROUND(K24*L24,2)</f>
        <v>0</v>
      </c>
      <c r="N24" s="165"/>
      <c r="O24" s="215">
        <f>+O22+Q22</f>
        <v>0</v>
      </c>
      <c r="P24" s="243">
        <f>'PRIME CPIF RATES (ALL)'!F39</f>
        <v>0</v>
      </c>
      <c r="Q24" s="168">
        <f>ROUND(O24*P24,2)</f>
        <v>0</v>
      </c>
    </row>
    <row r="25" spans="1:17" x14ac:dyDescent="0.25">
      <c r="A25" s="193"/>
      <c r="B25" s="262" t="s">
        <v>258</v>
      </c>
      <c r="C25" s="210"/>
      <c r="D25" s="211"/>
      <c r="E25" s="230">
        <f>ROUND(SUM(E17,E20,E21,E22),2)</f>
        <v>0</v>
      </c>
      <c r="F25" s="165"/>
      <c r="G25" s="206"/>
      <c r="H25" s="207"/>
      <c r="I25" s="230">
        <f>ROUND(SUM(I17,I20,I21,I22),2)</f>
        <v>0</v>
      </c>
      <c r="J25" s="165"/>
      <c r="K25" s="206"/>
      <c r="L25" s="207"/>
      <c r="M25" s="230">
        <f>ROUND(SUM(M17,M20,M21,M22),2)</f>
        <v>0</v>
      </c>
      <c r="N25" s="165"/>
      <c r="O25" s="206"/>
      <c r="P25" s="207"/>
      <c r="Q25" s="230">
        <f>ROUND(SUM(Q17,Q20,Q21,Q22),2)</f>
        <v>0</v>
      </c>
    </row>
    <row r="26" spans="1:17" x14ac:dyDescent="0.25">
      <c r="A26" s="193"/>
      <c r="B26" s="262" t="s">
        <v>137</v>
      </c>
      <c r="C26" s="210"/>
      <c r="D26" s="211"/>
      <c r="E26" s="230">
        <f>ROUND(E23,2)</f>
        <v>0</v>
      </c>
      <c r="F26" s="165"/>
      <c r="G26" s="206"/>
      <c r="H26" s="207"/>
      <c r="I26" s="230">
        <f>ROUND(I23,2)</f>
        <v>0</v>
      </c>
      <c r="J26" s="165"/>
      <c r="K26" s="206"/>
      <c r="L26" s="207"/>
      <c r="M26" s="230">
        <f>ROUND(M23,2)</f>
        <v>0</v>
      </c>
      <c r="N26" s="165"/>
      <c r="O26" s="206"/>
      <c r="P26" s="207"/>
      <c r="Q26" s="230">
        <f>ROUND(Q23,2)</f>
        <v>0</v>
      </c>
    </row>
    <row r="27" spans="1:17" x14ac:dyDescent="0.25">
      <c r="A27" s="193"/>
      <c r="B27" s="262" t="s">
        <v>136</v>
      </c>
      <c r="C27" s="210"/>
      <c r="D27" s="211"/>
      <c r="E27" s="245">
        <f>ROUND(E24,2)</f>
        <v>0</v>
      </c>
      <c r="F27" s="170"/>
      <c r="G27" s="206"/>
      <c r="H27" s="207"/>
      <c r="I27" s="245">
        <f>ROUND(I24,2)</f>
        <v>0</v>
      </c>
      <c r="J27" s="170"/>
      <c r="K27" s="206"/>
      <c r="L27" s="207"/>
      <c r="M27" s="245">
        <f>ROUND(M24,2)</f>
        <v>0</v>
      </c>
      <c r="N27" s="170"/>
      <c r="O27" s="206"/>
      <c r="P27" s="207"/>
      <c r="Q27" s="245">
        <f>ROUND(Q24,2)</f>
        <v>0</v>
      </c>
    </row>
    <row r="28" spans="1:17" ht="16.5" thickBot="1" x14ac:dyDescent="0.3">
      <c r="A28" s="193"/>
      <c r="B28" s="263" t="s">
        <v>138</v>
      </c>
      <c r="C28" s="212"/>
      <c r="D28" s="213"/>
      <c r="E28" s="246">
        <f>ROUND(SUM(E25:E27),2)</f>
        <v>0</v>
      </c>
      <c r="F28" s="171"/>
      <c r="G28" s="208"/>
      <c r="H28" s="209"/>
      <c r="I28" s="246">
        <f>ROUND(SUM(I25:I27),2)</f>
        <v>0</v>
      </c>
      <c r="J28" s="171"/>
      <c r="K28" s="208"/>
      <c r="L28" s="209"/>
      <c r="M28" s="246">
        <f>ROUND(SUM(M25:M27),2)</f>
        <v>0</v>
      </c>
      <c r="N28" s="171"/>
      <c r="O28" s="208"/>
      <c r="P28" s="209"/>
      <c r="Q28" s="246">
        <f>ROUND(SUM(Q25:Q27),2)</f>
        <v>0</v>
      </c>
    </row>
    <row r="29" spans="1:17" ht="16.5" thickBot="1" x14ac:dyDescent="0.3">
      <c r="A29" s="193"/>
      <c r="B29" s="172"/>
      <c r="C29" s="173"/>
      <c r="D29" s="173"/>
      <c r="E29" s="256"/>
      <c r="F29" s="256"/>
      <c r="G29" s="256"/>
      <c r="H29" s="256"/>
      <c r="I29" s="256"/>
      <c r="J29" s="256"/>
      <c r="K29" s="256"/>
      <c r="L29" s="173"/>
      <c r="M29" s="173"/>
      <c r="N29" s="165"/>
      <c r="O29" s="256"/>
      <c r="P29" s="173"/>
      <c r="Q29" s="173"/>
    </row>
    <row r="30" spans="1:17" ht="16.5" customHeight="1" thickBot="1" x14ac:dyDescent="0.3">
      <c r="A30" s="193"/>
      <c r="B30" s="620" t="str">
        <f>B13</f>
        <v>CLIN 0001 (CPIF)                                                    TASK 1.05 PROTOTYPE SUPPORT, INSTALLATION, AND CHECKOUT</v>
      </c>
      <c r="C30" s="594" t="s">
        <v>145</v>
      </c>
      <c r="D30" s="595"/>
      <c r="E30" s="596"/>
      <c r="F30" s="175"/>
      <c r="G30" s="594" t="s">
        <v>145</v>
      </c>
      <c r="H30" s="595"/>
      <c r="I30" s="596"/>
      <c r="J30" s="175"/>
      <c r="K30" s="594" t="s">
        <v>145</v>
      </c>
      <c r="L30" s="595"/>
      <c r="M30" s="596"/>
      <c r="N30" s="175"/>
      <c r="O30" s="594" t="s">
        <v>145</v>
      </c>
      <c r="P30" s="595"/>
      <c r="Q30" s="596"/>
    </row>
    <row r="31" spans="1:17" ht="32.25" customHeight="1" thickBot="1" x14ac:dyDescent="0.3">
      <c r="A31" s="193"/>
      <c r="B31" s="621"/>
      <c r="C31" s="617" t="str">
        <f>C14</f>
        <v>CLIN 0001 - Basic Period (Year 1)</v>
      </c>
      <c r="D31" s="618"/>
      <c r="E31" s="619"/>
      <c r="F31" s="176"/>
      <c r="G31" s="617" t="str">
        <f>G14</f>
        <v>CLIN 0001 - Basic Period (Year 2)</v>
      </c>
      <c r="H31" s="618"/>
      <c r="I31" s="619"/>
      <c r="J31" s="176"/>
      <c r="K31" s="617" t="str">
        <f>K14</f>
        <v>CLIN 0001 - Basic Period (Year 3)</v>
      </c>
      <c r="L31" s="618"/>
      <c r="M31" s="619"/>
      <c r="N31" s="176"/>
      <c r="O31" s="617" t="str">
        <f>O14</f>
        <v>CLIN 0001 - Basic Period (Year 4)</v>
      </c>
      <c r="P31" s="618"/>
      <c r="Q31" s="619"/>
    </row>
    <row r="32" spans="1:17" x14ac:dyDescent="0.25">
      <c r="A32" s="193"/>
      <c r="B32" s="247"/>
      <c r="C32" s="153" t="s">
        <v>399</v>
      </c>
      <c r="D32" s="154" t="s">
        <v>396</v>
      </c>
      <c r="E32" s="155" t="s">
        <v>152</v>
      </c>
      <c r="F32" s="166"/>
      <c r="G32" s="153" t="s">
        <v>399</v>
      </c>
      <c r="H32" s="154" t="s">
        <v>396</v>
      </c>
      <c r="I32" s="155" t="s">
        <v>152</v>
      </c>
      <c r="J32" s="166"/>
      <c r="K32" s="153" t="s">
        <v>399</v>
      </c>
      <c r="L32" s="154" t="s">
        <v>396</v>
      </c>
      <c r="M32" s="155" t="s">
        <v>152</v>
      </c>
      <c r="N32" s="166"/>
      <c r="O32" s="153" t="s">
        <v>399</v>
      </c>
      <c r="P32" s="154" t="s">
        <v>396</v>
      </c>
      <c r="Q32" s="155" t="s">
        <v>152</v>
      </c>
    </row>
    <row r="33" spans="1:17" ht="51.75" x14ac:dyDescent="0.25">
      <c r="A33" s="193"/>
      <c r="B33" s="300" t="s">
        <v>612</v>
      </c>
      <c r="C33" s="231"/>
      <c r="D33" s="232"/>
      <c r="E33" s="400">
        <f>'PRIME CPIF TOTAL MATERIAL'!E15</f>
        <v>0</v>
      </c>
      <c r="F33" s="165"/>
      <c r="G33" s="231"/>
      <c r="H33" s="232"/>
      <c r="I33" s="400">
        <f>'PRIME CPIF TOTAL MATERIAL'!G15</f>
        <v>0</v>
      </c>
      <c r="J33" s="165"/>
      <c r="K33" s="231"/>
      <c r="L33" s="232"/>
      <c r="M33" s="400">
        <f>'PRIME CPIF TOTAL MATERIAL'!I15</f>
        <v>0</v>
      </c>
      <c r="N33" s="165"/>
      <c r="O33" s="231"/>
      <c r="P33" s="232"/>
      <c r="Q33" s="400">
        <f>'PRIME CPIF TOTAL MATERIAL'!K15</f>
        <v>0</v>
      </c>
    </row>
    <row r="34" spans="1:17" ht="67.5" customHeight="1" x14ac:dyDescent="0.25">
      <c r="A34" s="193"/>
      <c r="B34" s="344" t="s">
        <v>389</v>
      </c>
      <c r="C34" s="405"/>
      <c r="D34" s="406"/>
      <c r="E34" s="400"/>
      <c r="F34" s="165"/>
      <c r="G34" s="405"/>
      <c r="H34" s="406"/>
      <c r="I34" s="400"/>
      <c r="J34" s="165"/>
      <c r="K34" s="405"/>
      <c r="L34" s="406"/>
      <c r="M34" s="400"/>
      <c r="N34" s="165"/>
      <c r="O34" s="405"/>
      <c r="P34" s="406"/>
      <c r="Q34" s="400"/>
    </row>
    <row r="35" spans="1:17" x14ac:dyDescent="0.25">
      <c r="A35" s="193"/>
      <c r="B35" s="167" t="str">
        <f>'PRIME CPIF RATES (ALL)'!B52</f>
        <v>Indirect Category: [Material Overhead]</v>
      </c>
      <c r="C35" s="215">
        <f>+E33</f>
        <v>0</v>
      </c>
      <c r="D35" s="243">
        <f>'PRIME CPIF RATES (ALL)'!C52</f>
        <v>0</v>
      </c>
      <c r="E35" s="168">
        <f>ROUND(C35*D35,2)</f>
        <v>0</v>
      </c>
      <c r="F35" s="178"/>
      <c r="G35" s="215">
        <f>+I33</f>
        <v>0</v>
      </c>
      <c r="H35" s="243">
        <f>'PRIME CPIF RATES (ALL)'!D52</f>
        <v>0</v>
      </c>
      <c r="I35" s="168">
        <f>ROUND(G35*H35,2)</f>
        <v>0</v>
      </c>
      <c r="J35" s="178"/>
      <c r="K35" s="215">
        <f>+M33</f>
        <v>0</v>
      </c>
      <c r="L35" s="243">
        <f>'PRIME CPIF RATES (ALL)'!E52</f>
        <v>0</v>
      </c>
      <c r="M35" s="168">
        <f>ROUND(K35*L35,2)</f>
        <v>0</v>
      </c>
      <c r="N35" s="178"/>
      <c r="O35" s="215">
        <f>+Q33</f>
        <v>0</v>
      </c>
      <c r="P35" s="243">
        <f>'PRIME CPIF RATES (ALL)'!F52</f>
        <v>0</v>
      </c>
      <c r="Q35" s="168">
        <f>ROUND(O35*P35,2)</f>
        <v>0</v>
      </c>
    </row>
    <row r="36" spans="1:17" x14ac:dyDescent="0.25">
      <c r="A36" s="193"/>
      <c r="B36" s="167" t="str">
        <f>'PRIME CPIF RATES (ALL)'!B53</f>
        <v>Indirect Category: [G&amp;A]</v>
      </c>
      <c r="C36" s="215">
        <f>+C35+E35</f>
        <v>0</v>
      </c>
      <c r="D36" s="243">
        <f>'PRIME CPIF RATES (ALL)'!C53</f>
        <v>0</v>
      </c>
      <c r="E36" s="168">
        <f>ROUND(C36*D36,2)</f>
        <v>0</v>
      </c>
      <c r="F36" s="178"/>
      <c r="G36" s="215">
        <f>+G35+I35</f>
        <v>0</v>
      </c>
      <c r="H36" s="243">
        <f>'PRIME CPIF RATES (ALL)'!D53</f>
        <v>0</v>
      </c>
      <c r="I36" s="168">
        <f>ROUND(G36*H36,2)</f>
        <v>0</v>
      </c>
      <c r="J36" s="178"/>
      <c r="K36" s="215">
        <f>+K35+M35</f>
        <v>0</v>
      </c>
      <c r="L36" s="243">
        <f>'PRIME CPIF RATES (ALL)'!E53</f>
        <v>0</v>
      </c>
      <c r="M36" s="168">
        <f>ROUND(K36*L36,2)</f>
        <v>0</v>
      </c>
      <c r="N36" s="178"/>
      <c r="O36" s="215">
        <f>+O35+Q35</f>
        <v>0</v>
      </c>
      <c r="P36" s="243">
        <f>'PRIME CPIF RATES (ALL)'!F53</f>
        <v>0</v>
      </c>
      <c r="Q36" s="168">
        <f>ROUND(O36*P36,2)</f>
        <v>0</v>
      </c>
    </row>
    <row r="37" spans="1:17" x14ac:dyDescent="0.25">
      <c r="A37" s="193"/>
      <c r="B37" s="167" t="str">
        <f>'PRIME CPIF RATES (ALL)'!B54</f>
        <v>Indirect Category: [FCCOM]</v>
      </c>
      <c r="C37" s="215">
        <f>C36+E36</f>
        <v>0</v>
      </c>
      <c r="D37" s="243">
        <f>'PRIME CPIF RATES (ALL)'!C54</f>
        <v>0</v>
      </c>
      <c r="E37" s="168">
        <f>ROUND(C37*D37,2)</f>
        <v>0</v>
      </c>
      <c r="F37" s="165"/>
      <c r="G37" s="215">
        <f>G36+I36</f>
        <v>0</v>
      </c>
      <c r="H37" s="243">
        <f>'PRIME CPIF RATES (ALL)'!D54</f>
        <v>0</v>
      </c>
      <c r="I37" s="168">
        <f>ROUND(G37*H37,2)</f>
        <v>0</v>
      </c>
      <c r="J37" s="165"/>
      <c r="K37" s="215">
        <f>K36+M36</f>
        <v>0</v>
      </c>
      <c r="L37" s="243">
        <f>'PRIME CPIF RATES (ALL)'!E54</f>
        <v>0</v>
      </c>
      <c r="M37" s="168">
        <f>ROUND(K37*L37,2)</f>
        <v>0</v>
      </c>
      <c r="N37" s="165"/>
      <c r="O37" s="215">
        <f>O36+Q36</f>
        <v>0</v>
      </c>
      <c r="P37" s="243">
        <f>'PRIME CPIF RATES (ALL)'!F54</f>
        <v>0</v>
      </c>
      <c r="Q37" s="168">
        <f>ROUND(O37*P37,2)</f>
        <v>0</v>
      </c>
    </row>
    <row r="38" spans="1:17" x14ac:dyDescent="0.25">
      <c r="A38" s="193"/>
      <c r="B38" s="167" t="str">
        <f>'PRIME CPIF RATES (ALL)'!B55</f>
        <v>Indirect Category: [Target Fee]</v>
      </c>
      <c r="C38" s="215">
        <f>+C36+E36</f>
        <v>0</v>
      </c>
      <c r="D38" s="243">
        <f>'PRIME CPIF RATES (ALL)'!C55</f>
        <v>0</v>
      </c>
      <c r="E38" s="168">
        <f>ROUND(C38*D38,2)</f>
        <v>0</v>
      </c>
      <c r="F38" s="165"/>
      <c r="G38" s="215">
        <f>+G36+I36</f>
        <v>0</v>
      </c>
      <c r="H38" s="243">
        <f>'PRIME CPIF RATES (ALL)'!D55</f>
        <v>0</v>
      </c>
      <c r="I38" s="168">
        <f>ROUND(G38*H38,2)</f>
        <v>0</v>
      </c>
      <c r="J38" s="165"/>
      <c r="K38" s="215">
        <f>+K36+M36</f>
        <v>0</v>
      </c>
      <c r="L38" s="243">
        <f>'PRIME CPIF RATES (ALL)'!E55</f>
        <v>0</v>
      </c>
      <c r="M38" s="168">
        <f>ROUND(K38*L38,2)</f>
        <v>0</v>
      </c>
      <c r="N38" s="165"/>
      <c r="O38" s="215">
        <f>+O36+Q36</f>
        <v>0</v>
      </c>
      <c r="P38" s="243">
        <f>'PRIME CPIF RATES (ALL)'!F55</f>
        <v>0</v>
      </c>
      <c r="Q38" s="168">
        <f>ROUND(O38*P38,2)</f>
        <v>0</v>
      </c>
    </row>
    <row r="39" spans="1:17" x14ac:dyDescent="0.25">
      <c r="A39" s="193"/>
      <c r="B39" s="241" t="s">
        <v>259</v>
      </c>
      <c r="C39" s="233"/>
      <c r="D39" s="234"/>
      <c r="E39" s="168">
        <f>ROUND(SUM(E33:E36),2)</f>
        <v>0</v>
      </c>
      <c r="F39" s="165"/>
      <c r="G39" s="233"/>
      <c r="H39" s="234"/>
      <c r="I39" s="168">
        <f>ROUND(SUM(I33:I36),2)</f>
        <v>0</v>
      </c>
      <c r="J39" s="165"/>
      <c r="K39" s="233"/>
      <c r="L39" s="234"/>
      <c r="M39" s="168">
        <f>ROUND(SUM(M33:M36),2)</f>
        <v>0</v>
      </c>
      <c r="N39" s="165"/>
      <c r="O39" s="233"/>
      <c r="P39" s="234"/>
      <c r="Q39" s="168">
        <f>ROUND(SUM(Q33:Q36),2)</f>
        <v>0</v>
      </c>
    </row>
    <row r="40" spans="1:17" x14ac:dyDescent="0.25">
      <c r="A40" s="193"/>
      <c r="B40" s="241" t="s">
        <v>137</v>
      </c>
      <c r="C40" s="231"/>
      <c r="D40" s="235"/>
      <c r="E40" s="168">
        <f>ROUND(E37,2)</f>
        <v>0</v>
      </c>
      <c r="F40" s="165"/>
      <c r="G40" s="231"/>
      <c r="H40" s="235"/>
      <c r="I40" s="168">
        <f>ROUND(I37,2)</f>
        <v>0</v>
      </c>
      <c r="J40" s="165"/>
      <c r="K40" s="231"/>
      <c r="L40" s="235"/>
      <c r="M40" s="168">
        <f>ROUND(M37,2)</f>
        <v>0</v>
      </c>
      <c r="N40" s="165"/>
      <c r="O40" s="231"/>
      <c r="P40" s="235"/>
      <c r="Q40" s="168">
        <f>ROUND(Q37,2)</f>
        <v>0</v>
      </c>
    </row>
    <row r="41" spans="1:17" x14ac:dyDescent="0.2">
      <c r="B41" s="241" t="s">
        <v>136</v>
      </c>
      <c r="C41" s="231"/>
      <c r="D41" s="235"/>
      <c r="E41" s="182">
        <f>ROUND(E38,2)</f>
        <v>0</v>
      </c>
      <c r="F41" s="183"/>
      <c r="G41" s="231"/>
      <c r="H41" s="235"/>
      <c r="I41" s="182">
        <f>ROUND(I38,2)</f>
        <v>0</v>
      </c>
      <c r="J41" s="183"/>
      <c r="K41" s="231"/>
      <c r="L41" s="235"/>
      <c r="M41" s="182">
        <f>ROUND(M38,2)</f>
        <v>0</v>
      </c>
      <c r="N41" s="183"/>
      <c r="O41" s="231"/>
      <c r="P41" s="235"/>
      <c r="Q41" s="182">
        <f>ROUND(Q38,2)</f>
        <v>0</v>
      </c>
    </row>
    <row r="42" spans="1:17" ht="16.5" thickBot="1" x14ac:dyDescent="0.25">
      <c r="B42" s="242" t="s">
        <v>243</v>
      </c>
      <c r="C42" s="236"/>
      <c r="D42" s="237"/>
      <c r="E42" s="160">
        <f>SUM(E39:E41)</f>
        <v>0</v>
      </c>
      <c r="F42" s="161"/>
      <c r="G42" s="236"/>
      <c r="H42" s="237"/>
      <c r="I42" s="160">
        <f>SUM(I39:I41)</f>
        <v>0</v>
      </c>
      <c r="J42" s="161"/>
      <c r="K42" s="236"/>
      <c r="L42" s="237"/>
      <c r="M42" s="160">
        <f>SUM(M39:M41)</f>
        <v>0</v>
      </c>
      <c r="N42" s="161"/>
      <c r="O42" s="236"/>
      <c r="P42" s="237"/>
      <c r="Q42" s="160">
        <f>SUM(Q39:Q41)</f>
        <v>0</v>
      </c>
    </row>
    <row r="43" spans="1:17" ht="16.5" thickBot="1" x14ac:dyDescent="0.25">
      <c r="B43" s="172"/>
      <c r="E43" s="251"/>
      <c r="F43" s="251"/>
      <c r="G43" s="251"/>
      <c r="H43" s="251"/>
      <c r="I43" s="251"/>
      <c r="J43" s="251"/>
      <c r="K43" s="251"/>
      <c r="N43" s="187"/>
      <c r="O43" s="251"/>
    </row>
    <row r="44" spans="1:17" ht="16.5" thickBot="1" x14ac:dyDescent="0.3">
      <c r="B44" s="620" t="str">
        <f>B13</f>
        <v>CLIN 0001 (CPIF)                                                    TASK 1.05 PROTOTYPE SUPPORT, INSTALLATION, AND CHECKOUT</v>
      </c>
      <c r="C44" s="594" t="s">
        <v>318</v>
      </c>
      <c r="D44" s="595"/>
      <c r="E44" s="596"/>
      <c r="F44" s="175"/>
      <c r="G44" s="594" t="s">
        <v>318</v>
      </c>
      <c r="H44" s="595"/>
      <c r="I44" s="596"/>
      <c r="J44" s="175"/>
      <c r="K44" s="594" t="s">
        <v>318</v>
      </c>
      <c r="L44" s="595"/>
      <c r="M44" s="596"/>
      <c r="N44" s="175"/>
      <c r="O44" s="594" t="s">
        <v>318</v>
      </c>
      <c r="P44" s="595"/>
      <c r="Q44" s="596"/>
    </row>
    <row r="45" spans="1:17" ht="27.75" customHeight="1" thickBot="1" x14ac:dyDescent="0.3">
      <c r="B45" s="621"/>
      <c r="C45" s="617" t="str">
        <f>C31</f>
        <v>CLIN 0001 - Basic Period (Year 1)</v>
      </c>
      <c r="D45" s="618"/>
      <c r="E45" s="619"/>
      <c r="F45" s="176"/>
      <c r="G45" s="617" t="str">
        <f>G31</f>
        <v>CLIN 0001 - Basic Period (Year 2)</v>
      </c>
      <c r="H45" s="618"/>
      <c r="I45" s="619"/>
      <c r="J45" s="176"/>
      <c r="K45" s="617" t="str">
        <f>K31</f>
        <v>CLIN 0001 - Basic Period (Year 3)</v>
      </c>
      <c r="L45" s="618"/>
      <c r="M45" s="619"/>
      <c r="N45" s="176"/>
      <c r="O45" s="617" t="str">
        <f>O31</f>
        <v>CLIN 0001 - Basic Period (Year 4)</v>
      </c>
      <c r="P45" s="618"/>
      <c r="Q45" s="619"/>
    </row>
    <row r="46" spans="1:17" x14ac:dyDescent="0.25">
      <c r="B46" s="248"/>
      <c r="C46" s="153" t="s">
        <v>399</v>
      </c>
      <c r="D46" s="154" t="s">
        <v>396</v>
      </c>
      <c r="E46" s="155" t="s">
        <v>397</v>
      </c>
      <c r="F46" s="166"/>
      <c r="G46" s="153" t="s">
        <v>399</v>
      </c>
      <c r="H46" s="154" t="s">
        <v>396</v>
      </c>
      <c r="I46" s="155" t="s">
        <v>397</v>
      </c>
      <c r="J46" s="166"/>
      <c r="K46" s="153" t="s">
        <v>399</v>
      </c>
      <c r="L46" s="154" t="s">
        <v>396</v>
      </c>
      <c r="M46" s="155" t="s">
        <v>397</v>
      </c>
      <c r="N46" s="166"/>
      <c r="O46" s="153" t="s">
        <v>399</v>
      </c>
      <c r="P46" s="154" t="s">
        <v>396</v>
      </c>
      <c r="Q46" s="155" t="s">
        <v>397</v>
      </c>
    </row>
    <row r="47" spans="1:17" ht="25.5" x14ac:dyDescent="0.2">
      <c r="B47" s="300" t="s">
        <v>560</v>
      </c>
      <c r="C47" s="285"/>
      <c r="D47" s="285"/>
      <c r="E47" s="345">
        <f>'PRIME CPIF TOTAL SUB'!E15</f>
        <v>0</v>
      </c>
      <c r="F47" s="288"/>
      <c r="G47" s="231"/>
      <c r="H47" s="285"/>
      <c r="I47" s="345">
        <f>'PRIME CPIF TOTAL SUB'!G15</f>
        <v>0</v>
      </c>
      <c r="J47" s="288"/>
      <c r="K47" s="231"/>
      <c r="L47" s="285"/>
      <c r="M47" s="345">
        <f>'PRIME CPIF TOTAL SUB'!I15</f>
        <v>0</v>
      </c>
      <c r="N47" s="165"/>
      <c r="O47" s="231"/>
      <c r="P47" s="285"/>
      <c r="Q47" s="345">
        <f>'PRIME CPIF TOTAL SUB'!K15</f>
        <v>0</v>
      </c>
    </row>
    <row r="48" spans="1:17" ht="76.5" x14ac:dyDescent="0.2">
      <c r="B48" s="344" t="s">
        <v>613</v>
      </c>
      <c r="C48" s="624" t="s">
        <v>5</v>
      </c>
      <c r="D48" s="625"/>
      <c r="E48" s="626"/>
      <c r="F48" s="178"/>
      <c r="G48" s="627"/>
      <c r="H48" s="625"/>
      <c r="I48" s="626"/>
      <c r="J48" s="178"/>
      <c r="K48" s="627"/>
      <c r="L48" s="625"/>
      <c r="M48" s="626"/>
      <c r="N48" s="178"/>
      <c r="O48" s="627"/>
      <c r="P48" s="625"/>
      <c r="Q48" s="626"/>
    </row>
    <row r="49" spans="1:17" x14ac:dyDescent="0.2">
      <c r="B49" s="287" t="str">
        <f>'PRIME CPIF RATES (ALL)'!B44</f>
        <v>Indirect Category: [Overhead]</v>
      </c>
      <c r="C49" s="286">
        <f>E47</f>
        <v>0</v>
      </c>
      <c r="D49" s="243">
        <f>'PRIME CPIF RATES (ALL)'!C44</f>
        <v>0</v>
      </c>
      <c r="E49" s="168">
        <f>ROUND(C49*D49,2)</f>
        <v>0</v>
      </c>
      <c r="F49" s="178"/>
      <c r="G49" s="215">
        <f>I47</f>
        <v>0</v>
      </c>
      <c r="H49" s="243">
        <f>'PRIME CPIF RATES (ALL)'!D44</f>
        <v>0</v>
      </c>
      <c r="I49" s="168">
        <f>ROUND(G49*H49,2)</f>
        <v>0</v>
      </c>
      <c r="J49" s="178"/>
      <c r="K49" s="215">
        <f>M47</f>
        <v>0</v>
      </c>
      <c r="L49" s="243">
        <f>'PRIME CPIF RATES (ALL)'!E44</f>
        <v>0</v>
      </c>
      <c r="M49" s="168">
        <f>ROUND(K49*L49,2)</f>
        <v>0</v>
      </c>
      <c r="N49" s="178"/>
      <c r="O49" s="215">
        <f>Q47</f>
        <v>0</v>
      </c>
      <c r="P49" s="243">
        <f>'PRIME CPIF RATES (ALL)'!F44</f>
        <v>0</v>
      </c>
      <c r="Q49" s="168">
        <f>ROUND(O49*P49,2)</f>
        <v>0</v>
      </c>
    </row>
    <row r="50" spans="1:17" x14ac:dyDescent="0.2">
      <c r="B50" s="287" t="str">
        <f>'PRIME CPIF RATES (ALL)'!B45</f>
        <v>Indirect Category: [G&amp;A]</v>
      </c>
      <c r="C50" s="286">
        <f>C49+E49</f>
        <v>0</v>
      </c>
      <c r="D50" s="243">
        <f>'PRIME CPIF RATES (ALL)'!C45</f>
        <v>0</v>
      </c>
      <c r="E50" s="168">
        <f>ROUND(C50*D50,2)</f>
        <v>0</v>
      </c>
      <c r="F50" s="288"/>
      <c r="G50" s="286">
        <f>G49+I49</f>
        <v>0</v>
      </c>
      <c r="H50" s="243">
        <f>'PRIME CPIF RATES (ALL)'!D45</f>
        <v>0</v>
      </c>
      <c r="I50" s="168">
        <f>ROUND(G50*H50,2)</f>
        <v>0</v>
      </c>
      <c r="J50" s="288"/>
      <c r="K50" s="286">
        <f>K49+M49</f>
        <v>0</v>
      </c>
      <c r="L50" s="243">
        <f>'PRIME CPIF RATES (ALL)'!E45</f>
        <v>0</v>
      </c>
      <c r="M50" s="168">
        <f>ROUND(K50*L50,2)</f>
        <v>0</v>
      </c>
      <c r="N50" s="165"/>
      <c r="O50" s="286">
        <f>O49+Q49</f>
        <v>0</v>
      </c>
      <c r="P50" s="243">
        <f>'PRIME CPIF RATES (ALL)'!F45</f>
        <v>0</v>
      </c>
      <c r="Q50" s="168">
        <f>ROUND(O50*P50,2)</f>
        <v>0</v>
      </c>
    </row>
    <row r="51" spans="1:17" x14ac:dyDescent="0.2">
      <c r="B51" s="351" t="str">
        <f>'PRIME CPIF RATES (ALL)'!B46</f>
        <v>Indirect Category: [FCCOM]</v>
      </c>
      <c r="C51" s="214">
        <f>C50+E50</f>
        <v>0</v>
      </c>
      <c r="D51" s="243">
        <f>'PRIME CPIF RATES (ALL)'!C46</f>
        <v>0</v>
      </c>
      <c r="E51" s="353">
        <f>ROUND(C51*D51,2)</f>
        <v>0</v>
      </c>
      <c r="F51" s="288"/>
      <c r="G51" s="214">
        <f>G50+I50</f>
        <v>0</v>
      </c>
      <c r="H51" s="243">
        <f>'PRIME CPIF RATES (ALL)'!D46</f>
        <v>0</v>
      </c>
      <c r="I51" s="353">
        <f>ROUND(G51*H51,2)</f>
        <v>0</v>
      </c>
      <c r="J51" s="288"/>
      <c r="K51" s="214">
        <f>K50+M50</f>
        <v>0</v>
      </c>
      <c r="L51" s="243">
        <f>'PRIME CPIF RATES (ALL)'!E46</f>
        <v>0</v>
      </c>
      <c r="M51" s="353">
        <f>ROUND(K51*L51,2)</f>
        <v>0</v>
      </c>
      <c r="N51" s="165"/>
      <c r="O51" s="214">
        <f>O50+Q50</f>
        <v>0</v>
      </c>
      <c r="P51" s="243">
        <f>'PRIME CPIF RATES (ALL)'!F46</f>
        <v>0</v>
      </c>
      <c r="Q51" s="353">
        <f>ROUND(O51*P51,2)</f>
        <v>0</v>
      </c>
    </row>
    <row r="52" spans="1:17" x14ac:dyDescent="0.2">
      <c r="B52" s="167" t="str">
        <f>'PRIME CPIF RATES (ALL)'!B47</f>
        <v>Indirect Category: [Target Fee]</v>
      </c>
      <c r="C52" s="214">
        <f>C50+E50</f>
        <v>0</v>
      </c>
      <c r="D52" s="354">
        <f>'PRIME CPIF RATES (ALL)'!C47</f>
        <v>0</v>
      </c>
      <c r="E52" s="353">
        <f>ROUND(C52*D52,2)</f>
        <v>0</v>
      </c>
      <c r="F52" s="288"/>
      <c r="G52" s="214">
        <f>G50+I50</f>
        <v>0</v>
      </c>
      <c r="H52" s="354">
        <f>'PRIME CPIF RATES (ALL)'!D47</f>
        <v>0</v>
      </c>
      <c r="I52" s="353">
        <f>ROUND(G52*H52,2)</f>
        <v>0</v>
      </c>
      <c r="J52" s="288"/>
      <c r="K52" s="214">
        <f>K50+M50</f>
        <v>0</v>
      </c>
      <c r="L52" s="354">
        <f>'PRIME CPIF RATES (ALL)'!E47</f>
        <v>0</v>
      </c>
      <c r="M52" s="353">
        <f>ROUND(K52*L52,2)</f>
        <v>0</v>
      </c>
      <c r="N52" s="165"/>
      <c r="O52" s="214">
        <f>O50+Q50</f>
        <v>0</v>
      </c>
      <c r="P52" s="354">
        <f>'PRIME CPIF RATES (ALL)'!F47</f>
        <v>0</v>
      </c>
      <c r="Q52" s="353">
        <f>ROUND(O52*P52,2)</f>
        <v>0</v>
      </c>
    </row>
    <row r="53" spans="1:17" x14ac:dyDescent="0.2">
      <c r="B53" s="241" t="s">
        <v>320</v>
      </c>
      <c r="C53" s="233"/>
      <c r="D53" s="234"/>
      <c r="E53" s="168">
        <f>ROUND(E47+E49+E50,2)</f>
        <v>0</v>
      </c>
      <c r="F53" s="288"/>
      <c r="G53" s="233"/>
      <c r="H53" s="234"/>
      <c r="I53" s="168">
        <f>ROUND(I47+I49+I50,2)</f>
        <v>0</v>
      </c>
      <c r="J53" s="288"/>
      <c r="K53" s="233"/>
      <c r="L53" s="234"/>
      <c r="M53" s="168">
        <f>ROUND(M47+M49+M50,2)</f>
        <v>0</v>
      </c>
      <c r="N53" s="165"/>
      <c r="O53" s="233"/>
      <c r="P53" s="234"/>
      <c r="Q53" s="168">
        <f>ROUND(Q47+Q49+Q50,2)</f>
        <v>0</v>
      </c>
    </row>
    <row r="54" spans="1:17" x14ac:dyDescent="0.2">
      <c r="B54" s="241" t="s">
        <v>298</v>
      </c>
      <c r="C54" s="231"/>
      <c r="D54" s="235"/>
      <c r="E54" s="168">
        <f>ROUND(E51,2)</f>
        <v>0</v>
      </c>
      <c r="F54" s="288"/>
      <c r="G54" s="231"/>
      <c r="H54" s="235"/>
      <c r="I54" s="168">
        <f>ROUND(I51,2)</f>
        <v>0</v>
      </c>
      <c r="J54" s="288"/>
      <c r="K54" s="231"/>
      <c r="L54" s="235"/>
      <c r="M54" s="168">
        <f>ROUND(M51,2)</f>
        <v>0</v>
      </c>
      <c r="N54" s="165"/>
      <c r="O54" s="231"/>
      <c r="P54" s="235"/>
      <c r="Q54" s="168">
        <f>ROUND(Q51,2)</f>
        <v>0</v>
      </c>
    </row>
    <row r="55" spans="1:17" x14ac:dyDescent="0.2">
      <c r="B55" s="241" t="s">
        <v>136</v>
      </c>
      <c r="C55" s="231"/>
      <c r="D55" s="235"/>
      <c r="E55" s="182">
        <f>ROUND(E52,2)</f>
        <v>0</v>
      </c>
      <c r="F55" s="183"/>
      <c r="G55" s="231"/>
      <c r="H55" s="235"/>
      <c r="I55" s="182">
        <f>ROUND(I52,2)</f>
        <v>0</v>
      </c>
      <c r="J55" s="183"/>
      <c r="K55" s="231"/>
      <c r="L55" s="235"/>
      <c r="M55" s="182">
        <f>ROUND(M52,2)</f>
        <v>0</v>
      </c>
      <c r="N55" s="183"/>
      <c r="O55" s="231"/>
      <c r="P55" s="235"/>
      <c r="Q55" s="182">
        <f>ROUND(Q52,2)</f>
        <v>0</v>
      </c>
    </row>
    <row r="56" spans="1:17" ht="16.5" thickBot="1" x14ac:dyDescent="0.25">
      <c r="B56" s="242" t="s">
        <v>321</v>
      </c>
      <c r="C56" s="236"/>
      <c r="D56" s="237"/>
      <c r="E56" s="160">
        <f>ROUND(SUM(E53:E55),2)</f>
        <v>0</v>
      </c>
      <c r="F56" s="161"/>
      <c r="G56" s="236"/>
      <c r="H56" s="237"/>
      <c r="I56" s="160">
        <f>ROUND(SUM(I53:I55),2)</f>
        <v>0</v>
      </c>
      <c r="J56" s="161"/>
      <c r="K56" s="236"/>
      <c r="L56" s="237"/>
      <c r="M56" s="160">
        <f>ROUND(SUM(M53:M55),2)</f>
        <v>0</v>
      </c>
      <c r="N56" s="161"/>
      <c r="O56" s="236"/>
      <c r="P56" s="237"/>
      <c r="Q56" s="160">
        <f>ROUND(SUM(Q53:Q55),2)</f>
        <v>0</v>
      </c>
    </row>
    <row r="57" spans="1:17" ht="16.5" thickBot="1" x14ac:dyDescent="0.25">
      <c r="B57" s="172"/>
      <c r="E57" s="251"/>
      <c r="F57" s="251"/>
      <c r="G57" s="251"/>
      <c r="H57" s="251"/>
      <c r="I57" s="251"/>
      <c r="J57" s="251"/>
      <c r="K57" s="251"/>
      <c r="N57" s="187"/>
      <c r="O57" s="251"/>
    </row>
    <row r="58" spans="1:17" ht="16.5" customHeight="1" thickBot="1" x14ac:dyDescent="0.3">
      <c r="A58" s="193"/>
      <c r="B58" s="620" t="str">
        <f>B30</f>
        <v>CLIN 0001 (CPIF)                                                    TASK 1.05 PROTOTYPE SUPPORT, INSTALLATION, AND CHECKOUT</v>
      </c>
      <c r="C58" s="594" t="s">
        <v>146</v>
      </c>
      <c r="D58" s="595"/>
      <c r="E58" s="596"/>
      <c r="F58" s="175"/>
      <c r="G58" s="594" t="s">
        <v>147</v>
      </c>
      <c r="H58" s="595"/>
      <c r="I58" s="596"/>
      <c r="J58" s="175"/>
      <c r="K58" s="594" t="s">
        <v>147</v>
      </c>
      <c r="L58" s="595"/>
      <c r="M58" s="596"/>
      <c r="N58" s="175"/>
      <c r="O58" s="594" t="s">
        <v>147</v>
      </c>
      <c r="P58" s="595"/>
      <c r="Q58" s="596"/>
    </row>
    <row r="59" spans="1:17" ht="33.75" customHeight="1" thickBot="1" x14ac:dyDescent="0.3">
      <c r="A59" s="193"/>
      <c r="B59" s="621"/>
      <c r="C59" s="617" t="str">
        <f>C31</f>
        <v>CLIN 0001 - Basic Period (Year 1)</v>
      </c>
      <c r="D59" s="618"/>
      <c r="E59" s="619"/>
      <c r="F59" s="176"/>
      <c r="G59" s="617" t="str">
        <f>G31</f>
        <v>CLIN 0001 - Basic Period (Year 2)</v>
      </c>
      <c r="H59" s="618"/>
      <c r="I59" s="619"/>
      <c r="J59" s="176"/>
      <c r="K59" s="617" t="str">
        <f>K31</f>
        <v>CLIN 0001 - Basic Period (Year 3)</v>
      </c>
      <c r="L59" s="618"/>
      <c r="M59" s="619"/>
      <c r="N59" s="176"/>
      <c r="O59" s="617" t="str">
        <f>O31</f>
        <v>CLIN 0001 - Basic Period (Year 4)</v>
      </c>
      <c r="P59" s="618"/>
      <c r="Q59" s="619"/>
    </row>
    <row r="60" spans="1:17" x14ac:dyDescent="0.25">
      <c r="A60" s="193"/>
      <c r="B60" s="248"/>
      <c r="C60" s="153" t="s">
        <v>399</v>
      </c>
      <c r="D60" s="154" t="s">
        <v>396</v>
      </c>
      <c r="E60" s="155" t="s">
        <v>153</v>
      </c>
      <c r="F60" s="166"/>
      <c r="G60" s="153" t="s">
        <v>399</v>
      </c>
      <c r="H60" s="154" t="s">
        <v>396</v>
      </c>
      <c r="I60" s="155" t="s">
        <v>153</v>
      </c>
      <c r="J60" s="166"/>
      <c r="K60" s="153" t="s">
        <v>399</v>
      </c>
      <c r="L60" s="154" t="s">
        <v>396</v>
      </c>
      <c r="M60" s="155" t="s">
        <v>153</v>
      </c>
      <c r="N60" s="166"/>
      <c r="O60" s="153" t="s">
        <v>124</v>
      </c>
      <c r="P60" s="154" t="s">
        <v>122</v>
      </c>
      <c r="Q60" s="155" t="s">
        <v>153</v>
      </c>
    </row>
    <row r="61" spans="1:17" ht="26.25" x14ac:dyDescent="0.25">
      <c r="A61" s="193"/>
      <c r="B61" s="300" t="s">
        <v>561</v>
      </c>
      <c r="C61" s="231"/>
      <c r="D61" s="232"/>
      <c r="E61" s="345">
        <f>'PRIME CPIF TOTAL ODC'!E15</f>
        <v>0</v>
      </c>
      <c r="F61" s="165"/>
      <c r="G61" s="231"/>
      <c r="H61" s="232"/>
      <c r="I61" s="345">
        <f>'PRIME CPIF TOTAL ODC'!G15</f>
        <v>0</v>
      </c>
      <c r="J61" s="165"/>
      <c r="K61" s="231"/>
      <c r="L61" s="232"/>
      <c r="M61" s="400">
        <f>'PRIME CPIF TOTAL ODC'!I15</f>
        <v>0</v>
      </c>
      <c r="N61" s="165"/>
      <c r="O61" s="231"/>
      <c r="P61" s="232"/>
      <c r="Q61" s="400">
        <f>'PRIME CPIF TOTAL ODC'!K15</f>
        <v>0</v>
      </c>
    </row>
    <row r="62" spans="1:17" ht="66" customHeight="1" x14ac:dyDescent="0.25">
      <c r="A62" s="193"/>
      <c r="B62" s="490" t="s">
        <v>614</v>
      </c>
      <c r="C62" s="404"/>
      <c r="D62" s="404"/>
      <c r="E62" s="403"/>
      <c r="F62" s="288"/>
      <c r="G62" s="405"/>
      <c r="H62" s="404"/>
      <c r="I62" s="403"/>
      <c r="J62" s="288"/>
      <c r="K62" s="405"/>
      <c r="L62" s="404"/>
      <c r="M62" s="400"/>
      <c r="N62" s="165"/>
      <c r="O62" s="405"/>
      <c r="P62" s="404"/>
      <c r="Q62" s="400"/>
    </row>
    <row r="63" spans="1:17" x14ac:dyDescent="0.25">
      <c r="A63" s="193"/>
      <c r="B63" s="167" t="s">
        <v>125</v>
      </c>
      <c r="C63" s="215">
        <f>+E61</f>
        <v>0</v>
      </c>
      <c r="D63" s="243">
        <f>'PRIME CPIF RATES (ALL)'!C60</f>
        <v>0</v>
      </c>
      <c r="E63" s="168">
        <f>ROUND(C63*D63,2)</f>
        <v>0</v>
      </c>
      <c r="F63" s="178"/>
      <c r="G63" s="215">
        <f>+I61</f>
        <v>0</v>
      </c>
      <c r="H63" s="243">
        <f>'PRIME CPIF RATES (ALL)'!D60</f>
        <v>0</v>
      </c>
      <c r="I63" s="168">
        <f>ROUND(G63*H63,2)</f>
        <v>0</v>
      </c>
      <c r="J63" s="178"/>
      <c r="K63" s="215">
        <f>+M61</f>
        <v>0</v>
      </c>
      <c r="L63" s="243">
        <f>'PRIME CPIF RATES (ALL)'!E60</f>
        <v>0</v>
      </c>
      <c r="M63" s="168">
        <f>ROUND(K63*L63,2)</f>
        <v>0</v>
      </c>
      <c r="N63" s="178"/>
      <c r="O63" s="215">
        <f>+Q61</f>
        <v>0</v>
      </c>
      <c r="P63" s="243">
        <f>'PRIME CPIF RATES (ALL)'!F60</f>
        <v>0</v>
      </c>
      <c r="Q63" s="168">
        <f>ROUND(O63*P63,2)</f>
        <v>0</v>
      </c>
    </row>
    <row r="64" spans="1:17" x14ac:dyDescent="0.25">
      <c r="A64" s="193"/>
      <c r="B64" s="167" t="s">
        <v>126</v>
      </c>
      <c r="C64" s="215">
        <f>+C63+E63</f>
        <v>0</v>
      </c>
      <c r="D64" s="243">
        <f>'PRIME CPIF RATES (ALL)'!C61</f>
        <v>0</v>
      </c>
      <c r="E64" s="168">
        <f>ROUND(C64*D64,2)</f>
        <v>0</v>
      </c>
      <c r="F64" s="178"/>
      <c r="G64" s="215">
        <f>+G63+I63</f>
        <v>0</v>
      </c>
      <c r="H64" s="243">
        <f>'PRIME CPIF RATES (ALL)'!D61</f>
        <v>0</v>
      </c>
      <c r="I64" s="168">
        <f>ROUND(G64*H64,2)</f>
        <v>0</v>
      </c>
      <c r="J64" s="178"/>
      <c r="K64" s="215">
        <f>+K63+M63</f>
        <v>0</v>
      </c>
      <c r="L64" s="243">
        <f>'PRIME CPIF RATES (ALL)'!E61</f>
        <v>0</v>
      </c>
      <c r="M64" s="168">
        <f>ROUND(K64*L64,2)</f>
        <v>0</v>
      </c>
      <c r="N64" s="178"/>
      <c r="O64" s="215">
        <f>+O63+Q63</f>
        <v>0</v>
      </c>
      <c r="P64" s="243">
        <f>'PRIME CPIF RATES (ALL)'!F61</f>
        <v>0</v>
      </c>
      <c r="Q64" s="168">
        <f>ROUND(O64*P64,2)</f>
        <v>0</v>
      </c>
    </row>
    <row r="65" spans="1:17" x14ac:dyDescent="0.25">
      <c r="A65" s="193"/>
      <c r="B65" s="167" t="s">
        <v>566</v>
      </c>
      <c r="C65" s="215">
        <f>C64+E64</f>
        <v>0</v>
      </c>
      <c r="D65" s="243">
        <f>'PRIME CPIF RATES (ALL)'!C62</f>
        <v>0</v>
      </c>
      <c r="E65" s="168">
        <f>ROUND(C65*D65,2)</f>
        <v>0</v>
      </c>
      <c r="F65" s="165"/>
      <c r="G65" s="215">
        <f>G64+I64</f>
        <v>0</v>
      </c>
      <c r="H65" s="243">
        <f>'PRIME CPIF RATES (ALL)'!D62</f>
        <v>0</v>
      </c>
      <c r="I65" s="168">
        <f>ROUND(G65*H65,2)</f>
        <v>0</v>
      </c>
      <c r="J65" s="165"/>
      <c r="K65" s="215">
        <f>K64+M64</f>
        <v>0</v>
      </c>
      <c r="L65" s="243">
        <f>'PRIME CPIF RATES (ALL)'!E62</f>
        <v>0</v>
      </c>
      <c r="M65" s="168">
        <f>ROUND(K65*L65,2)</f>
        <v>0</v>
      </c>
      <c r="N65" s="165"/>
      <c r="O65" s="215">
        <f>O64+Q64</f>
        <v>0</v>
      </c>
      <c r="P65" s="243">
        <f>'PRIME CPIF RATES (ALL)'!F62</f>
        <v>0</v>
      </c>
      <c r="Q65" s="168">
        <f>ROUND(O65*P65,2)</f>
        <v>0</v>
      </c>
    </row>
    <row r="66" spans="1:17" x14ac:dyDescent="0.25">
      <c r="A66" s="193"/>
      <c r="B66" s="167" t="s">
        <v>127</v>
      </c>
      <c r="C66" s="215">
        <f>+C64+E64</f>
        <v>0</v>
      </c>
      <c r="D66" s="354">
        <f>'PRIME CPIF RATES (ALL)'!C63</f>
        <v>0</v>
      </c>
      <c r="E66" s="168">
        <f>ROUND(C66*D66,2)</f>
        <v>0</v>
      </c>
      <c r="F66" s="165"/>
      <c r="G66" s="215">
        <f>+G64+I64</f>
        <v>0</v>
      </c>
      <c r="H66" s="354">
        <f>'PRIME CPIF RATES (ALL)'!D63</f>
        <v>0</v>
      </c>
      <c r="I66" s="168">
        <f>ROUND(G66*H66,2)</f>
        <v>0</v>
      </c>
      <c r="J66" s="165"/>
      <c r="K66" s="215">
        <f>+K64+M64</f>
        <v>0</v>
      </c>
      <c r="L66" s="354">
        <f>'PRIME CPIF RATES (ALL)'!E63</f>
        <v>0</v>
      </c>
      <c r="M66" s="168">
        <f>ROUND(K66*L66,2)</f>
        <v>0</v>
      </c>
      <c r="N66" s="165"/>
      <c r="O66" s="215">
        <f>+O64+Q64</f>
        <v>0</v>
      </c>
      <c r="P66" s="354">
        <f>'PRIME CPIF RATES (ALL)'!F63</f>
        <v>0</v>
      </c>
      <c r="Q66" s="168">
        <f>ROUND(O66*P66,2)</f>
        <v>0</v>
      </c>
    </row>
    <row r="67" spans="1:17" x14ac:dyDescent="0.25">
      <c r="A67" s="193"/>
      <c r="B67" s="241" t="s">
        <v>260</v>
      </c>
      <c r="C67" s="233"/>
      <c r="D67" s="234"/>
      <c r="E67" s="168">
        <f>ROUND(SUM(E61:E64),2)</f>
        <v>0</v>
      </c>
      <c r="F67" s="165"/>
      <c r="G67" s="233"/>
      <c r="H67" s="234"/>
      <c r="I67" s="168">
        <f>ROUND(SUM(I61:I64),2)</f>
        <v>0</v>
      </c>
      <c r="J67" s="165"/>
      <c r="K67" s="233"/>
      <c r="L67" s="234"/>
      <c r="M67" s="168">
        <f>ROUND(SUM(M61:M64),2)</f>
        <v>0</v>
      </c>
      <c r="N67" s="165"/>
      <c r="O67" s="233"/>
      <c r="P67" s="234"/>
      <c r="Q67" s="168">
        <f>ROUND(SUM(Q61:Q64),2)</f>
        <v>0</v>
      </c>
    </row>
    <row r="68" spans="1:17" x14ac:dyDescent="0.25">
      <c r="A68" s="193"/>
      <c r="B68" s="241" t="s">
        <v>137</v>
      </c>
      <c r="C68" s="231"/>
      <c r="D68" s="235"/>
      <c r="E68" s="168">
        <f>ROUND(E65,2)</f>
        <v>0</v>
      </c>
      <c r="F68" s="165"/>
      <c r="G68" s="231"/>
      <c r="H68" s="235"/>
      <c r="I68" s="168">
        <f>ROUND(I65,2)</f>
        <v>0</v>
      </c>
      <c r="J68" s="165"/>
      <c r="K68" s="231"/>
      <c r="L68" s="235"/>
      <c r="M68" s="168">
        <f>ROUND(M65,2)</f>
        <v>0</v>
      </c>
      <c r="N68" s="165"/>
      <c r="O68" s="231"/>
      <c r="P68" s="235"/>
      <c r="Q68" s="168">
        <f>ROUND(Q65,2)</f>
        <v>0</v>
      </c>
    </row>
    <row r="69" spans="1:17" x14ac:dyDescent="0.2">
      <c r="A69" s="186"/>
      <c r="B69" s="241" t="s">
        <v>136</v>
      </c>
      <c r="C69" s="231"/>
      <c r="D69" s="235"/>
      <c r="E69" s="182">
        <f>ROUND(E66,2)</f>
        <v>0</v>
      </c>
      <c r="F69" s="183"/>
      <c r="G69" s="231"/>
      <c r="H69" s="235"/>
      <c r="I69" s="182">
        <f>ROUND(I66,2)</f>
        <v>0</v>
      </c>
      <c r="J69" s="183"/>
      <c r="K69" s="231"/>
      <c r="L69" s="235"/>
      <c r="M69" s="182">
        <f>ROUND(M66,2)</f>
        <v>0</v>
      </c>
      <c r="N69" s="183"/>
      <c r="O69" s="231"/>
      <c r="P69" s="235"/>
      <c r="Q69" s="182">
        <f>ROUND(Q66,2)</f>
        <v>0</v>
      </c>
    </row>
    <row r="70" spans="1:17" ht="16.5" thickBot="1" x14ac:dyDescent="0.25">
      <c r="A70" s="186"/>
      <c r="B70" s="242" t="s">
        <v>244</v>
      </c>
      <c r="C70" s="236"/>
      <c r="D70" s="237"/>
      <c r="E70" s="160">
        <f>ROUND(SUM(E67:E69),2)</f>
        <v>0</v>
      </c>
      <c r="F70" s="161"/>
      <c r="G70" s="236"/>
      <c r="H70" s="237"/>
      <c r="I70" s="160">
        <f>ROUND(SUM(I67:I69),2)</f>
        <v>0</v>
      </c>
      <c r="J70" s="161"/>
      <c r="K70" s="236"/>
      <c r="L70" s="237"/>
      <c r="M70" s="160">
        <f>ROUND(SUM(M67:M69),2)</f>
        <v>0</v>
      </c>
      <c r="N70" s="161"/>
      <c r="O70" s="236"/>
      <c r="P70" s="237"/>
      <c r="Q70" s="160">
        <f>ROUND(SUM(Q67:Q69),2)</f>
        <v>0</v>
      </c>
    </row>
    <row r="71" spans="1:17" ht="16.5" thickBot="1" x14ac:dyDescent="0.25">
      <c r="A71" s="186"/>
      <c r="B71" s="172"/>
      <c r="E71" s="251"/>
      <c r="F71" s="251"/>
      <c r="G71" s="251"/>
      <c r="H71" s="251"/>
      <c r="I71" s="251"/>
      <c r="J71" s="251"/>
      <c r="K71" s="251"/>
      <c r="N71" s="187"/>
      <c r="O71" s="251"/>
    </row>
    <row r="72" spans="1:17" ht="16.5" thickBot="1" x14ac:dyDescent="0.3">
      <c r="A72" s="186"/>
      <c r="B72" s="628" t="str">
        <f>B58</f>
        <v>CLIN 0001 (CPIF)                                                    TASK 1.05 PROTOTYPE SUPPORT, INSTALLATION, AND CHECKOUT</v>
      </c>
      <c r="C72" s="614" t="s">
        <v>319</v>
      </c>
      <c r="D72" s="615"/>
      <c r="E72" s="616"/>
      <c r="F72" s="175"/>
      <c r="G72" s="614" t="s">
        <v>129</v>
      </c>
      <c r="H72" s="615"/>
      <c r="I72" s="616"/>
      <c r="J72" s="175"/>
      <c r="K72" s="614" t="s">
        <v>129</v>
      </c>
      <c r="L72" s="615"/>
      <c r="M72" s="616"/>
      <c r="N72" s="175"/>
      <c r="O72" s="614" t="s">
        <v>129</v>
      </c>
      <c r="P72" s="615"/>
      <c r="Q72" s="616"/>
    </row>
    <row r="73" spans="1:17" ht="33.75" customHeight="1" thickBot="1" x14ac:dyDescent="0.3">
      <c r="A73" s="186"/>
      <c r="B73" s="629"/>
      <c r="C73" s="280"/>
      <c r="D73" s="281"/>
      <c r="E73" s="188" t="s">
        <v>294</v>
      </c>
      <c r="F73" s="189"/>
      <c r="G73" s="280"/>
      <c r="H73" s="281"/>
      <c r="I73" s="188" t="s">
        <v>295</v>
      </c>
      <c r="J73" s="189"/>
      <c r="K73" s="280"/>
      <c r="L73" s="281"/>
      <c r="M73" s="188" t="s">
        <v>297</v>
      </c>
      <c r="N73" s="189"/>
      <c r="O73" s="280"/>
      <c r="P73" s="281"/>
      <c r="Q73" s="188" t="s">
        <v>296</v>
      </c>
    </row>
    <row r="74" spans="1:17" x14ac:dyDescent="0.2">
      <c r="A74" s="186"/>
      <c r="B74" s="167" t="s">
        <v>261</v>
      </c>
      <c r="C74" s="282"/>
      <c r="D74" s="282"/>
      <c r="E74" s="190">
        <f>+ROUND(E25+E39+E53+E67,2)</f>
        <v>0</v>
      </c>
      <c r="F74" s="165"/>
      <c r="G74" s="282"/>
      <c r="H74" s="282"/>
      <c r="I74" s="190">
        <f>+ROUND(I25+I39+I53+I67,2)</f>
        <v>0</v>
      </c>
      <c r="J74" s="165"/>
      <c r="K74" s="282"/>
      <c r="L74" s="282"/>
      <c r="M74" s="190">
        <f>+ROUND(M25+M39+M53+M67,2)</f>
        <v>0</v>
      </c>
      <c r="N74" s="165"/>
      <c r="O74" s="282"/>
      <c r="P74" s="282"/>
      <c r="Q74" s="190">
        <f>+ROUND(Q25+Q39+Q53+Q67,2)</f>
        <v>0</v>
      </c>
    </row>
    <row r="75" spans="1:17" x14ac:dyDescent="0.2">
      <c r="A75" s="186"/>
      <c r="B75" s="167" t="s">
        <v>137</v>
      </c>
      <c r="C75" s="282"/>
      <c r="D75" s="282"/>
      <c r="E75" s="168">
        <f>+ROUND(E26+E40+E54+E68,2)</f>
        <v>0</v>
      </c>
      <c r="F75" s="165"/>
      <c r="G75" s="282"/>
      <c r="H75" s="282"/>
      <c r="I75" s="168">
        <f>+ROUND(I26+I40+I54+I68,2)</f>
        <v>0</v>
      </c>
      <c r="J75" s="165"/>
      <c r="K75" s="282"/>
      <c r="L75" s="282"/>
      <c r="M75" s="168">
        <f>+ROUND(M26+M40+M54+M68,2)</f>
        <v>0</v>
      </c>
      <c r="N75" s="165"/>
      <c r="O75" s="282"/>
      <c r="P75" s="282"/>
      <c r="Q75" s="168">
        <f>+ROUND(Q26+Q40+Q54+Q68,2)</f>
        <v>0</v>
      </c>
    </row>
    <row r="76" spans="1:17" x14ac:dyDescent="0.2">
      <c r="A76" s="186"/>
      <c r="B76" s="167" t="s">
        <v>136</v>
      </c>
      <c r="C76" s="282"/>
      <c r="D76" s="282"/>
      <c r="E76" s="169">
        <f>+ROUND(E27+E41+E55+E69,2)</f>
        <v>0</v>
      </c>
      <c r="F76" s="170"/>
      <c r="G76" s="282"/>
      <c r="H76" s="282"/>
      <c r="I76" s="169">
        <f>+ROUND(I27+I41+I55+I69,2)</f>
        <v>0</v>
      </c>
      <c r="J76" s="170"/>
      <c r="K76" s="282"/>
      <c r="L76" s="282"/>
      <c r="M76" s="169">
        <f>+ROUND(M27+M41+M55+M69,2)</f>
        <v>0</v>
      </c>
      <c r="N76" s="170"/>
      <c r="O76" s="282"/>
      <c r="P76" s="282"/>
      <c r="Q76" s="169">
        <f>+ROUND(Q27+Q41+Q55+Q69,2)</f>
        <v>0</v>
      </c>
    </row>
    <row r="77" spans="1:17" ht="32.25" thickBot="1" x14ac:dyDescent="0.3">
      <c r="A77" s="186"/>
      <c r="B77" s="267" t="s">
        <v>489</v>
      </c>
      <c r="C77" s="283"/>
      <c r="D77" s="283"/>
      <c r="E77" s="266">
        <f>SUM(E74:E76)</f>
        <v>0</v>
      </c>
      <c r="F77" s="171"/>
      <c r="G77" s="283"/>
      <c r="H77" s="283"/>
      <c r="I77" s="266">
        <f>SUM(I74:I76)</f>
        <v>0</v>
      </c>
      <c r="J77" s="171"/>
      <c r="K77" s="283"/>
      <c r="L77" s="283"/>
      <c r="M77" s="266">
        <f>SUM(M74:M76)</f>
        <v>0</v>
      </c>
      <c r="N77" s="171"/>
      <c r="O77" s="283"/>
      <c r="P77" s="283"/>
      <c r="Q77" s="266">
        <f>SUM(Q74:Q76)</f>
        <v>0</v>
      </c>
    </row>
    <row r="78" spans="1:17" ht="16.5" thickBot="1" x14ac:dyDescent="0.3"/>
    <row r="79" spans="1:17" ht="31.5" x14ac:dyDescent="0.25">
      <c r="Q79" s="411" t="s">
        <v>490</v>
      </c>
    </row>
    <row r="80" spans="1:17" ht="16.5" thickBot="1" x14ac:dyDescent="0.3">
      <c r="Q80" s="410">
        <f>E77+I77+M77+Q77</f>
        <v>0</v>
      </c>
    </row>
  </sheetData>
  <mergeCells count="46">
    <mergeCell ref="C48:E48"/>
    <mergeCell ref="G48:I48"/>
    <mergeCell ref="K48:M48"/>
    <mergeCell ref="O48:Q48"/>
    <mergeCell ref="B44:B45"/>
    <mergeCell ref="C44:E44"/>
    <mergeCell ref="G44:I44"/>
    <mergeCell ref="K44:M44"/>
    <mergeCell ref="O44:Q44"/>
    <mergeCell ref="C45:E45"/>
    <mergeCell ref="G45:I45"/>
    <mergeCell ref="K45:M45"/>
    <mergeCell ref="O45:Q45"/>
    <mergeCell ref="O59:Q59"/>
    <mergeCell ref="O72:Q72"/>
    <mergeCell ref="O13:Q13"/>
    <mergeCell ref="O14:Q14"/>
    <mergeCell ref="O30:Q30"/>
    <mergeCell ref="O31:Q31"/>
    <mergeCell ref="O58:Q58"/>
    <mergeCell ref="C14:E14"/>
    <mergeCell ref="G14:I14"/>
    <mergeCell ref="K14:M14"/>
    <mergeCell ref="A3:C3"/>
    <mergeCell ref="B13:B14"/>
    <mergeCell ref="C13:E13"/>
    <mergeCell ref="G13:I13"/>
    <mergeCell ref="K13:M13"/>
    <mergeCell ref="B30:B31"/>
    <mergeCell ref="C30:E30"/>
    <mergeCell ref="G30:I30"/>
    <mergeCell ref="K30:M30"/>
    <mergeCell ref="C31:E31"/>
    <mergeCell ref="G31:I31"/>
    <mergeCell ref="K31:M31"/>
    <mergeCell ref="B58:B59"/>
    <mergeCell ref="C58:E58"/>
    <mergeCell ref="G58:I58"/>
    <mergeCell ref="K58:M58"/>
    <mergeCell ref="B72:B73"/>
    <mergeCell ref="C72:E72"/>
    <mergeCell ref="G72:I72"/>
    <mergeCell ref="K72:M72"/>
    <mergeCell ref="C59:E59"/>
    <mergeCell ref="G59:I59"/>
    <mergeCell ref="K59:M59"/>
  </mergeCells>
  <pageMargins left="0.7" right="0.7" top="0.75" bottom="0.75" header="0.3" footer="0.3"/>
  <pageSetup orientation="portrait" horizontalDpi="1200" verticalDpi="1200"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FBCE45-7AAA-4A9D-B849-EB61CF0C650E}">
  <sheetPr>
    <tabColor theme="0"/>
  </sheetPr>
  <dimension ref="A1:Q80"/>
  <sheetViews>
    <sheetView zoomScale="80" zoomScaleNormal="80" workbookViewId="0">
      <pane ySplit="11" topLeftCell="A12" activePane="bottomLeft" state="frozen"/>
      <selection pane="bottomLeft" activeCell="P65" sqref="P65"/>
    </sheetView>
    <sheetView workbookViewId="1"/>
  </sheetViews>
  <sheetFormatPr defaultColWidth="15.85546875" defaultRowHeight="15.75" x14ac:dyDescent="0.25"/>
  <cols>
    <col min="1" max="1" width="3.42578125" style="191" customWidth="1"/>
    <col min="2" max="2" width="49.140625" style="174" customWidth="1"/>
    <col min="3" max="3" width="18.28515625" style="186" bestFit="1" customWidth="1"/>
    <col min="4" max="4" width="12.42578125" style="186" bestFit="1" customWidth="1"/>
    <col min="5" max="5" width="32.140625" style="186" bestFit="1" customWidth="1"/>
    <col min="6" max="6" width="1" style="186" customWidth="1"/>
    <col min="7" max="7" width="14.28515625" style="186" customWidth="1"/>
    <col min="8" max="8" width="14.5703125" style="186" customWidth="1"/>
    <col min="9" max="9" width="35.42578125" style="186" bestFit="1" customWidth="1"/>
    <col min="10" max="10" width="1" style="186" customWidth="1"/>
    <col min="11" max="11" width="16.7109375" style="186" customWidth="1"/>
    <col min="12" max="12" width="16.28515625" style="186" customWidth="1"/>
    <col min="13" max="13" width="34.42578125" style="186" bestFit="1" customWidth="1"/>
    <col min="14" max="14" width="0.85546875" style="186" customWidth="1"/>
    <col min="15" max="16" width="15.85546875" style="186"/>
    <col min="17" max="17" width="34" style="186" bestFit="1" customWidth="1"/>
    <col min="18" max="16384" width="15.85546875" style="186"/>
  </cols>
  <sheetData>
    <row r="1" spans="1:17" ht="16.5" thickBot="1" x14ac:dyDescent="0.3">
      <c r="B1" s="126" t="s">
        <v>626</v>
      </c>
      <c r="C1" s="494" t="str">
        <f>'FFP CLINs X007-X021'!B1</f>
        <v>NAME</v>
      </c>
    </row>
    <row r="2" spans="1:17" ht="16.5" thickBot="1" x14ac:dyDescent="0.3"/>
    <row r="3" spans="1:17" ht="52.5" customHeight="1" thickBot="1" x14ac:dyDescent="0.3">
      <c r="A3" s="557" t="s">
        <v>303</v>
      </c>
      <c r="B3" s="558"/>
      <c r="C3" s="559"/>
      <c r="I3" s="251" t="s">
        <v>149</v>
      </c>
    </row>
    <row r="5" spans="1:17" s="259" customFormat="1" ht="17.25" customHeight="1" x14ac:dyDescent="0.2">
      <c r="A5" s="260"/>
      <c r="B5" s="261" t="s">
        <v>130</v>
      </c>
    </row>
    <row r="6" spans="1:17" s="259" customFormat="1" x14ac:dyDescent="0.25">
      <c r="A6" s="258"/>
      <c r="B6" s="258" t="s">
        <v>606</v>
      </c>
    </row>
    <row r="7" spans="1:17" s="259" customFormat="1" x14ac:dyDescent="0.25">
      <c r="A7" s="258"/>
      <c r="B7" s="258" t="s">
        <v>390</v>
      </c>
    </row>
    <row r="8" spans="1:17" s="259" customFormat="1" x14ac:dyDescent="0.25">
      <c r="A8" s="258"/>
      <c r="B8" s="258" t="s">
        <v>607</v>
      </c>
    </row>
    <row r="9" spans="1:17" s="259" customFormat="1" x14ac:dyDescent="0.25">
      <c r="A9" s="258"/>
      <c r="B9" s="258" t="s">
        <v>608</v>
      </c>
    </row>
    <row r="10" spans="1:17" x14ac:dyDescent="0.25">
      <c r="A10" s="192"/>
      <c r="B10" s="258" t="s">
        <v>609</v>
      </c>
      <c r="C10" s="194"/>
    </row>
    <row r="11" spans="1:17" x14ac:dyDescent="0.25">
      <c r="A11" s="192"/>
      <c r="B11" s="258" t="s">
        <v>491</v>
      </c>
      <c r="C11" s="194"/>
    </row>
    <row r="12" spans="1:17" ht="16.5" thickBot="1" x14ac:dyDescent="0.3"/>
    <row r="13" spans="1:17" ht="16.5" thickBot="1" x14ac:dyDescent="0.3">
      <c r="A13" s="193"/>
      <c r="B13" s="620" t="s">
        <v>492</v>
      </c>
      <c r="C13" s="594" t="s">
        <v>134</v>
      </c>
      <c r="D13" s="595"/>
      <c r="E13" s="596"/>
      <c r="F13" s="151"/>
      <c r="G13" s="594" t="s">
        <v>134</v>
      </c>
      <c r="H13" s="595"/>
      <c r="I13" s="596"/>
      <c r="J13" s="151"/>
      <c r="K13" s="594" t="s">
        <v>134</v>
      </c>
      <c r="L13" s="595"/>
      <c r="M13" s="596"/>
      <c r="N13" s="151"/>
      <c r="O13" s="594" t="s">
        <v>134</v>
      </c>
      <c r="P13" s="595"/>
      <c r="Q13" s="596"/>
    </row>
    <row r="14" spans="1:17" ht="32.25" customHeight="1" thickBot="1" x14ac:dyDescent="0.3">
      <c r="A14" s="193"/>
      <c r="B14" s="621"/>
      <c r="C14" s="617" t="s">
        <v>299</v>
      </c>
      <c r="D14" s="618"/>
      <c r="E14" s="619"/>
      <c r="F14" s="152"/>
      <c r="G14" s="617" t="s">
        <v>300</v>
      </c>
      <c r="H14" s="618"/>
      <c r="I14" s="619"/>
      <c r="J14" s="152"/>
      <c r="K14" s="617" t="s">
        <v>301</v>
      </c>
      <c r="L14" s="618"/>
      <c r="M14" s="619"/>
      <c r="N14" s="152"/>
      <c r="O14" s="617" t="s">
        <v>302</v>
      </c>
      <c r="P14" s="618"/>
      <c r="Q14" s="619"/>
    </row>
    <row r="15" spans="1:17" x14ac:dyDescent="0.25">
      <c r="A15" s="193"/>
      <c r="B15" s="153" t="s">
        <v>110</v>
      </c>
      <c r="C15" s="153" t="s">
        <v>91</v>
      </c>
      <c r="D15" s="154" t="s">
        <v>133</v>
      </c>
      <c r="E15" s="155" t="s">
        <v>139</v>
      </c>
      <c r="F15" s="156"/>
      <c r="G15" s="153" t="s">
        <v>91</v>
      </c>
      <c r="H15" s="154" t="s">
        <v>133</v>
      </c>
      <c r="I15" s="155" t="s">
        <v>139</v>
      </c>
      <c r="J15" s="156"/>
      <c r="K15" s="153" t="s">
        <v>91</v>
      </c>
      <c r="L15" s="154" t="s">
        <v>133</v>
      </c>
      <c r="M15" s="155" t="s">
        <v>139</v>
      </c>
      <c r="N15" s="156"/>
      <c r="O15" s="153" t="s">
        <v>91</v>
      </c>
      <c r="P15" s="154" t="s">
        <v>133</v>
      </c>
      <c r="Q15" s="155" t="s">
        <v>139</v>
      </c>
    </row>
    <row r="16" spans="1:17" ht="30" customHeight="1" thickBot="1" x14ac:dyDescent="0.3">
      <c r="A16" s="193"/>
      <c r="B16" s="203" t="s">
        <v>558</v>
      </c>
      <c r="C16" s="289"/>
      <c r="D16" s="290"/>
      <c r="E16" s="291"/>
      <c r="F16" s="156"/>
      <c r="G16" s="289"/>
      <c r="H16" s="290"/>
      <c r="I16" s="291"/>
      <c r="J16" s="156"/>
      <c r="K16" s="289"/>
      <c r="L16" s="290"/>
      <c r="M16" s="291"/>
      <c r="N16" s="156"/>
      <c r="O16" s="289"/>
      <c r="P16" s="290"/>
      <c r="Q16" s="291"/>
    </row>
    <row r="17" spans="1:17" ht="16.5" thickBot="1" x14ac:dyDescent="0.3">
      <c r="A17" s="193"/>
      <c r="B17" s="299" t="s">
        <v>151</v>
      </c>
      <c r="C17" s="163">
        <f>'PRIME CPIF LABOR INPUTS'!D133</f>
        <v>0</v>
      </c>
      <c r="D17" s="205"/>
      <c r="E17" s="164">
        <f>'PRIME CPIF LABOR INPUTS'!F133</f>
        <v>0</v>
      </c>
      <c r="F17" s="165"/>
      <c r="G17" s="163">
        <f>'PRIME CPIF LABOR INPUTS'!H133</f>
        <v>0</v>
      </c>
      <c r="H17" s="205"/>
      <c r="I17" s="164">
        <f>'PRIME CPIF LABOR INPUTS'!J133</f>
        <v>0</v>
      </c>
      <c r="J17" s="165"/>
      <c r="K17" s="163">
        <f>'PRIME CPIF LABOR INPUTS'!L133</f>
        <v>0</v>
      </c>
      <c r="L17" s="205"/>
      <c r="M17" s="164">
        <f>'PRIME CPIF LABOR INPUTS'!N133</f>
        <v>0</v>
      </c>
      <c r="N17" s="165"/>
      <c r="O17" s="163">
        <f>'PRIME CPIF LABOR INPUTS'!P133</f>
        <v>0</v>
      </c>
      <c r="P17" s="205"/>
      <c r="Q17" s="164">
        <f>'PRIME CPIF LABOR INPUTS'!R133</f>
        <v>0</v>
      </c>
    </row>
    <row r="18" spans="1:17" x14ac:dyDescent="0.25">
      <c r="A18" s="193"/>
      <c r="B18" s="204"/>
      <c r="C18" s="153" t="s">
        <v>399</v>
      </c>
      <c r="D18" s="154" t="s">
        <v>396</v>
      </c>
      <c r="E18" s="155" t="s">
        <v>398</v>
      </c>
      <c r="F18" s="166"/>
      <c r="G18" s="153" t="s">
        <v>399</v>
      </c>
      <c r="H18" s="154" t="s">
        <v>396</v>
      </c>
      <c r="I18" s="155" t="s">
        <v>398</v>
      </c>
      <c r="J18" s="166"/>
      <c r="K18" s="153" t="s">
        <v>399</v>
      </c>
      <c r="L18" s="154" t="s">
        <v>396</v>
      </c>
      <c r="M18" s="155" t="s">
        <v>398</v>
      </c>
      <c r="N18" s="166"/>
      <c r="O18" s="153" t="s">
        <v>399</v>
      </c>
      <c r="P18" s="154" t="s">
        <v>396</v>
      </c>
      <c r="Q18" s="155" t="s">
        <v>398</v>
      </c>
    </row>
    <row r="19" spans="1:17" ht="64.5" customHeight="1" x14ac:dyDescent="0.25">
      <c r="A19" s="193"/>
      <c r="B19" s="344" t="s">
        <v>611</v>
      </c>
      <c r="C19" s="289"/>
      <c r="D19" s="290"/>
      <c r="E19" s="291"/>
      <c r="F19" s="202"/>
      <c r="G19" s="289"/>
      <c r="H19" s="290"/>
      <c r="I19" s="291"/>
      <c r="J19" s="202"/>
      <c r="K19" s="289"/>
      <c r="L19" s="290"/>
      <c r="M19" s="291"/>
      <c r="N19" s="202"/>
      <c r="O19" s="289"/>
      <c r="P19" s="290"/>
      <c r="Q19" s="291"/>
    </row>
    <row r="20" spans="1:17" x14ac:dyDescent="0.25">
      <c r="A20" s="193"/>
      <c r="B20" s="167" t="str">
        <f>'PRIME CPIF RATES (ALL)'!B35</f>
        <v>Indirect Labor Category:  [Labor Fringe]</v>
      </c>
      <c r="C20" s="215">
        <f>+E17</f>
        <v>0</v>
      </c>
      <c r="D20" s="243">
        <f>'PRIME CPIF RATES (ALL)'!C35</f>
        <v>0</v>
      </c>
      <c r="E20" s="168">
        <f>ROUND(C20*D20,2)</f>
        <v>0</v>
      </c>
      <c r="F20" s="165"/>
      <c r="G20" s="215">
        <f>+I17</f>
        <v>0</v>
      </c>
      <c r="H20" s="243">
        <f>'PRIME CPIF RATES (ALL)'!D35</f>
        <v>0</v>
      </c>
      <c r="I20" s="168">
        <f>ROUND(G20*H20,2)</f>
        <v>0</v>
      </c>
      <c r="J20" s="165"/>
      <c r="K20" s="215">
        <f>+M17</f>
        <v>0</v>
      </c>
      <c r="L20" s="243">
        <f>'PRIME CPIF RATES (ALL)'!E35</f>
        <v>0</v>
      </c>
      <c r="M20" s="168">
        <f>ROUND(K20*L20,2)</f>
        <v>0</v>
      </c>
      <c r="N20" s="165"/>
      <c r="O20" s="215">
        <f>+Q17</f>
        <v>0</v>
      </c>
      <c r="P20" s="243">
        <f>'PRIME CPIF RATES (ALL)'!F35</f>
        <v>0</v>
      </c>
      <c r="Q20" s="168">
        <f>ROUND(O20*P20,2)</f>
        <v>0</v>
      </c>
    </row>
    <row r="21" spans="1:17" x14ac:dyDescent="0.25">
      <c r="A21" s="193"/>
      <c r="B21" s="167" t="str">
        <f>'PRIME CPIF RATES (ALL)'!B36</f>
        <v>Indirect Labor Category: [Labor Overhead]</v>
      </c>
      <c r="C21" s="215">
        <f>+C20+E20</f>
        <v>0</v>
      </c>
      <c r="D21" s="243">
        <f>'PRIME CPIF RATES (ALL)'!C36</f>
        <v>0</v>
      </c>
      <c r="E21" s="168">
        <f>ROUND(C21*D21,2)</f>
        <v>0</v>
      </c>
      <c r="F21" s="165"/>
      <c r="G21" s="215">
        <f>+G20+I20</f>
        <v>0</v>
      </c>
      <c r="H21" s="243">
        <f>'PRIME CPIF RATES (ALL)'!D36</f>
        <v>0</v>
      </c>
      <c r="I21" s="168">
        <f>ROUND(G21*H21,2)</f>
        <v>0</v>
      </c>
      <c r="J21" s="165"/>
      <c r="K21" s="215">
        <f>+K20+M20</f>
        <v>0</v>
      </c>
      <c r="L21" s="243">
        <f>'PRIME CPIF RATES (ALL)'!E36</f>
        <v>0</v>
      </c>
      <c r="M21" s="168">
        <f>ROUND(K21*L21,2)</f>
        <v>0</v>
      </c>
      <c r="N21" s="165"/>
      <c r="O21" s="215">
        <f>+O20+Q20</f>
        <v>0</v>
      </c>
      <c r="P21" s="243">
        <f>'PRIME CPIF RATES (ALL)'!F36</f>
        <v>0</v>
      </c>
      <c r="Q21" s="168">
        <f>ROUND(O21*P21,2)</f>
        <v>0</v>
      </c>
    </row>
    <row r="22" spans="1:17" x14ac:dyDescent="0.25">
      <c r="A22" s="193"/>
      <c r="B22" s="167" t="str">
        <f>'PRIME CPIF RATES (ALL)'!B37</f>
        <v>Indirect Labor Category: [G&amp;A]</v>
      </c>
      <c r="C22" s="215">
        <f>+C21+E21</f>
        <v>0</v>
      </c>
      <c r="D22" s="243">
        <f>'PRIME CPIF RATES (ALL)'!C37</f>
        <v>0</v>
      </c>
      <c r="E22" s="168">
        <f>ROUND(C22*D22,2)</f>
        <v>0</v>
      </c>
      <c r="F22" s="165"/>
      <c r="G22" s="215">
        <f>+G21+I21</f>
        <v>0</v>
      </c>
      <c r="H22" s="243">
        <f>'PRIME CPIF RATES (ALL)'!D37</f>
        <v>0</v>
      </c>
      <c r="I22" s="168">
        <f>ROUND(G22*H22,2)</f>
        <v>0</v>
      </c>
      <c r="J22" s="165"/>
      <c r="K22" s="215">
        <f>+K21+M21</f>
        <v>0</v>
      </c>
      <c r="L22" s="243">
        <f>'PRIME CPIF RATES (ALL)'!E37</f>
        <v>0</v>
      </c>
      <c r="M22" s="168">
        <f>ROUND(K22*L22,2)</f>
        <v>0</v>
      </c>
      <c r="N22" s="165"/>
      <c r="O22" s="215">
        <f>+O21+Q21</f>
        <v>0</v>
      </c>
      <c r="P22" s="243">
        <f>'PRIME CPIF RATES (ALL)'!F37</f>
        <v>0</v>
      </c>
      <c r="Q22" s="168">
        <f>ROUND(O22*P22,2)</f>
        <v>0</v>
      </c>
    </row>
    <row r="23" spans="1:17" x14ac:dyDescent="0.25">
      <c r="A23" s="193"/>
      <c r="B23" s="167" t="str">
        <f>'PRIME CPIF RATES (ALL)'!B38</f>
        <v>Indirect Labor Category: [FCCOM]</v>
      </c>
      <c r="C23" s="215">
        <f>C22+E22</f>
        <v>0</v>
      </c>
      <c r="D23" s="243">
        <f>'PRIME CPIF RATES (ALL)'!C38</f>
        <v>0</v>
      </c>
      <c r="E23" s="168">
        <f>ROUND(C23*D23,2)</f>
        <v>0</v>
      </c>
      <c r="F23" s="165"/>
      <c r="G23" s="215">
        <f>G22+I22</f>
        <v>0</v>
      </c>
      <c r="H23" s="243">
        <f>'PRIME CPIF RATES (ALL)'!D38</f>
        <v>0</v>
      </c>
      <c r="I23" s="168">
        <f>ROUND(G23*H23,2)</f>
        <v>0</v>
      </c>
      <c r="J23" s="165"/>
      <c r="K23" s="215">
        <f>K22+M22</f>
        <v>0</v>
      </c>
      <c r="L23" s="243">
        <f>'PRIME CPIF RATES (ALL)'!E38</f>
        <v>0</v>
      </c>
      <c r="M23" s="168">
        <f>ROUND(K23*L23,2)</f>
        <v>0</v>
      </c>
      <c r="N23" s="165"/>
      <c r="O23" s="215">
        <f>O22+Q22</f>
        <v>0</v>
      </c>
      <c r="P23" s="243">
        <f>'PRIME CPIF RATES (ALL)'!F38</f>
        <v>0</v>
      </c>
      <c r="Q23" s="168">
        <f>ROUND(O23*P23,2)</f>
        <v>0</v>
      </c>
    </row>
    <row r="24" spans="1:17" x14ac:dyDescent="0.25">
      <c r="A24" s="193"/>
      <c r="B24" s="167" t="str">
        <f>'PRIME CPIF RATES (ALL)'!B39</f>
        <v>Indirect Labor Category: [Target Fee]</v>
      </c>
      <c r="C24" s="215">
        <f>+C22+E22</f>
        <v>0</v>
      </c>
      <c r="D24" s="243">
        <f>'PRIME CPIF RATES (ALL)'!C39</f>
        <v>0</v>
      </c>
      <c r="E24" s="168">
        <f>ROUND(C24*D24,2)</f>
        <v>0</v>
      </c>
      <c r="F24" s="165"/>
      <c r="G24" s="215">
        <f>+G22+I22</f>
        <v>0</v>
      </c>
      <c r="H24" s="243">
        <f>'PRIME CPIF RATES (ALL)'!D39</f>
        <v>0</v>
      </c>
      <c r="I24" s="168">
        <f>ROUND(G24*H24,2)</f>
        <v>0</v>
      </c>
      <c r="J24" s="165"/>
      <c r="K24" s="215">
        <f>+K22+M22</f>
        <v>0</v>
      </c>
      <c r="L24" s="243">
        <f>'PRIME CPIF RATES (ALL)'!E39</f>
        <v>0</v>
      </c>
      <c r="M24" s="168">
        <f>ROUND(K24*L24,2)</f>
        <v>0</v>
      </c>
      <c r="N24" s="165"/>
      <c r="O24" s="215">
        <f>+O22+Q22</f>
        <v>0</v>
      </c>
      <c r="P24" s="243">
        <f>'PRIME CPIF RATES (ALL)'!F39</f>
        <v>0</v>
      </c>
      <c r="Q24" s="168">
        <f>ROUND(O24*P24,2)</f>
        <v>0</v>
      </c>
    </row>
    <row r="25" spans="1:17" x14ac:dyDescent="0.25">
      <c r="A25" s="193"/>
      <c r="B25" s="262" t="s">
        <v>258</v>
      </c>
      <c r="C25" s="210"/>
      <c r="D25" s="211"/>
      <c r="E25" s="230">
        <f>ROUND(SUM(E17,E20,E21,E22),2)</f>
        <v>0</v>
      </c>
      <c r="F25" s="165"/>
      <c r="G25" s="206"/>
      <c r="H25" s="207"/>
      <c r="I25" s="230">
        <f>ROUND(SUM(I17,I20,I21,I22),2)</f>
        <v>0</v>
      </c>
      <c r="J25" s="165"/>
      <c r="K25" s="206"/>
      <c r="L25" s="207"/>
      <c r="M25" s="230">
        <f>ROUND(SUM(M17,M20,M21,M22),2)</f>
        <v>0</v>
      </c>
      <c r="N25" s="165"/>
      <c r="O25" s="206"/>
      <c r="P25" s="207"/>
      <c r="Q25" s="230">
        <f>ROUND(SUM(Q17,Q20,Q21,Q22),2)</f>
        <v>0</v>
      </c>
    </row>
    <row r="26" spans="1:17" x14ac:dyDescent="0.25">
      <c r="A26" s="193"/>
      <c r="B26" s="262" t="s">
        <v>137</v>
      </c>
      <c r="C26" s="210"/>
      <c r="D26" s="211"/>
      <c r="E26" s="230">
        <f>ROUND(E23,2)</f>
        <v>0</v>
      </c>
      <c r="F26" s="165"/>
      <c r="G26" s="206"/>
      <c r="H26" s="207"/>
      <c r="I26" s="230">
        <f>ROUND(I23,2)</f>
        <v>0</v>
      </c>
      <c r="J26" s="165"/>
      <c r="K26" s="206"/>
      <c r="L26" s="207"/>
      <c r="M26" s="230">
        <f>ROUND(M23,2)</f>
        <v>0</v>
      </c>
      <c r="N26" s="165"/>
      <c r="O26" s="206"/>
      <c r="P26" s="207"/>
      <c r="Q26" s="230">
        <f>ROUND(Q23,2)</f>
        <v>0</v>
      </c>
    </row>
    <row r="27" spans="1:17" x14ac:dyDescent="0.25">
      <c r="A27" s="193"/>
      <c r="B27" s="262" t="s">
        <v>136</v>
      </c>
      <c r="C27" s="210"/>
      <c r="D27" s="211"/>
      <c r="E27" s="245">
        <f>ROUND(E24,2)</f>
        <v>0</v>
      </c>
      <c r="F27" s="170"/>
      <c r="G27" s="206"/>
      <c r="H27" s="207"/>
      <c r="I27" s="245">
        <f>ROUND(I24,2)</f>
        <v>0</v>
      </c>
      <c r="J27" s="170"/>
      <c r="K27" s="206"/>
      <c r="L27" s="207"/>
      <c r="M27" s="245">
        <f>ROUND(M24,2)</f>
        <v>0</v>
      </c>
      <c r="N27" s="170"/>
      <c r="O27" s="206"/>
      <c r="P27" s="207"/>
      <c r="Q27" s="245">
        <f>ROUND(Q24,2)</f>
        <v>0</v>
      </c>
    </row>
    <row r="28" spans="1:17" ht="16.5" thickBot="1" x14ac:dyDescent="0.3">
      <c r="A28" s="193"/>
      <c r="B28" s="263" t="s">
        <v>138</v>
      </c>
      <c r="C28" s="212"/>
      <c r="D28" s="213"/>
      <c r="E28" s="246">
        <f>ROUND(SUM(E25:E27),2)</f>
        <v>0</v>
      </c>
      <c r="F28" s="171"/>
      <c r="G28" s="208"/>
      <c r="H28" s="209"/>
      <c r="I28" s="246">
        <f>ROUND(SUM(I25:I27),2)</f>
        <v>0</v>
      </c>
      <c r="J28" s="171"/>
      <c r="K28" s="208"/>
      <c r="L28" s="209"/>
      <c r="M28" s="246">
        <f>ROUND(SUM(M25:M27),2)</f>
        <v>0</v>
      </c>
      <c r="N28" s="171"/>
      <c r="O28" s="208"/>
      <c r="P28" s="209"/>
      <c r="Q28" s="246">
        <f>ROUND(SUM(Q25:Q27),2)</f>
        <v>0</v>
      </c>
    </row>
    <row r="29" spans="1:17" ht="16.5" thickBot="1" x14ac:dyDescent="0.3">
      <c r="A29" s="193"/>
      <c r="B29" s="172"/>
      <c r="C29" s="173"/>
      <c r="D29" s="173"/>
      <c r="E29" s="256"/>
      <c r="F29" s="256"/>
      <c r="G29" s="256"/>
      <c r="H29" s="256"/>
      <c r="I29" s="256"/>
      <c r="J29" s="256"/>
      <c r="K29" s="256"/>
      <c r="L29" s="173"/>
      <c r="M29" s="173"/>
      <c r="N29" s="165"/>
      <c r="O29" s="256"/>
      <c r="P29" s="173"/>
      <c r="Q29" s="173"/>
    </row>
    <row r="30" spans="1:17" ht="16.5" customHeight="1" thickBot="1" x14ac:dyDescent="0.3">
      <c r="A30" s="193"/>
      <c r="B30" s="620" t="str">
        <f>B13</f>
        <v>CLIN 0001 (CPIF)                                                    TASK 1.06 QUALIFICATION, DEVELOPMENTAL, AND OPERATIONAL TESTING</v>
      </c>
      <c r="C30" s="594" t="s">
        <v>145</v>
      </c>
      <c r="D30" s="595"/>
      <c r="E30" s="596"/>
      <c r="F30" s="175"/>
      <c r="G30" s="594" t="s">
        <v>145</v>
      </c>
      <c r="H30" s="595"/>
      <c r="I30" s="596"/>
      <c r="J30" s="175"/>
      <c r="K30" s="594" t="s">
        <v>145</v>
      </c>
      <c r="L30" s="595"/>
      <c r="M30" s="596"/>
      <c r="N30" s="175"/>
      <c r="O30" s="594" t="s">
        <v>145</v>
      </c>
      <c r="P30" s="595"/>
      <c r="Q30" s="596"/>
    </row>
    <row r="31" spans="1:17" ht="32.25" customHeight="1" thickBot="1" x14ac:dyDescent="0.3">
      <c r="A31" s="193"/>
      <c r="B31" s="621"/>
      <c r="C31" s="617" t="str">
        <f>C14</f>
        <v>CLIN 0001 - Basic Period (Year 1)</v>
      </c>
      <c r="D31" s="618"/>
      <c r="E31" s="619"/>
      <c r="F31" s="176"/>
      <c r="G31" s="617" t="str">
        <f>G14</f>
        <v>CLIN 0001 - Basic Period (Year 2)</v>
      </c>
      <c r="H31" s="618"/>
      <c r="I31" s="619"/>
      <c r="J31" s="176"/>
      <c r="K31" s="617" t="str">
        <f>K14</f>
        <v>CLIN 0001 - Basic Period (Year 3)</v>
      </c>
      <c r="L31" s="618"/>
      <c r="M31" s="619"/>
      <c r="N31" s="176"/>
      <c r="O31" s="617" t="str">
        <f>O14</f>
        <v>CLIN 0001 - Basic Period (Year 4)</v>
      </c>
      <c r="P31" s="618"/>
      <c r="Q31" s="619"/>
    </row>
    <row r="32" spans="1:17" x14ac:dyDescent="0.25">
      <c r="A32" s="193"/>
      <c r="B32" s="247"/>
      <c r="C32" s="153" t="s">
        <v>399</v>
      </c>
      <c r="D32" s="154" t="s">
        <v>396</v>
      </c>
      <c r="E32" s="155" t="s">
        <v>152</v>
      </c>
      <c r="F32" s="166"/>
      <c r="G32" s="153" t="s">
        <v>399</v>
      </c>
      <c r="H32" s="154" t="s">
        <v>396</v>
      </c>
      <c r="I32" s="155" t="s">
        <v>152</v>
      </c>
      <c r="J32" s="166"/>
      <c r="K32" s="153" t="s">
        <v>399</v>
      </c>
      <c r="L32" s="154" t="s">
        <v>396</v>
      </c>
      <c r="M32" s="155" t="s">
        <v>152</v>
      </c>
      <c r="N32" s="166"/>
      <c r="O32" s="153" t="s">
        <v>399</v>
      </c>
      <c r="P32" s="154" t="s">
        <v>396</v>
      </c>
      <c r="Q32" s="155" t="s">
        <v>152</v>
      </c>
    </row>
    <row r="33" spans="1:17" ht="51.75" x14ac:dyDescent="0.25">
      <c r="A33" s="193"/>
      <c r="B33" s="300" t="s">
        <v>612</v>
      </c>
      <c r="C33" s="231"/>
      <c r="D33" s="232"/>
      <c r="E33" s="400">
        <f>'PRIME CPIF TOTAL MATERIAL'!E16</f>
        <v>0</v>
      </c>
      <c r="F33" s="165"/>
      <c r="G33" s="231"/>
      <c r="H33" s="232"/>
      <c r="I33" s="400">
        <f>'PRIME CPIF TOTAL MATERIAL'!G16</f>
        <v>0</v>
      </c>
      <c r="J33" s="165"/>
      <c r="K33" s="231"/>
      <c r="L33" s="232"/>
      <c r="M33" s="400">
        <f>'PRIME CPIF TOTAL MATERIAL'!I16</f>
        <v>0</v>
      </c>
      <c r="N33" s="165"/>
      <c r="O33" s="231"/>
      <c r="P33" s="187"/>
      <c r="Q33" s="400">
        <f>'PRIME CPIF TOTAL MATERIAL'!K16</f>
        <v>0</v>
      </c>
    </row>
    <row r="34" spans="1:17" ht="67.5" customHeight="1" x14ac:dyDescent="0.25">
      <c r="A34" s="193"/>
      <c r="B34" s="344" t="s">
        <v>389</v>
      </c>
      <c r="C34" s="405"/>
      <c r="D34" s="406"/>
      <c r="E34" s="400"/>
      <c r="F34" s="165"/>
      <c r="G34" s="405"/>
      <c r="H34" s="406"/>
      <c r="I34" s="400"/>
      <c r="J34" s="165"/>
      <c r="K34" s="405"/>
      <c r="L34" s="406"/>
      <c r="M34" s="400"/>
      <c r="N34" s="165"/>
      <c r="O34" s="405"/>
      <c r="P34" s="406"/>
      <c r="Q34" s="400"/>
    </row>
    <row r="35" spans="1:17" x14ac:dyDescent="0.25">
      <c r="A35" s="193"/>
      <c r="B35" s="167" t="str">
        <f>'PRIME CPIF RATES (ALL)'!B52</f>
        <v>Indirect Category: [Material Overhead]</v>
      </c>
      <c r="C35" s="215">
        <f>+E33</f>
        <v>0</v>
      </c>
      <c r="D35" s="243">
        <f>'PRIME CPIF RATES (ALL)'!C52</f>
        <v>0</v>
      </c>
      <c r="E35" s="168">
        <f>ROUND(C35*D35,2)</f>
        <v>0</v>
      </c>
      <c r="F35" s="178"/>
      <c r="G35" s="215">
        <f>+I33</f>
        <v>0</v>
      </c>
      <c r="H35" s="243">
        <f>'PRIME CPIF RATES (ALL)'!D52</f>
        <v>0</v>
      </c>
      <c r="I35" s="168">
        <f>ROUND(G35*H35,2)</f>
        <v>0</v>
      </c>
      <c r="J35" s="178"/>
      <c r="K35" s="215">
        <f>+M33</f>
        <v>0</v>
      </c>
      <c r="L35" s="243">
        <f>'PRIME CPIF RATES (ALL)'!E52</f>
        <v>0</v>
      </c>
      <c r="M35" s="168">
        <f>ROUND(K35*L35,2)</f>
        <v>0</v>
      </c>
      <c r="N35" s="178"/>
      <c r="O35" s="215">
        <f>+Q33</f>
        <v>0</v>
      </c>
      <c r="P35" s="243">
        <f>'PRIME CPIF RATES (ALL)'!F52</f>
        <v>0</v>
      </c>
      <c r="Q35" s="168">
        <f>ROUND(O35*P35,2)</f>
        <v>0</v>
      </c>
    </row>
    <row r="36" spans="1:17" x14ac:dyDescent="0.25">
      <c r="A36" s="193"/>
      <c r="B36" s="167" t="str">
        <f>'PRIME CPIF RATES (ALL)'!B53</f>
        <v>Indirect Category: [G&amp;A]</v>
      </c>
      <c r="C36" s="215">
        <f>+C35+E35</f>
        <v>0</v>
      </c>
      <c r="D36" s="243">
        <f>'PRIME CPIF RATES (ALL)'!C53</f>
        <v>0</v>
      </c>
      <c r="E36" s="168">
        <f>ROUND(C36*D36,2)</f>
        <v>0</v>
      </c>
      <c r="F36" s="178"/>
      <c r="G36" s="215">
        <f>+G35+I35</f>
        <v>0</v>
      </c>
      <c r="H36" s="243">
        <f>'PRIME CPIF RATES (ALL)'!D53</f>
        <v>0</v>
      </c>
      <c r="I36" s="168">
        <f>ROUND(G36*H36,2)</f>
        <v>0</v>
      </c>
      <c r="J36" s="178"/>
      <c r="K36" s="215">
        <f>+K35+M35</f>
        <v>0</v>
      </c>
      <c r="L36" s="243">
        <f>'PRIME CPIF RATES (ALL)'!E53</f>
        <v>0</v>
      </c>
      <c r="M36" s="168">
        <f>ROUND(K36*L36,2)</f>
        <v>0</v>
      </c>
      <c r="N36" s="178"/>
      <c r="O36" s="215">
        <f>+O35+Q35</f>
        <v>0</v>
      </c>
      <c r="P36" s="243">
        <f>'PRIME CPIF RATES (ALL)'!F53</f>
        <v>0</v>
      </c>
      <c r="Q36" s="168">
        <f>ROUND(O36*P36,2)</f>
        <v>0</v>
      </c>
    </row>
    <row r="37" spans="1:17" x14ac:dyDescent="0.25">
      <c r="A37" s="193"/>
      <c r="B37" s="167" t="str">
        <f>'PRIME CPIF RATES (ALL)'!B54</f>
        <v>Indirect Category: [FCCOM]</v>
      </c>
      <c r="C37" s="215">
        <f>C36+E36</f>
        <v>0</v>
      </c>
      <c r="D37" s="243">
        <f>'PRIME CPIF RATES (ALL)'!C54</f>
        <v>0</v>
      </c>
      <c r="E37" s="168">
        <f>ROUND(C37*D37,2)</f>
        <v>0</v>
      </c>
      <c r="F37" s="165"/>
      <c r="G37" s="215">
        <f>G36+I36</f>
        <v>0</v>
      </c>
      <c r="H37" s="243">
        <f>'PRIME CPIF RATES (ALL)'!D54</f>
        <v>0</v>
      </c>
      <c r="I37" s="168">
        <f>ROUND(G37*H37,2)</f>
        <v>0</v>
      </c>
      <c r="J37" s="165"/>
      <c r="K37" s="215">
        <f>K36+M36</f>
        <v>0</v>
      </c>
      <c r="L37" s="243">
        <f>'PRIME CPIF RATES (ALL)'!E54</f>
        <v>0</v>
      </c>
      <c r="M37" s="168">
        <f>ROUND(K37*L37,2)</f>
        <v>0</v>
      </c>
      <c r="N37" s="165"/>
      <c r="O37" s="215">
        <f>O36+Q36</f>
        <v>0</v>
      </c>
      <c r="P37" s="243">
        <f>'PRIME CPIF RATES (ALL)'!F54</f>
        <v>0</v>
      </c>
      <c r="Q37" s="168">
        <f>ROUND(O37*P37,2)</f>
        <v>0</v>
      </c>
    </row>
    <row r="38" spans="1:17" x14ac:dyDescent="0.25">
      <c r="A38" s="193"/>
      <c r="B38" s="167" t="str">
        <f>'PRIME CPIF RATES (ALL)'!B55</f>
        <v>Indirect Category: [Target Fee]</v>
      </c>
      <c r="C38" s="215">
        <f>+C36+E36</f>
        <v>0</v>
      </c>
      <c r="D38" s="243">
        <f>'PRIME CPIF RATES (ALL)'!C55</f>
        <v>0</v>
      </c>
      <c r="E38" s="168">
        <f>ROUND(C38*D38,2)</f>
        <v>0</v>
      </c>
      <c r="F38" s="165"/>
      <c r="G38" s="215">
        <f>+G36+I36</f>
        <v>0</v>
      </c>
      <c r="H38" s="243">
        <f>'PRIME CPIF RATES (ALL)'!D55</f>
        <v>0</v>
      </c>
      <c r="I38" s="168">
        <f>ROUND(G38*H38,2)</f>
        <v>0</v>
      </c>
      <c r="J38" s="165"/>
      <c r="K38" s="215">
        <f>+K36+M36</f>
        <v>0</v>
      </c>
      <c r="L38" s="243">
        <f>'PRIME CPIF RATES (ALL)'!E55</f>
        <v>0</v>
      </c>
      <c r="M38" s="168">
        <f>ROUND(K38*L38,2)</f>
        <v>0</v>
      </c>
      <c r="N38" s="165"/>
      <c r="O38" s="215">
        <f>+O36+Q36</f>
        <v>0</v>
      </c>
      <c r="P38" s="243">
        <f>'PRIME CPIF RATES (ALL)'!F55</f>
        <v>0</v>
      </c>
      <c r="Q38" s="168">
        <f>ROUND(O38*P38,2)</f>
        <v>0</v>
      </c>
    </row>
    <row r="39" spans="1:17" x14ac:dyDescent="0.25">
      <c r="A39" s="193"/>
      <c r="B39" s="241" t="s">
        <v>259</v>
      </c>
      <c r="C39" s="233"/>
      <c r="D39" s="234"/>
      <c r="E39" s="168">
        <f>ROUND(SUM(E33:E36),2)</f>
        <v>0</v>
      </c>
      <c r="F39" s="165"/>
      <c r="G39" s="233"/>
      <c r="H39" s="234"/>
      <c r="I39" s="168">
        <f>ROUND(SUM(I33:I36),2)</f>
        <v>0</v>
      </c>
      <c r="J39" s="165"/>
      <c r="K39" s="233"/>
      <c r="L39" s="234"/>
      <c r="M39" s="168">
        <f>ROUND(SUM(M33:M36),2)</f>
        <v>0</v>
      </c>
      <c r="N39" s="165"/>
      <c r="O39" s="233"/>
      <c r="P39" s="234"/>
      <c r="Q39" s="168">
        <f>ROUND(SUM(Q33:Q36),2)</f>
        <v>0</v>
      </c>
    </row>
    <row r="40" spans="1:17" x14ac:dyDescent="0.25">
      <c r="A40" s="193"/>
      <c r="B40" s="241" t="s">
        <v>137</v>
      </c>
      <c r="C40" s="231"/>
      <c r="D40" s="235"/>
      <c r="E40" s="168">
        <f>ROUND(E37,2)</f>
        <v>0</v>
      </c>
      <c r="F40" s="165"/>
      <c r="G40" s="231"/>
      <c r="H40" s="235"/>
      <c r="I40" s="168">
        <f>ROUND(I37,2)</f>
        <v>0</v>
      </c>
      <c r="J40" s="165"/>
      <c r="K40" s="231"/>
      <c r="L40" s="235"/>
      <c r="M40" s="168">
        <f>ROUND(M37,2)</f>
        <v>0</v>
      </c>
      <c r="N40" s="165"/>
      <c r="O40" s="231"/>
      <c r="P40" s="235"/>
      <c r="Q40" s="168">
        <f>ROUND(Q37,2)</f>
        <v>0</v>
      </c>
    </row>
    <row r="41" spans="1:17" x14ac:dyDescent="0.2">
      <c r="B41" s="241" t="s">
        <v>136</v>
      </c>
      <c r="C41" s="231"/>
      <c r="D41" s="235"/>
      <c r="E41" s="182">
        <f>ROUND(E38,2)</f>
        <v>0</v>
      </c>
      <c r="F41" s="183"/>
      <c r="G41" s="231"/>
      <c r="H41" s="235"/>
      <c r="I41" s="182">
        <f>ROUND(I38,2)</f>
        <v>0</v>
      </c>
      <c r="J41" s="183"/>
      <c r="K41" s="231"/>
      <c r="L41" s="235"/>
      <c r="M41" s="182">
        <f>ROUND(M38,2)</f>
        <v>0</v>
      </c>
      <c r="N41" s="183"/>
      <c r="O41" s="231"/>
      <c r="P41" s="235"/>
      <c r="Q41" s="182">
        <f>ROUND(Q38,2)</f>
        <v>0</v>
      </c>
    </row>
    <row r="42" spans="1:17" ht="16.5" thickBot="1" x14ac:dyDescent="0.25">
      <c r="B42" s="242" t="s">
        <v>243</v>
      </c>
      <c r="C42" s="236"/>
      <c r="D42" s="237"/>
      <c r="E42" s="160">
        <f>SUM(E39:E41)</f>
        <v>0</v>
      </c>
      <c r="F42" s="161"/>
      <c r="G42" s="236"/>
      <c r="H42" s="237"/>
      <c r="I42" s="160">
        <f>SUM(I39:I41)</f>
        <v>0</v>
      </c>
      <c r="J42" s="161"/>
      <c r="K42" s="236"/>
      <c r="L42" s="237"/>
      <c r="M42" s="160">
        <f>SUM(M39:M41)</f>
        <v>0</v>
      </c>
      <c r="N42" s="161"/>
      <c r="O42" s="236"/>
      <c r="P42" s="237"/>
      <c r="Q42" s="160">
        <f>SUM(Q39:Q41)</f>
        <v>0</v>
      </c>
    </row>
    <row r="43" spans="1:17" ht="16.5" thickBot="1" x14ac:dyDescent="0.25">
      <c r="B43" s="172"/>
      <c r="E43" s="251"/>
      <c r="F43" s="251"/>
      <c r="G43" s="251"/>
      <c r="H43" s="251"/>
      <c r="I43" s="251"/>
      <c r="J43" s="251"/>
      <c r="K43" s="251"/>
      <c r="N43" s="187"/>
      <c r="O43" s="251"/>
    </row>
    <row r="44" spans="1:17" ht="16.5" thickBot="1" x14ac:dyDescent="0.3">
      <c r="B44" s="620" t="str">
        <f>B13</f>
        <v>CLIN 0001 (CPIF)                                                    TASK 1.06 QUALIFICATION, DEVELOPMENTAL, AND OPERATIONAL TESTING</v>
      </c>
      <c r="C44" s="594" t="s">
        <v>318</v>
      </c>
      <c r="D44" s="595"/>
      <c r="E44" s="596"/>
      <c r="F44" s="175"/>
      <c r="G44" s="594" t="s">
        <v>318</v>
      </c>
      <c r="H44" s="595"/>
      <c r="I44" s="596"/>
      <c r="J44" s="175"/>
      <c r="K44" s="594" t="s">
        <v>318</v>
      </c>
      <c r="L44" s="595"/>
      <c r="M44" s="596"/>
      <c r="N44" s="175"/>
      <c r="O44" s="594" t="s">
        <v>318</v>
      </c>
      <c r="P44" s="595"/>
      <c r="Q44" s="596"/>
    </row>
    <row r="45" spans="1:17" ht="27.75" customHeight="1" thickBot="1" x14ac:dyDescent="0.3">
      <c r="B45" s="621"/>
      <c r="C45" s="617" t="str">
        <f>C31</f>
        <v>CLIN 0001 - Basic Period (Year 1)</v>
      </c>
      <c r="D45" s="618"/>
      <c r="E45" s="619"/>
      <c r="F45" s="176"/>
      <c r="G45" s="617" t="str">
        <f>G31</f>
        <v>CLIN 0001 - Basic Period (Year 2)</v>
      </c>
      <c r="H45" s="618"/>
      <c r="I45" s="619"/>
      <c r="J45" s="176"/>
      <c r="K45" s="617" t="str">
        <f>K31</f>
        <v>CLIN 0001 - Basic Period (Year 3)</v>
      </c>
      <c r="L45" s="618"/>
      <c r="M45" s="619"/>
      <c r="N45" s="176"/>
      <c r="O45" s="617" t="str">
        <f>O31</f>
        <v>CLIN 0001 - Basic Period (Year 4)</v>
      </c>
      <c r="P45" s="618"/>
      <c r="Q45" s="619"/>
    </row>
    <row r="46" spans="1:17" x14ac:dyDescent="0.25">
      <c r="B46" s="248"/>
      <c r="C46" s="153" t="s">
        <v>399</v>
      </c>
      <c r="D46" s="154" t="s">
        <v>396</v>
      </c>
      <c r="E46" s="155" t="s">
        <v>397</v>
      </c>
      <c r="F46" s="166"/>
      <c r="G46" s="153" t="s">
        <v>399</v>
      </c>
      <c r="H46" s="154" t="s">
        <v>396</v>
      </c>
      <c r="I46" s="155" t="s">
        <v>397</v>
      </c>
      <c r="J46" s="166"/>
      <c r="K46" s="153" t="s">
        <v>399</v>
      </c>
      <c r="L46" s="154" t="s">
        <v>396</v>
      </c>
      <c r="M46" s="155" t="s">
        <v>397</v>
      </c>
      <c r="N46" s="166"/>
      <c r="O46" s="153" t="s">
        <v>399</v>
      </c>
      <c r="P46" s="154" t="s">
        <v>396</v>
      </c>
      <c r="Q46" s="155" t="s">
        <v>397</v>
      </c>
    </row>
    <row r="47" spans="1:17" ht="25.5" x14ac:dyDescent="0.2">
      <c r="B47" s="300" t="s">
        <v>560</v>
      </c>
      <c r="C47" s="285"/>
      <c r="D47" s="285"/>
      <c r="E47" s="345">
        <f>'PRIME CPIF TOTAL SUB'!E16</f>
        <v>0</v>
      </c>
      <c r="F47" s="288"/>
      <c r="G47" s="231"/>
      <c r="H47" s="285"/>
      <c r="I47" s="345">
        <f>'PRIME CPIF TOTAL SUB'!G16</f>
        <v>0</v>
      </c>
      <c r="J47" s="288"/>
      <c r="K47" s="231"/>
      <c r="L47" s="285"/>
      <c r="M47" s="345">
        <f>'PRIME CPIF TOTAL SUB'!I16</f>
        <v>0</v>
      </c>
      <c r="N47" s="165"/>
      <c r="O47" s="231"/>
      <c r="P47" s="285"/>
      <c r="Q47" s="345">
        <f>'PRIME CPIF TOTAL SUB'!K16</f>
        <v>0</v>
      </c>
    </row>
    <row r="48" spans="1:17" ht="76.5" x14ac:dyDescent="0.2">
      <c r="B48" s="344" t="s">
        <v>613</v>
      </c>
      <c r="C48" s="405" t="s">
        <v>5</v>
      </c>
      <c r="D48" s="406"/>
      <c r="E48" s="400"/>
      <c r="F48" s="178"/>
      <c r="G48" s="627"/>
      <c r="H48" s="625"/>
      <c r="I48" s="626"/>
      <c r="J48" s="178"/>
      <c r="K48" s="627"/>
      <c r="L48" s="625"/>
      <c r="M48" s="626"/>
      <c r="N48" s="178"/>
      <c r="O48" s="627"/>
      <c r="P48" s="625"/>
      <c r="Q48" s="626"/>
    </row>
    <row r="49" spans="1:17" x14ac:dyDescent="0.2">
      <c r="B49" s="287" t="str">
        <f>'PRIME CPIF RATES (ALL)'!B44</f>
        <v>Indirect Category: [Overhead]</v>
      </c>
      <c r="C49" s="215">
        <f>E47</f>
        <v>0</v>
      </c>
      <c r="D49" s="243">
        <f>'PRIME CPIF RATES (ALL)'!C44</f>
        <v>0</v>
      </c>
      <c r="E49" s="168">
        <f>ROUND(C49*D49,2)</f>
        <v>0</v>
      </c>
      <c r="F49" s="178"/>
      <c r="G49" s="215">
        <f>I47</f>
        <v>0</v>
      </c>
      <c r="H49" s="243">
        <f>'PRIME CPIF RATES (ALL)'!D44</f>
        <v>0</v>
      </c>
      <c r="I49" s="168">
        <f>ROUND(G49*H49,2)</f>
        <v>0</v>
      </c>
      <c r="J49" s="178"/>
      <c r="K49" s="215">
        <f>M47</f>
        <v>0</v>
      </c>
      <c r="L49" s="243">
        <f>'PRIME CPIF RATES (ALL)'!E44</f>
        <v>0</v>
      </c>
      <c r="M49" s="168">
        <f>ROUND(K49*L49,2)</f>
        <v>0</v>
      </c>
      <c r="N49" s="178"/>
      <c r="O49" s="215">
        <f>Q47</f>
        <v>0</v>
      </c>
      <c r="P49" s="243">
        <f>'PRIME CPIF RATES (ALL)'!F44</f>
        <v>0</v>
      </c>
      <c r="Q49" s="168">
        <f>ROUND(O49*P49,2)</f>
        <v>0</v>
      </c>
    </row>
    <row r="50" spans="1:17" x14ac:dyDescent="0.2">
      <c r="B50" s="287" t="str">
        <f>'PRIME CPIF RATES (ALL)'!B45</f>
        <v>Indirect Category: [G&amp;A]</v>
      </c>
      <c r="C50" s="286">
        <f>C49+E49</f>
        <v>0</v>
      </c>
      <c r="D50" s="243">
        <f>'PRIME CPIF RATES (ALL)'!C45</f>
        <v>0</v>
      </c>
      <c r="E50" s="168">
        <f>ROUND(C50*D50,2)</f>
        <v>0</v>
      </c>
      <c r="F50" s="288"/>
      <c r="G50" s="286">
        <f>G49+I49</f>
        <v>0</v>
      </c>
      <c r="H50" s="243">
        <f>'PRIME CPIF RATES (ALL)'!D45</f>
        <v>0</v>
      </c>
      <c r="I50" s="168">
        <f>ROUND(G50*H50,2)</f>
        <v>0</v>
      </c>
      <c r="J50" s="288"/>
      <c r="K50" s="286">
        <f>K49+M49</f>
        <v>0</v>
      </c>
      <c r="L50" s="243">
        <f>'PRIME CPIF RATES (ALL)'!E45</f>
        <v>0</v>
      </c>
      <c r="M50" s="168">
        <f>ROUND(K50*L50,2)</f>
        <v>0</v>
      </c>
      <c r="N50" s="165"/>
      <c r="O50" s="286">
        <f>O49+Q49</f>
        <v>0</v>
      </c>
      <c r="P50" s="243">
        <f>'PRIME CPIF RATES (ALL)'!F45</f>
        <v>0</v>
      </c>
      <c r="Q50" s="168">
        <f>ROUND(O50*P50,2)</f>
        <v>0</v>
      </c>
    </row>
    <row r="51" spans="1:17" x14ac:dyDescent="0.2">
      <c r="B51" s="351" t="str">
        <f>'PRIME CPIF RATES (ALL)'!B46</f>
        <v>Indirect Category: [FCCOM]</v>
      </c>
      <c r="C51" s="215">
        <f>C50+E50</f>
        <v>0</v>
      </c>
      <c r="D51" s="243">
        <f>'PRIME CPIF RATES (ALL)'!C46</f>
        <v>0</v>
      </c>
      <c r="E51" s="353">
        <f>ROUND(C51*D51,2)</f>
        <v>0</v>
      </c>
      <c r="F51" s="288"/>
      <c r="G51" s="215">
        <f>G50+I50</f>
        <v>0</v>
      </c>
      <c r="H51" s="243">
        <f>'PRIME CPIF RATES (ALL)'!D46</f>
        <v>0</v>
      </c>
      <c r="I51" s="353">
        <f>ROUND(G51*H51,2)</f>
        <v>0</v>
      </c>
      <c r="J51" s="288"/>
      <c r="K51" s="215">
        <f>K50+M50</f>
        <v>0</v>
      </c>
      <c r="L51" s="243">
        <f>'PRIME CPIF RATES (ALL)'!E46</f>
        <v>0</v>
      </c>
      <c r="M51" s="353">
        <f>ROUND(K51*L51,2)</f>
        <v>0</v>
      </c>
      <c r="N51" s="165"/>
      <c r="O51" s="215">
        <f>O50+Q50</f>
        <v>0</v>
      </c>
      <c r="P51" s="243">
        <f>'PRIME CPIF RATES (ALL)'!F46</f>
        <v>0</v>
      </c>
      <c r="Q51" s="353">
        <f>ROUND(O51*P51,2)</f>
        <v>0</v>
      </c>
    </row>
    <row r="52" spans="1:17" x14ac:dyDescent="0.2">
      <c r="B52" s="167" t="str">
        <f>'PRIME CPIF RATES (ALL)'!B47</f>
        <v>Indirect Category: [Target Fee]</v>
      </c>
      <c r="C52" s="214">
        <f>C50+E50</f>
        <v>0</v>
      </c>
      <c r="D52" s="354">
        <f>'PRIME CPIF RATES (ALL)'!C47</f>
        <v>0</v>
      </c>
      <c r="E52" s="353">
        <f>ROUND(C52*D52,2)</f>
        <v>0</v>
      </c>
      <c r="F52" s="288"/>
      <c r="G52" s="214">
        <f>G50+I50</f>
        <v>0</v>
      </c>
      <c r="H52" s="354">
        <f>'PRIME CPIF RATES (ALL)'!D47</f>
        <v>0</v>
      </c>
      <c r="I52" s="353">
        <f>ROUND(G52*H52,2)</f>
        <v>0</v>
      </c>
      <c r="J52" s="288"/>
      <c r="K52" s="214">
        <f>K50+M50</f>
        <v>0</v>
      </c>
      <c r="L52" s="354">
        <f>'PRIME CPIF RATES (ALL)'!E47</f>
        <v>0</v>
      </c>
      <c r="M52" s="353">
        <f>ROUND(K52*L52,2)</f>
        <v>0</v>
      </c>
      <c r="N52" s="165"/>
      <c r="O52" s="214">
        <f>O50+Q50</f>
        <v>0</v>
      </c>
      <c r="P52" s="354">
        <f>'PRIME CPIF RATES (ALL)'!F47</f>
        <v>0</v>
      </c>
      <c r="Q52" s="353">
        <f>ROUND(O52*P52,2)</f>
        <v>0</v>
      </c>
    </row>
    <row r="53" spans="1:17" x14ac:dyDescent="0.2">
      <c r="B53" s="241" t="s">
        <v>320</v>
      </c>
      <c r="C53" s="233"/>
      <c r="D53" s="234"/>
      <c r="E53" s="168">
        <f>ROUND(E47+E49+E50,2)</f>
        <v>0</v>
      </c>
      <c r="F53" s="288"/>
      <c r="G53" s="233"/>
      <c r="H53" s="234"/>
      <c r="I53" s="168">
        <f>ROUND(I47+I49+I50,2)</f>
        <v>0</v>
      </c>
      <c r="J53" s="288"/>
      <c r="K53" s="233"/>
      <c r="L53" s="234"/>
      <c r="M53" s="168">
        <f>ROUND(M47+M49+M50,2)</f>
        <v>0</v>
      </c>
      <c r="N53" s="165"/>
      <c r="O53" s="233"/>
      <c r="P53" s="234"/>
      <c r="Q53" s="168">
        <f>ROUND(Q47+Q49+Q50,2)</f>
        <v>0</v>
      </c>
    </row>
    <row r="54" spans="1:17" x14ac:dyDescent="0.2">
      <c r="B54" s="241" t="s">
        <v>298</v>
      </c>
      <c r="C54" s="231"/>
      <c r="D54" s="235"/>
      <c r="E54" s="168">
        <f>ROUND(E51,2)</f>
        <v>0</v>
      </c>
      <c r="F54" s="288"/>
      <c r="G54" s="231"/>
      <c r="H54" s="235"/>
      <c r="I54" s="168">
        <f>ROUND(I51,2)</f>
        <v>0</v>
      </c>
      <c r="J54" s="288"/>
      <c r="K54" s="231"/>
      <c r="L54" s="235"/>
      <c r="M54" s="168">
        <f>ROUND(M51,2)</f>
        <v>0</v>
      </c>
      <c r="N54" s="165"/>
      <c r="O54" s="231"/>
      <c r="P54" s="235"/>
      <c r="Q54" s="168">
        <f>ROUND(Q51,2)</f>
        <v>0</v>
      </c>
    </row>
    <row r="55" spans="1:17" x14ac:dyDescent="0.2">
      <c r="B55" s="241" t="s">
        <v>136</v>
      </c>
      <c r="C55" s="231"/>
      <c r="D55" s="235"/>
      <c r="E55" s="182">
        <f>ROUND(E52,2)</f>
        <v>0</v>
      </c>
      <c r="F55" s="183"/>
      <c r="G55" s="231"/>
      <c r="H55" s="235"/>
      <c r="I55" s="182">
        <f>ROUND(I52,2)</f>
        <v>0</v>
      </c>
      <c r="J55" s="183"/>
      <c r="K55" s="231"/>
      <c r="L55" s="235"/>
      <c r="M55" s="182">
        <f>ROUND(M52,2)</f>
        <v>0</v>
      </c>
      <c r="N55" s="183"/>
      <c r="O55" s="231"/>
      <c r="P55" s="235"/>
      <c r="Q55" s="182">
        <f>ROUND(Q52,2)</f>
        <v>0</v>
      </c>
    </row>
    <row r="56" spans="1:17" ht="16.5" thickBot="1" x14ac:dyDescent="0.25">
      <c r="B56" s="242" t="s">
        <v>321</v>
      </c>
      <c r="C56" s="236"/>
      <c r="D56" s="237"/>
      <c r="E56" s="160">
        <f>ROUND(SUM(E53:E55),2)</f>
        <v>0</v>
      </c>
      <c r="F56" s="161"/>
      <c r="G56" s="236"/>
      <c r="H56" s="237"/>
      <c r="I56" s="160">
        <f>ROUND(SUM(I53:I55),2)</f>
        <v>0</v>
      </c>
      <c r="J56" s="161"/>
      <c r="K56" s="236"/>
      <c r="L56" s="237"/>
      <c r="M56" s="160">
        <f>ROUND(SUM(M53:M55),2)</f>
        <v>0</v>
      </c>
      <c r="N56" s="161"/>
      <c r="O56" s="236"/>
      <c r="P56" s="237"/>
      <c r="Q56" s="160">
        <f>ROUND(SUM(Q53:Q55),2)</f>
        <v>0</v>
      </c>
    </row>
    <row r="57" spans="1:17" ht="16.5" thickBot="1" x14ac:dyDescent="0.25">
      <c r="B57" s="172"/>
      <c r="E57" s="251"/>
      <c r="F57" s="251"/>
      <c r="G57" s="251"/>
      <c r="H57" s="251"/>
      <c r="I57" s="251"/>
      <c r="J57" s="251"/>
      <c r="K57" s="251"/>
      <c r="N57" s="187"/>
      <c r="O57" s="251"/>
    </row>
    <row r="58" spans="1:17" ht="16.5" customHeight="1" thickBot="1" x14ac:dyDescent="0.3">
      <c r="A58" s="193"/>
      <c r="B58" s="620" t="str">
        <f>B30</f>
        <v>CLIN 0001 (CPIF)                                                    TASK 1.06 QUALIFICATION, DEVELOPMENTAL, AND OPERATIONAL TESTING</v>
      </c>
      <c r="C58" s="594" t="s">
        <v>146</v>
      </c>
      <c r="D58" s="595"/>
      <c r="E58" s="596"/>
      <c r="F58" s="175"/>
      <c r="G58" s="594" t="s">
        <v>147</v>
      </c>
      <c r="H58" s="595"/>
      <c r="I58" s="596"/>
      <c r="J58" s="175"/>
      <c r="K58" s="594" t="s">
        <v>147</v>
      </c>
      <c r="L58" s="595"/>
      <c r="M58" s="596"/>
      <c r="N58" s="175"/>
      <c r="O58" s="594" t="s">
        <v>147</v>
      </c>
      <c r="P58" s="595"/>
      <c r="Q58" s="596"/>
    </row>
    <row r="59" spans="1:17" ht="33.75" customHeight="1" thickBot="1" x14ac:dyDescent="0.3">
      <c r="A59" s="193"/>
      <c r="B59" s="621"/>
      <c r="C59" s="617" t="str">
        <f>C31</f>
        <v>CLIN 0001 - Basic Period (Year 1)</v>
      </c>
      <c r="D59" s="618"/>
      <c r="E59" s="619"/>
      <c r="F59" s="176"/>
      <c r="G59" s="617" t="str">
        <f>G31</f>
        <v>CLIN 0001 - Basic Period (Year 2)</v>
      </c>
      <c r="H59" s="618"/>
      <c r="I59" s="619"/>
      <c r="J59" s="176"/>
      <c r="K59" s="617" t="str">
        <f>K31</f>
        <v>CLIN 0001 - Basic Period (Year 3)</v>
      </c>
      <c r="L59" s="618"/>
      <c r="M59" s="619"/>
      <c r="N59" s="176"/>
      <c r="O59" s="617" t="str">
        <f>O31</f>
        <v>CLIN 0001 - Basic Period (Year 4)</v>
      </c>
      <c r="P59" s="618"/>
      <c r="Q59" s="619"/>
    </row>
    <row r="60" spans="1:17" x14ac:dyDescent="0.25">
      <c r="A60" s="193"/>
      <c r="B60" s="248"/>
      <c r="C60" s="153" t="s">
        <v>399</v>
      </c>
      <c r="D60" s="154" t="s">
        <v>396</v>
      </c>
      <c r="E60" s="155" t="s">
        <v>153</v>
      </c>
      <c r="F60" s="166"/>
      <c r="G60" s="153" t="s">
        <v>399</v>
      </c>
      <c r="H60" s="154" t="s">
        <v>396</v>
      </c>
      <c r="I60" s="155" t="s">
        <v>153</v>
      </c>
      <c r="J60" s="166"/>
      <c r="K60" s="153" t="s">
        <v>399</v>
      </c>
      <c r="L60" s="154" t="s">
        <v>396</v>
      </c>
      <c r="M60" s="155" t="s">
        <v>153</v>
      </c>
      <c r="N60" s="166"/>
      <c r="O60" s="153" t="s">
        <v>399</v>
      </c>
      <c r="P60" s="154" t="s">
        <v>396</v>
      </c>
      <c r="Q60" s="155" t="s">
        <v>153</v>
      </c>
    </row>
    <row r="61" spans="1:17" ht="26.25" x14ac:dyDescent="0.25">
      <c r="A61" s="193"/>
      <c r="B61" s="300" t="s">
        <v>561</v>
      </c>
      <c r="C61" s="285"/>
      <c r="D61" s="285"/>
      <c r="E61" s="401">
        <f>'PRIME CPIF TOTAL ODC'!E16</f>
        <v>0</v>
      </c>
      <c r="F61" s="165"/>
      <c r="G61" s="285"/>
      <c r="H61" s="285"/>
      <c r="I61" s="401">
        <f>'PRIME CPIF TOTAL ODC'!G16</f>
        <v>0</v>
      </c>
      <c r="J61" s="165"/>
      <c r="K61" s="285"/>
      <c r="L61" s="285"/>
      <c r="M61" s="400">
        <f>'PRIME CPIF TOTAL ODC'!I16</f>
        <v>0</v>
      </c>
      <c r="N61" s="165"/>
      <c r="O61" s="285"/>
      <c r="P61" s="285"/>
      <c r="Q61" s="400">
        <f>'PRIME CPIF TOTAL ODC'!K16</f>
        <v>0</v>
      </c>
    </row>
    <row r="62" spans="1:17" ht="66" customHeight="1" x14ac:dyDescent="0.25">
      <c r="A62" s="193"/>
      <c r="B62" s="490" t="s">
        <v>614</v>
      </c>
      <c r="C62" s="405"/>
      <c r="D62" s="406"/>
      <c r="E62" s="400"/>
      <c r="F62" s="288"/>
      <c r="G62" s="405"/>
      <c r="H62" s="406"/>
      <c r="I62" s="400"/>
      <c r="J62" s="288"/>
      <c r="K62" s="405"/>
      <c r="L62" s="404"/>
      <c r="M62" s="400"/>
      <c r="N62" s="165"/>
      <c r="O62" s="405"/>
      <c r="P62" s="404"/>
      <c r="Q62" s="400"/>
    </row>
    <row r="63" spans="1:17" x14ac:dyDescent="0.25">
      <c r="A63" s="193"/>
      <c r="B63" s="167" t="s">
        <v>125</v>
      </c>
      <c r="C63" s="215">
        <f>+E61</f>
        <v>0</v>
      </c>
      <c r="D63" s="243">
        <f>'PRIME CPIF RATES (ALL)'!C60</f>
        <v>0</v>
      </c>
      <c r="E63" s="168">
        <f>ROUND(C63*D63,2)</f>
        <v>0</v>
      </c>
      <c r="F63" s="178"/>
      <c r="G63" s="214">
        <f>+I61</f>
        <v>0</v>
      </c>
      <c r="H63" s="243">
        <f>'PRIME CPIF RATES (ALL)'!D60</f>
        <v>0</v>
      </c>
      <c r="I63" s="168">
        <f>ROUND(G63*H63,2)</f>
        <v>0</v>
      </c>
      <c r="J63" s="178"/>
      <c r="K63" s="214">
        <f>+M61</f>
        <v>0</v>
      </c>
      <c r="L63" s="243">
        <f>'PRIME CPIF RATES (ALL)'!E60</f>
        <v>0</v>
      </c>
      <c r="M63" s="168">
        <f>ROUND(K63*L63,2)</f>
        <v>0</v>
      </c>
      <c r="N63" s="178"/>
      <c r="O63" s="214">
        <f>+Q61</f>
        <v>0</v>
      </c>
      <c r="P63" s="243">
        <f>'PRIME CPIF RATES (ALL)'!F60</f>
        <v>0</v>
      </c>
      <c r="Q63" s="168">
        <f>ROUND(O63*P63,2)</f>
        <v>0</v>
      </c>
    </row>
    <row r="64" spans="1:17" x14ac:dyDescent="0.25">
      <c r="A64" s="193"/>
      <c r="B64" s="167" t="s">
        <v>126</v>
      </c>
      <c r="C64" s="215">
        <f>+C63+E63</f>
        <v>0</v>
      </c>
      <c r="D64" s="243">
        <f>'PRIME CPIF RATES (ALL)'!C61</f>
        <v>0</v>
      </c>
      <c r="E64" s="168">
        <f>ROUND(C64*D64,2)</f>
        <v>0</v>
      </c>
      <c r="F64" s="178"/>
      <c r="G64" s="215">
        <f>+G63+I63</f>
        <v>0</v>
      </c>
      <c r="H64" s="243">
        <f>'PRIME CPIF RATES (ALL)'!D61</f>
        <v>0</v>
      </c>
      <c r="I64" s="168">
        <f>ROUND(G64*H64,2)</f>
        <v>0</v>
      </c>
      <c r="J64" s="178"/>
      <c r="K64" s="215">
        <f>+K63+M63</f>
        <v>0</v>
      </c>
      <c r="L64" s="243">
        <f>'PRIME CPIF RATES (ALL)'!E61</f>
        <v>0</v>
      </c>
      <c r="M64" s="168">
        <f>ROUND(K64*L64,2)</f>
        <v>0</v>
      </c>
      <c r="N64" s="178"/>
      <c r="O64" s="215">
        <f>+O63+Q63</f>
        <v>0</v>
      </c>
      <c r="P64" s="243">
        <f>'PRIME CPIF RATES (ALL)'!F61</f>
        <v>0</v>
      </c>
      <c r="Q64" s="168">
        <f>ROUND(O64*P64,2)</f>
        <v>0</v>
      </c>
    </row>
    <row r="65" spans="1:17" x14ac:dyDescent="0.25">
      <c r="A65" s="193"/>
      <c r="B65" s="167" t="s">
        <v>566</v>
      </c>
      <c r="C65" s="215">
        <f>C64+E64</f>
        <v>0</v>
      </c>
      <c r="D65" s="243">
        <f>'PRIME CPIF RATES (ALL)'!C62</f>
        <v>0</v>
      </c>
      <c r="E65" s="168">
        <f>ROUND(C65*D65,2)</f>
        <v>0</v>
      </c>
      <c r="F65" s="165"/>
      <c r="G65" s="215">
        <f>G64+I64</f>
        <v>0</v>
      </c>
      <c r="H65" s="243">
        <f>'PRIME CPIF RATES (ALL)'!D62</f>
        <v>0</v>
      </c>
      <c r="I65" s="168">
        <f>ROUND(G65*H65,2)</f>
        <v>0</v>
      </c>
      <c r="J65" s="165"/>
      <c r="K65" s="215">
        <f>K64+M64</f>
        <v>0</v>
      </c>
      <c r="L65" s="243">
        <f>'PRIME CPIF RATES (ALL)'!E62</f>
        <v>0</v>
      </c>
      <c r="M65" s="168">
        <f>ROUND(K65*L65,2)</f>
        <v>0</v>
      </c>
      <c r="N65" s="165"/>
      <c r="O65" s="215">
        <f>O64+Q64</f>
        <v>0</v>
      </c>
      <c r="P65" s="243">
        <f>'PRIME CPIF RATES (ALL)'!F62</f>
        <v>0</v>
      </c>
      <c r="Q65" s="168">
        <f>ROUND(O65*P65,2)</f>
        <v>0</v>
      </c>
    </row>
    <row r="66" spans="1:17" x14ac:dyDescent="0.25">
      <c r="A66" s="193"/>
      <c r="B66" s="167" t="s">
        <v>127</v>
      </c>
      <c r="C66" s="215">
        <f>+C64+E64</f>
        <v>0</v>
      </c>
      <c r="D66" s="354">
        <f>'PRIME CPIF RATES (ALL)'!C63</f>
        <v>0</v>
      </c>
      <c r="E66" s="168">
        <f>ROUND(C66*D66,2)</f>
        <v>0</v>
      </c>
      <c r="F66" s="165"/>
      <c r="G66" s="215">
        <f>+G64+I64</f>
        <v>0</v>
      </c>
      <c r="H66" s="354">
        <f>'PRIME CPIF RATES (ALL)'!D63</f>
        <v>0</v>
      </c>
      <c r="I66" s="168">
        <f>ROUND(G66*H66,2)</f>
        <v>0</v>
      </c>
      <c r="J66" s="165"/>
      <c r="K66" s="215">
        <f>+K64+M64</f>
        <v>0</v>
      </c>
      <c r="L66" s="354">
        <f>'PRIME CPIF RATES (ALL)'!E63</f>
        <v>0</v>
      </c>
      <c r="M66" s="168">
        <f>ROUND(K66*L66,2)</f>
        <v>0</v>
      </c>
      <c r="N66" s="165"/>
      <c r="O66" s="215">
        <f>+O64+Q64</f>
        <v>0</v>
      </c>
      <c r="P66" s="354">
        <f>'PRIME CPIF RATES (ALL)'!F63</f>
        <v>0</v>
      </c>
      <c r="Q66" s="168">
        <f>ROUND(O66*P66,2)</f>
        <v>0</v>
      </c>
    </row>
    <row r="67" spans="1:17" x14ac:dyDescent="0.25">
      <c r="A67" s="193"/>
      <c r="B67" s="241" t="s">
        <v>260</v>
      </c>
      <c r="C67" s="233"/>
      <c r="D67" s="234"/>
      <c r="E67" s="168">
        <f>ROUND(SUM(E61:E64),2)</f>
        <v>0</v>
      </c>
      <c r="F67" s="165"/>
      <c r="G67" s="233"/>
      <c r="H67" s="234"/>
      <c r="I67" s="168">
        <f>ROUND(SUM(I61:I64),2)</f>
        <v>0</v>
      </c>
      <c r="J67" s="165"/>
      <c r="K67" s="233"/>
      <c r="L67" s="234"/>
      <c r="M67" s="168">
        <f>ROUND(SUM(M61:M64),2)</f>
        <v>0</v>
      </c>
      <c r="N67" s="165"/>
      <c r="O67" s="233"/>
      <c r="P67" s="234"/>
      <c r="Q67" s="168">
        <f>ROUND(SUM(Q61:Q64),2)</f>
        <v>0</v>
      </c>
    </row>
    <row r="68" spans="1:17" x14ac:dyDescent="0.25">
      <c r="A68" s="193"/>
      <c r="B68" s="241" t="s">
        <v>137</v>
      </c>
      <c r="C68" s="231"/>
      <c r="D68" s="235"/>
      <c r="E68" s="168">
        <f>ROUND(E65,2)</f>
        <v>0</v>
      </c>
      <c r="F68" s="165"/>
      <c r="G68" s="231"/>
      <c r="H68" s="235"/>
      <c r="I68" s="168">
        <f>ROUND(I65,2)</f>
        <v>0</v>
      </c>
      <c r="J68" s="165"/>
      <c r="K68" s="231"/>
      <c r="L68" s="235"/>
      <c r="M68" s="168">
        <f>ROUND(M65,2)</f>
        <v>0</v>
      </c>
      <c r="N68" s="165"/>
      <c r="O68" s="231"/>
      <c r="P68" s="235"/>
      <c r="Q68" s="168">
        <f>ROUND(Q65,2)</f>
        <v>0</v>
      </c>
    </row>
    <row r="69" spans="1:17" x14ac:dyDescent="0.2">
      <c r="A69" s="186"/>
      <c r="B69" s="241" t="s">
        <v>136</v>
      </c>
      <c r="C69" s="231"/>
      <c r="D69" s="235"/>
      <c r="E69" s="182">
        <f>ROUND(E66,2)</f>
        <v>0</v>
      </c>
      <c r="F69" s="183"/>
      <c r="G69" s="231"/>
      <c r="H69" s="235"/>
      <c r="I69" s="182">
        <f>ROUND(I66,2)</f>
        <v>0</v>
      </c>
      <c r="J69" s="183"/>
      <c r="K69" s="231"/>
      <c r="L69" s="235"/>
      <c r="M69" s="182">
        <f>ROUND(M66,2)</f>
        <v>0</v>
      </c>
      <c r="N69" s="183"/>
      <c r="O69" s="231"/>
      <c r="P69" s="235"/>
      <c r="Q69" s="182">
        <f>ROUND(Q66,2)</f>
        <v>0</v>
      </c>
    </row>
    <row r="70" spans="1:17" ht="16.5" thickBot="1" x14ac:dyDescent="0.25">
      <c r="A70" s="186"/>
      <c r="B70" s="242" t="s">
        <v>244</v>
      </c>
      <c r="C70" s="236"/>
      <c r="D70" s="237"/>
      <c r="E70" s="160">
        <f>ROUND(SUM(E67:E69),2)</f>
        <v>0</v>
      </c>
      <c r="F70" s="161"/>
      <c r="G70" s="236"/>
      <c r="H70" s="237"/>
      <c r="I70" s="160">
        <f>ROUND(SUM(I67:I69),2)</f>
        <v>0</v>
      </c>
      <c r="J70" s="161"/>
      <c r="K70" s="236"/>
      <c r="L70" s="237"/>
      <c r="M70" s="160">
        <f>ROUND(SUM(M67:M69),2)</f>
        <v>0</v>
      </c>
      <c r="N70" s="161"/>
      <c r="O70" s="236"/>
      <c r="P70" s="237"/>
      <c r="Q70" s="160">
        <f>ROUND(SUM(Q67:Q69),2)</f>
        <v>0</v>
      </c>
    </row>
    <row r="71" spans="1:17" ht="16.5" thickBot="1" x14ac:dyDescent="0.25">
      <c r="A71" s="186"/>
      <c r="B71" s="172"/>
      <c r="E71" s="251"/>
      <c r="F71" s="251"/>
      <c r="G71" s="251"/>
      <c r="H71" s="251"/>
      <c r="I71" s="251"/>
      <c r="J71" s="251"/>
      <c r="K71" s="251"/>
      <c r="N71" s="187"/>
      <c r="O71" s="251"/>
    </row>
    <row r="72" spans="1:17" ht="16.5" thickBot="1" x14ac:dyDescent="0.3">
      <c r="A72" s="186"/>
      <c r="B72" s="628" t="str">
        <f>B58</f>
        <v>CLIN 0001 (CPIF)                                                    TASK 1.06 QUALIFICATION, DEVELOPMENTAL, AND OPERATIONAL TESTING</v>
      </c>
      <c r="C72" s="614" t="s">
        <v>129</v>
      </c>
      <c r="D72" s="615"/>
      <c r="E72" s="616"/>
      <c r="F72" s="175"/>
      <c r="G72" s="614" t="s">
        <v>319</v>
      </c>
      <c r="H72" s="615"/>
      <c r="I72" s="616"/>
      <c r="J72" s="175"/>
      <c r="K72" s="614" t="s">
        <v>319</v>
      </c>
      <c r="L72" s="615"/>
      <c r="M72" s="616"/>
      <c r="N72" s="175"/>
      <c r="O72" s="614" t="s">
        <v>319</v>
      </c>
      <c r="P72" s="615"/>
      <c r="Q72" s="616"/>
    </row>
    <row r="73" spans="1:17" ht="33.75" customHeight="1" thickBot="1" x14ac:dyDescent="0.3">
      <c r="A73" s="186"/>
      <c r="B73" s="629"/>
      <c r="C73" s="280"/>
      <c r="D73" s="281"/>
      <c r="E73" s="188" t="s">
        <v>294</v>
      </c>
      <c r="F73" s="189"/>
      <c r="G73" s="280"/>
      <c r="H73" s="281"/>
      <c r="I73" s="188" t="s">
        <v>295</v>
      </c>
      <c r="J73" s="189"/>
      <c r="K73" s="280"/>
      <c r="L73" s="281"/>
      <c r="M73" s="188" t="s">
        <v>297</v>
      </c>
      <c r="N73" s="189"/>
      <c r="O73" s="280"/>
      <c r="P73" s="281"/>
      <c r="Q73" s="188" t="s">
        <v>296</v>
      </c>
    </row>
    <row r="74" spans="1:17" x14ac:dyDescent="0.2">
      <c r="A74" s="186"/>
      <c r="B74" s="167" t="s">
        <v>261</v>
      </c>
      <c r="C74" s="282"/>
      <c r="D74" s="282"/>
      <c r="E74" s="190">
        <f>+ROUND(E25+E39+E53+E67,2)</f>
        <v>0</v>
      </c>
      <c r="F74" s="165"/>
      <c r="G74" s="282"/>
      <c r="H74" s="282"/>
      <c r="I74" s="190">
        <f>+ROUND(I25+I39+I53+I67,2)</f>
        <v>0</v>
      </c>
      <c r="J74" s="165"/>
      <c r="K74" s="282"/>
      <c r="L74" s="282"/>
      <c r="M74" s="190">
        <f>+ROUND(M25+M39+M53+M67,2)</f>
        <v>0</v>
      </c>
      <c r="N74" s="165"/>
      <c r="O74" s="282"/>
      <c r="P74" s="282"/>
      <c r="Q74" s="190">
        <f>+ROUND(Q25+Q39+Q53+Q67,2)</f>
        <v>0</v>
      </c>
    </row>
    <row r="75" spans="1:17" x14ac:dyDescent="0.2">
      <c r="A75" s="186"/>
      <c r="B75" s="167" t="s">
        <v>137</v>
      </c>
      <c r="C75" s="282"/>
      <c r="D75" s="282"/>
      <c r="E75" s="168">
        <f>+ROUND(E26+E40+E54+E68,2)</f>
        <v>0</v>
      </c>
      <c r="F75" s="165"/>
      <c r="G75" s="282"/>
      <c r="H75" s="282"/>
      <c r="I75" s="168">
        <f>+ROUND(I26+I40+I54+I68,2)</f>
        <v>0</v>
      </c>
      <c r="J75" s="165"/>
      <c r="K75" s="282"/>
      <c r="L75" s="282"/>
      <c r="M75" s="168">
        <f>+ROUND(M26+M40+M54+M68,2)</f>
        <v>0</v>
      </c>
      <c r="N75" s="165"/>
      <c r="O75" s="282"/>
      <c r="P75" s="282"/>
      <c r="Q75" s="168">
        <f>+ROUND(Q26+Q40+Q54+Q68,2)</f>
        <v>0</v>
      </c>
    </row>
    <row r="76" spans="1:17" x14ac:dyDescent="0.2">
      <c r="A76" s="186"/>
      <c r="B76" s="167" t="s">
        <v>136</v>
      </c>
      <c r="C76" s="282"/>
      <c r="D76" s="282"/>
      <c r="E76" s="169">
        <f>+ROUND(E27+E41+E55+E69,2)</f>
        <v>0</v>
      </c>
      <c r="F76" s="170"/>
      <c r="G76" s="282"/>
      <c r="H76" s="282"/>
      <c r="I76" s="169">
        <f>+ROUND(I27+I41+I55+I69,2)</f>
        <v>0</v>
      </c>
      <c r="J76" s="170"/>
      <c r="K76" s="282"/>
      <c r="L76" s="282"/>
      <c r="M76" s="169">
        <f>+ROUND(M27+M41+M55+M69,2)</f>
        <v>0</v>
      </c>
      <c r="N76" s="170"/>
      <c r="O76" s="282"/>
      <c r="P76" s="282"/>
      <c r="Q76" s="169">
        <f>+ROUND(Q27+Q41+Q55+Q69,2)</f>
        <v>0</v>
      </c>
    </row>
    <row r="77" spans="1:17" ht="32.25" thickBot="1" x14ac:dyDescent="0.3">
      <c r="A77" s="186"/>
      <c r="B77" s="267" t="s">
        <v>493</v>
      </c>
      <c r="C77" s="283"/>
      <c r="D77" s="283"/>
      <c r="E77" s="266">
        <f>SUM(E74:E76)</f>
        <v>0</v>
      </c>
      <c r="F77" s="171"/>
      <c r="G77" s="283"/>
      <c r="H77" s="283"/>
      <c r="I77" s="266">
        <f>SUM(I74:I76)</f>
        <v>0</v>
      </c>
      <c r="J77" s="171"/>
      <c r="K77" s="283"/>
      <c r="L77" s="283"/>
      <c r="M77" s="266">
        <f>SUM(M74:M76)</f>
        <v>0</v>
      </c>
      <c r="N77" s="171"/>
      <c r="O77" s="283"/>
      <c r="P77" s="283"/>
      <c r="Q77" s="266">
        <f>SUM(Q74:Q76)</f>
        <v>0</v>
      </c>
    </row>
    <row r="78" spans="1:17" ht="16.5" thickBot="1" x14ac:dyDescent="0.3"/>
    <row r="79" spans="1:17" ht="31.5" x14ac:dyDescent="0.25">
      <c r="Q79" s="411" t="s">
        <v>494</v>
      </c>
    </row>
    <row r="80" spans="1:17" ht="16.5" thickBot="1" x14ac:dyDescent="0.3">
      <c r="Q80" s="410">
        <f>E77+I77+M77+Q77</f>
        <v>0</v>
      </c>
    </row>
  </sheetData>
  <mergeCells count="45">
    <mergeCell ref="G48:I48"/>
    <mergeCell ref="K48:M48"/>
    <mergeCell ref="O48:Q48"/>
    <mergeCell ref="B44:B45"/>
    <mergeCell ref="C44:E44"/>
    <mergeCell ref="G44:I44"/>
    <mergeCell ref="K44:M44"/>
    <mergeCell ref="O44:Q44"/>
    <mergeCell ref="C45:E45"/>
    <mergeCell ref="G45:I45"/>
    <mergeCell ref="K45:M45"/>
    <mergeCell ref="O45:Q45"/>
    <mergeCell ref="A3:C3"/>
    <mergeCell ref="B13:B14"/>
    <mergeCell ref="C13:E13"/>
    <mergeCell ref="G13:I13"/>
    <mergeCell ref="K13:M13"/>
    <mergeCell ref="C14:E14"/>
    <mergeCell ref="G14:I14"/>
    <mergeCell ref="K14:M14"/>
    <mergeCell ref="B30:B31"/>
    <mergeCell ref="C30:E30"/>
    <mergeCell ref="G30:I30"/>
    <mergeCell ref="K30:M30"/>
    <mergeCell ref="C31:E31"/>
    <mergeCell ref="G31:I31"/>
    <mergeCell ref="K31:M31"/>
    <mergeCell ref="C59:E59"/>
    <mergeCell ref="G59:I59"/>
    <mergeCell ref="K59:M59"/>
    <mergeCell ref="B72:B73"/>
    <mergeCell ref="C72:E72"/>
    <mergeCell ref="G72:I72"/>
    <mergeCell ref="K72:M72"/>
    <mergeCell ref="B58:B59"/>
    <mergeCell ref="C58:E58"/>
    <mergeCell ref="G58:I58"/>
    <mergeCell ref="K58:M58"/>
    <mergeCell ref="O59:Q59"/>
    <mergeCell ref="O72:Q72"/>
    <mergeCell ref="O13:Q13"/>
    <mergeCell ref="O14:Q14"/>
    <mergeCell ref="O30:Q30"/>
    <mergeCell ref="O31:Q31"/>
    <mergeCell ref="O58:Q58"/>
  </mergeCells>
  <pageMargins left="0.7" right="0.7" top="0.75" bottom="0.75" header="0.3" footer="0.3"/>
  <pageSetup orientation="portrait" horizontalDpi="1200" verticalDpi="1200"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FC9F92-6299-403D-9121-1BA24BACD4E2}">
  <sheetPr>
    <tabColor theme="0"/>
  </sheetPr>
  <dimension ref="A1:Q80"/>
  <sheetViews>
    <sheetView zoomScale="80" zoomScaleNormal="80" workbookViewId="0">
      <pane ySplit="11" topLeftCell="A64" activePane="bottomLeft" state="frozen"/>
      <selection pane="bottomLeft" activeCell="P65" sqref="P65"/>
    </sheetView>
    <sheetView workbookViewId="1"/>
  </sheetViews>
  <sheetFormatPr defaultColWidth="15.85546875" defaultRowHeight="15.75" x14ac:dyDescent="0.25"/>
  <cols>
    <col min="1" max="1" width="3.42578125" style="191" customWidth="1"/>
    <col min="2" max="2" width="49.140625" style="174" customWidth="1"/>
    <col min="3" max="3" width="18.28515625" style="186" bestFit="1" customWidth="1"/>
    <col min="4" max="4" width="12.42578125" style="186" bestFit="1" customWidth="1"/>
    <col min="5" max="5" width="32.140625" style="186" bestFit="1" customWidth="1"/>
    <col min="6" max="6" width="1" style="186" customWidth="1"/>
    <col min="7" max="7" width="14.28515625" style="186" customWidth="1"/>
    <col min="8" max="8" width="14.5703125" style="186" customWidth="1"/>
    <col min="9" max="9" width="33.28515625" style="186" customWidth="1"/>
    <col min="10" max="10" width="1" style="186" customWidth="1"/>
    <col min="11" max="11" width="16.7109375" style="186" customWidth="1"/>
    <col min="12" max="12" width="16.28515625" style="186" customWidth="1"/>
    <col min="13" max="13" width="34" style="186" bestFit="1" customWidth="1"/>
    <col min="14" max="14" width="0.85546875" style="186" customWidth="1"/>
    <col min="15" max="15" width="12.85546875" style="186" bestFit="1" customWidth="1"/>
    <col min="16" max="16" width="12.42578125" style="186" bestFit="1" customWidth="1"/>
    <col min="17" max="17" width="34" style="186" bestFit="1" customWidth="1"/>
    <col min="18" max="16384" width="15.85546875" style="186"/>
  </cols>
  <sheetData>
    <row r="1" spans="1:17" ht="16.5" thickBot="1" x14ac:dyDescent="0.3">
      <c r="B1" s="126" t="s">
        <v>626</v>
      </c>
      <c r="C1" s="494" t="str">
        <f>'FFP CLINs X007-X021'!B1</f>
        <v>NAME</v>
      </c>
    </row>
    <row r="2" spans="1:17" ht="16.5" thickBot="1" x14ac:dyDescent="0.3"/>
    <row r="3" spans="1:17" ht="52.5" customHeight="1" thickBot="1" x14ac:dyDescent="0.3">
      <c r="A3" s="557" t="s">
        <v>303</v>
      </c>
      <c r="B3" s="558"/>
      <c r="C3" s="559"/>
      <c r="I3" s="251" t="s">
        <v>149</v>
      </c>
    </row>
    <row r="5" spans="1:17" s="259" customFormat="1" ht="17.25" customHeight="1" x14ac:dyDescent="0.2">
      <c r="A5" s="260"/>
      <c r="B5" s="261" t="s">
        <v>130</v>
      </c>
    </row>
    <row r="6" spans="1:17" s="259" customFormat="1" x14ac:dyDescent="0.25">
      <c r="A6" s="258"/>
      <c r="B6" s="258" t="s">
        <v>606</v>
      </c>
    </row>
    <row r="7" spans="1:17" s="259" customFormat="1" x14ac:dyDescent="0.25">
      <c r="A7" s="258"/>
      <c r="B7" s="258" t="s">
        <v>390</v>
      </c>
    </row>
    <row r="8" spans="1:17" s="259" customFormat="1" x14ac:dyDescent="0.25">
      <c r="A8" s="258"/>
      <c r="B8" s="258" t="s">
        <v>607</v>
      </c>
    </row>
    <row r="9" spans="1:17" s="259" customFormat="1" x14ac:dyDescent="0.25">
      <c r="A9" s="258"/>
      <c r="B9" s="258" t="s">
        <v>608</v>
      </c>
    </row>
    <row r="10" spans="1:17" x14ac:dyDescent="0.25">
      <c r="A10" s="192"/>
      <c r="B10" s="258" t="s">
        <v>609</v>
      </c>
      <c r="C10" s="194"/>
    </row>
    <row r="11" spans="1:17" x14ac:dyDescent="0.25">
      <c r="A11" s="192"/>
      <c r="B11" s="258" t="s">
        <v>495</v>
      </c>
      <c r="C11" s="194"/>
    </row>
    <row r="12" spans="1:17" ht="16.5" thickBot="1" x14ac:dyDescent="0.3"/>
    <row r="13" spans="1:17" ht="16.5" thickBot="1" x14ac:dyDescent="0.3">
      <c r="A13" s="193"/>
      <c r="B13" s="620" t="s">
        <v>496</v>
      </c>
      <c r="C13" s="594" t="s">
        <v>134</v>
      </c>
      <c r="D13" s="595"/>
      <c r="E13" s="596"/>
      <c r="F13" s="151"/>
      <c r="G13" s="594" t="s">
        <v>134</v>
      </c>
      <c r="H13" s="595"/>
      <c r="I13" s="596"/>
      <c r="J13" s="151"/>
      <c r="K13" s="594" t="s">
        <v>134</v>
      </c>
      <c r="L13" s="595"/>
      <c r="M13" s="596"/>
      <c r="N13" s="151"/>
      <c r="O13" s="594" t="s">
        <v>134</v>
      </c>
      <c r="P13" s="595"/>
      <c r="Q13" s="596"/>
    </row>
    <row r="14" spans="1:17" ht="32.25" customHeight="1" thickBot="1" x14ac:dyDescent="0.3">
      <c r="A14" s="193"/>
      <c r="B14" s="621"/>
      <c r="C14" s="617" t="s">
        <v>299</v>
      </c>
      <c r="D14" s="618"/>
      <c r="E14" s="619"/>
      <c r="F14" s="152"/>
      <c r="G14" s="617" t="s">
        <v>300</v>
      </c>
      <c r="H14" s="618"/>
      <c r="I14" s="619"/>
      <c r="J14" s="152"/>
      <c r="K14" s="617" t="s">
        <v>301</v>
      </c>
      <c r="L14" s="618"/>
      <c r="M14" s="619"/>
      <c r="N14" s="152"/>
      <c r="O14" s="617" t="s">
        <v>302</v>
      </c>
      <c r="P14" s="618"/>
      <c r="Q14" s="619"/>
    </row>
    <row r="15" spans="1:17" x14ac:dyDescent="0.25">
      <c r="A15" s="193"/>
      <c r="B15" s="153" t="s">
        <v>110</v>
      </c>
      <c r="C15" s="153" t="s">
        <v>91</v>
      </c>
      <c r="D15" s="154" t="s">
        <v>133</v>
      </c>
      <c r="E15" s="155" t="s">
        <v>139</v>
      </c>
      <c r="F15" s="156"/>
      <c r="G15" s="153" t="s">
        <v>91</v>
      </c>
      <c r="H15" s="154" t="s">
        <v>133</v>
      </c>
      <c r="I15" s="155" t="s">
        <v>139</v>
      </c>
      <c r="J15" s="156"/>
      <c r="K15" s="153" t="s">
        <v>91</v>
      </c>
      <c r="L15" s="154" t="s">
        <v>133</v>
      </c>
      <c r="M15" s="155" t="s">
        <v>139</v>
      </c>
      <c r="N15" s="156"/>
      <c r="O15" s="153" t="s">
        <v>91</v>
      </c>
      <c r="P15" s="154" t="s">
        <v>133</v>
      </c>
      <c r="Q15" s="155" t="s">
        <v>139</v>
      </c>
    </row>
    <row r="16" spans="1:17" ht="30" customHeight="1" thickBot="1" x14ac:dyDescent="0.3">
      <c r="A16" s="193"/>
      <c r="B16" s="203" t="s">
        <v>558</v>
      </c>
      <c r="C16" s="289"/>
      <c r="D16" s="290"/>
      <c r="E16" s="291"/>
      <c r="F16" s="156"/>
      <c r="G16" s="289"/>
      <c r="H16" s="290"/>
      <c r="I16" s="291"/>
      <c r="J16" s="156"/>
      <c r="K16" s="289"/>
      <c r="L16" s="290"/>
      <c r="M16" s="291"/>
      <c r="N16" s="156"/>
      <c r="O16" s="289"/>
      <c r="P16" s="290"/>
      <c r="Q16" s="291"/>
    </row>
    <row r="17" spans="1:17" ht="16.5" thickBot="1" x14ac:dyDescent="0.3">
      <c r="A17" s="193"/>
      <c r="B17" s="299" t="s">
        <v>151</v>
      </c>
      <c r="C17" s="163">
        <f>'PRIME CPIF LABOR INPUTS'!D154</f>
        <v>0</v>
      </c>
      <c r="D17" s="205"/>
      <c r="E17" s="164">
        <f>'PRIME CPIF LABOR INPUTS'!F154</f>
        <v>0</v>
      </c>
      <c r="F17" s="165"/>
      <c r="G17" s="163">
        <f>'PRIME CPIF LABOR INPUTS'!H154</f>
        <v>0</v>
      </c>
      <c r="H17" s="205"/>
      <c r="I17" s="164">
        <f>'PRIME CPIF LABOR INPUTS'!J154</f>
        <v>0</v>
      </c>
      <c r="J17" s="165"/>
      <c r="K17" s="163">
        <f>'PRIME CPIF LABOR INPUTS'!L154</f>
        <v>0</v>
      </c>
      <c r="L17" s="205"/>
      <c r="M17" s="164">
        <f>'PRIME CPIF LABOR INPUTS'!N154</f>
        <v>0</v>
      </c>
      <c r="N17" s="165"/>
      <c r="O17" s="163">
        <f>'PRIME CPIF LABOR INPUTS'!P154</f>
        <v>0</v>
      </c>
      <c r="P17" s="205"/>
      <c r="Q17" s="164">
        <f>'PRIME CPIF LABOR INPUTS'!R154</f>
        <v>0</v>
      </c>
    </row>
    <row r="18" spans="1:17" x14ac:dyDescent="0.25">
      <c r="A18" s="193"/>
      <c r="B18" s="204"/>
      <c r="C18" s="153" t="s">
        <v>399</v>
      </c>
      <c r="D18" s="154" t="s">
        <v>396</v>
      </c>
      <c r="E18" s="155" t="s">
        <v>398</v>
      </c>
      <c r="F18" s="166"/>
      <c r="G18" s="153" t="s">
        <v>399</v>
      </c>
      <c r="H18" s="154" t="s">
        <v>396</v>
      </c>
      <c r="I18" s="155" t="s">
        <v>398</v>
      </c>
      <c r="J18" s="166"/>
      <c r="K18" s="153" t="s">
        <v>399</v>
      </c>
      <c r="L18" s="154" t="s">
        <v>396</v>
      </c>
      <c r="M18" s="155" t="s">
        <v>398</v>
      </c>
      <c r="N18" s="166"/>
      <c r="O18" s="153" t="s">
        <v>399</v>
      </c>
      <c r="P18" s="154" t="s">
        <v>396</v>
      </c>
      <c r="Q18" s="155" t="s">
        <v>398</v>
      </c>
    </row>
    <row r="19" spans="1:17" ht="63" customHeight="1" x14ac:dyDescent="0.25">
      <c r="A19" s="193"/>
      <c r="B19" s="344" t="s">
        <v>611</v>
      </c>
      <c r="C19" s="289"/>
      <c r="D19" s="290"/>
      <c r="E19" s="291"/>
      <c r="F19" s="202"/>
      <c r="G19" s="289"/>
      <c r="H19" s="290"/>
      <c r="I19" s="291"/>
      <c r="J19" s="202"/>
      <c r="K19" s="289"/>
      <c r="L19" s="290"/>
      <c r="M19" s="291"/>
      <c r="N19" s="202"/>
      <c r="O19" s="289"/>
      <c r="P19" s="290"/>
      <c r="Q19" s="291"/>
    </row>
    <row r="20" spans="1:17" x14ac:dyDescent="0.25">
      <c r="A20" s="193"/>
      <c r="B20" s="167" t="str">
        <f>'PRIME CPIF RATES (ALL)'!B35</f>
        <v>Indirect Labor Category:  [Labor Fringe]</v>
      </c>
      <c r="C20" s="215">
        <f>+E17</f>
        <v>0</v>
      </c>
      <c r="D20" s="243">
        <f>'PRIME CPIF RATES (ALL)'!C35</f>
        <v>0</v>
      </c>
      <c r="E20" s="168">
        <f>ROUND(C20*D20,2)</f>
        <v>0</v>
      </c>
      <c r="F20" s="165"/>
      <c r="G20" s="215">
        <f>+I17</f>
        <v>0</v>
      </c>
      <c r="H20" s="243">
        <f>'PRIME CPIF RATES (ALL)'!D35</f>
        <v>0</v>
      </c>
      <c r="I20" s="168">
        <f>ROUND(G20*H20,2)</f>
        <v>0</v>
      </c>
      <c r="J20" s="165"/>
      <c r="K20" s="215">
        <f>+M17</f>
        <v>0</v>
      </c>
      <c r="L20" s="243">
        <f>'PRIME CPIF RATES (ALL)'!E35</f>
        <v>0</v>
      </c>
      <c r="M20" s="168">
        <f>ROUND(K20*L20,2)</f>
        <v>0</v>
      </c>
      <c r="N20" s="165"/>
      <c r="O20" s="215">
        <f>+Q17</f>
        <v>0</v>
      </c>
      <c r="P20" s="243">
        <f>'PRIME CPIF RATES (ALL)'!F35</f>
        <v>0</v>
      </c>
      <c r="Q20" s="168">
        <f>ROUND(O20*P20,2)</f>
        <v>0</v>
      </c>
    </row>
    <row r="21" spans="1:17" x14ac:dyDescent="0.25">
      <c r="A21" s="193"/>
      <c r="B21" s="167" t="str">
        <f>'PRIME CPIF RATES (ALL)'!B36</f>
        <v>Indirect Labor Category: [Labor Overhead]</v>
      </c>
      <c r="C21" s="215">
        <f>+C20+E20</f>
        <v>0</v>
      </c>
      <c r="D21" s="243">
        <f>'PRIME CPIF RATES (ALL)'!C36</f>
        <v>0</v>
      </c>
      <c r="E21" s="168">
        <f>ROUND(C21*D21,2)</f>
        <v>0</v>
      </c>
      <c r="F21" s="165"/>
      <c r="G21" s="215">
        <f>+G20+I20</f>
        <v>0</v>
      </c>
      <c r="H21" s="243">
        <f>'PRIME CPIF RATES (ALL)'!D36</f>
        <v>0</v>
      </c>
      <c r="I21" s="168">
        <f>ROUND(G21*H21,2)</f>
        <v>0</v>
      </c>
      <c r="J21" s="165"/>
      <c r="K21" s="215">
        <f>+K20+M20</f>
        <v>0</v>
      </c>
      <c r="L21" s="243">
        <f>'PRIME CPIF RATES (ALL)'!E36</f>
        <v>0</v>
      </c>
      <c r="M21" s="168">
        <f>ROUND(K21*L21,2)</f>
        <v>0</v>
      </c>
      <c r="N21" s="165"/>
      <c r="O21" s="215">
        <f>+O20+Q20</f>
        <v>0</v>
      </c>
      <c r="P21" s="243">
        <f>'PRIME CPIF RATES (ALL)'!F36</f>
        <v>0</v>
      </c>
      <c r="Q21" s="168">
        <f>ROUND(O21*P21,2)</f>
        <v>0</v>
      </c>
    </row>
    <row r="22" spans="1:17" x14ac:dyDescent="0.25">
      <c r="A22" s="193"/>
      <c r="B22" s="167" t="str">
        <f>'PRIME CPIF RATES (ALL)'!B37</f>
        <v>Indirect Labor Category: [G&amp;A]</v>
      </c>
      <c r="C22" s="215">
        <f>+C21+E21</f>
        <v>0</v>
      </c>
      <c r="D22" s="243">
        <f>'PRIME CPIF RATES (ALL)'!C37</f>
        <v>0</v>
      </c>
      <c r="E22" s="168">
        <f>ROUND(C22*D22,2)</f>
        <v>0</v>
      </c>
      <c r="F22" s="165"/>
      <c r="G22" s="215">
        <f>+G21+I21</f>
        <v>0</v>
      </c>
      <c r="H22" s="243">
        <f>'PRIME CPIF RATES (ALL)'!D37</f>
        <v>0</v>
      </c>
      <c r="I22" s="168">
        <f>ROUND(G22*H22,2)</f>
        <v>0</v>
      </c>
      <c r="J22" s="165"/>
      <c r="K22" s="215">
        <f>+K21+M21</f>
        <v>0</v>
      </c>
      <c r="L22" s="243">
        <f>'PRIME CPIF RATES (ALL)'!E37</f>
        <v>0</v>
      </c>
      <c r="M22" s="168">
        <f>ROUND(K22*L22,2)</f>
        <v>0</v>
      </c>
      <c r="N22" s="165"/>
      <c r="O22" s="215">
        <f>+O21+Q21</f>
        <v>0</v>
      </c>
      <c r="P22" s="243">
        <f>'PRIME CPIF RATES (ALL)'!F37</f>
        <v>0</v>
      </c>
      <c r="Q22" s="168">
        <f>ROUND(O22*P22,2)</f>
        <v>0</v>
      </c>
    </row>
    <row r="23" spans="1:17" x14ac:dyDescent="0.25">
      <c r="A23" s="193"/>
      <c r="B23" s="167" t="str">
        <f>'PRIME CPIF RATES (ALL)'!B38</f>
        <v>Indirect Labor Category: [FCCOM]</v>
      </c>
      <c r="C23" s="215">
        <f>C22+E22</f>
        <v>0</v>
      </c>
      <c r="D23" s="243">
        <f>'PRIME CPIF RATES (ALL)'!C38</f>
        <v>0</v>
      </c>
      <c r="E23" s="168">
        <f>ROUND(C23*D23,2)</f>
        <v>0</v>
      </c>
      <c r="F23" s="165"/>
      <c r="G23" s="215">
        <f>G22+I22</f>
        <v>0</v>
      </c>
      <c r="H23" s="243">
        <f>'PRIME CPIF RATES (ALL)'!D38</f>
        <v>0</v>
      </c>
      <c r="I23" s="168">
        <f>ROUND(G23*H23,2)</f>
        <v>0</v>
      </c>
      <c r="J23" s="165"/>
      <c r="K23" s="215">
        <f>K22+M22</f>
        <v>0</v>
      </c>
      <c r="L23" s="243">
        <f>'PRIME CPIF RATES (ALL)'!E38</f>
        <v>0</v>
      </c>
      <c r="M23" s="168">
        <f>ROUND(K23*L23,2)</f>
        <v>0</v>
      </c>
      <c r="N23" s="165"/>
      <c r="O23" s="215">
        <f>O22+Q22</f>
        <v>0</v>
      </c>
      <c r="P23" s="243">
        <f>'PRIME CPIF RATES (ALL)'!F38</f>
        <v>0</v>
      </c>
      <c r="Q23" s="168">
        <f>ROUND(O23*P23,2)</f>
        <v>0</v>
      </c>
    </row>
    <row r="24" spans="1:17" x14ac:dyDescent="0.25">
      <c r="A24" s="193"/>
      <c r="B24" s="167" t="str">
        <f>'PRIME CPIF RATES (ALL)'!B39</f>
        <v>Indirect Labor Category: [Target Fee]</v>
      </c>
      <c r="C24" s="215">
        <f>+C22+E22</f>
        <v>0</v>
      </c>
      <c r="D24" s="243">
        <f>'PRIME CPIF RATES (ALL)'!C39</f>
        <v>0</v>
      </c>
      <c r="E24" s="168">
        <f>ROUND(C24*D24,2)</f>
        <v>0</v>
      </c>
      <c r="F24" s="165"/>
      <c r="G24" s="215">
        <f>+G22+I22</f>
        <v>0</v>
      </c>
      <c r="H24" s="243">
        <f>'PRIME CPIF RATES (ALL)'!D39</f>
        <v>0</v>
      </c>
      <c r="I24" s="168">
        <f>ROUND(G24*H24,2)</f>
        <v>0</v>
      </c>
      <c r="J24" s="165"/>
      <c r="K24" s="215">
        <f>+K22+M22</f>
        <v>0</v>
      </c>
      <c r="L24" s="243">
        <f>'PRIME CPIF RATES (ALL)'!E39</f>
        <v>0</v>
      </c>
      <c r="M24" s="168">
        <f>ROUND(K24*L24,2)</f>
        <v>0</v>
      </c>
      <c r="N24" s="165"/>
      <c r="O24" s="215">
        <f>+O22+Q22</f>
        <v>0</v>
      </c>
      <c r="P24" s="243">
        <f>'PRIME CPIF RATES (ALL)'!F39</f>
        <v>0</v>
      </c>
      <c r="Q24" s="168">
        <f>ROUND(O24*P24,2)</f>
        <v>0</v>
      </c>
    </row>
    <row r="25" spans="1:17" x14ac:dyDescent="0.25">
      <c r="A25" s="193"/>
      <c r="B25" s="262" t="s">
        <v>258</v>
      </c>
      <c r="C25" s="210"/>
      <c r="D25" s="211"/>
      <c r="E25" s="230">
        <f>ROUND(SUM(E17,E20,E21,E22),2)</f>
        <v>0</v>
      </c>
      <c r="F25" s="165"/>
      <c r="G25" s="206"/>
      <c r="H25" s="207"/>
      <c r="I25" s="230">
        <f>ROUND(SUM(I17,I20,I21,I22),2)</f>
        <v>0</v>
      </c>
      <c r="J25" s="165"/>
      <c r="K25" s="206"/>
      <c r="L25" s="207"/>
      <c r="M25" s="230">
        <f>ROUND(SUM(M17,M20,M21,M22),2)</f>
        <v>0</v>
      </c>
      <c r="N25" s="165"/>
      <c r="O25" s="206"/>
      <c r="P25" s="207"/>
      <c r="Q25" s="230">
        <f>ROUND(SUM(Q17,Q20,Q21,Q22),2)</f>
        <v>0</v>
      </c>
    </row>
    <row r="26" spans="1:17" x14ac:dyDescent="0.25">
      <c r="A26" s="193"/>
      <c r="B26" s="262" t="s">
        <v>137</v>
      </c>
      <c r="C26" s="210"/>
      <c r="D26" s="211"/>
      <c r="E26" s="230">
        <f>ROUND(E23,2)</f>
        <v>0</v>
      </c>
      <c r="F26" s="165"/>
      <c r="G26" s="206"/>
      <c r="H26" s="207"/>
      <c r="I26" s="230">
        <f>ROUND(I23,2)</f>
        <v>0</v>
      </c>
      <c r="J26" s="165"/>
      <c r="K26" s="206"/>
      <c r="L26" s="207"/>
      <c r="M26" s="230">
        <f>ROUND(M23,2)</f>
        <v>0</v>
      </c>
      <c r="N26" s="165"/>
      <c r="O26" s="206"/>
      <c r="P26" s="207"/>
      <c r="Q26" s="230">
        <f>ROUND(Q23,2)</f>
        <v>0</v>
      </c>
    </row>
    <row r="27" spans="1:17" x14ac:dyDescent="0.25">
      <c r="A27" s="193"/>
      <c r="B27" s="262" t="s">
        <v>136</v>
      </c>
      <c r="C27" s="210"/>
      <c r="D27" s="211"/>
      <c r="E27" s="245">
        <f>ROUND(E24,2)</f>
        <v>0</v>
      </c>
      <c r="F27" s="170"/>
      <c r="G27" s="206"/>
      <c r="H27" s="207"/>
      <c r="I27" s="245">
        <f>ROUND(I24,2)</f>
        <v>0</v>
      </c>
      <c r="J27" s="170"/>
      <c r="K27" s="206"/>
      <c r="L27" s="207"/>
      <c r="M27" s="245">
        <f>ROUND(M24,2)</f>
        <v>0</v>
      </c>
      <c r="N27" s="170"/>
      <c r="O27" s="206"/>
      <c r="P27" s="207"/>
      <c r="Q27" s="245">
        <f>ROUND(Q24,2)</f>
        <v>0</v>
      </c>
    </row>
    <row r="28" spans="1:17" ht="16.5" thickBot="1" x14ac:dyDescent="0.3">
      <c r="A28" s="193"/>
      <c r="B28" s="263" t="s">
        <v>138</v>
      </c>
      <c r="C28" s="212"/>
      <c r="D28" s="213"/>
      <c r="E28" s="246">
        <f>ROUND(SUM(E25:E27),2)</f>
        <v>0</v>
      </c>
      <c r="F28" s="171"/>
      <c r="G28" s="208"/>
      <c r="H28" s="209"/>
      <c r="I28" s="246">
        <f>ROUND(SUM(I25:I27),2)</f>
        <v>0</v>
      </c>
      <c r="J28" s="171"/>
      <c r="K28" s="208"/>
      <c r="L28" s="209"/>
      <c r="M28" s="246">
        <f>ROUND(SUM(M25:M27),2)</f>
        <v>0</v>
      </c>
      <c r="N28" s="171"/>
      <c r="O28" s="208"/>
      <c r="P28" s="209"/>
      <c r="Q28" s="246">
        <f>ROUND(SUM(Q25:Q27),2)</f>
        <v>0</v>
      </c>
    </row>
    <row r="29" spans="1:17" ht="16.5" thickBot="1" x14ac:dyDescent="0.3">
      <c r="A29" s="193"/>
      <c r="B29" s="172"/>
      <c r="C29" s="173"/>
      <c r="D29" s="173"/>
      <c r="E29" s="173"/>
      <c r="F29" s="256"/>
      <c r="G29" s="256"/>
      <c r="H29" s="256"/>
      <c r="I29" s="256"/>
      <c r="J29" s="256"/>
      <c r="K29" s="256"/>
      <c r="L29" s="173"/>
      <c r="M29" s="173"/>
      <c r="N29" s="165"/>
      <c r="O29" s="256"/>
      <c r="P29" s="173"/>
      <c r="Q29" s="173"/>
    </row>
    <row r="30" spans="1:17" ht="16.5" customHeight="1" thickBot="1" x14ac:dyDescent="0.3">
      <c r="A30" s="193"/>
      <c r="B30" s="620" t="str">
        <f>B13</f>
        <v>CLIN 0001 (CPIF)                                                    TASK 1.07 MATERIAL - DEVELOPMENTAL SPARES</v>
      </c>
      <c r="C30" s="594" t="s">
        <v>145</v>
      </c>
      <c r="D30" s="595"/>
      <c r="E30" s="596"/>
      <c r="F30" s="175"/>
      <c r="G30" s="594" t="s">
        <v>145</v>
      </c>
      <c r="H30" s="595"/>
      <c r="I30" s="596"/>
      <c r="J30" s="175"/>
      <c r="K30" s="594" t="s">
        <v>145</v>
      </c>
      <c r="L30" s="595"/>
      <c r="M30" s="596"/>
      <c r="N30" s="175"/>
      <c r="O30" s="594" t="s">
        <v>145</v>
      </c>
      <c r="P30" s="595"/>
      <c r="Q30" s="596"/>
    </row>
    <row r="31" spans="1:17" ht="32.25" customHeight="1" thickBot="1" x14ac:dyDescent="0.3">
      <c r="A31" s="193"/>
      <c r="B31" s="621"/>
      <c r="C31" s="617" t="str">
        <f>C14</f>
        <v>CLIN 0001 - Basic Period (Year 1)</v>
      </c>
      <c r="D31" s="618"/>
      <c r="E31" s="619"/>
      <c r="F31" s="176"/>
      <c r="G31" s="617" t="str">
        <f>G14</f>
        <v>CLIN 0001 - Basic Period (Year 2)</v>
      </c>
      <c r="H31" s="618"/>
      <c r="I31" s="619"/>
      <c r="J31" s="176"/>
      <c r="K31" s="617" t="str">
        <f>K14</f>
        <v>CLIN 0001 - Basic Period (Year 3)</v>
      </c>
      <c r="L31" s="618"/>
      <c r="M31" s="619"/>
      <c r="N31" s="176"/>
      <c r="O31" s="617" t="str">
        <f>O14</f>
        <v>CLIN 0001 - Basic Period (Year 4)</v>
      </c>
      <c r="P31" s="618"/>
      <c r="Q31" s="619"/>
    </row>
    <row r="32" spans="1:17" x14ac:dyDescent="0.25">
      <c r="A32" s="193"/>
      <c r="B32" s="247"/>
      <c r="C32" s="153" t="s">
        <v>399</v>
      </c>
      <c r="D32" s="154" t="s">
        <v>396</v>
      </c>
      <c r="E32" s="155" t="s">
        <v>152</v>
      </c>
      <c r="F32" s="166"/>
      <c r="G32" s="153" t="s">
        <v>399</v>
      </c>
      <c r="H32" s="154" t="s">
        <v>396</v>
      </c>
      <c r="I32" s="155" t="s">
        <v>152</v>
      </c>
      <c r="J32" s="166"/>
      <c r="K32" s="153" t="s">
        <v>399</v>
      </c>
      <c r="L32" s="154" t="s">
        <v>396</v>
      </c>
      <c r="M32" s="155" t="s">
        <v>152</v>
      </c>
      <c r="N32" s="166"/>
      <c r="O32" s="153" t="s">
        <v>399</v>
      </c>
      <c r="P32" s="154" t="s">
        <v>396</v>
      </c>
      <c r="Q32" s="155" t="s">
        <v>152</v>
      </c>
    </row>
    <row r="33" spans="1:17" ht="51.75" x14ac:dyDescent="0.25">
      <c r="A33" s="193"/>
      <c r="B33" s="300" t="s">
        <v>612</v>
      </c>
      <c r="C33" s="231"/>
      <c r="D33" s="232"/>
      <c r="E33" s="400">
        <f>'PRIME CPIF TOTAL MATERIAL'!E17</f>
        <v>0</v>
      </c>
      <c r="F33" s="165"/>
      <c r="G33" s="231"/>
      <c r="H33" s="232"/>
      <c r="I33" s="400">
        <f>'PRIME CPIF TOTAL MATERIAL'!G17</f>
        <v>0</v>
      </c>
      <c r="J33" s="165"/>
      <c r="K33" s="231"/>
      <c r="L33" s="232"/>
      <c r="M33" s="400">
        <f>'PRIME CPIF TOTAL MATERIAL'!I17</f>
        <v>0</v>
      </c>
      <c r="N33" s="165"/>
      <c r="O33" s="231"/>
      <c r="P33" s="232"/>
      <c r="Q33" s="400">
        <f>'PRIME CPIF TOTAL MATERIAL'!K17</f>
        <v>0</v>
      </c>
    </row>
    <row r="34" spans="1:17" ht="67.5" customHeight="1" x14ac:dyDescent="0.25">
      <c r="A34" s="193"/>
      <c r="B34" s="344" t="s">
        <v>389</v>
      </c>
      <c r="C34" s="405"/>
      <c r="D34" s="406"/>
      <c r="E34" s="400"/>
      <c r="F34" s="165"/>
      <c r="G34" s="405"/>
      <c r="H34" s="406"/>
      <c r="I34" s="400"/>
      <c r="J34" s="165"/>
      <c r="K34" s="405"/>
      <c r="L34" s="406"/>
      <c r="M34" s="400"/>
      <c r="N34" s="165"/>
      <c r="O34" s="405"/>
      <c r="P34" s="406"/>
      <c r="Q34" s="400"/>
    </row>
    <row r="35" spans="1:17" x14ac:dyDescent="0.25">
      <c r="A35" s="193"/>
      <c r="B35" s="167" t="str">
        <f>'PRIME CPIF RATES (ALL)'!B52</f>
        <v>Indirect Category: [Material Overhead]</v>
      </c>
      <c r="C35" s="215">
        <f>+E33</f>
        <v>0</v>
      </c>
      <c r="D35" s="243">
        <f>'PRIME CPIF RATES (ALL)'!C52</f>
        <v>0</v>
      </c>
      <c r="E35" s="168">
        <f>ROUND(C35*D35,2)</f>
        <v>0</v>
      </c>
      <c r="F35" s="178"/>
      <c r="G35" s="215">
        <f>+I33</f>
        <v>0</v>
      </c>
      <c r="H35" s="243">
        <f>'PRIME CPIF RATES (ALL)'!D52</f>
        <v>0</v>
      </c>
      <c r="I35" s="168">
        <f>ROUND(G35*H35,2)</f>
        <v>0</v>
      </c>
      <c r="J35" s="178"/>
      <c r="K35" s="215">
        <f>+M33</f>
        <v>0</v>
      </c>
      <c r="L35" s="243">
        <f>'PRIME CPIF RATES (ALL)'!E52</f>
        <v>0</v>
      </c>
      <c r="M35" s="168">
        <f>ROUND(K35*L35,2)</f>
        <v>0</v>
      </c>
      <c r="N35" s="178"/>
      <c r="O35" s="215">
        <f>+Q33</f>
        <v>0</v>
      </c>
      <c r="P35" s="243">
        <f>'PRIME CPIF RATES (ALL)'!F52</f>
        <v>0</v>
      </c>
      <c r="Q35" s="168">
        <f>ROUND(O35*P35,2)</f>
        <v>0</v>
      </c>
    </row>
    <row r="36" spans="1:17" x14ac:dyDescent="0.25">
      <c r="A36" s="193"/>
      <c r="B36" s="167" t="str">
        <f>'PRIME CPIF RATES (ALL)'!B53</f>
        <v>Indirect Category: [G&amp;A]</v>
      </c>
      <c r="C36" s="215">
        <f>+C35+E35</f>
        <v>0</v>
      </c>
      <c r="D36" s="243">
        <f>'PRIME CPIF RATES (ALL)'!C53</f>
        <v>0</v>
      </c>
      <c r="E36" s="168">
        <f>ROUND(C36*D36,2)</f>
        <v>0</v>
      </c>
      <c r="F36" s="178"/>
      <c r="G36" s="215">
        <f>+G35+I35</f>
        <v>0</v>
      </c>
      <c r="H36" s="243">
        <f>'PRIME CPIF RATES (ALL)'!D53</f>
        <v>0</v>
      </c>
      <c r="I36" s="168">
        <f>ROUND(G36*H36,2)</f>
        <v>0</v>
      </c>
      <c r="J36" s="178"/>
      <c r="K36" s="215">
        <f>+K35+M35</f>
        <v>0</v>
      </c>
      <c r="L36" s="243">
        <f>'PRIME CPIF RATES (ALL)'!E53</f>
        <v>0</v>
      </c>
      <c r="M36" s="168">
        <f>ROUND(K36*L36,2)</f>
        <v>0</v>
      </c>
      <c r="N36" s="178"/>
      <c r="O36" s="215">
        <f>+O35+Q35</f>
        <v>0</v>
      </c>
      <c r="P36" s="243">
        <f>'PRIME CPIF RATES (ALL)'!F53</f>
        <v>0</v>
      </c>
      <c r="Q36" s="168">
        <f>ROUND(O36*P36,2)</f>
        <v>0</v>
      </c>
    </row>
    <row r="37" spans="1:17" x14ac:dyDescent="0.25">
      <c r="A37" s="193"/>
      <c r="B37" s="167" t="str">
        <f>'PRIME CPIF RATES (ALL)'!B54</f>
        <v>Indirect Category: [FCCOM]</v>
      </c>
      <c r="C37" s="215">
        <f>C36+E36</f>
        <v>0</v>
      </c>
      <c r="D37" s="243">
        <f>'PRIME CPIF RATES (ALL)'!C54</f>
        <v>0</v>
      </c>
      <c r="E37" s="168">
        <f>ROUND(C37*D37,2)</f>
        <v>0</v>
      </c>
      <c r="F37" s="165"/>
      <c r="G37" s="215">
        <f>G36+I36</f>
        <v>0</v>
      </c>
      <c r="H37" s="243">
        <f>'PRIME CPIF RATES (ALL)'!D54</f>
        <v>0</v>
      </c>
      <c r="I37" s="168">
        <f>ROUND(G37*H37,2)</f>
        <v>0</v>
      </c>
      <c r="J37" s="165"/>
      <c r="K37" s="215">
        <f>K36+M36</f>
        <v>0</v>
      </c>
      <c r="L37" s="243">
        <f>'PRIME CPIF RATES (ALL)'!E54</f>
        <v>0</v>
      </c>
      <c r="M37" s="168">
        <f>ROUND(K37*L37,2)</f>
        <v>0</v>
      </c>
      <c r="N37" s="165"/>
      <c r="O37" s="215">
        <f>O36+Q36</f>
        <v>0</v>
      </c>
      <c r="P37" s="243">
        <f>'PRIME CPIF RATES (ALL)'!F54</f>
        <v>0</v>
      </c>
      <c r="Q37" s="168">
        <f>ROUND(O37*P37,2)</f>
        <v>0</v>
      </c>
    </row>
    <row r="38" spans="1:17" x14ac:dyDescent="0.25">
      <c r="A38" s="193"/>
      <c r="B38" s="167" t="str">
        <f>'PRIME CPIF RATES (ALL)'!B55</f>
        <v>Indirect Category: [Target Fee]</v>
      </c>
      <c r="C38" s="215">
        <f>+C36+E36</f>
        <v>0</v>
      </c>
      <c r="D38" s="243">
        <f>'PRIME CPIF RATES (ALL)'!C55</f>
        <v>0</v>
      </c>
      <c r="E38" s="168">
        <f>ROUND(C38*D38,2)</f>
        <v>0</v>
      </c>
      <c r="F38" s="165"/>
      <c r="G38" s="215">
        <f>+G36+I36</f>
        <v>0</v>
      </c>
      <c r="H38" s="243">
        <f>'PRIME CPIF RATES (ALL)'!D55</f>
        <v>0</v>
      </c>
      <c r="I38" s="168">
        <f>ROUND(G38*H38,2)</f>
        <v>0</v>
      </c>
      <c r="J38" s="165"/>
      <c r="K38" s="215">
        <f>+K36+M36</f>
        <v>0</v>
      </c>
      <c r="L38" s="243">
        <f>'PRIME CPIF RATES (ALL)'!E55</f>
        <v>0</v>
      </c>
      <c r="M38" s="168">
        <f>ROUND(K38*L38,2)</f>
        <v>0</v>
      </c>
      <c r="N38" s="165"/>
      <c r="O38" s="215">
        <f>+O36+Q36</f>
        <v>0</v>
      </c>
      <c r="P38" s="243">
        <f>'PRIME CPIF RATES (ALL)'!F55</f>
        <v>0</v>
      </c>
      <c r="Q38" s="168">
        <f>ROUND(O38*P38,2)</f>
        <v>0</v>
      </c>
    </row>
    <row r="39" spans="1:17" x14ac:dyDescent="0.25">
      <c r="A39" s="193"/>
      <c r="B39" s="241" t="s">
        <v>259</v>
      </c>
      <c r="C39" s="233"/>
      <c r="D39" s="234"/>
      <c r="E39" s="168">
        <f>ROUND(SUM(E33:E36),2)</f>
        <v>0</v>
      </c>
      <c r="F39" s="165"/>
      <c r="G39" s="233"/>
      <c r="H39" s="234"/>
      <c r="I39" s="168">
        <f>ROUND(SUM(I33:I36),2)</f>
        <v>0</v>
      </c>
      <c r="J39" s="165"/>
      <c r="K39" s="233"/>
      <c r="L39" s="234"/>
      <c r="M39" s="168">
        <f>ROUND(SUM(M33:M36),2)</f>
        <v>0</v>
      </c>
      <c r="N39" s="165"/>
      <c r="O39" s="233"/>
      <c r="P39" s="234"/>
      <c r="Q39" s="168">
        <f>ROUND(SUM(Q33:Q36),2)</f>
        <v>0</v>
      </c>
    </row>
    <row r="40" spans="1:17" x14ac:dyDescent="0.25">
      <c r="A40" s="193"/>
      <c r="B40" s="241" t="s">
        <v>137</v>
      </c>
      <c r="C40" s="231"/>
      <c r="D40" s="235"/>
      <c r="E40" s="168">
        <f>ROUND(E37,2)</f>
        <v>0</v>
      </c>
      <c r="F40" s="165"/>
      <c r="G40" s="231"/>
      <c r="H40" s="235"/>
      <c r="I40" s="168">
        <f>ROUND(I37,2)</f>
        <v>0</v>
      </c>
      <c r="J40" s="165"/>
      <c r="K40" s="231"/>
      <c r="L40" s="235"/>
      <c r="M40" s="168">
        <f>ROUND(M37,2)</f>
        <v>0</v>
      </c>
      <c r="N40" s="165"/>
      <c r="O40" s="231"/>
      <c r="P40" s="235"/>
      <c r="Q40" s="168">
        <f>ROUND(Q37,2)</f>
        <v>0</v>
      </c>
    </row>
    <row r="41" spans="1:17" x14ac:dyDescent="0.2">
      <c r="B41" s="241" t="s">
        <v>136</v>
      </c>
      <c r="C41" s="231"/>
      <c r="D41" s="235"/>
      <c r="E41" s="182">
        <f>ROUND(E38,2)</f>
        <v>0</v>
      </c>
      <c r="F41" s="183"/>
      <c r="G41" s="231"/>
      <c r="H41" s="235"/>
      <c r="I41" s="182">
        <f>ROUND(I38,2)</f>
        <v>0</v>
      </c>
      <c r="J41" s="183"/>
      <c r="K41" s="231"/>
      <c r="L41" s="235"/>
      <c r="M41" s="182">
        <f>ROUND(M38,2)</f>
        <v>0</v>
      </c>
      <c r="N41" s="183"/>
      <c r="O41" s="231"/>
      <c r="P41" s="235"/>
      <c r="Q41" s="182">
        <f>ROUND(Q38,2)</f>
        <v>0</v>
      </c>
    </row>
    <row r="42" spans="1:17" ht="16.5" thickBot="1" x14ac:dyDescent="0.25">
      <c r="B42" s="242" t="s">
        <v>243</v>
      </c>
      <c r="C42" s="236"/>
      <c r="D42" s="237"/>
      <c r="E42" s="160">
        <f>SUM(E39:E41)</f>
        <v>0</v>
      </c>
      <c r="F42" s="161"/>
      <c r="G42" s="236"/>
      <c r="H42" s="237"/>
      <c r="I42" s="160">
        <f>SUM(I39:I41)</f>
        <v>0</v>
      </c>
      <c r="J42" s="161"/>
      <c r="K42" s="236"/>
      <c r="L42" s="237"/>
      <c r="M42" s="160">
        <f>SUM(M39:M41)</f>
        <v>0</v>
      </c>
      <c r="N42" s="161"/>
      <c r="O42" s="236"/>
      <c r="P42" s="237"/>
      <c r="Q42" s="160">
        <f>SUM(Q39:Q41)</f>
        <v>0</v>
      </c>
    </row>
    <row r="43" spans="1:17" ht="16.5" thickBot="1" x14ac:dyDescent="0.25">
      <c r="B43" s="172"/>
      <c r="E43" s="251"/>
      <c r="F43" s="251"/>
      <c r="G43" s="251"/>
      <c r="H43" s="251"/>
      <c r="I43" s="251"/>
      <c r="J43" s="251"/>
      <c r="K43" s="251"/>
      <c r="N43" s="187"/>
      <c r="O43" s="251"/>
    </row>
    <row r="44" spans="1:17" ht="16.5" thickBot="1" x14ac:dyDescent="0.3">
      <c r="B44" s="620" t="str">
        <f>B13</f>
        <v>CLIN 0001 (CPIF)                                                    TASK 1.07 MATERIAL - DEVELOPMENTAL SPARES</v>
      </c>
      <c r="C44" s="594" t="s">
        <v>318</v>
      </c>
      <c r="D44" s="595"/>
      <c r="E44" s="596"/>
      <c r="F44" s="175"/>
      <c r="G44" s="594" t="s">
        <v>318</v>
      </c>
      <c r="H44" s="595"/>
      <c r="I44" s="596"/>
      <c r="J44" s="175"/>
      <c r="K44" s="594" t="s">
        <v>318</v>
      </c>
      <c r="L44" s="595"/>
      <c r="M44" s="596"/>
      <c r="N44" s="175"/>
      <c r="O44" s="594" t="s">
        <v>318</v>
      </c>
      <c r="P44" s="595"/>
      <c r="Q44" s="596"/>
    </row>
    <row r="45" spans="1:17" ht="27.75" customHeight="1" thickBot="1" x14ac:dyDescent="0.3">
      <c r="B45" s="621"/>
      <c r="C45" s="617" t="str">
        <f>C31</f>
        <v>CLIN 0001 - Basic Period (Year 1)</v>
      </c>
      <c r="D45" s="618"/>
      <c r="E45" s="619"/>
      <c r="F45" s="176"/>
      <c r="G45" s="617" t="str">
        <f>G31</f>
        <v>CLIN 0001 - Basic Period (Year 2)</v>
      </c>
      <c r="H45" s="618"/>
      <c r="I45" s="619"/>
      <c r="J45" s="176"/>
      <c r="K45" s="617" t="str">
        <f>K31</f>
        <v>CLIN 0001 - Basic Period (Year 3)</v>
      </c>
      <c r="L45" s="618"/>
      <c r="M45" s="619"/>
      <c r="N45" s="176"/>
      <c r="O45" s="617" t="str">
        <f>O31</f>
        <v>CLIN 0001 - Basic Period (Year 4)</v>
      </c>
      <c r="P45" s="618"/>
      <c r="Q45" s="619"/>
    </row>
    <row r="46" spans="1:17" x14ac:dyDescent="0.25">
      <c r="B46" s="248"/>
      <c r="C46" s="153" t="s">
        <v>399</v>
      </c>
      <c r="D46" s="154" t="s">
        <v>396</v>
      </c>
      <c r="E46" s="155" t="s">
        <v>397</v>
      </c>
      <c r="F46" s="166"/>
      <c r="G46" s="153" t="s">
        <v>399</v>
      </c>
      <c r="H46" s="154" t="s">
        <v>396</v>
      </c>
      <c r="I46" s="155" t="s">
        <v>397</v>
      </c>
      <c r="J46" s="166"/>
      <c r="K46" s="153" t="s">
        <v>399</v>
      </c>
      <c r="L46" s="154" t="s">
        <v>396</v>
      </c>
      <c r="M46" s="155" t="s">
        <v>397</v>
      </c>
      <c r="N46" s="166"/>
      <c r="O46" s="153" t="s">
        <v>399</v>
      </c>
      <c r="P46" s="154" t="s">
        <v>396</v>
      </c>
      <c r="Q46" s="155" t="s">
        <v>397</v>
      </c>
    </row>
    <row r="47" spans="1:17" ht="25.5" x14ac:dyDescent="0.2">
      <c r="B47" s="300" t="s">
        <v>560</v>
      </c>
      <c r="C47" s="285"/>
      <c r="D47" s="285"/>
      <c r="E47" s="345">
        <f>'PRIME CPIF TOTAL SUB'!E17</f>
        <v>0</v>
      </c>
      <c r="F47" s="288"/>
      <c r="G47" s="231"/>
      <c r="H47" s="285"/>
      <c r="I47" s="345">
        <f>'PRIME CPIF TOTAL SUB'!G17</f>
        <v>0</v>
      </c>
      <c r="J47" s="288"/>
      <c r="K47" s="231"/>
      <c r="L47" s="285"/>
      <c r="M47" s="345">
        <f>'PRIME CPIF TOTAL SUB'!I17</f>
        <v>0</v>
      </c>
      <c r="N47" s="165"/>
      <c r="O47" s="231"/>
      <c r="P47" s="285"/>
      <c r="Q47" s="345">
        <f>'PRIME CPIF TOTAL SUB'!K17</f>
        <v>0</v>
      </c>
    </row>
    <row r="48" spans="1:17" ht="76.5" x14ac:dyDescent="0.2">
      <c r="B48" s="344" t="s">
        <v>613</v>
      </c>
      <c r="C48" s="624" t="s">
        <v>5</v>
      </c>
      <c r="D48" s="625"/>
      <c r="E48" s="626"/>
      <c r="F48" s="178"/>
      <c r="G48" s="627"/>
      <c r="H48" s="625"/>
      <c r="I48" s="626"/>
      <c r="J48" s="178"/>
      <c r="K48" s="627"/>
      <c r="L48" s="625"/>
      <c r="M48" s="626"/>
      <c r="N48" s="178"/>
      <c r="O48" s="627"/>
      <c r="P48" s="625"/>
      <c r="Q48" s="626"/>
    </row>
    <row r="49" spans="1:17" x14ac:dyDescent="0.2">
      <c r="B49" s="287" t="str">
        <f>'PRIME CPIF RATES (ALL)'!B44</f>
        <v>Indirect Category: [Overhead]</v>
      </c>
      <c r="C49" s="286">
        <f>E47</f>
        <v>0</v>
      </c>
      <c r="D49" s="243">
        <f>'PRIME CPIF RATES (ALL)'!C44</f>
        <v>0</v>
      </c>
      <c r="E49" s="168">
        <f>ROUND(C49*D49,2)</f>
        <v>0</v>
      </c>
      <c r="F49" s="178"/>
      <c r="G49" s="215">
        <f>I47</f>
        <v>0</v>
      </c>
      <c r="H49" s="243">
        <f>'PRIME CPIF RATES (ALL)'!D44</f>
        <v>0</v>
      </c>
      <c r="I49" s="168">
        <f>ROUND(G49*H49,2)</f>
        <v>0</v>
      </c>
      <c r="J49" s="178"/>
      <c r="K49" s="215">
        <f>M47</f>
        <v>0</v>
      </c>
      <c r="L49" s="243">
        <f>'PRIME CPIF RATES (ALL)'!E44</f>
        <v>0</v>
      </c>
      <c r="M49" s="168">
        <f>ROUND(K49*L49,2)</f>
        <v>0</v>
      </c>
      <c r="N49" s="178"/>
      <c r="O49" s="215">
        <f>Q47</f>
        <v>0</v>
      </c>
      <c r="P49" s="243">
        <f>'PRIME CPIF RATES (ALL)'!F44</f>
        <v>0</v>
      </c>
      <c r="Q49" s="168">
        <f>ROUND(O49*P49,2)</f>
        <v>0</v>
      </c>
    </row>
    <row r="50" spans="1:17" x14ac:dyDescent="0.2">
      <c r="B50" s="287" t="str">
        <f>'PRIME CPIF RATES (ALL)'!B45</f>
        <v>Indirect Category: [G&amp;A]</v>
      </c>
      <c r="C50" s="286">
        <f>C49+E49</f>
        <v>0</v>
      </c>
      <c r="D50" s="243">
        <f>'PRIME CPIF RATES (ALL)'!C45</f>
        <v>0</v>
      </c>
      <c r="E50" s="168">
        <f>ROUND(C50*D50,2)</f>
        <v>0</v>
      </c>
      <c r="F50" s="288"/>
      <c r="G50" s="286">
        <f>G49+I49</f>
        <v>0</v>
      </c>
      <c r="H50" s="243">
        <f>'PRIME CPIF RATES (ALL)'!D45</f>
        <v>0</v>
      </c>
      <c r="I50" s="168">
        <f>ROUND(G50*H50,2)</f>
        <v>0</v>
      </c>
      <c r="J50" s="288"/>
      <c r="K50" s="286">
        <f>K49+M49</f>
        <v>0</v>
      </c>
      <c r="L50" s="243">
        <f>'PRIME CPIF RATES (ALL)'!E45</f>
        <v>0</v>
      </c>
      <c r="M50" s="168">
        <f>ROUND(K50*L50,2)</f>
        <v>0</v>
      </c>
      <c r="N50" s="165"/>
      <c r="O50" s="286">
        <f>O49+Q49</f>
        <v>0</v>
      </c>
      <c r="P50" s="243">
        <f>'PRIME CPIF RATES (ALL)'!F45</f>
        <v>0</v>
      </c>
      <c r="Q50" s="168">
        <f>ROUND(O50*P50,2)</f>
        <v>0</v>
      </c>
    </row>
    <row r="51" spans="1:17" x14ac:dyDescent="0.2">
      <c r="B51" s="351" t="str">
        <f>'PRIME CPIF RATES (ALL)'!B46</f>
        <v>Indirect Category: [FCCOM]</v>
      </c>
      <c r="C51" s="215">
        <f>C50+E50</f>
        <v>0</v>
      </c>
      <c r="D51" s="243">
        <f>'PRIME CPIF RATES (ALL)'!C46</f>
        <v>0</v>
      </c>
      <c r="E51" s="353">
        <f>ROUND(C51*D51,2)</f>
        <v>0</v>
      </c>
      <c r="F51" s="288"/>
      <c r="G51" s="215">
        <f>G50+I50</f>
        <v>0</v>
      </c>
      <c r="H51" s="243">
        <f>'PRIME CPIF RATES (ALL)'!D46</f>
        <v>0</v>
      </c>
      <c r="I51" s="353">
        <f>ROUND(G51*H51,2)</f>
        <v>0</v>
      </c>
      <c r="J51" s="288"/>
      <c r="K51" s="215">
        <f>K50+M50</f>
        <v>0</v>
      </c>
      <c r="L51" s="243">
        <f>'PRIME CPIF RATES (ALL)'!E46</f>
        <v>0</v>
      </c>
      <c r="M51" s="353">
        <f>ROUND(K51*L51,2)</f>
        <v>0</v>
      </c>
      <c r="N51" s="165"/>
      <c r="O51" s="215">
        <f>O50+Q50</f>
        <v>0</v>
      </c>
      <c r="P51" s="243">
        <f>'PRIME CPIF RATES (ALL)'!F46</f>
        <v>0</v>
      </c>
      <c r="Q51" s="353">
        <f>ROUND(O51*P51,2)</f>
        <v>0</v>
      </c>
    </row>
    <row r="52" spans="1:17" x14ac:dyDescent="0.2">
      <c r="B52" s="167" t="str">
        <f>'PRIME CPIF RATES (ALL)'!B47</f>
        <v>Indirect Category: [Target Fee]</v>
      </c>
      <c r="C52" s="214">
        <f>C50+E50</f>
        <v>0</v>
      </c>
      <c r="D52" s="354">
        <f>'PRIME CPIF RATES (ALL)'!C47</f>
        <v>0</v>
      </c>
      <c r="E52" s="353">
        <f>ROUND(C52*D52,2)</f>
        <v>0</v>
      </c>
      <c r="F52" s="288"/>
      <c r="G52" s="214">
        <f>G50+I50</f>
        <v>0</v>
      </c>
      <c r="H52" s="354">
        <f>'PRIME CPIF RATES (ALL)'!D47</f>
        <v>0</v>
      </c>
      <c r="I52" s="353">
        <f>ROUND(G52*H52,2)</f>
        <v>0</v>
      </c>
      <c r="J52" s="288"/>
      <c r="K52" s="214">
        <f>K50+M50</f>
        <v>0</v>
      </c>
      <c r="L52" s="354">
        <f>'PRIME CPIF RATES (ALL)'!E47</f>
        <v>0</v>
      </c>
      <c r="M52" s="353">
        <f>ROUND(K52*L52,2)</f>
        <v>0</v>
      </c>
      <c r="N52" s="165"/>
      <c r="O52" s="214">
        <f>O50+Q50</f>
        <v>0</v>
      </c>
      <c r="P52" s="354">
        <f>'PRIME CPIF RATES (ALL)'!F47</f>
        <v>0</v>
      </c>
      <c r="Q52" s="353">
        <f>ROUND(O52*P52,2)</f>
        <v>0</v>
      </c>
    </row>
    <row r="53" spans="1:17" x14ac:dyDescent="0.2">
      <c r="B53" s="241" t="s">
        <v>320</v>
      </c>
      <c r="C53" s="233"/>
      <c r="D53" s="234"/>
      <c r="E53" s="168">
        <f>ROUND(E47+E49+E50,2)</f>
        <v>0</v>
      </c>
      <c r="F53" s="288"/>
      <c r="G53" s="233"/>
      <c r="H53" s="234"/>
      <c r="I53" s="168">
        <f>ROUND(I47+I49+I50,2)</f>
        <v>0</v>
      </c>
      <c r="J53" s="288"/>
      <c r="K53" s="233"/>
      <c r="L53" s="234"/>
      <c r="M53" s="168">
        <f>ROUND(M47+M49+M50,2)</f>
        <v>0</v>
      </c>
      <c r="N53" s="165"/>
      <c r="O53" s="233"/>
      <c r="P53" s="234"/>
      <c r="Q53" s="168">
        <f>ROUND(Q47+Q49+Q50,2)</f>
        <v>0</v>
      </c>
    </row>
    <row r="54" spans="1:17" x14ac:dyDescent="0.2">
      <c r="B54" s="241" t="s">
        <v>298</v>
      </c>
      <c r="C54" s="231"/>
      <c r="D54" s="235"/>
      <c r="E54" s="168">
        <f>ROUND(E51,2)</f>
        <v>0</v>
      </c>
      <c r="F54" s="288"/>
      <c r="G54" s="231"/>
      <c r="H54" s="235"/>
      <c r="I54" s="168">
        <f>ROUND(I51,2)</f>
        <v>0</v>
      </c>
      <c r="J54" s="288"/>
      <c r="K54" s="231"/>
      <c r="L54" s="235"/>
      <c r="M54" s="168">
        <f>ROUND(M51,2)</f>
        <v>0</v>
      </c>
      <c r="N54" s="165"/>
      <c r="O54" s="231"/>
      <c r="P54" s="235"/>
      <c r="Q54" s="168">
        <f>ROUND(Q51,2)</f>
        <v>0</v>
      </c>
    </row>
    <row r="55" spans="1:17" x14ac:dyDescent="0.2">
      <c r="B55" s="241" t="s">
        <v>136</v>
      </c>
      <c r="C55" s="231"/>
      <c r="D55" s="235"/>
      <c r="E55" s="182">
        <f>ROUND(E52,2)</f>
        <v>0</v>
      </c>
      <c r="F55" s="183"/>
      <c r="G55" s="231"/>
      <c r="H55" s="235"/>
      <c r="I55" s="182">
        <f>ROUND(I52,2)</f>
        <v>0</v>
      </c>
      <c r="J55" s="183"/>
      <c r="K55" s="231"/>
      <c r="L55" s="235"/>
      <c r="M55" s="182">
        <f>ROUND(M52,2)</f>
        <v>0</v>
      </c>
      <c r="N55" s="183"/>
      <c r="O55" s="231"/>
      <c r="P55" s="235"/>
      <c r="Q55" s="182">
        <f>ROUND(Q52,2)</f>
        <v>0</v>
      </c>
    </row>
    <row r="56" spans="1:17" ht="16.5" thickBot="1" x14ac:dyDescent="0.25">
      <c r="B56" s="242" t="s">
        <v>321</v>
      </c>
      <c r="C56" s="236"/>
      <c r="D56" s="237"/>
      <c r="E56" s="160">
        <f>ROUND(SUM(E53:E55),2)</f>
        <v>0</v>
      </c>
      <c r="F56" s="161"/>
      <c r="G56" s="236"/>
      <c r="H56" s="237"/>
      <c r="I56" s="160">
        <f>ROUND(SUM(I53:I55),2)</f>
        <v>0</v>
      </c>
      <c r="J56" s="161"/>
      <c r="K56" s="236"/>
      <c r="L56" s="237"/>
      <c r="M56" s="160">
        <f>ROUND(SUM(M53:M55),2)</f>
        <v>0</v>
      </c>
      <c r="N56" s="161"/>
      <c r="O56" s="236"/>
      <c r="P56" s="237"/>
      <c r="Q56" s="160">
        <f>ROUND(SUM(Q53:Q55),2)</f>
        <v>0</v>
      </c>
    </row>
    <row r="57" spans="1:17" ht="16.5" thickBot="1" x14ac:dyDescent="0.25">
      <c r="B57" s="172"/>
      <c r="E57" s="251"/>
      <c r="F57" s="251"/>
      <c r="G57" s="251"/>
      <c r="H57" s="251"/>
      <c r="I57" s="251"/>
      <c r="J57" s="251"/>
      <c r="K57" s="251"/>
      <c r="N57" s="187"/>
      <c r="O57" s="251"/>
    </row>
    <row r="58" spans="1:17" ht="16.5" customHeight="1" thickBot="1" x14ac:dyDescent="0.3">
      <c r="A58" s="193"/>
      <c r="B58" s="620" t="str">
        <f>B30</f>
        <v>CLIN 0001 (CPIF)                                                    TASK 1.07 MATERIAL - DEVELOPMENTAL SPARES</v>
      </c>
      <c r="C58" s="594" t="s">
        <v>146</v>
      </c>
      <c r="D58" s="595"/>
      <c r="E58" s="596"/>
      <c r="F58" s="175"/>
      <c r="G58" s="594" t="s">
        <v>147</v>
      </c>
      <c r="H58" s="595"/>
      <c r="I58" s="596"/>
      <c r="J58" s="175"/>
      <c r="K58" s="594" t="s">
        <v>147</v>
      </c>
      <c r="L58" s="595"/>
      <c r="M58" s="596"/>
      <c r="N58" s="175"/>
      <c r="O58" s="594" t="s">
        <v>147</v>
      </c>
      <c r="P58" s="595"/>
      <c r="Q58" s="596"/>
    </row>
    <row r="59" spans="1:17" ht="33.75" customHeight="1" thickBot="1" x14ac:dyDescent="0.3">
      <c r="A59" s="193"/>
      <c r="B59" s="621"/>
      <c r="C59" s="617" t="str">
        <f>C31</f>
        <v>CLIN 0001 - Basic Period (Year 1)</v>
      </c>
      <c r="D59" s="618"/>
      <c r="E59" s="619"/>
      <c r="F59" s="176"/>
      <c r="G59" s="617" t="str">
        <f>G31</f>
        <v>CLIN 0001 - Basic Period (Year 2)</v>
      </c>
      <c r="H59" s="618"/>
      <c r="I59" s="619"/>
      <c r="J59" s="176"/>
      <c r="K59" s="617" t="str">
        <f>K31</f>
        <v>CLIN 0001 - Basic Period (Year 3)</v>
      </c>
      <c r="L59" s="618"/>
      <c r="M59" s="619"/>
      <c r="N59" s="176"/>
      <c r="O59" s="617" t="str">
        <f>O31</f>
        <v>CLIN 0001 - Basic Period (Year 4)</v>
      </c>
      <c r="P59" s="618"/>
      <c r="Q59" s="619"/>
    </row>
    <row r="60" spans="1:17" x14ac:dyDescent="0.25">
      <c r="A60" s="193"/>
      <c r="B60" s="248"/>
      <c r="C60" s="153" t="s">
        <v>399</v>
      </c>
      <c r="D60" s="154" t="s">
        <v>396</v>
      </c>
      <c r="E60" s="155" t="s">
        <v>153</v>
      </c>
      <c r="F60" s="166"/>
      <c r="G60" s="153" t="s">
        <v>399</v>
      </c>
      <c r="H60" s="154" t="s">
        <v>396</v>
      </c>
      <c r="I60" s="155" t="s">
        <v>153</v>
      </c>
      <c r="J60" s="166"/>
      <c r="K60" s="153" t="s">
        <v>399</v>
      </c>
      <c r="L60" s="154" t="s">
        <v>396</v>
      </c>
      <c r="M60" s="155" t="s">
        <v>153</v>
      </c>
      <c r="N60" s="166"/>
      <c r="O60" s="153" t="s">
        <v>399</v>
      </c>
      <c r="P60" s="154" t="s">
        <v>396</v>
      </c>
      <c r="Q60" s="155" t="s">
        <v>153</v>
      </c>
    </row>
    <row r="61" spans="1:17" ht="26.25" x14ac:dyDescent="0.25">
      <c r="A61" s="193"/>
      <c r="B61" s="300" t="s">
        <v>561</v>
      </c>
      <c r="C61" s="231"/>
      <c r="D61" s="232"/>
      <c r="E61" s="345">
        <f>'PRIME CPIF TOTAL ODC'!E17</f>
        <v>0</v>
      </c>
      <c r="F61" s="165"/>
      <c r="G61" s="231"/>
      <c r="H61" s="232"/>
      <c r="I61" s="345">
        <f>'PRIME CPIF TOTAL ODC'!G17</f>
        <v>0</v>
      </c>
      <c r="J61" s="165"/>
      <c r="K61" s="231"/>
      <c r="L61" s="232"/>
      <c r="M61" s="400">
        <f>'PRIME CPIF TOTAL ODC'!I17</f>
        <v>0</v>
      </c>
      <c r="N61" s="165"/>
      <c r="O61" s="231"/>
      <c r="P61" s="232"/>
      <c r="Q61" s="400">
        <f>'PRIME CPIF TOTAL ODC'!K17</f>
        <v>0</v>
      </c>
    </row>
    <row r="62" spans="1:17" ht="66" customHeight="1" x14ac:dyDescent="0.25">
      <c r="A62" s="193"/>
      <c r="B62" s="490" t="s">
        <v>614</v>
      </c>
      <c r="C62" s="404"/>
      <c r="D62" s="404"/>
      <c r="E62" s="403"/>
      <c r="F62" s="288"/>
      <c r="G62" s="405"/>
      <c r="H62" s="404"/>
      <c r="I62" s="403"/>
      <c r="J62" s="288"/>
      <c r="K62" s="405"/>
      <c r="L62" s="404"/>
      <c r="M62" s="400"/>
      <c r="N62" s="165"/>
      <c r="O62" s="405"/>
      <c r="P62" s="404"/>
      <c r="Q62" s="400"/>
    </row>
    <row r="63" spans="1:17" x14ac:dyDescent="0.25">
      <c r="A63" s="193"/>
      <c r="B63" s="167" t="s">
        <v>125</v>
      </c>
      <c r="C63" s="215">
        <f>+E61</f>
        <v>0</v>
      </c>
      <c r="D63" s="243">
        <f>'PRIME CPIF RATES (ALL)'!C60</f>
        <v>0</v>
      </c>
      <c r="E63" s="168">
        <f>ROUND(C63*D63,2)</f>
        <v>0</v>
      </c>
      <c r="F63" s="178"/>
      <c r="G63" s="215">
        <f>+I61</f>
        <v>0</v>
      </c>
      <c r="H63" s="243">
        <f>'PRIME CPIF RATES (ALL)'!D60</f>
        <v>0</v>
      </c>
      <c r="I63" s="168">
        <f>ROUND(G63*H63,2)</f>
        <v>0</v>
      </c>
      <c r="J63" s="178"/>
      <c r="K63" s="215">
        <f>+M61</f>
        <v>0</v>
      </c>
      <c r="L63" s="243">
        <f>'PRIME CPIF RATES (ALL)'!E60</f>
        <v>0</v>
      </c>
      <c r="M63" s="168">
        <f>ROUND(K63*L63,2)</f>
        <v>0</v>
      </c>
      <c r="N63" s="178"/>
      <c r="O63" s="215">
        <f>+Q61</f>
        <v>0</v>
      </c>
      <c r="P63" s="243">
        <f>'PRIME CPIF RATES (ALL)'!F60</f>
        <v>0</v>
      </c>
      <c r="Q63" s="168">
        <f>ROUND(O63*P63,2)</f>
        <v>0</v>
      </c>
    </row>
    <row r="64" spans="1:17" x14ac:dyDescent="0.25">
      <c r="A64" s="193"/>
      <c r="B64" s="167" t="s">
        <v>126</v>
      </c>
      <c r="C64" s="215">
        <f>+C63+E63</f>
        <v>0</v>
      </c>
      <c r="D64" s="243">
        <f>'PRIME CPIF RATES (ALL)'!C61</f>
        <v>0</v>
      </c>
      <c r="E64" s="168">
        <f>ROUND(C64*D64,2)</f>
        <v>0</v>
      </c>
      <c r="F64" s="178"/>
      <c r="G64" s="215">
        <f>+G63+I63</f>
        <v>0</v>
      </c>
      <c r="H64" s="243">
        <f>'PRIME CPIF RATES (ALL)'!D61</f>
        <v>0</v>
      </c>
      <c r="I64" s="168">
        <f>ROUND(G64*H64,2)</f>
        <v>0</v>
      </c>
      <c r="J64" s="178"/>
      <c r="K64" s="215">
        <f>+K63+M63</f>
        <v>0</v>
      </c>
      <c r="L64" s="243">
        <f>'PRIME CPIF RATES (ALL)'!E61</f>
        <v>0</v>
      </c>
      <c r="M64" s="168">
        <f>ROUND(K64*L64,2)</f>
        <v>0</v>
      </c>
      <c r="N64" s="178"/>
      <c r="O64" s="215">
        <f>+O63+Q63</f>
        <v>0</v>
      </c>
      <c r="P64" s="243">
        <f>'PRIME CPIF RATES (ALL)'!F61</f>
        <v>0</v>
      </c>
      <c r="Q64" s="168">
        <f>ROUND(O64*P64,2)</f>
        <v>0</v>
      </c>
    </row>
    <row r="65" spans="1:17" x14ac:dyDescent="0.25">
      <c r="A65" s="193"/>
      <c r="B65" s="167" t="s">
        <v>566</v>
      </c>
      <c r="C65" s="215">
        <f>C64+E64</f>
        <v>0</v>
      </c>
      <c r="D65" s="243">
        <f>'PRIME CPIF RATES (ALL)'!C62</f>
        <v>0</v>
      </c>
      <c r="E65" s="168">
        <f>ROUND(C65*D65,2)</f>
        <v>0</v>
      </c>
      <c r="F65" s="165"/>
      <c r="G65" s="215">
        <f>G64+I64</f>
        <v>0</v>
      </c>
      <c r="H65" s="243">
        <f>'PRIME CPIF RATES (ALL)'!D62</f>
        <v>0</v>
      </c>
      <c r="I65" s="168">
        <f>ROUND(G65*H65,2)</f>
        <v>0</v>
      </c>
      <c r="J65" s="165"/>
      <c r="K65" s="215">
        <f>K64+M64</f>
        <v>0</v>
      </c>
      <c r="L65" s="243">
        <f>'PRIME CPIF RATES (ALL)'!E62</f>
        <v>0</v>
      </c>
      <c r="M65" s="168">
        <f>ROUND(K65*L65,2)</f>
        <v>0</v>
      </c>
      <c r="N65" s="165"/>
      <c r="O65" s="215">
        <f>O64+Q64</f>
        <v>0</v>
      </c>
      <c r="P65" s="243">
        <f>'PRIME CPIF RATES (ALL)'!F62</f>
        <v>0</v>
      </c>
      <c r="Q65" s="168">
        <f>ROUND(O65*P65,2)</f>
        <v>0</v>
      </c>
    </row>
    <row r="66" spans="1:17" x14ac:dyDescent="0.25">
      <c r="A66" s="193"/>
      <c r="B66" s="167" t="s">
        <v>127</v>
      </c>
      <c r="C66" s="215">
        <f>+C64+E64</f>
        <v>0</v>
      </c>
      <c r="D66" s="354">
        <f>'PRIME CPIF RATES (ALL)'!C63</f>
        <v>0</v>
      </c>
      <c r="E66" s="168">
        <f>ROUND(C66*D66,2)</f>
        <v>0</v>
      </c>
      <c r="F66" s="165"/>
      <c r="G66" s="215">
        <f>+G64+I64</f>
        <v>0</v>
      </c>
      <c r="H66" s="354">
        <f>'PRIME CPIF RATES (ALL)'!D63</f>
        <v>0</v>
      </c>
      <c r="I66" s="168">
        <f>ROUND(G66*H66,2)</f>
        <v>0</v>
      </c>
      <c r="J66" s="165"/>
      <c r="K66" s="215">
        <f>+K64+M64</f>
        <v>0</v>
      </c>
      <c r="L66" s="354">
        <f>'PRIME CPIF RATES (ALL)'!E63</f>
        <v>0</v>
      </c>
      <c r="M66" s="168">
        <f>ROUND(K66*L66,2)</f>
        <v>0</v>
      </c>
      <c r="N66" s="165"/>
      <c r="O66" s="215">
        <f>+O64+Q64</f>
        <v>0</v>
      </c>
      <c r="P66" s="354">
        <f>'PRIME CPIF RATES (ALL)'!F63</f>
        <v>0</v>
      </c>
      <c r="Q66" s="168">
        <f>ROUND(O66*P66,2)</f>
        <v>0</v>
      </c>
    </row>
    <row r="67" spans="1:17" x14ac:dyDescent="0.25">
      <c r="A67" s="193"/>
      <c r="B67" s="241" t="s">
        <v>260</v>
      </c>
      <c r="C67" s="233"/>
      <c r="D67" s="234"/>
      <c r="E67" s="168">
        <f>ROUND(SUM(E61:E64),2)</f>
        <v>0</v>
      </c>
      <c r="F67" s="165"/>
      <c r="G67" s="233"/>
      <c r="H67" s="234"/>
      <c r="I67" s="168">
        <f>ROUND(SUM(I61:I64),2)</f>
        <v>0</v>
      </c>
      <c r="J67" s="165"/>
      <c r="K67" s="233"/>
      <c r="L67" s="234"/>
      <c r="M67" s="168">
        <f>ROUND(SUM(M61:M64),2)</f>
        <v>0</v>
      </c>
      <c r="N67" s="165"/>
      <c r="O67" s="233"/>
      <c r="P67" s="234"/>
      <c r="Q67" s="168">
        <f>ROUND(SUM(Q61:Q64),2)</f>
        <v>0</v>
      </c>
    </row>
    <row r="68" spans="1:17" x14ac:dyDescent="0.25">
      <c r="A68" s="193"/>
      <c r="B68" s="241" t="s">
        <v>137</v>
      </c>
      <c r="C68" s="231"/>
      <c r="D68" s="235"/>
      <c r="E68" s="168">
        <f>ROUND(E65,2)</f>
        <v>0</v>
      </c>
      <c r="F68" s="165"/>
      <c r="G68" s="231"/>
      <c r="H68" s="235"/>
      <c r="I68" s="168">
        <f>ROUND(I65,2)</f>
        <v>0</v>
      </c>
      <c r="J68" s="165"/>
      <c r="K68" s="231"/>
      <c r="L68" s="235"/>
      <c r="M68" s="168">
        <f>ROUND(M65,2)</f>
        <v>0</v>
      </c>
      <c r="N68" s="165"/>
      <c r="O68" s="231"/>
      <c r="P68" s="235"/>
      <c r="Q68" s="168">
        <f>ROUND(Q65,2)</f>
        <v>0</v>
      </c>
    </row>
    <row r="69" spans="1:17" x14ac:dyDescent="0.2">
      <c r="A69" s="186"/>
      <c r="B69" s="241" t="s">
        <v>136</v>
      </c>
      <c r="C69" s="231"/>
      <c r="D69" s="235"/>
      <c r="E69" s="182">
        <f>ROUND(E66,2)</f>
        <v>0</v>
      </c>
      <c r="F69" s="183"/>
      <c r="G69" s="231"/>
      <c r="H69" s="235"/>
      <c r="I69" s="182">
        <f>ROUND(I66,2)</f>
        <v>0</v>
      </c>
      <c r="J69" s="183"/>
      <c r="K69" s="231"/>
      <c r="L69" s="235"/>
      <c r="M69" s="182">
        <f>ROUND(M66,2)</f>
        <v>0</v>
      </c>
      <c r="N69" s="183"/>
      <c r="O69" s="231"/>
      <c r="P69" s="235"/>
      <c r="Q69" s="182">
        <f>ROUND(Q66,2)</f>
        <v>0</v>
      </c>
    </row>
    <row r="70" spans="1:17" ht="16.5" thickBot="1" x14ac:dyDescent="0.25">
      <c r="A70" s="186"/>
      <c r="B70" s="242" t="s">
        <v>244</v>
      </c>
      <c r="C70" s="236"/>
      <c r="D70" s="237"/>
      <c r="E70" s="160">
        <f>ROUND(SUM(E67:E69),2)</f>
        <v>0</v>
      </c>
      <c r="F70" s="161"/>
      <c r="G70" s="236"/>
      <c r="H70" s="237"/>
      <c r="I70" s="160">
        <f>ROUND(SUM(I67:I69),2)</f>
        <v>0</v>
      </c>
      <c r="J70" s="161"/>
      <c r="K70" s="236"/>
      <c r="L70" s="237"/>
      <c r="M70" s="160">
        <f>ROUND(SUM(M67:M69),2)</f>
        <v>0</v>
      </c>
      <c r="N70" s="161"/>
      <c r="O70" s="236"/>
      <c r="P70" s="237"/>
      <c r="Q70" s="160">
        <f>ROUND(SUM(Q67:Q69),2)</f>
        <v>0</v>
      </c>
    </row>
    <row r="71" spans="1:17" ht="16.5" thickBot="1" x14ac:dyDescent="0.25">
      <c r="A71" s="186"/>
      <c r="B71" s="172"/>
      <c r="E71" s="251"/>
      <c r="F71" s="251"/>
      <c r="G71" s="251"/>
      <c r="H71" s="251"/>
      <c r="I71" s="251"/>
      <c r="J71" s="251"/>
      <c r="K71" s="251"/>
      <c r="N71" s="187"/>
      <c r="O71" s="251"/>
    </row>
    <row r="72" spans="1:17" ht="16.5" thickBot="1" x14ac:dyDescent="0.3">
      <c r="A72" s="186"/>
      <c r="B72" s="628" t="str">
        <f>B58</f>
        <v>CLIN 0001 (CPIF)                                                    TASK 1.07 MATERIAL - DEVELOPMENTAL SPARES</v>
      </c>
      <c r="C72" s="614" t="s">
        <v>319</v>
      </c>
      <c r="D72" s="615"/>
      <c r="E72" s="616"/>
      <c r="F72" s="175"/>
      <c r="G72" s="614" t="s">
        <v>319</v>
      </c>
      <c r="H72" s="615"/>
      <c r="I72" s="616"/>
      <c r="J72" s="175"/>
      <c r="K72" s="614" t="s">
        <v>319</v>
      </c>
      <c r="L72" s="615"/>
      <c r="M72" s="616"/>
      <c r="N72" s="175"/>
      <c r="O72" s="614" t="s">
        <v>319</v>
      </c>
      <c r="P72" s="615"/>
      <c r="Q72" s="616"/>
    </row>
    <row r="73" spans="1:17" ht="33.75" customHeight="1" thickBot="1" x14ac:dyDescent="0.3">
      <c r="A73" s="186"/>
      <c r="B73" s="629"/>
      <c r="C73" s="280"/>
      <c r="D73" s="281"/>
      <c r="E73" s="188" t="s">
        <v>294</v>
      </c>
      <c r="F73" s="189"/>
      <c r="G73" s="280"/>
      <c r="H73" s="281"/>
      <c r="I73" s="188" t="s">
        <v>295</v>
      </c>
      <c r="J73" s="189"/>
      <c r="K73" s="280"/>
      <c r="L73" s="281"/>
      <c r="M73" s="188" t="s">
        <v>297</v>
      </c>
      <c r="N73" s="189"/>
      <c r="O73" s="280"/>
      <c r="P73" s="281"/>
      <c r="Q73" s="188" t="s">
        <v>296</v>
      </c>
    </row>
    <row r="74" spans="1:17" x14ac:dyDescent="0.2">
      <c r="A74" s="186"/>
      <c r="B74" s="167" t="s">
        <v>261</v>
      </c>
      <c r="C74" s="282"/>
      <c r="D74" s="282"/>
      <c r="E74" s="190">
        <f>+ROUND(E25+E39+E53+E67,2)</f>
        <v>0</v>
      </c>
      <c r="F74" s="165"/>
      <c r="G74" s="282"/>
      <c r="H74" s="282"/>
      <c r="I74" s="190">
        <f>+ROUND(I25+I39+I53+I67,2)</f>
        <v>0</v>
      </c>
      <c r="J74" s="165"/>
      <c r="K74" s="282"/>
      <c r="L74" s="282"/>
      <c r="M74" s="190">
        <f>+ROUND(M25+M39+M53+M67,2)</f>
        <v>0</v>
      </c>
      <c r="N74" s="165"/>
      <c r="O74" s="282"/>
      <c r="P74" s="282"/>
      <c r="Q74" s="190">
        <f>+ROUND(Q25+Q39+Q53+Q67,2)</f>
        <v>0</v>
      </c>
    </row>
    <row r="75" spans="1:17" x14ac:dyDescent="0.2">
      <c r="A75" s="186"/>
      <c r="B75" s="167" t="s">
        <v>137</v>
      </c>
      <c r="C75" s="282"/>
      <c r="D75" s="282"/>
      <c r="E75" s="168">
        <f>+ROUND(E26+E40+E54+E68,2)</f>
        <v>0</v>
      </c>
      <c r="F75" s="165"/>
      <c r="G75" s="282"/>
      <c r="H75" s="282"/>
      <c r="I75" s="168">
        <f>+ROUND(I26+I40+I54+I68,2)</f>
        <v>0</v>
      </c>
      <c r="J75" s="165"/>
      <c r="K75" s="282"/>
      <c r="L75" s="282"/>
      <c r="M75" s="168">
        <f>+ROUND(M26+M40+M54+M68,2)</f>
        <v>0</v>
      </c>
      <c r="N75" s="165"/>
      <c r="O75" s="282"/>
      <c r="P75" s="282"/>
      <c r="Q75" s="168">
        <f>+ROUND(Q26+Q40+Q54+Q68,2)</f>
        <v>0</v>
      </c>
    </row>
    <row r="76" spans="1:17" x14ac:dyDescent="0.2">
      <c r="A76" s="186"/>
      <c r="B76" s="167" t="s">
        <v>136</v>
      </c>
      <c r="C76" s="282"/>
      <c r="D76" s="282"/>
      <c r="E76" s="169">
        <f>+ROUND(E27+E41+E55+E69,2)</f>
        <v>0</v>
      </c>
      <c r="F76" s="170"/>
      <c r="G76" s="282"/>
      <c r="H76" s="282"/>
      <c r="I76" s="169">
        <f>+ROUND(I27+I41+I55+I69,2)</f>
        <v>0</v>
      </c>
      <c r="J76" s="170"/>
      <c r="K76" s="282"/>
      <c r="L76" s="282"/>
      <c r="M76" s="169">
        <f>+ROUND(M27+M41+M55+M69,2)</f>
        <v>0</v>
      </c>
      <c r="N76" s="170"/>
      <c r="O76" s="282"/>
      <c r="P76" s="282"/>
      <c r="Q76" s="169">
        <f>+ROUND(Q27+Q41+Q55+Q69,2)</f>
        <v>0</v>
      </c>
    </row>
    <row r="77" spans="1:17" ht="32.25" thickBot="1" x14ac:dyDescent="0.3">
      <c r="A77" s="186"/>
      <c r="B77" s="267" t="s">
        <v>497</v>
      </c>
      <c r="C77" s="283"/>
      <c r="D77" s="283"/>
      <c r="E77" s="266">
        <f>SUM(E74:E76)</f>
        <v>0</v>
      </c>
      <c r="F77" s="171"/>
      <c r="G77" s="283"/>
      <c r="H77" s="283"/>
      <c r="I77" s="266">
        <f>SUM(I74:I76)</f>
        <v>0</v>
      </c>
      <c r="J77" s="171"/>
      <c r="K77" s="283"/>
      <c r="L77" s="283"/>
      <c r="M77" s="266">
        <f>SUM(M74:M76)</f>
        <v>0</v>
      </c>
      <c r="N77" s="171"/>
      <c r="O77" s="283"/>
      <c r="P77" s="283"/>
      <c r="Q77" s="266">
        <f>SUM(Q74:Q76)</f>
        <v>0</v>
      </c>
    </row>
    <row r="78" spans="1:17" ht="16.5" thickBot="1" x14ac:dyDescent="0.3"/>
    <row r="79" spans="1:17" ht="31.5" x14ac:dyDescent="0.25">
      <c r="Q79" s="411" t="s">
        <v>498</v>
      </c>
    </row>
    <row r="80" spans="1:17" ht="16.5" thickBot="1" x14ac:dyDescent="0.3">
      <c r="Q80" s="410">
        <f>E77+I77+M77+Q77</f>
        <v>0</v>
      </c>
    </row>
  </sheetData>
  <mergeCells count="46">
    <mergeCell ref="C48:E48"/>
    <mergeCell ref="G48:I48"/>
    <mergeCell ref="K48:M48"/>
    <mergeCell ref="O48:Q48"/>
    <mergeCell ref="B44:B45"/>
    <mergeCell ref="C44:E44"/>
    <mergeCell ref="G44:I44"/>
    <mergeCell ref="K44:M44"/>
    <mergeCell ref="O44:Q44"/>
    <mergeCell ref="C45:E45"/>
    <mergeCell ref="G45:I45"/>
    <mergeCell ref="K45:M45"/>
    <mergeCell ref="O45:Q45"/>
    <mergeCell ref="O59:Q59"/>
    <mergeCell ref="O72:Q72"/>
    <mergeCell ref="O13:Q13"/>
    <mergeCell ref="O14:Q14"/>
    <mergeCell ref="O30:Q30"/>
    <mergeCell ref="O31:Q31"/>
    <mergeCell ref="O58:Q58"/>
    <mergeCell ref="C14:E14"/>
    <mergeCell ref="G14:I14"/>
    <mergeCell ref="K14:M14"/>
    <mergeCell ref="A3:C3"/>
    <mergeCell ref="B13:B14"/>
    <mergeCell ref="C13:E13"/>
    <mergeCell ref="G13:I13"/>
    <mergeCell ref="K13:M13"/>
    <mergeCell ref="B30:B31"/>
    <mergeCell ref="C30:E30"/>
    <mergeCell ref="G30:I30"/>
    <mergeCell ref="K30:M30"/>
    <mergeCell ref="C31:E31"/>
    <mergeCell ref="G31:I31"/>
    <mergeCell ref="K31:M31"/>
    <mergeCell ref="B58:B59"/>
    <mergeCell ref="C58:E58"/>
    <mergeCell ref="G58:I58"/>
    <mergeCell ref="K58:M58"/>
    <mergeCell ref="B72:B73"/>
    <mergeCell ref="C72:E72"/>
    <mergeCell ref="G72:I72"/>
    <mergeCell ref="K72:M72"/>
    <mergeCell ref="C59:E59"/>
    <mergeCell ref="G59:I59"/>
    <mergeCell ref="K59:M59"/>
  </mergeCells>
  <pageMargins left="0.7" right="0.7" top="0.75" bottom="0.75" header="0.3" footer="0.3"/>
  <pageSetup orientation="portrait" horizontalDpi="1200" verticalDpi="1200"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2936F9-E236-4A70-9E5D-BD9BB648AC23}">
  <sheetPr>
    <tabColor theme="0"/>
  </sheetPr>
  <dimension ref="A1:Q80"/>
  <sheetViews>
    <sheetView zoomScale="80" zoomScaleNormal="80" workbookViewId="0">
      <pane ySplit="11" topLeftCell="A12" activePane="bottomLeft" state="frozen"/>
      <selection pane="bottomLeft" activeCell="P65" sqref="P65"/>
    </sheetView>
    <sheetView workbookViewId="1"/>
  </sheetViews>
  <sheetFormatPr defaultColWidth="15.85546875" defaultRowHeight="15.75" x14ac:dyDescent="0.25"/>
  <cols>
    <col min="1" max="1" width="3.42578125" style="191" customWidth="1"/>
    <col min="2" max="2" width="49.140625" style="174" customWidth="1"/>
    <col min="3" max="3" width="18.28515625" style="186" bestFit="1" customWidth="1"/>
    <col min="4" max="4" width="12.42578125" style="186" bestFit="1" customWidth="1"/>
    <col min="5" max="5" width="32.140625" style="186" bestFit="1" customWidth="1"/>
    <col min="6" max="6" width="1" style="186" customWidth="1"/>
    <col min="7" max="7" width="14.28515625" style="186" customWidth="1"/>
    <col min="8" max="8" width="14.5703125" style="186" customWidth="1"/>
    <col min="9" max="9" width="33.28515625" style="186" customWidth="1"/>
    <col min="10" max="10" width="1" style="186" customWidth="1"/>
    <col min="11" max="11" width="16.7109375" style="186" customWidth="1"/>
    <col min="12" max="12" width="16.28515625" style="186" customWidth="1"/>
    <col min="13" max="13" width="34.5703125" style="186" customWidth="1"/>
    <col min="14" max="14" width="0.85546875" style="186" customWidth="1"/>
    <col min="15" max="15" width="12.85546875" style="186" bestFit="1" customWidth="1"/>
    <col min="16" max="16" width="12.42578125" style="186" bestFit="1" customWidth="1"/>
    <col min="17" max="17" width="34" style="186" bestFit="1" customWidth="1"/>
    <col min="18" max="16384" width="15.85546875" style="186"/>
  </cols>
  <sheetData>
    <row r="1" spans="1:17" ht="16.5" thickBot="1" x14ac:dyDescent="0.3">
      <c r="B1" s="126" t="s">
        <v>626</v>
      </c>
      <c r="C1" s="494" t="str">
        <f>'FFP CLINs X007-X021'!B1</f>
        <v>NAME</v>
      </c>
    </row>
    <row r="2" spans="1:17" ht="16.5" thickBot="1" x14ac:dyDescent="0.3"/>
    <row r="3" spans="1:17" ht="52.5" customHeight="1" thickBot="1" x14ac:dyDescent="0.3">
      <c r="A3" s="557" t="s">
        <v>303</v>
      </c>
      <c r="B3" s="558"/>
      <c r="C3" s="559"/>
      <c r="I3" s="251" t="s">
        <v>149</v>
      </c>
    </row>
    <row r="5" spans="1:17" s="259" customFormat="1" ht="17.25" customHeight="1" x14ac:dyDescent="0.2">
      <c r="A5" s="260"/>
      <c r="B5" s="261" t="s">
        <v>130</v>
      </c>
    </row>
    <row r="6" spans="1:17" s="259" customFormat="1" x14ac:dyDescent="0.25">
      <c r="A6" s="258"/>
      <c r="B6" s="258" t="s">
        <v>606</v>
      </c>
    </row>
    <row r="7" spans="1:17" s="259" customFormat="1" x14ac:dyDescent="0.25">
      <c r="A7" s="258"/>
      <c r="B7" s="258" t="s">
        <v>390</v>
      </c>
    </row>
    <row r="8" spans="1:17" s="259" customFormat="1" x14ac:dyDescent="0.25">
      <c r="A8" s="258"/>
      <c r="B8" s="258" t="s">
        <v>607</v>
      </c>
    </row>
    <row r="9" spans="1:17" s="259" customFormat="1" x14ac:dyDescent="0.25">
      <c r="A9" s="258"/>
      <c r="B9" s="258" t="s">
        <v>608</v>
      </c>
    </row>
    <row r="10" spans="1:17" x14ac:dyDescent="0.25">
      <c r="A10" s="192"/>
      <c r="B10" s="258" t="s">
        <v>609</v>
      </c>
      <c r="C10" s="194"/>
    </row>
    <row r="11" spans="1:17" x14ac:dyDescent="0.25">
      <c r="A11" s="192"/>
      <c r="B11" s="258" t="s">
        <v>499</v>
      </c>
      <c r="C11" s="194"/>
    </row>
    <row r="12" spans="1:17" ht="16.5" thickBot="1" x14ac:dyDescent="0.3"/>
    <row r="13" spans="1:17" ht="16.5" thickBot="1" x14ac:dyDescent="0.3">
      <c r="A13" s="193"/>
      <c r="B13" s="620" t="s">
        <v>500</v>
      </c>
      <c r="C13" s="594" t="s">
        <v>134</v>
      </c>
      <c r="D13" s="595"/>
      <c r="E13" s="596"/>
      <c r="F13" s="151"/>
      <c r="G13" s="594" t="s">
        <v>134</v>
      </c>
      <c r="H13" s="595"/>
      <c r="I13" s="596"/>
      <c r="J13" s="151"/>
      <c r="K13" s="594" t="s">
        <v>134</v>
      </c>
      <c r="L13" s="595"/>
      <c r="M13" s="596"/>
      <c r="N13" s="151"/>
      <c r="O13" s="594" t="s">
        <v>134</v>
      </c>
      <c r="P13" s="595"/>
      <c r="Q13" s="596"/>
    </row>
    <row r="14" spans="1:17" ht="32.25" customHeight="1" thickBot="1" x14ac:dyDescent="0.3">
      <c r="A14" s="193"/>
      <c r="B14" s="621"/>
      <c r="C14" s="617" t="s">
        <v>299</v>
      </c>
      <c r="D14" s="618"/>
      <c r="E14" s="619"/>
      <c r="F14" s="152"/>
      <c r="G14" s="617" t="s">
        <v>300</v>
      </c>
      <c r="H14" s="618"/>
      <c r="I14" s="619"/>
      <c r="J14" s="152"/>
      <c r="K14" s="617" t="s">
        <v>301</v>
      </c>
      <c r="L14" s="618"/>
      <c r="M14" s="619"/>
      <c r="N14" s="152"/>
      <c r="O14" s="617" t="s">
        <v>302</v>
      </c>
      <c r="P14" s="618"/>
      <c r="Q14" s="619"/>
    </row>
    <row r="15" spans="1:17" x14ac:dyDescent="0.25">
      <c r="A15" s="193"/>
      <c r="B15" s="153" t="s">
        <v>110</v>
      </c>
      <c r="C15" s="153" t="s">
        <v>91</v>
      </c>
      <c r="D15" s="154" t="s">
        <v>133</v>
      </c>
      <c r="E15" s="155" t="s">
        <v>139</v>
      </c>
      <c r="F15" s="156"/>
      <c r="G15" s="153" t="s">
        <v>91</v>
      </c>
      <c r="H15" s="154" t="s">
        <v>133</v>
      </c>
      <c r="I15" s="155" t="s">
        <v>139</v>
      </c>
      <c r="J15" s="156"/>
      <c r="K15" s="153" t="s">
        <v>91</v>
      </c>
      <c r="L15" s="154" t="s">
        <v>133</v>
      </c>
      <c r="M15" s="155" t="s">
        <v>139</v>
      </c>
      <c r="N15" s="156"/>
      <c r="O15" s="153" t="s">
        <v>91</v>
      </c>
      <c r="P15" s="154" t="s">
        <v>133</v>
      </c>
      <c r="Q15" s="155" t="s">
        <v>139</v>
      </c>
    </row>
    <row r="16" spans="1:17" ht="30" customHeight="1" thickBot="1" x14ac:dyDescent="0.3">
      <c r="A16" s="193"/>
      <c r="B16" s="203" t="s">
        <v>558</v>
      </c>
      <c r="C16" s="289"/>
      <c r="D16" s="290"/>
      <c r="E16" s="291"/>
      <c r="F16" s="156"/>
      <c r="G16" s="289"/>
      <c r="H16" s="290"/>
      <c r="I16" s="291"/>
      <c r="J16" s="156"/>
      <c r="K16" s="289"/>
      <c r="L16" s="290"/>
      <c r="M16" s="291"/>
      <c r="N16" s="156"/>
      <c r="O16" s="289"/>
      <c r="P16" s="290"/>
      <c r="Q16" s="291"/>
    </row>
    <row r="17" spans="1:17" ht="16.5" thickBot="1" x14ac:dyDescent="0.3">
      <c r="A17" s="193"/>
      <c r="B17" s="299" t="s">
        <v>151</v>
      </c>
      <c r="C17" s="163">
        <f>'PRIME CPIF LABOR INPUTS'!D175</f>
        <v>0</v>
      </c>
      <c r="D17" s="205"/>
      <c r="E17" s="164">
        <f>'PRIME CPIF LABOR INPUTS'!F175</f>
        <v>0</v>
      </c>
      <c r="F17" s="165"/>
      <c r="G17" s="163">
        <f>'PRIME CPIF LABOR INPUTS'!H175</f>
        <v>0</v>
      </c>
      <c r="H17" s="205"/>
      <c r="I17" s="164">
        <f>'PRIME CPIF LABOR INPUTS'!J175</f>
        <v>0</v>
      </c>
      <c r="J17" s="165"/>
      <c r="K17" s="163">
        <f>'PRIME CPIF LABOR INPUTS'!L175</f>
        <v>0</v>
      </c>
      <c r="L17" s="205"/>
      <c r="M17" s="164">
        <f>'PRIME CPIF LABOR INPUTS'!N175</f>
        <v>0</v>
      </c>
      <c r="N17" s="165"/>
      <c r="O17" s="163">
        <f>'PRIME CPIF LABOR INPUTS'!P175</f>
        <v>0</v>
      </c>
      <c r="P17" s="205"/>
      <c r="Q17" s="164">
        <f>'PRIME CPIF LABOR INPUTS'!R175</f>
        <v>0</v>
      </c>
    </row>
    <row r="18" spans="1:17" x14ac:dyDescent="0.25">
      <c r="A18" s="193"/>
      <c r="B18" s="204"/>
      <c r="C18" s="153" t="s">
        <v>399</v>
      </c>
      <c r="D18" s="154" t="s">
        <v>396</v>
      </c>
      <c r="E18" s="155" t="s">
        <v>398</v>
      </c>
      <c r="F18" s="166"/>
      <c r="G18" s="153" t="s">
        <v>399</v>
      </c>
      <c r="H18" s="154" t="s">
        <v>396</v>
      </c>
      <c r="I18" s="155" t="s">
        <v>398</v>
      </c>
      <c r="J18" s="166"/>
      <c r="K18" s="153" t="s">
        <v>399</v>
      </c>
      <c r="L18" s="154" t="s">
        <v>396</v>
      </c>
      <c r="M18" s="155" t="s">
        <v>398</v>
      </c>
      <c r="N18" s="166"/>
      <c r="O18" s="153" t="s">
        <v>399</v>
      </c>
      <c r="P18" s="154" t="s">
        <v>396</v>
      </c>
      <c r="Q18" s="155" t="s">
        <v>398</v>
      </c>
    </row>
    <row r="19" spans="1:17" ht="69" customHeight="1" x14ac:dyDescent="0.25">
      <c r="A19" s="193"/>
      <c r="B19" s="344" t="s">
        <v>611</v>
      </c>
      <c r="C19" s="289"/>
      <c r="D19" s="290"/>
      <c r="E19" s="291"/>
      <c r="F19" s="202"/>
      <c r="G19" s="289"/>
      <c r="H19" s="290"/>
      <c r="I19" s="291"/>
      <c r="J19" s="202"/>
      <c r="K19" s="289"/>
      <c r="L19" s="290"/>
      <c r="M19" s="291"/>
      <c r="N19" s="202"/>
      <c r="O19" s="289"/>
      <c r="P19" s="290"/>
      <c r="Q19" s="291"/>
    </row>
    <row r="20" spans="1:17" x14ac:dyDescent="0.25">
      <c r="A20" s="193"/>
      <c r="B20" s="167" t="str">
        <f>'PRIME CPIF RATES (ALL)'!B35</f>
        <v>Indirect Labor Category:  [Labor Fringe]</v>
      </c>
      <c r="C20" s="215">
        <f>+E17</f>
        <v>0</v>
      </c>
      <c r="D20" s="243">
        <f>'PRIME CPIF RATES (ALL)'!C35</f>
        <v>0</v>
      </c>
      <c r="E20" s="168">
        <f>ROUND(C20*D20,2)</f>
        <v>0</v>
      </c>
      <c r="F20" s="165"/>
      <c r="G20" s="215">
        <f>+I17</f>
        <v>0</v>
      </c>
      <c r="H20" s="243">
        <f>'PRIME CPIF RATES (ALL)'!D35</f>
        <v>0</v>
      </c>
      <c r="I20" s="168">
        <f>ROUND(G20*H20,2)</f>
        <v>0</v>
      </c>
      <c r="J20" s="165"/>
      <c r="K20" s="215">
        <f>+M17</f>
        <v>0</v>
      </c>
      <c r="L20" s="243">
        <f>'PRIME CPIF RATES (ALL)'!E35</f>
        <v>0</v>
      </c>
      <c r="M20" s="168">
        <f>ROUND(K20*L20,2)</f>
        <v>0</v>
      </c>
      <c r="N20" s="165"/>
      <c r="O20" s="215">
        <f>+Q17</f>
        <v>0</v>
      </c>
      <c r="P20" s="243">
        <f>'PRIME CPIF RATES (ALL)'!F35</f>
        <v>0</v>
      </c>
      <c r="Q20" s="168">
        <f>ROUND(O20*P20,2)</f>
        <v>0</v>
      </c>
    </row>
    <row r="21" spans="1:17" x14ac:dyDescent="0.25">
      <c r="A21" s="193"/>
      <c r="B21" s="167" t="str">
        <f>'PRIME CPIF RATES (ALL)'!B36</f>
        <v>Indirect Labor Category: [Labor Overhead]</v>
      </c>
      <c r="C21" s="215">
        <f>+C20+E20</f>
        <v>0</v>
      </c>
      <c r="D21" s="243">
        <f>'PRIME CPIF RATES (ALL)'!C36</f>
        <v>0</v>
      </c>
      <c r="E21" s="168">
        <f>ROUND(C21*D21,2)</f>
        <v>0</v>
      </c>
      <c r="F21" s="165"/>
      <c r="G21" s="215">
        <f>+G20+I20</f>
        <v>0</v>
      </c>
      <c r="H21" s="243">
        <f>'PRIME CPIF RATES (ALL)'!D36</f>
        <v>0</v>
      </c>
      <c r="I21" s="168">
        <f>ROUND(G21*H21,2)</f>
        <v>0</v>
      </c>
      <c r="J21" s="165"/>
      <c r="K21" s="215">
        <f>+K20+M20</f>
        <v>0</v>
      </c>
      <c r="L21" s="243">
        <f>'PRIME CPIF RATES (ALL)'!E36</f>
        <v>0</v>
      </c>
      <c r="M21" s="168">
        <f>ROUND(K21*L21,2)</f>
        <v>0</v>
      </c>
      <c r="N21" s="165"/>
      <c r="O21" s="215">
        <f>+O20+Q20</f>
        <v>0</v>
      </c>
      <c r="P21" s="243">
        <f>'PRIME CPIF RATES (ALL)'!F36</f>
        <v>0</v>
      </c>
      <c r="Q21" s="168">
        <f>ROUND(O21*P21,2)</f>
        <v>0</v>
      </c>
    </row>
    <row r="22" spans="1:17" x14ac:dyDescent="0.25">
      <c r="A22" s="193"/>
      <c r="B22" s="167" t="str">
        <f>'PRIME CPIF RATES (ALL)'!B37</f>
        <v>Indirect Labor Category: [G&amp;A]</v>
      </c>
      <c r="C22" s="215">
        <f>+C21+E21</f>
        <v>0</v>
      </c>
      <c r="D22" s="243">
        <f>'PRIME CPIF RATES (ALL)'!C37</f>
        <v>0</v>
      </c>
      <c r="E22" s="168">
        <f>ROUND(C22*D22,2)</f>
        <v>0</v>
      </c>
      <c r="F22" s="165"/>
      <c r="G22" s="215">
        <f>+G21+I21</f>
        <v>0</v>
      </c>
      <c r="H22" s="243">
        <f>'PRIME CPIF RATES (ALL)'!D37</f>
        <v>0</v>
      </c>
      <c r="I22" s="168">
        <f>ROUND(G22*H22,2)</f>
        <v>0</v>
      </c>
      <c r="J22" s="165"/>
      <c r="K22" s="215">
        <f>+K21+M21</f>
        <v>0</v>
      </c>
      <c r="L22" s="243">
        <f>'PRIME CPIF RATES (ALL)'!E37</f>
        <v>0</v>
      </c>
      <c r="M22" s="168">
        <f>ROUND(K22*L22,2)</f>
        <v>0</v>
      </c>
      <c r="N22" s="165"/>
      <c r="O22" s="215">
        <f>+O21+Q21</f>
        <v>0</v>
      </c>
      <c r="P22" s="243">
        <f>'PRIME CPIF RATES (ALL)'!F37</f>
        <v>0</v>
      </c>
      <c r="Q22" s="168">
        <f>ROUND(O22*P22,2)</f>
        <v>0</v>
      </c>
    </row>
    <row r="23" spans="1:17" x14ac:dyDescent="0.25">
      <c r="A23" s="193"/>
      <c r="B23" s="167" t="str">
        <f>'PRIME CPIF RATES (ALL)'!B38</f>
        <v>Indirect Labor Category: [FCCOM]</v>
      </c>
      <c r="C23" s="215">
        <f>C22+E22</f>
        <v>0</v>
      </c>
      <c r="D23" s="243">
        <f>'PRIME CPIF RATES (ALL)'!C38</f>
        <v>0</v>
      </c>
      <c r="E23" s="168">
        <f>ROUND(C23*D23,2)</f>
        <v>0</v>
      </c>
      <c r="F23" s="165"/>
      <c r="G23" s="215">
        <f>G22+I22</f>
        <v>0</v>
      </c>
      <c r="H23" s="243">
        <f>'PRIME CPIF RATES (ALL)'!D38</f>
        <v>0</v>
      </c>
      <c r="I23" s="168">
        <f>ROUND(G23*H23,2)</f>
        <v>0</v>
      </c>
      <c r="J23" s="165"/>
      <c r="K23" s="215">
        <f>K22+M22</f>
        <v>0</v>
      </c>
      <c r="L23" s="243">
        <f>'PRIME CPIF RATES (ALL)'!E38</f>
        <v>0</v>
      </c>
      <c r="M23" s="168">
        <f>ROUND(K23*L23,2)</f>
        <v>0</v>
      </c>
      <c r="N23" s="165"/>
      <c r="O23" s="215">
        <f>O22+Q22</f>
        <v>0</v>
      </c>
      <c r="P23" s="243">
        <f>'PRIME CPIF RATES (ALL)'!F38</f>
        <v>0</v>
      </c>
      <c r="Q23" s="168">
        <f>ROUND(O23*P23,2)</f>
        <v>0</v>
      </c>
    </row>
    <row r="24" spans="1:17" x14ac:dyDescent="0.25">
      <c r="A24" s="193"/>
      <c r="B24" s="167" t="str">
        <f>'PRIME CPIF RATES (ALL)'!B39</f>
        <v>Indirect Labor Category: [Target Fee]</v>
      </c>
      <c r="C24" s="215">
        <f>+C22+E22</f>
        <v>0</v>
      </c>
      <c r="D24" s="243">
        <f>'PRIME CPIF RATES (ALL)'!C39</f>
        <v>0</v>
      </c>
      <c r="E24" s="168">
        <f>ROUND(C24*D24,2)</f>
        <v>0</v>
      </c>
      <c r="F24" s="165"/>
      <c r="G24" s="215">
        <f>+G22+I22</f>
        <v>0</v>
      </c>
      <c r="H24" s="243">
        <f>'PRIME CPIF RATES (ALL)'!D39</f>
        <v>0</v>
      </c>
      <c r="I24" s="168">
        <f>ROUND(G24*H24,2)</f>
        <v>0</v>
      </c>
      <c r="J24" s="165"/>
      <c r="K24" s="215">
        <f>+K22+M22</f>
        <v>0</v>
      </c>
      <c r="L24" s="243">
        <f>'PRIME CPIF RATES (ALL)'!E39</f>
        <v>0</v>
      </c>
      <c r="M24" s="168">
        <f>ROUND(K24*L24,2)</f>
        <v>0</v>
      </c>
      <c r="N24" s="165"/>
      <c r="O24" s="215">
        <f>+O22+Q22</f>
        <v>0</v>
      </c>
      <c r="P24" s="243">
        <f>'PRIME CPIF RATES (ALL)'!F39</f>
        <v>0</v>
      </c>
      <c r="Q24" s="168">
        <f>ROUND(O24*P24,2)</f>
        <v>0</v>
      </c>
    </row>
    <row r="25" spans="1:17" x14ac:dyDescent="0.25">
      <c r="A25" s="193"/>
      <c r="B25" s="262" t="s">
        <v>258</v>
      </c>
      <c r="C25" s="210"/>
      <c r="D25" s="211"/>
      <c r="E25" s="230">
        <f>ROUND(SUM(E17,E20,E21,E22),2)</f>
        <v>0</v>
      </c>
      <c r="F25" s="165"/>
      <c r="G25" s="206"/>
      <c r="H25" s="207"/>
      <c r="I25" s="230">
        <f>ROUND(SUM(I17,I20,I21,I22),2)</f>
        <v>0</v>
      </c>
      <c r="J25" s="165"/>
      <c r="K25" s="206"/>
      <c r="L25" s="207"/>
      <c r="M25" s="230">
        <f>ROUND(SUM(M17,M20,M21,M22),2)</f>
        <v>0</v>
      </c>
      <c r="N25" s="165"/>
      <c r="O25" s="206"/>
      <c r="P25" s="207"/>
      <c r="Q25" s="230">
        <f>ROUND(SUM(Q17,Q20,Q21,Q22),2)</f>
        <v>0</v>
      </c>
    </row>
    <row r="26" spans="1:17" x14ac:dyDescent="0.25">
      <c r="A26" s="193"/>
      <c r="B26" s="262" t="s">
        <v>137</v>
      </c>
      <c r="C26" s="210"/>
      <c r="D26" s="211"/>
      <c r="E26" s="230">
        <f>ROUND(E23,2)</f>
        <v>0</v>
      </c>
      <c r="F26" s="165"/>
      <c r="G26" s="206"/>
      <c r="H26" s="207"/>
      <c r="I26" s="230">
        <f>ROUND(I23,2)</f>
        <v>0</v>
      </c>
      <c r="J26" s="165"/>
      <c r="K26" s="206"/>
      <c r="L26" s="207"/>
      <c r="M26" s="230">
        <f>ROUND(M23,2)</f>
        <v>0</v>
      </c>
      <c r="N26" s="165"/>
      <c r="O26" s="206"/>
      <c r="P26" s="207"/>
      <c r="Q26" s="230">
        <f>ROUND(Q23,2)</f>
        <v>0</v>
      </c>
    </row>
    <row r="27" spans="1:17" x14ac:dyDescent="0.25">
      <c r="A27" s="193"/>
      <c r="B27" s="262" t="s">
        <v>136</v>
      </c>
      <c r="C27" s="210"/>
      <c r="D27" s="211"/>
      <c r="E27" s="245">
        <f>ROUND(E24,2)</f>
        <v>0</v>
      </c>
      <c r="F27" s="170"/>
      <c r="G27" s="206"/>
      <c r="H27" s="207"/>
      <c r="I27" s="245">
        <f>ROUND(I24,2)</f>
        <v>0</v>
      </c>
      <c r="J27" s="170"/>
      <c r="K27" s="206"/>
      <c r="L27" s="207"/>
      <c r="M27" s="245">
        <f>ROUND(M24,2)</f>
        <v>0</v>
      </c>
      <c r="N27" s="170"/>
      <c r="O27" s="206"/>
      <c r="P27" s="207"/>
      <c r="Q27" s="245">
        <f>ROUND(Q24,2)</f>
        <v>0</v>
      </c>
    </row>
    <row r="28" spans="1:17" ht="16.5" thickBot="1" x14ac:dyDescent="0.3">
      <c r="A28" s="193"/>
      <c r="B28" s="263" t="s">
        <v>138</v>
      </c>
      <c r="C28" s="212"/>
      <c r="D28" s="213"/>
      <c r="E28" s="246">
        <f>ROUND(SUM(E25:E27),2)</f>
        <v>0</v>
      </c>
      <c r="F28" s="171"/>
      <c r="G28" s="208"/>
      <c r="H28" s="209"/>
      <c r="I28" s="246">
        <f>ROUND(SUM(I25:I27),2)</f>
        <v>0</v>
      </c>
      <c r="J28" s="171"/>
      <c r="K28" s="208"/>
      <c r="L28" s="209"/>
      <c r="M28" s="246">
        <f>ROUND(SUM(M25:M27),2)</f>
        <v>0</v>
      </c>
      <c r="N28" s="171"/>
      <c r="O28" s="208"/>
      <c r="P28" s="209"/>
      <c r="Q28" s="246">
        <f>ROUND(SUM(Q25:Q27),2)</f>
        <v>0</v>
      </c>
    </row>
    <row r="29" spans="1:17" ht="16.5" thickBot="1" x14ac:dyDescent="0.3">
      <c r="A29" s="193"/>
      <c r="B29" s="172"/>
      <c r="C29" s="173"/>
      <c r="D29" s="173"/>
      <c r="E29" s="256"/>
      <c r="F29" s="256"/>
      <c r="G29" s="256"/>
      <c r="H29" s="256"/>
      <c r="I29" s="256"/>
      <c r="J29" s="256"/>
      <c r="K29" s="256"/>
      <c r="L29" s="173"/>
      <c r="M29" s="173"/>
      <c r="N29" s="165"/>
      <c r="O29" s="256"/>
      <c r="P29" s="173"/>
      <c r="Q29" s="173"/>
    </row>
    <row r="30" spans="1:17" ht="16.5" customHeight="1" thickBot="1" x14ac:dyDescent="0.3">
      <c r="A30" s="193"/>
      <c r="B30" s="620" t="str">
        <f>B13</f>
        <v>CLIN 0001 (CPIF)                                                    TASK 1.08 BLACK LABEL HARDWARE &amp; SOFTWARE CERTIFICATION</v>
      </c>
      <c r="C30" s="594" t="s">
        <v>145</v>
      </c>
      <c r="D30" s="595"/>
      <c r="E30" s="596"/>
      <c r="F30" s="175"/>
      <c r="G30" s="594" t="s">
        <v>145</v>
      </c>
      <c r="H30" s="595"/>
      <c r="I30" s="596"/>
      <c r="J30" s="175"/>
      <c r="K30" s="594" t="s">
        <v>145</v>
      </c>
      <c r="L30" s="595"/>
      <c r="M30" s="596"/>
      <c r="N30" s="175"/>
      <c r="O30" s="594" t="s">
        <v>145</v>
      </c>
      <c r="P30" s="595"/>
      <c r="Q30" s="596"/>
    </row>
    <row r="31" spans="1:17" ht="32.25" customHeight="1" thickBot="1" x14ac:dyDescent="0.3">
      <c r="A31" s="193"/>
      <c r="B31" s="621"/>
      <c r="C31" s="617" t="str">
        <f>C14</f>
        <v>CLIN 0001 - Basic Period (Year 1)</v>
      </c>
      <c r="D31" s="618"/>
      <c r="E31" s="619"/>
      <c r="F31" s="176"/>
      <c r="G31" s="617" t="str">
        <f>G14</f>
        <v>CLIN 0001 - Basic Period (Year 2)</v>
      </c>
      <c r="H31" s="618"/>
      <c r="I31" s="619"/>
      <c r="J31" s="176"/>
      <c r="K31" s="617" t="str">
        <f>K14</f>
        <v>CLIN 0001 - Basic Period (Year 3)</v>
      </c>
      <c r="L31" s="618"/>
      <c r="M31" s="619"/>
      <c r="N31" s="176"/>
      <c r="O31" s="617" t="str">
        <f>O14</f>
        <v>CLIN 0001 - Basic Period (Year 4)</v>
      </c>
      <c r="P31" s="618"/>
      <c r="Q31" s="619"/>
    </row>
    <row r="32" spans="1:17" x14ac:dyDescent="0.25">
      <c r="A32" s="193"/>
      <c r="B32" s="247"/>
      <c r="C32" s="153" t="s">
        <v>399</v>
      </c>
      <c r="D32" s="154" t="s">
        <v>396</v>
      </c>
      <c r="E32" s="155" t="s">
        <v>152</v>
      </c>
      <c r="F32" s="166"/>
      <c r="G32" s="153" t="s">
        <v>399</v>
      </c>
      <c r="H32" s="154" t="s">
        <v>396</v>
      </c>
      <c r="I32" s="155" t="s">
        <v>152</v>
      </c>
      <c r="J32" s="166"/>
      <c r="K32" s="153" t="s">
        <v>399</v>
      </c>
      <c r="L32" s="154" t="s">
        <v>396</v>
      </c>
      <c r="M32" s="155" t="s">
        <v>152</v>
      </c>
      <c r="N32" s="166"/>
      <c r="O32" s="153" t="s">
        <v>399</v>
      </c>
      <c r="P32" s="154" t="s">
        <v>396</v>
      </c>
      <c r="Q32" s="155" t="s">
        <v>152</v>
      </c>
    </row>
    <row r="33" spans="1:17" ht="51.75" x14ac:dyDescent="0.25">
      <c r="A33" s="193"/>
      <c r="B33" s="300" t="s">
        <v>612</v>
      </c>
      <c r="C33" s="231"/>
      <c r="D33" s="232"/>
      <c r="E33" s="400">
        <f>'PRIME CPIF TOTAL MATERIAL'!E18</f>
        <v>0</v>
      </c>
      <c r="F33" s="165"/>
      <c r="G33" s="231"/>
      <c r="H33" s="232"/>
      <c r="I33" s="400">
        <f>'PRIME CPIF TOTAL MATERIAL'!G18</f>
        <v>0</v>
      </c>
      <c r="J33" s="165"/>
      <c r="K33" s="231"/>
      <c r="L33" s="232"/>
      <c r="M33" s="400">
        <f>'PRIME CPIF TOTAL MATERIAL'!I18</f>
        <v>0</v>
      </c>
      <c r="N33" s="165"/>
      <c r="O33" s="231"/>
      <c r="P33" s="232"/>
      <c r="Q33" s="400">
        <f>'PRIME CPIF TOTAL MATERIAL'!K18</f>
        <v>0</v>
      </c>
    </row>
    <row r="34" spans="1:17" ht="67.5" customHeight="1" x14ac:dyDescent="0.25">
      <c r="A34" s="193"/>
      <c r="B34" s="344" t="s">
        <v>389</v>
      </c>
      <c r="C34" s="405"/>
      <c r="D34" s="406"/>
      <c r="E34" s="400"/>
      <c r="F34" s="165"/>
      <c r="G34" s="405"/>
      <c r="H34" s="406"/>
      <c r="I34" s="400"/>
      <c r="J34" s="165"/>
      <c r="K34" s="405"/>
      <c r="L34" s="406"/>
      <c r="M34" s="400"/>
      <c r="N34" s="165"/>
      <c r="O34" s="405"/>
      <c r="P34" s="406"/>
      <c r="Q34" s="400"/>
    </row>
    <row r="35" spans="1:17" x14ac:dyDescent="0.25">
      <c r="A35" s="193"/>
      <c r="B35" s="167" t="str">
        <f>'PRIME CPIF RATES (ALL)'!B52</f>
        <v>Indirect Category: [Material Overhead]</v>
      </c>
      <c r="C35" s="215">
        <f>+E33</f>
        <v>0</v>
      </c>
      <c r="D35" s="243">
        <f>'PRIME CPIF RATES (ALL)'!C52</f>
        <v>0</v>
      </c>
      <c r="E35" s="168">
        <f>ROUND(C35*D35,2)</f>
        <v>0</v>
      </c>
      <c r="F35" s="178"/>
      <c r="G35" s="215">
        <f>+I33</f>
        <v>0</v>
      </c>
      <c r="H35" s="243">
        <f>'PRIME CPIF RATES (ALL)'!D52</f>
        <v>0</v>
      </c>
      <c r="I35" s="168">
        <f>ROUND(G35*H35,2)</f>
        <v>0</v>
      </c>
      <c r="J35" s="178"/>
      <c r="K35" s="215">
        <f>+M33</f>
        <v>0</v>
      </c>
      <c r="L35" s="243">
        <f>'PRIME CPIF RATES (ALL)'!E52</f>
        <v>0</v>
      </c>
      <c r="M35" s="168">
        <f>ROUND(K35*L35,2)</f>
        <v>0</v>
      </c>
      <c r="N35" s="178"/>
      <c r="O35" s="215">
        <f>+Q33</f>
        <v>0</v>
      </c>
      <c r="P35" s="243">
        <f>'PRIME CPIF RATES (ALL)'!F52</f>
        <v>0</v>
      </c>
      <c r="Q35" s="168">
        <f>ROUND(O35*P35,2)</f>
        <v>0</v>
      </c>
    </row>
    <row r="36" spans="1:17" x14ac:dyDescent="0.25">
      <c r="A36" s="193"/>
      <c r="B36" s="167" t="str">
        <f>'PRIME CPIF RATES (ALL)'!B53</f>
        <v>Indirect Category: [G&amp;A]</v>
      </c>
      <c r="C36" s="215">
        <f>+C35+E35</f>
        <v>0</v>
      </c>
      <c r="D36" s="243">
        <f>'PRIME CPIF RATES (ALL)'!C53</f>
        <v>0</v>
      </c>
      <c r="E36" s="168">
        <f>ROUND(C36*D36,2)</f>
        <v>0</v>
      </c>
      <c r="F36" s="178"/>
      <c r="G36" s="215">
        <f>+G35+I35</f>
        <v>0</v>
      </c>
      <c r="H36" s="243">
        <f>'PRIME CPIF RATES (ALL)'!D53</f>
        <v>0</v>
      </c>
      <c r="I36" s="168">
        <f>ROUND(G36*H36,2)</f>
        <v>0</v>
      </c>
      <c r="J36" s="178"/>
      <c r="K36" s="215">
        <f>+K35+M35</f>
        <v>0</v>
      </c>
      <c r="L36" s="243">
        <f>'PRIME CPIF RATES (ALL)'!E53</f>
        <v>0</v>
      </c>
      <c r="M36" s="168">
        <f>ROUND(K36*L36,2)</f>
        <v>0</v>
      </c>
      <c r="N36" s="178"/>
      <c r="O36" s="215">
        <f>+O35+Q35</f>
        <v>0</v>
      </c>
      <c r="P36" s="243">
        <f>'PRIME CPIF RATES (ALL)'!F53</f>
        <v>0</v>
      </c>
      <c r="Q36" s="168">
        <f>ROUND(O36*P36,2)</f>
        <v>0</v>
      </c>
    </row>
    <row r="37" spans="1:17" x14ac:dyDescent="0.25">
      <c r="A37" s="193"/>
      <c r="B37" s="167" t="str">
        <f>'PRIME CPIF RATES (ALL)'!B54</f>
        <v>Indirect Category: [FCCOM]</v>
      </c>
      <c r="C37" s="215">
        <f>C36+E36</f>
        <v>0</v>
      </c>
      <c r="D37" s="243">
        <f>'PRIME CPIF RATES (ALL)'!C54</f>
        <v>0</v>
      </c>
      <c r="E37" s="168">
        <f>ROUND(C37*D37,2)</f>
        <v>0</v>
      </c>
      <c r="F37" s="165"/>
      <c r="G37" s="215">
        <f>G36+I36</f>
        <v>0</v>
      </c>
      <c r="H37" s="243">
        <f>'PRIME CPIF RATES (ALL)'!D54</f>
        <v>0</v>
      </c>
      <c r="I37" s="168">
        <f>ROUND(G37*H37,2)</f>
        <v>0</v>
      </c>
      <c r="J37" s="165"/>
      <c r="K37" s="215">
        <f>K36+M36</f>
        <v>0</v>
      </c>
      <c r="L37" s="243">
        <f>'PRIME CPIF RATES (ALL)'!E54</f>
        <v>0</v>
      </c>
      <c r="M37" s="168">
        <f>ROUND(K37*L37,2)</f>
        <v>0</v>
      </c>
      <c r="N37" s="165"/>
      <c r="O37" s="215">
        <f>O36+Q36</f>
        <v>0</v>
      </c>
      <c r="P37" s="243">
        <f>'PRIME CPIF RATES (ALL)'!F54</f>
        <v>0</v>
      </c>
      <c r="Q37" s="168">
        <f>ROUND(O37*P37,2)</f>
        <v>0</v>
      </c>
    </row>
    <row r="38" spans="1:17" x14ac:dyDescent="0.25">
      <c r="A38" s="193"/>
      <c r="B38" s="167" t="str">
        <f>'PRIME CPIF RATES (ALL)'!B55</f>
        <v>Indirect Category: [Target Fee]</v>
      </c>
      <c r="C38" s="215">
        <f>+C36+E36</f>
        <v>0</v>
      </c>
      <c r="D38" s="243">
        <f>'PRIME CPIF RATES (ALL)'!C55</f>
        <v>0</v>
      </c>
      <c r="E38" s="168">
        <f>ROUND(C38*D38,2)</f>
        <v>0</v>
      </c>
      <c r="F38" s="165"/>
      <c r="G38" s="215">
        <f>+G36+I36</f>
        <v>0</v>
      </c>
      <c r="H38" s="243">
        <f>'PRIME CPIF RATES (ALL)'!D55</f>
        <v>0</v>
      </c>
      <c r="I38" s="168">
        <f>ROUND(G38*H38,2)</f>
        <v>0</v>
      </c>
      <c r="J38" s="165"/>
      <c r="K38" s="215">
        <f>+K36+M36</f>
        <v>0</v>
      </c>
      <c r="L38" s="243">
        <f>'PRIME CPIF RATES (ALL)'!E55</f>
        <v>0</v>
      </c>
      <c r="M38" s="168">
        <f>ROUND(K38*L38,2)</f>
        <v>0</v>
      </c>
      <c r="N38" s="165"/>
      <c r="O38" s="215">
        <f>+O36+Q36</f>
        <v>0</v>
      </c>
      <c r="P38" s="243">
        <f>'PRIME CPIF RATES (ALL)'!F55</f>
        <v>0</v>
      </c>
      <c r="Q38" s="168">
        <f>ROUND(O38*P38,2)</f>
        <v>0</v>
      </c>
    </row>
    <row r="39" spans="1:17" x14ac:dyDescent="0.25">
      <c r="A39" s="193"/>
      <c r="B39" s="241" t="s">
        <v>259</v>
      </c>
      <c r="C39" s="233"/>
      <c r="D39" s="234"/>
      <c r="E39" s="168">
        <f>ROUND(SUM(E33:E36),2)</f>
        <v>0</v>
      </c>
      <c r="F39" s="165"/>
      <c r="G39" s="233"/>
      <c r="H39" s="234"/>
      <c r="I39" s="168">
        <f>ROUND(SUM(I33:I36),2)</f>
        <v>0</v>
      </c>
      <c r="J39" s="165"/>
      <c r="K39" s="233"/>
      <c r="L39" s="234"/>
      <c r="M39" s="168">
        <f>ROUND(SUM(M33:M36),2)</f>
        <v>0</v>
      </c>
      <c r="N39" s="165"/>
      <c r="O39" s="233"/>
      <c r="P39" s="234"/>
      <c r="Q39" s="168">
        <f>ROUND(SUM(Q33:Q36),2)</f>
        <v>0</v>
      </c>
    </row>
    <row r="40" spans="1:17" x14ac:dyDescent="0.25">
      <c r="A40" s="193"/>
      <c r="B40" s="241" t="s">
        <v>137</v>
      </c>
      <c r="C40" s="231"/>
      <c r="D40" s="235"/>
      <c r="E40" s="168">
        <f>ROUND(E37,2)</f>
        <v>0</v>
      </c>
      <c r="F40" s="165"/>
      <c r="G40" s="231"/>
      <c r="H40" s="235"/>
      <c r="I40" s="168">
        <f>ROUND(I37,2)</f>
        <v>0</v>
      </c>
      <c r="J40" s="165"/>
      <c r="K40" s="231"/>
      <c r="L40" s="235"/>
      <c r="M40" s="168">
        <f>ROUND(M37,2)</f>
        <v>0</v>
      </c>
      <c r="N40" s="165"/>
      <c r="O40" s="231"/>
      <c r="P40" s="235"/>
      <c r="Q40" s="168">
        <f>ROUND(Q37,2)</f>
        <v>0</v>
      </c>
    </row>
    <row r="41" spans="1:17" x14ac:dyDescent="0.2">
      <c r="B41" s="241" t="s">
        <v>136</v>
      </c>
      <c r="C41" s="231"/>
      <c r="D41" s="235"/>
      <c r="E41" s="182">
        <f>ROUND(E38,2)</f>
        <v>0</v>
      </c>
      <c r="F41" s="183"/>
      <c r="G41" s="231"/>
      <c r="H41" s="235"/>
      <c r="I41" s="182">
        <f>ROUND(I38,2)</f>
        <v>0</v>
      </c>
      <c r="J41" s="183"/>
      <c r="K41" s="231"/>
      <c r="L41" s="235"/>
      <c r="M41" s="182">
        <f>ROUND(M38,2)</f>
        <v>0</v>
      </c>
      <c r="N41" s="183"/>
      <c r="O41" s="231"/>
      <c r="P41" s="235"/>
      <c r="Q41" s="182">
        <f>ROUND(Q38,2)</f>
        <v>0</v>
      </c>
    </row>
    <row r="42" spans="1:17" ht="16.5" thickBot="1" x14ac:dyDescent="0.25">
      <c r="B42" s="242" t="s">
        <v>243</v>
      </c>
      <c r="C42" s="236"/>
      <c r="D42" s="237"/>
      <c r="E42" s="160">
        <f>SUM(E39:E41)</f>
        <v>0</v>
      </c>
      <c r="F42" s="161"/>
      <c r="G42" s="236"/>
      <c r="H42" s="237"/>
      <c r="I42" s="160">
        <f>SUM(I39:I41)</f>
        <v>0</v>
      </c>
      <c r="J42" s="161"/>
      <c r="K42" s="236"/>
      <c r="L42" s="237"/>
      <c r="M42" s="160">
        <f>SUM(M39:M41)</f>
        <v>0</v>
      </c>
      <c r="N42" s="161"/>
      <c r="O42" s="236"/>
      <c r="P42" s="237"/>
      <c r="Q42" s="160">
        <f>SUM(Q39:Q41)</f>
        <v>0</v>
      </c>
    </row>
    <row r="43" spans="1:17" ht="16.5" thickBot="1" x14ac:dyDescent="0.25">
      <c r="B43" s="172"/>
      <c r="E43" s="251"/>
      <c r="F43" s="251"/>
      <c r="G43" s="251"/>
      <c r="H43" s="251"/>
      <c r="I43" s="251"/>
      <c r="J43" s="251"/>
      <c r="K43" s="251"/>
      <c r="N43" s="187"/>
      <c r="O43" s="251"/>
    </row>
    <row r="44" spans="1:17" ht="16.5" thickBot="1" x14ac:dyDescent="0.3">
      <c r="B44" s="620" t="str">
        <f>B13</f>
        <v>CLIN 0001 (CPIF)                                                    TASK 1.08 BLACK LABEL HARDWARE &amp; SOFTWARE CERTIFICATION</v>
      </c>
      <c r="C44" s="594" t="s">
        <v>318</v>
      </c>
      <c r="D44" s="595"/>
      <c r="E44" s="596"/>
      <c r="F44" s="175"/>
      <c r="G44" s="594" t="s">
        <v>318</v>
      </c>
      <c r="H44" s="595"/>
      <c r="I44" s="596"/>
      <c r="J44" s="175"/>
      <c r="K44" s="594" t="s">
        <v>318</v>
      </c>
      <c r="L44" s="595"/>
      <c r="M44" s="596"/>
      <c r="N44" s="175"/>
      <c r="O44" s="594" t="s">
        <v>318</v>
      </c>
      <c r="P44" s="595"/>
      <c r="Q44" s="596"/>
    </row>
    <row r="45" spans="1:17" ht="27.75" customHeight="1" thickBot="1" x14ac:dyDescent="0.3">
      <c r="B45" s="621"/>
      <c r="C45" s="617" t="str">
        <f>C31</f>
        <v>CLIN 0001 - Basic Period (Year 1)</v>
      </c>
      <c r="D45" s="618"/>
      <c r="E45" s="619"/>
      <c r="F45" s="176"/>
      <c r="G45" s="617" t="str">
        <f>G31</f>
        <v>CLIN 0001 - Basic Period (Year 2)</v>
      </c>
      <c r="H45" s="618"/>
      <c r="I45" s="619"/>
      <c r="J45" s="176"/>
      <c r="K45" s="617" t="str">
        <f>K31</f>
        <v>CLIN 0001 - Basic Period (Year 3)</v>
      </c>
      <c r="L45" s="618"/>
      <c r="M45" s="619"/>
      <c r="N45" s="176"/>
      <c r="O45" s="617" t="str">
        <f>O31</f>
        <v>CLIN 0001 - Basic Period (Year 4)</v>
      </c>
      <c r="P45" s="618"/>
      <c r="Q45" s="619"/>
    </row>
    <row r="46" spans="1:17" x14ac:dyDescent="0.25">
      <c r="B46" s="248"/>
      <c r="C46" s="153" t="s">
        <v>399</v>
      </c>
      <c r="D46" s="154" t="s">
        <v>396</v>
      </c>
      <c r="E46" s="155" t="s">
        <v>397</v>
      </c>
      <c r="F46" s="166"/>
      <c r="G46" s="153" t="s">
        <v>399</v>
      </c>
      <c r="H46" s="154" t="s">
        <v>396</v>
      </c>
      <c r="I46" s="155" t="s">
        <v>397</v>
      </c>
      <c r="J46" s="166"/>
      <c r="K46" s="153" t="s">
        <v>399</v>
      </c>
      <c r="L46" s="154" t="s">
        <v>396</v>
      </c>
      <c r="M46" s="155" t="s">
        <v>397</v>
      </c>
      <c r="N46" s="166"/>
      <c r="O46" s="153" t="s">
        <v>399</v>
      </c>
      <c r="P46" s="154" t="s">
        <v>396</v>
      </c>
      <c r="Q46" s="155" t="s">
        <v>397</v>
      </c>
    </row>
    <row r="47" spans="1:17" ht="25.5" x14ac:dyDescent="0.2">
      <c r="B47" s="300" t="s">
        <v>560</v>
      </c>
      <c r="C47" s="285"/>
      <c r="D47" s="285"/>
      <c r="E47" s="345">
        <f>'PRIME CPIF TOTAL SUB'!E18</f>
        <v>0</v>
      </c>
      <c r="F47" s="288"/>
      <c r="G47" s="231"/>
      <c r="H47" s="285"/>
      <c r="I47" s="345">
        <f>'PRIME CPIF TOTAL SUB'!G18</f>
        <v>0</v>
      </c>
      <c r="J47" s="288"/>
      <c r="K47" s="231"/>
      <c r="L47" s="285"/>
      <c r="M47" s="345">
        <f>'PRIME CPIF TOTAL SUB'!I18</f>
        <v>0</v>
      </c>
      <c r="N47" s="165"/>
      <c r="O47" s="231"/>
      <c r="P47" s="285"/>
      <c r="Q47" s="345">
        <f>'PRIME CPIF TOTAL SUB'!K18</f>
        <v>0</v>
      </c>
    </row>
    <row r="48" spans="1:17" ht="76.5" x14ac:dyDescent="0.2">
      <c r="B48" s="344" t="s">
        <v>613</v>
      </c>
      <c r="C48" s="624" t="s">
        <v>5</v>
      </c>
      <c r="D48" s="625"/>
      <c r="E48" s="626"/>
      <c r="F48" s="178"/>
      <c r="G48" s="627"/>
      <c r="H48" s="625"/>
      <c r="I48" s="626"/>
      <c r="J48" s="178"/>
      <c r="K48" s="627"/>
      <c r="L48" s="625"/>
      <c r="M48" s="626"/>
      <c r="N48" s="178"/>
      <c r="O48" s="627"/>
      <c r="P48" s="625"/>
      <c r="Q48" s="626"/>
    </row>
    <row r="49" spans="1:17" x14ac:dyDescent="0.2">
      <c r="B49" s="287" t="str">
        <f>'PRIME CPIF RATES (ALL)'!B44</f>
        <v>Indirect Category: [Overhead]</v>
      </c>
      <c r="C49" s="286">
        <f>E47</f>
        <v>0</v>
      </c>
      <c r="D49" s="243">
        <f>'PRIME CPIF RATES (ALL)'!C44</f>
        <v>0</v>
      </c>
      <c r="E49" s="168">
        <f>ROUND(C49*D49,2)</f>
        <v>0</v>
      </c>
      <c r="F49" s="178"/>
      <c r="G49" s="215">
        <f>I47</f>
        <v>0</v>
      </c>
      <c r="H49" s="243">
        <f>'PRIME CPIF RATES (ALL)'!D44</f>
        <v>0</v>
      </c>
      <c r="I49" s="168">
        <f>ROUND(G49*H49,2)</f>
        <v>0</v>
      </c>
      <c r="J49" s="178"/>
      <c r="K49" s="215">
        <f>M47</f>
        <v>0</v>
      </c>
      <c r="L49" s="243">
        <f>'PRIME CPIF RATES (ALL)'!E44</f>
        <v>0</v>
      </c>
      <c r="M49" s="168">
        <f>ROUND(K49*L49,2)</f>
        <v>0</v>
      </c>
      <c r="N49" s="178"/>
      <c r="O49" s="215">
        <f>Q47</f>
        <v>0</v>
      </c>
      <c r="P49" s="243">
        <f>'PRIME CPIF RATES (ALL)'!F44</f>
        <v>0</v>
      </c>
      <c r="Q49" s="168">
        <f>ROUND(O49*P49,2)</f>
        <v>0</v>
      </c>
    </row>
    <row r="50" spans="1:17" x14ac:dyDescent="0.2">
      <c r="B50" s="287" t="str">
        <f>'PRIME CPIF RATES (ALL)'!B45</f>
        <v>Indirect Category: [G&amp;A]</v>
      </c>
      <c r="C50" s="286">
        <f>C49+E49</f>
        <v>0</v>
      </c>
      <c r="D50" s="243">
        <f>'PRIME CPIF RATES (ALL)'!C45</f>
        <v>0</v>
      </c>
      <c r="E50" s="168">
        <f>ROUND(C50*D50,2)</f>
        <v>0</v>
      </c>
      <c r="F50" s="288"/>
      <c r="G50" s="286">
        <f>G49+I49</f>
        <v>0</v>
      </c>
      <c r="H50" s="243">
        <f>'PRIME CPIF RATES (ALL)'!D45</f>
        <v>0</v>
      </c>
      <c r="I50" s="168">
        <f>ROUND(G50*H50,2)</f>
        <v>0</v>
      </c>
      <c r="J50" s="288"/>
      <c r="K50" s="286">
        <f>K49+M49</f>
        <v>0</v>
      </c>
      <c r="L50" s="243">
        <f>'PRIME CPIF RATES (ALL)'!E45</f>
        <v>0</v>
      </c>
      <c r="M50" s="168">
        <f>ROUND(K50*L50,2)</f>
        <v>0</v>
      </c>
      <c r="N50" s="165"/>
      <c r="O50" s="286">
        <f>O49+Q49</f>
        <v>0</v>
      </c>
      <c r="P50" s="243">
        <f>'PRIME CPIF RATES (ALL)'!F45</f>
        <v>0</v>
      </c>
      <c r="Q50" s="168">
        <f>ROUND(O50*P50,2)</f>
        <v>0</v>
      </c>
    </row>
    <row r="51" spans="1:17" x14ac:dyDescent="0.2">
      <c r="B51" s="351" t="str">
        <f>'PRIME CPIF RATES (ALL)'!B46</f>
        <v>Indirect Category: [FCCOM]</v>
      </c>
      <c r="C51" s="215">
        <f>C50+E50</f>
        <v>0</v>
      </c>
      <c r="D51" s="243">
        <f>'PRIME CPIF RATES (ALL)'!C46</f>
        <v>0</v>
      </c>
      <c r="E51" s="353">
        <f>ROUND(C51*D51,2)</f>
        <v>0</v>
      </c>
      <c r="F51" s="288"/>
      <c r="G51" s="215">
        <f>G50+I50</f>
        <v>0</v>
      </c>
      <c r="H51" s="243">
        <f>'PRIME CPIF RATES (ALL)'!D46</f>
        <v>0</v>
      </c>
      <c r="I51" s="353">
        <f>ROUND(G51*H51,2)</f>
        <v>0</v>
      </c>
      <c r="J51" s="288"/>
      <c r="K51" s="215">
        <f>K50+M50</f>
        <v>0</v>
      </c>
      <c r="L51" s="243">
        <f>'PRIME CPIF RATES (ALL)'!E46</f>
        <v>0</v>
      </c>
      <c r="M51" s="353">
        <f>ROUND(K51*L51,2)</f>
        <v>0</v>
      </c>
      <c r="N51" s="165"/>
      <c r="O51" s="215">
        <f>O50+Q50</f>
        <v>0</v>
      </c>
      <c r="P51" s="243">
        <f>'PRIME CPIF RATES (ALL)'!F46</f>
        <v>0</v>
      </c>
      <c r="Q51" s="353">
        <f>ROUND(O51*P51,2)</f>
        <v>0</v>
      </c>
    </row>
    <row r="52" spans="1:17" x14ac:dyDescent="0.2">
      <c r="B52" s="167" t="str">
        <f>'PRIME CPIF RATES (ALL)'!B47</f>
        <v>Indirect Category: [Target Fee]</v>
      </c>
      <c r="C52" s="214">
        <f>C50+E50</f>
        <v>0</v>
      </c>
      <c r="D52" s="354">
        <f>'PRIME CPIF RATES (ALL)'!C47</f>
        <v>0</v>
      </c>
      <c r="E52" s="353">
        <f>ROUND(C52*D52,2)</f>
        <v>0</v>
      </c>
      <c r="F52" s="288"/>
      <c r="G52" s="214">
        <f>G50+I50</f>
        <v>0</v>
      </c>
      <c r="H52" s="354">
        <f>'PRIME CPIF RATES (ALL)'!D47</f>
        <v>0</v>
      </c>
      <c r="I52" s="353">
        <f>ROUND(G52*H52,2)</f>
        <v>0</v>
      </c>
      <c r="J52" s="288"/>
      <c r="K52" s="214">
        <f>K50+M50</f>
        <v>0</v>
      </c>
      <c r="L52" s="354">
        <f>'PRIME CPIF RATES (ALL)'!E47</f>
        <v>0</v>
      </c>
      <c r="M52" s="353">
        <f>ROUND(K52*L52,2)</f>
        <v>0</v>
      </c>
      <c r="N52" s="165"/>
      <c r="O52" s="214">
        <f>O50+Q50</f>
        <v>0</v>
      </c>
      <c r="P52" s="354">
        <f>'PRIME CPIF RATES (ALL)'!F47</f>
        <v>0</v>
      </c>
      <c r="Q52" s="353">
        <f>ROUND(O52*P52,2)</f>
        <v>0</v>
      </c>
    </row>
    <row r="53" spans="1:17" x14ac:dyDescent="0.2">
      <c r="B53" s="241" t="s">
        <v>320</v>
      </c>
      <c r="C53" s="233"/>
      <c r="D53" s="234"/>
      <c r="E53" s="168">
        <f>ROUND(E47+E49+E50,2)</f>
        <v>0</v>
      </c>
      <c r="F53" s="288"/>
      <c r="G53" s="233"/>
      <c r="H53" s="234"/>
      <c r="I53" s="168">
        <f>ROUND(I47+I49+I50,2)</f>
        <v>0</v>
      </c>
      <c r="J53" s="288"/>
      <c r="K53" s="233"/>
      <c r="L53" s="234"/>
      <c r="M53" s="168">
        <f>ROUND(M47+M49+M50,2)</f>
        <v>0</v>
      </c>
      <c r="N53" s="165"/>
      <c r="O53" s="233"/>
      <c r="P53" s="234"/>
      <c r="Q53" s="168">
        <f>ROUND(Q47+Q49+Q50,2)</f>
        <v>0</v>
      </c>
    </row>
    <row r="54" spans="1:17" x14ac:dyDescent="0.2">
      <c r="B54" s="241" t="s">
        <v>298</v>
      </c>
      <c r="C54" s="231"/>
      <c r="D54" s="235"/>
      <c r="E54" s="168">
        <f>ROUND(E51,2)</f>
        <v>0</v>
      </c>
      <c r="F54" s="288"/>
      <c r="G54" s="231"/>
      <c r="H54" s="235"/>
      <c r="I54" s="168">
        <f>ROUND(I51,2)</f>
        <v>0</v>
      </c>
      <c r="J54" s="288"/>
      <c r="K54" s="231"/>
      <c r="L54" s="235"/>
      <c r="M54" s="168">
        <f>ROUND(M51,2)</f>
        <v>0</v>
      </c>
      <c r="N54" s="165"/>
      <c r="O54" s="231"/>
      <c r="P54" s="235"/>
      <c r="Q54" s="168">
        <f>ROUND(Q51,2)</f>
        <v>0</v>
      </c>
    </row>
    <row r="55" spans="1:17" x14ac:dyDescent="0.2">
      <c r="B55" s="241" t="s">
        <v>136</v>
      </c>
      <c r="C55" s="231"/>
      <c r="D55" s="235"/>
      <c r="E55" s="182">
        <f>ROUND(E52,2)</f>
        <v>0</v>
      </c>
      <c r="F55" s="183"/>
      <c r="G55" s="231"/>
      <c r="H55" s="235"/>
      <c r="I55" s="182">
        <f>ROUND(I52,2)</f>
        <v>0</v>
      </c>
      <c r="J55" s="183"/>
      <c r="K55" s="231"/>
      <c r="L55" s="235"/>
      <c r="M55" s="182">
        <f>ROUND(M52,2)</f>
        <v>0</v>
      </c>
      <c r="N55" s="183"/>
      <c r="O55" s="231"/>
      <c r="P55" s="235"/>
      <c r="Q55" s="182">
        <f>ROUND(Q52,2)</f>
        <v>0</v>
      </c>
    </row>
    <row r="56" spans="1:17" ht="16.5" thickBot="1" x14ac:dyDescent="0.25">
      <c r="B56" s="242" t="s">
        <v>321</v>
      </c>
      <c r="C56" s="236"/>
      <c r="D56" s="237"/>
      <c r="E56" s="160">
        <f>ROUND(SUM(E53:E55),2)</f>
        <v>0</v>
      </c>
      <c r="F56" s="161"/>
      <c r="G56" s="236"/>
      <c r="H56" s="237"/>
      <c r="I56" s="160">
        <f>ROUND(SUM(I53:I55),2)</f>
        <v>0</v>
      </c>
      <c r="J56" s="161"/>
      <c r="K56" s="236"/>
      <c r="L56" s="237"/>
      <c r="M56" s="160">
        <f>ROUND(SUM(M53:M55),2)</f>
        <v>0</v>
      </c>
      <c r="N56" s="161"/>
      <c r="O56" s="236"/>
      <c r="P56" s="237"/>
      <c r="Q56" s="160">
        <f>ROUND(SUM(Q53:Q55),2)</f>
        <v>0</v>
      </c>
    </row>
    <row r="57" spans="1:17" ht="16.5" thickBot="1" x14ac:dyDescent="0.25">
      <c r="B57" s="172"/>
      <c r="E57" s="251"/>
      <c r="F57" s="251"/>
      <c r="G57" s="251"/>
      <c r="H57" s="251"/>
      <c r="I57" s="251"/>
      <c r="J57" s="251"/>
      <c r="K57" s="251"/>
      <c r="N57" s="187"/>
      <c r="O57" s="251"/>
    </row>
    <row r="58" spans="1:17" ht="16.5" customHeight="1" thickBot="1" x14ac:dyDescent="0.3">
      <c r="A58" s="193"/>
      <c r="B58" s="620" t="str">
        <f>B30</f>
        <v>CLIN 0001 (CPIF)                                                    TASK 1.08 BLACK LABEL HARDWARE &amp; SOFTWARE CERTIFICATION</v>
      </c>
      <c r="C58" s="594" t="s">
        <v>146</v>
      </c>
      <c r="D58" s="595"/>
      <c r="E58" s="596"/>
      <c r="F58" s="175"/>
      <c r="G58" s="594" t="s">
        <v>147</v>
      </c>
      <c r="H58" s="595"/>
      <c r="I58" s="596"/>
      <c r="J58" s="175"/>
      <c r="K58" s="594" t="s">
        <v>147</v>
      </c>
      <c r="L58" s="595"/>
      <c r="M58" s="596"/>
      <c r="N58" s="175"/>
      <c r="O58" s="594" t="s">
        <v>147</v>
      </c>
      <c r="P58" s="595"/>
      <c r="Q58" s="596"/>
    </row>
    <row r="59" spans="1:17" ht="33.75" customHeight="1" thickBot="1" x14ac:dyDescent="0.3">
      <c r="A59" s="193"/>
      <c r="B59" s="621"/>
      <c r="C59" s="617" t="str">
        <f>C31</f>
        <v>CLIN 0001 - Basic Period (Year 1)</v>
      </c>
      <c r="D59" s="618"/>
      <c r="E59" s="619"/>
      <c r="F59" s="176"/>
      <c r="G59" s="617" t="str">
        <f>G31</f>
        <v>CLIN 0001 - Basic Period (Year 2)</v>
      </c>
      <c r="H59" s="618"/>
      <c r="I59" s="619"/>
      <c r="J59" s="176"/>
      <c r="K59" s="617" t="str">
        <f>K31</f>
        <v>CLIN 0001 - Basic Period (Year 3)</v>
      </c>
      <c r="L59" s="618"/>
      <c r="M59" s="619"/>
      <c r="N59" s="176"/>
      <c r="O59" s="617" t="str">
        <f>O31</f>
        <v>CLIN 0001 - Basic Period (Year 4)</v>
      </c>
      <c r="P59" s="618"/>
      <c r="Q59" s="619"/>
    </row>
    <row r="60" spans="1:17" x14ac:dyDescent="0.25">
      <c r="A60" s="193"/>
      <c r="B60" s="248"/>
      <c r="C60" s="153" t="s">
        <v>399</v>
      </c>
      <c r="D60" s="154" t="s">
        <v>396</v>
      </c>
      <c r="E60" s="155" t="s">
        <v>153</v>
      </c>
      <c r="F60" s="166"/>
      <c r="G60" s="153" t="s">
        <v>399</v>
      </c>
      <c r="H60" s="154" t="s">
        <v>396</v>
      </c>
      <c r="I60" s="155" t="s">
        <v>153</v>
      </c>
      <c r="J60" s="166"/>
      <c r="K60" s="153" t="s">
        <v>399</v>
      </c>
      <c r="L60" s="154" t="s">
        <v>396</v>
      </c>
      <c r="M60" s="155" t="s">
        <v>153</v>
      </c>
      <c r="N60" s="166"/>
      <c r="O60" s="153" t="s">
        <v>399</v>
      </c>
      <c r="P60" s="154" t="s">
        <v>396</v>
      </c>
      <c r="Q60" s="155" t="s">
        <v>153</v>
      </c>
    </row>
    <row r="61" spans="1:17" ht="26.25" x14ac:dyDescent="0.25">
      <c r="A61" s="193"/>
      <c r="B61" s="300" t="s">
        <v>561</v>
      </c>
      <c r="C61" s="231"/>
      <c r="D61" s="232"/>
      <c r="E61" s="345">
        <f>'PRIME CPIF TOTAL ODC'!E18</f>
        <v>0</v>
      </c>
      <c r="F61" s="165"/>
      <c r="G61" s="231"/>
      <c r="H61" s="232"/>
      <c r="I61" s="345">
        <f>'PRIME CPIF TOTAL ODC'!G18</f>
        <v>0</v>
      </c>
      <c r="J61" s="165"/>
      <c r="K61" s="231"/>
      <c r="L61" s="232"/>
      <c r="M61" s="400">
        <f>'PRIME CPIF TOTAL ODC'!I18</f>
        <v>0</v>
      </c>
      <c r="N61" s="165"/>
      <c r="O61" s="231"/>
      <c r="P61" s="232"/>
      <c r="Q61" s="400">
        <f>'PRIME CPIF TOTAL ODC'!K18</f>
        <v>0</v>
      </c>
    </row>
    <row r="62" spans="1:17" ht="66" customHeight="1" x14ac:dyDescent="0.25">
      <c r="A62" s="193"/>
      <c r="B62" s="490" t="s">
        <v>614</v>
      </c>
      <c r="C62" s="404"/>
      <c r="D62" s="404"/>
      <c r="E62" s="403"/>
      <c r="F62" s="288"/>
      <c r="G62" s="405"/>
      <c r="H62" s="404"/>
      <c r="I62" s="403"/>
      <c r="J62" s="288"/>
      <c r="K62" s="405"/>
      <c r="L62" s="404"/>
      <c r="M62" s="400"/>
      <c r="N62" s="165"/>
      <c r="O62" s="405"/>
      <c r="P62" s="404"/>
      <c r="Q62" s="400"/>
    </row>
    <row r="63" spans="1:17" x14ac:dyDescent="0.25">
      <c r="A63" s="193"/>
      <c r="B63" s="167" t="s">
        <v>125</v>
      </c>
      <c r="C63" s="215">
        <f>+E61</f>
        <v>0</v>
      </c>
      <c r="D63" s="243">
        <f>'PRIME CPIF RATES (ALL)'!C60</f>
        <v>0</v>
      </c>
      <c r="E63" s="168">
        <f>ROUND(C63*D63,2)</f>
        <v>0</v>
      </c>
      <c r="F63" s="178"/>
      <c r="G63" s="215">
        <f>+I61</f>
        <v>0</v>
      </c>
      <c r="H63" s="243">
        <f>'PRIME CPIF RATES (ALL)'!D60</f>
        <v>0</v>
      </c>
      <c r="I63" s="168">
        <f>ROUND(G63*H63,2)</f>
        <v>0</v>
      </c>
      <c r="J63" s="178"/>
      <c r="K63" s="215">
        <f>+M61</f>
        <v>0</v>
      </c>
      <c r="L63" s="243">
        <f>'PRIME CPIF RATES (ALL)'!E60</f>
        <v>0</v>
      </c>
      <c r="M63" s="168">
        <f>ROUND(K63*L63,2)</f>
        <v>0</v>
      </c>
      <c r="N63" s="178"/>
      <c r="O63" s="215">
        <f>+Q61</f>
        <v>0</v>
      </c>
      <c r="P63" s="243">
        <f>'PRIME CPIF RATES (ALL)'!F60</f>
        <v>0</v>
      </c>
      <c r="Q63" s="168">
        <f>ROUND(O63*P63,2)</f>
        <v>0</v>
      </c>
    </row>
    <row r="64" spans="1:17" x14ac:dyDescent="0.25">
      <c r="A64" s="193"/>
      <c r="B64" s="167" t="s">
        <v>126</v>
      </c>
      <c r="C64" s="215">
        <f>+C63+E63</f>
        <v>0</v>
      </c>
      <c r="D64" s="243">
        <f>'PRIME CPIF RATES (ALL)'!C61</f>
        <v>0</v>
      </c>
      <c r="E64" s="168">
        <f>ROUND(C64*D64,2)</f>
        <v>0</v>
      </c>
      <c r="F64" s="178"/>
      <c r="G64" s="215">
        <f>+G63+I63</f>
        <v>0</v>
      </c>
      <c r="H64" s="243">
        <f>'PRIME CPIF RATES (ALL)'!D61</f>
        <v>0</v>
      </c>
      <c r="I64" s="168">
        <f>ROUND(G64*H64,2)</f>
        <v>0</v>
      </c>
      <c r="J64" s="178"/>
      <c r="K64" s="215">
        <f>+K63+M63</f>
        <v>0</v>
      </c>
      <c r="L64" s="243">
        <f>'PRIME CPIF RATES (ALL)'!E61</f>
        <v>0</v>
      </c>
      <c r="M64" s="168">
        <f>ROUND(K64*L64,2)</f>
        <v>0</v>
      </c>
      <c r="N64" s="178"/>
      <c r="O64" s="215">
        <f>+O63+Q63</f>
        <v>0</v>
      </c>
      <c r="P64" s="243">
        <f>'PRIME CPIF RATES (ALL)'!F61</f>
        <v>0</v>
      </c>
      <c r="Q64" s="168">
        <f>ROUND(O64*P64,2)</f>
        <v>0</v>
      </c>
    </row>
    <row r="65" spans="1:17" x14ac:dyDescent="0.25">
      <c r="A65" s="193"/>
      <c r="B65" s="167" t="s">
        <v>566</v>
      </c>
      <c r="C65" s="215">
        <f>C64+E64</f>
        <v>0</v>
      </c>
      <c r="D65" s="243">
        <f>'PRIME CPIF RATES (ALL)'!C62</f>
        <v>0</v>
      </c>
      <c r="E65" s="168">
        <f>ROUND(C65*D65,2)</f>
        <v>0</v>
      </c>
      <c r="F65" s="165"/>
      <c r="G65" s="215">
        <f>G64+I64</f>
        <v>0</v>
      </c>
      <c r="H65" s="243">
        <f>'PRIME CPIF RATES (ALL)'!D62</f>
        <v>0</v>
      </c>
      <c r="I65" s="168">
        <f>ROUND(G65*H65,2)</f>
        <v>0</v>
      </c>
      <c r="J65" s="165"/>
      <c r="K65" s="215">
        <f>K64+M64</f>
        <v>0</v>
      </c>
      <c r="L65" s="243">
        <f>'PRIME CPIF RATES (ALL)'!E62</f>
        <v>0</v>
      </c>
      <c r="M65" s="168">
        <f>ROUND(K65*L65,2)</f>
        <v>0</v>
      </c>
      <c r="N65" s="165"/>
      <c r="O65" s="215">
        <f>O64+Q64</f>
        <v>0</v>
      </c>
      <c r="P65" s="243">
        <f>'PRIME CPIF RATES (ALL)'!F62</f>
        <v>0</v>
      </c>
      <c r="Q65" s="168">
        <f>ROUND(O65*P65,2)</f>
        <v>0</v>
      </c>
    </row>
    <row r="66" spans="1:17" x14ac:dyDescent="0.25">
      <c r="A66" s="193"/>
      <c r="B66" s="167" t="s">
        <v>127</v>
      </c>
      <c r="C66" s="215">
        <f>+C64+E64</f>
        <v>0</v>
      </c>
      <c r="D66" s="354">
        <f>'PRIME CPIF RATES (ALL)'!C63</f>
        <v>0</v>
      </c>
      <c r="E66" s="168">
        <f>ROUND(C66*D66,2)</f>
        <v>0</v>
      </c>
      <c r="F66" s="165"/>
      <c r="G66" s="215">
        <f>+G64+I64</f>
        <v>0</v>
      </c>
      <c r="H66" s="354">
        <f>'PRIME CPIF RATES (ALL)'!D63</f>
        <v>0</v>
      </c>
      <c r="I66" s="168">
        <f>ROUND(G66*H66,2)</f>
        <v>0</v>
      </c>
      <c r="J66" s="165"/>
      <c r="K66" s="215">
        <f>+K64+M64</f>
        <v>0</v>
      </c>
      <c r="L66" s="354">
        <f>'PRIME CPIF RATES (ALL)'!E63</f>
        <v>0</v>
      </c>
      <c r="M66" s="168">
        <f>ROUND(K66*L66,2)</f>
        <v>0</v>
      </c>
      <c r="N66" s="165"/>
      <c r="O66" s="215">
        <f>+O64+Q64</f>
        <v>0</v>
      </c>
      <c r="P66" s="354">
        <f>'PRIME CPIF RATES (ALL)'!F63</f>
        <v>0</v>
      </c>
      <c r="Q66" s="168">
        <f>ROUND(O66*P66,2)</f>
        <v>0</v>
      </c>
    </row>
    <row r="67" spans="1:17" x14ac:dyDescent="0.25">
      <c r="A67" s="193"/>
      <c r="B67" s="241" t="s">
        <v>260</v>
      </c>
      <c r="C67" s="233"/>
      <c r="D67" s="234"/>
      <c r="E67" s="168">
        <f>ROUND(SUM(E61:E64),2)</f>
        <v>0</v>
      </c>
      <c r="F67" s="165"/>
      <c r="G67" s="233"/>
      <c r="H67" s="234"/>
      <c r="I67" s="168">
        <f>ROUND(SUM(I61:I64),2)</f>
        <v>0</v>
      </c>
      <c r="J67" s="165"/>
      <c r="K67" s="233"/>
      <c r="L67" s="234"/>
      <c r="M67" s="168">
        <f>ROUND(SUM(M61:M64),2)</f>
        <v>0</v>
      </c>
      <c r="N67" s="165"/>
      <c r="O67" s="233"/>
      <c r="P67" s="234"/>
      <c r="Q67" s="168">
        <f>ROUND(SUM(Q61:Q64),2)</f>
        <v>0</v>
      </c>
    </row>
    <row r="68" spans="1:17" x14ac:dyDescent="0.25">
      <c r="A68" s="193"/>
      <c r="B68" s="241" t="s">
        <v>137</v>
      </c>
      <c r="C68" s="231"/>
      <c r="D68" s="235"/>
      <c r="E68" s="168">
        <f>ROUND(E65,2)</f>
        <v>0</v>
      </c>
      <c r="F68" s="165"/>
      <c r="G68" s="231"/>
      <c r="H68" s="235"/>
      <c r="I68" s="168">
        <f>ROUND(I65,2)</f>
        <v>0</v>
      </c>
      <c r="J68" s="165"/>
      <c r="K68" s="231"/>
      <c r="L68" s="235"/>
      <c r="M68" s="168">
        <f>ROUND(M65,2)</f>
        <v>0</v>
      </c>
      <c r="N68" s="165"/>
      <c r="O68" s="231"/>
      <c r="P68" s="235"/>
      <c r="Q68" s="168">
        <f>ROUND(Q65,2)</f>
        <v>0</v>
      </c>
    </row>
    <row r="69" spans="1:17" x14ac:dyDescent="0.2">
      <c r="A69" s="186"/>
      <c r="B69" s="241" t="s">
        <v>136</v>
      </c>
      <c r="C69" s="231"/>
      <c r="D69" s="235"/>
      <c r="E69" s="182">
        <f>ROUND(E66,2)</f>
        <v>0</v>
      </c>
      <c r="F69" s="183"/>
      <c r="G69" s="231"/>
      <c r="H69" s="235"/>
      <c r="I69" s="182">
        <f>ROUND(I66,2)</f>
        <v>0</v>
      </c>
      <c r="J69" s="183"/>
      <c r="K69" s="231"/>
      <c r="L69" s="235"/>
      <c r="M69" s="182">
        <f>ROUND(M66,2)</f>
        <v>0</v>
      </c>
      <c r="N69" s="183"/>
      <c r="O69" s="231"/>
      <c r="P69" s="235"/>
      <c r="Q69" s="182">
        <f>ROUND(Q66,2)</f>
        <v>0</v>
      </c>
    </row>
    <row r="70" spans="1:17" ht="16.5" thickBot="1" x14ac:dyDescent="0.25">
      <c r="A70" s="186"/>
      <c r="B70" s="242" t="s">
        <v>244</v>
      </c>
      <c r="C70" s="236"/>
      <c r="D70" s="237"/>
      <c r="E70" s="160">
        <f>ROUND(SUM(E67:E69),2)</f>
        <v>0</v>
      </c>
      <c r="F70" s="161"/>
      <c r="G70" s="236"/>
      <c r="H70" s="237"/>
      <c r="I70" s="160">
        <f>ROUND(SUM(I67:I69),2)</f>
        <v>0</v>
      </c>
      <c r="J70" s="161"/>
      <c r="K70" s="236"/>
      <c r="L70" s="237"/>
      <c r="M70" s="160">
        <f>ROUND(SUM(M67:M69),2)</f>
        <v>0</v>
      </c>
      <c r="N70" s="161"/>
      <c r="O70" s="236"/>
      <c r="P70" s="237"/>
      <c r="Q70" s="160">
        <f>ROUND(SUM(Q67:Q69),2)</f>
        <v>0</v>
      </c>
    </row>
    <row r="71" spans="1:17" ht="16.5" thickBot="1" x14ac:dyDescent="0.25">
      <c r="A71" s="186"/>
      <c r="B71" s="172"/>
      <c r="E71" s="251"/>
      <c r="F71" s="251"/>
      <c r="G71" s="251"/>
      <c r="H71" s="251"/>
      <c r="I71" s="251"/>
      <c r="J71" s="251"/>
      <c r="K71" s="251"/>
      <c r="L71" s="251"/>
      <c r="N71" s="187"/>
      <c r="O71" s="251"/>
      <c r="P71" s="251"/>
    </row>
    <row r="72" spans="1:17" ht="16.5" thickBot="1" x14ac:dyDescent="0.3">
      <c r="A72" s="186"/>
      <c r="B72" s="628" t="str">
        <f>B58</f>
        <v>CLIN 0001 (CPIF)                                                    TASK 1.08 BLACK LABEL HARDWARE &amp; SOFTWARE CERTIFICATION</v>
      </c>
      <c r="C72" s="614" t="s">
        <v>319</v>
      </c>
      <c r="D72" s="615"/>
      <c r="E72" s="616"/>
      <c r="F72" s="175"/>
      <c r="G72" s="614" t="s">
        <v>319</v>
      </c>
      <c r="H72" s="615"/>
      <c r="I72" s="616"/>
      <c r="J72" s="175"/>
      <c r="K72" s="614" t="s">
        <v>319</v>
      </c>
      <c r="L72" s="615"/>
      <c r="M72" s="616"/>
      <c r="N72" s="175"/>
      <c r="O72" s="614" t="s">
        <v>319</v>
      </c>
      <c r="P72" s="615"/>
      <c r="Q72" s="616"/>
    </row>
    <row r="73" spans="1:17" ht="33.75" customHeight="1" thickBot="1" x14ac:dyDescent="0.3">
      <c r="A73" s="186"/>
      <c r="B73" s="629"/>
      <c r="C73" s="280"/>
      <c r="D73" s="281"/>
      <c r="E73" s="188" t="s">
        <v>294</v>
      </c>
      <c r="F73" s="189"/>
      <c r="G73" s="280"/>
      <c r="H73" s="281"/>
      <c r="I73" s="188" t="s">
        <v>295</v>
      </c>
      <c r="J73" s="189"/>
      <c r="K73" s="280"/>
      <c r="L73" s="281"/>
      <c r="M73" s="188" t="s">
        <v>297</v>
      </c>
      <c r="N73" s="189"/>
      <c r="O73" s="280"/>
      <c r="P73" s="281"/>
      <c r="Q73" s="188" t="s">
        <v>304</v>
      </c>
    </row>
    <row r="74" spans="1:17" x14ac:dyDescent="0.2">
      <c r="A74" s="186"/>
      <c r="B74" s="167" t="s">
        <v>261</v>
      </c>
      <c r="C74" s="282"/>
      <c r="D74" s="282"/>
      <c r="E74" s="190">
        <f>+ROUND(E25+E39+E53+E67,2)</f>
        <v>0</v>
      </c>
      <c r="F74" s="165"/>
      <c r="G74" s="282"/>
      <c r="H74" s="282"/>
      <c r="I74" s="190">
        <f>+ROUND(I25+I39+I53+I67,2)</f>
        <v>0</v>
      </c>
      <c r="J74" s="165"/>
      <c r="K74" s="282"/>
      <c r="L74" s="282"/>
      <c r="M74" s="190">
        <f>+ROUND(M25+M39+M53+M67,2)</f>
        <v>0</v>
      </c>
      <c r="N74" s="165"/>
      <c r="O74" s="282"/>
      <c r="P74" s="282"/>
      <c r="Q74" s="190">
        <f>+ROUND(Q25+Q39+Q53+Q67,2)</f>
        <v>0</v>
      </c>
    </row>
    <row r="75" spans="1:17" x14ac:dyDescent="0.2">
      <c r="A75" s="186"/>
      <c r="B75" s="167" t="s">
        <v>137</v>
      </c>
      <c r="C75" s="282"/>
      <c r="D75" s="282"/>
      <c r="E75" s="168">
        <f>+ROUND(E26+E40+E54+E68,2)</f>
        <v>0</v>
      </c>
      <c r="F75" s="165"/>
      <c r="G75" s="282"/>
      <c r="H75" s="282"/>
      <c r="I75" s="168">
        <f>+ROUND(I26+I40+I54+I68,2)</f>
        <v>0</v>
      </c>
      <c r="J75" s="165"/>
      <c r="K75" s="282"/>
      <c r="L75" s="282"/>
      <c r="M75" s="168">
        <f>+ROUND(M26+M40+M54+M68,2)</f>
        <v>0</v>
      </c>
      <c r="N75" s="165"/>
      <c r="O75" s="282"/>
      <c r="P75" s="282"/>
      <c r="Q75" s="168">
        <f>+ROUND(Q26+Q40+Q54+Q68,2)</f>
        <v>0</v>
      </c>
    </row>
    <row r="76" spans="1:17" x14ac:dyDescent="0.2">
      <c r="A76" s="186"/>
      <c r="B76" s="167" t="s">
        <v>136</v>
      </c>
      <c r="C76" s="282"/>
      <c r="D76" s="282"/>
      <c r="E76" s="169">
        <f>+ROUND(E27+E41+E55+E69,2)</f>
        <v>0</v>
      </c>
      <c r="F76" s="170"/>
      <c r="G76" s="282"/>
      <c r="H76" s="282"/>
      <c r="I76" s="169">
        <f>+ROUND(I27+I41+I55+I69,2)</f>
        <v>0</v>
      </c>
      <c r="J76" s="170"/>
      <c r="K76" s="282"/>
      <c r="L76" s="282"/>
      <c r="M76" s="169">
        <f>+ROUND(M27+M41+M55+M69,2)</f>
        <v>0</v>
      </c>
      <c r="N76" s="170"/>
      <c r="O76" s="282"/>
      <c r="P76" s="282"/>
      <c r="Q76" s="169">
        <f>+ROUND(Q27+Q41+Q55+Q69,2)</f>
        <v>0</v>
      </c>
    </row>
    <row r="77" spans="1:17" ht="32.25" thickBot="1" x14ac:dyDescent="0.3">
      <c r="A77" s="186"/>
      <c r="B77" s="267" t="s">
        <v>501</v>
      </c>
      <c r="C77" s="283"/>
      <c r="D77" s="283"/>
      <c r="E77" s="266">
        <f>SUM(E74:E76)</f>
        <v>0</v>
      </c>
      <c r="F77" s="171"/>
      <c r="G77" s="283"/>
      <c r="H77" s="283"/>
      <c r="I77" s="266">
        <f>SUM(I74:I76)</f>
        <v>0</v>
      </c>
      <c r="J77" s="171"/>
      <c r="K77" s="283"/>
      <c r="L77" s="283"/>
      <c r="M77" s="266">
        <f>SUM(M74:M76)</f>
        <v>0</v>
      </c>
      <c r="N77" s="171"/>
      <c r="O77" s="283"/>
      <c r="P77" s="283"/>
      <c r="Q77" s="266">
        <f>SUM(Q74:Q76)</f>
        <v>0</v>
      </c>
    </row>
    <row r="78" spans="1:17" ht="16.5" thickBot="1" x14ac:dyDescent="0.3"/>
    <row r="79" spans="1:17" ht="31.5" x14ac:dyDescent="0.25">
      <c r="Q79" s="411" t="s">
        <v>502</v>
      </c>
    </row>
    <row r="80" spans="1:17" ht="16.5" thickBot="1" x14ac:dyDescent="0.3">
      <c r="Q80" s="410">
        <f>E77+I77+M77+Q77</f>
        <v>0</v>
      </c>
    </row>
  </sheetData>
  <mergeCells count="46">
    <mergeCell ref="C48:E48"/>
    <mergeCell ref="G48:I48"/>
    <mergeCell ref="K48:M48"/>
    <mergeCell ref="O48:Q48"/>
    <mergeCell ref="B44:B45"/>
    <mergeCell ref="C44:E44"/>
    <mergeCell ref="G44:I44"/>
    <mergeCell ref="K44:M44"/>
    <mergeCell ref="O44:Q44"/>
    <mergeCell ref="C45:E45"/>
    <mergeCell ref="G45:I45"/>
    <mergeCell ref="K45:M45"/>
    <mergeCell ref="O45:Q45"/>
    <mergeCell ref="O59:Q59"/>
    <mergeCell ref="O72:Q72"/>
    <mergeCell ref="O13:Q13"/>
    <mergeCell ref="O14:Q14"/>
    <mergeCell ref="O30:Q30"/>
    <mergeCell ref="O31:Q31"/>
    <mergeCell ref="O58:Q58"/>
    <mergeCell ref="C14:E14"/>
    <mergeCell ref="G14:I14"/>
    <mergeCell ref="K14:M14"/>
    <mergeCell ref="A3:C3"/>
    <mergeCell ref="B13:B14"/>
    <mergeCell ref="C13:E13"/>
    <mergeCell ref="G13:I13"/>
    <mergeCell ref="K13:M13"/>
    <mergeCell ref="B30:B31"/>
    <mergeCell ref="C30:E30"/>
    <mergeCell ref="G30:I30"/>
    <mergeCell ref="K30:M30"/>
    <mergeCell ref="C31:E31"/>
    <mergeCell ref="G31:I31"/>
    <mergeCell ref="K31:M31"/>
    <mergeCell ref="B58:B59"/>
    <mergeCell ref="C58:E58"/>
    <mergeCell ref="G58:I58"/>
    <mergeCell ref="K58:M58"/>
    <mergeCell ref="B72:B73"/>
    <mergeCell ref="C72:E72"/>
    <mergeCell ref="G72:I72"/>
    <mergeCell ref="K72:M72"/>
    <mergeCell ref="C59:E59"/>
    <mergeCell ref="G59:I59"/>
    <mergeCell ref="K59:M59"/>
  </mergeCells>
  <pageMargins left="0.7" right="0.7" top="0.75" bottom="0.75" header="0.3" footer="0.3"/>
  <pageSetup orientation="portrait" horizontalDpi="1200" verticalDpi="1200"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D66EE6-C460-4853-8840-D5A9BFA47E52}">
  <sheetPr>
    <tabColor theme="0"/>
  </sheetPr>
  <dimension ref="A1:Q80"/>
  <sheetViews>
    <sheetView zoomScale="80" zoomScaleNormal="80" workbookViewId="0">
      <pane ySplit="11" topLeftCell="A62" activePane="bottomLeft" state="frozen"/>
      <selection pane="bottomLeft" activeCell="P65" sqref="P65"/>
    </sheetView>
    <sheetView workbookViewId="1"/>
  </sheetViews>
  <sheetFormatPr defaultColWidth="15.85546875" defaultRowHeight="15.75" x14ac:dyDescent="0.25"/>
  <cols>
    <col min="1" max="1" width="3.42578125" style="191" customWidth="1"/>
    <col min="2" max="2" width="49.140625" style="174" customWidth="1"/>
    <col min="3" max="3" width="18.28515625" style="186" bestFit="1" customWidth="1"/>
    <col min="4" max="4" width="12.42578125" style="186" bestFit="1" customWidth="1"/>
    <col min="5" max="5" width="32.140625" style="186" bestFit="1" customWidth="1"/>
    <col min="6" max="6" width="1" style="186" customWidth="1"/>
    <col min="7" max="7" width="14.28515625" style="186" customWidth="1"/>
    <col min="8" max="8" width="14.5703125" style="186" customWidth="1"/>
    <col min="9" max="9" width="33.28515625" style="186" customWidth="1"/>
    <col min="10" max="10" width="1" style="186" customWidth="1"/>
    <col min="11" max="11" width="16.7109375" style="186" customWidth="1"/>
    <col min="12" max="12" width="16.28515625" style="186" customWidth="1"/>
    <col min="13" max="13" width="34" style="186" bestFit="1" customWidth="1"/>
    <col min="14" max="14" width="0.85546875" style="186" customWidth="1"/>
    <col min="15" max="15" width="12.85546875" style="186" bestFit="1" customWidth="1"/>
    <col min="16" max="16" width="12.42578125" style="186" bestFit="1" customWidth="1"/>
    <col min="17" max="17" width="34" style="186" bestFit="1" customWidth="1"/>
    <col min="18" max="16384" width="15.85546875" style="186"/>
  </cols>
  <sheetData>
    <row r="1" spans="1:17" ht="16.5" thickBot="1" x14ac:dyDescent="0.3">
      <c r="B1" s="126" t="s">
        <v>626</v>
      </c>
      <c r="C1" s="494" t="str">
        <f>'FFP CLINs X007-X021'!B1</f>
        <v>NAME</v>
      </c>
    </row>
    <row r="2" spans="1:17" ht="16.5" thickBot="1" x14ac:dyDescent="0.3"/>
    <row r="3" spans="1:17" ht="52.5" customHeight="1" thickBot="1" x14ac:dyDescent="0.3">
      <c r="A3" s="557" t="s">
        <v>303</v>
      </c>
      <c r="B3" s="558"/>
      <c r="C3" s="559"/>
      <c r="I3" s="251" t="s">
        <v>149</v>
      </c>
    </row>
    <row r="5" spans="1:17" s="259" customFormat="1" ht="17.25" customHeight="1" x14ac:dyDescent="0.2">
      <c r="A5" s="260"/>
      <c r="B5" s="261" t="s">
        <v>130</v>
      </c>
    </row>
    <row r="6" spans="1:17" s="259" customFormat="1" x14ac:dyDescent="0.25">
      <c r="A6" s="258"/>
      <c r="B6" s="258" t="s">
        <v>606</v>
      </c>
    </row>
    <row r="7" spans="1:17" s="259" customFormat="1" x14ac:dyDescent="0.25">
      <c r="A7" s="258"/>
      <c r="B7" s="258" t="s">
        <v>390</v>
      </c>
    </row>
    <row r="8" spans="1:17" s="259" customFormat="1" x14ac:dyDescent="0.25">
      <c r="A8" s="258"/>
      <c r="B8" s="258" t="s">
        <v>607</v>
      </c>
    </row>
    <row r="9" spans="1:17" s="259" customFormat="1" x14ac:dyDescent="0.25">
      <c r="A9" s="258"/>
      <c r="B9" s="258" t="s">
        <v>608</v>
      </c>
    </row>
    <row r="10" spans="1:17" x14ac:dyDescent="0.25">
      <c r="A10" s="192"/>
      <c r="B10" s="258" t="s">
        <v>609</v>
      </c>
      <c r="C10" s="194"/>
    </row>
    <row r="11" spans="1:17" x14ac:dyDescent="0.25">
      <c r="A11" s="192"/>
      <c r="B11" s="258" t="s">
        <v>503</v>
      </c>
      <c r="C11" s="194"/>
    </row>
    <row r="12" spans="1:17" ht="16.5" thickBot="1" x14ac:dyDescent="0.3"/>
    <row r="13" spans="1:17" ht="16.5" thickBot="1" x14ac:dyDescent="0.3">
      <c r="A13" s="193"/>
      <c r="B13" s="620" t="s">
        <v>504</v>
      </c>
      <c r="C13" s="594" t="s">
        <v>134</v>
      </c>
      <c r="D13" s="595"/>
      <c r="E13" s="596"/>
      <c r="F13" s="151"/>
      <c r="G13" s="594" t="s">
        <v>134</v>
      </c>
      <c r="H13" s="595"/>
      <c r="I13" s="596"/>
      <c r="J13" s="151"/>
      <c r="K13" s="594" t="s">
        <v>134</v>
      </c>
      <c r="L13" s="595"/>
      <c r="M13" s="596"/>
      <c r="N13" s="151"/>
      <c r="O13" s="594" t="s">
        <v>134</v>
      </c>
      <c r="P13" s="595"/>
      <c r="Q13" s="596"/>
    </row>
    <row r="14" spans="1:17" ht="32.25" customHeight="1" thickBot="1" x14ac:dyDescent="0.3">
      <c r="A14" s="193"/>
      <c r="B14" s="621"/>
      <c r="C14" s="617" t="s">
        <v>299</v>
      </c>
      <c r="D14" s="618"/>
      <c r="E14" s="619"/>
      <c r="F14" s="152"/>
      <c r="G14" s="617" t="s">
        <v>300</v>
      </c>
      <c r="H14" s="618"/>
      <c r="I14" s="619"/>
      <c r="J14" s="152"/>
      <c r="K14" s="617" t="s">
        <v>301</v>
      </c>
      <c r="L14" s="618"/>
      <c r="M14" s="619"/>
      <c r="N14" s="152"/>
      <c r="O14" s="617" t="s">
        <v>302</v>
      </c>
      <c r="P14" s="618"/>
      <c r="Q14" s="619"/>
    </row>
    <row r="15" spans="1:17" x14ac:dyDescent="0.25">
      <c r="A15" s="193"/>
      <c r="B15" s="153" t="s">
        <v>110</v>
      </c>
      <c r="C15" s="153" t="s">
        <v>91</v>
      </c>
      <c r="D15" s="154" t="s">
        <v>133</v>
      </c>
      <c r="E15" s="155" t="s">
        <v>139</v>
      </c>
      <c r="F15" s="156"/>
      <c r="G15" s="153" t="s">
        <v>91</v>
      </c>
      <c r="H15" s="154" t="s">
        <v>133</v>
      </c>
      <c r="I15" s="155" t="s">
        <v>139</v>
      </c>
      <c r="J15" s="156"/>
      <c r="K15" s="153" t="s">
        <v>91</v>
      </c>
      <c r="L15" s="154" t="s">
        <v>133</v>
      </c>
      <c r="M15" s="155" t="s">
        <v>139</v>
      </c>
      <c r="N15" s="156"/>
      <c r="O15" s="153" t="s">
        <v>91</v>
      </c>
      <c r="P15" s="154" t="s">
        <v>133</v>
      </c>
      <c r="Q15" s="155" t="s">
        <v>139</v>
      </c>
    </row>
    <row r="16" spans="1:17" ht="30" customHeight="1" thickBot="1" x14ac:dyDescent="0.3">
      <c r="A16" s="193"/>
      <c r="B16" s="203" t="s">
        <v>558</v>
      </c>
      <c r="C16" s="289"/>
      <c r="D16" s="290"/>
      <c r="E16" s="291"/>
      <c r="F16" s="156"/>
      <c r="G16" s="289"/>
      <c r="H16" s="290"/>
      <c r="I16" s="291"/>
      <c r="J16" s="156"/>
      <c r="K16" s="289"/>
      <c r="L16" s="290"/>
      <c r="M16" s="291"/>
      <c r="N16" s="156"/>
      <c r="O16" s="289"/>
      <c r="P16" s="290"/>
      <c r="Q16" s="291"/>
    </row>
    <row r="17" spans="1:17" ht="16.5" thickBot="1" x14ac:dyDescent="0.3">
      <c r="A17" s="193"/>
      <c r="B17" s="299" t="s">
        <v>151</v>
      </c>
      <c r="C17" s="163">
        <f>'PRIME CPIF LABOR INPUTS'!D196</f>
        <v>0</v>
      </c>
      <c r="D17" s="205"/>
      <c r="E17" s="164">
        <f>'PRIME CPIF LABOR INPUTS'!F196</f>
        <v>0</v>
      </c>
      <c r="F17" s="165"/>
      <c r="G17" s="163">
        <f>'PRIME CPIF LABOR INPUTS'!H196</f>
        <v>0</v>
      </c>
      <c r="H17" s="205"/>
      <c r="I17" s="164">
        <f>'PRIME CPIF LABOR INPUTS'!J196</f>
        <v>0</v>
      </c>
      <c r="J17" s="165"/>
      <c r="K17" s="163">
        <f>'PRIME CPIF LABOR INPUTS'!L196</f>
        <v>0</v>
      </c>
      <c r="L17" s="205"/>
      <c r="M17" s="164">
        <f>'PRIME CPIF LABOR INPUTS'!N196</f>
        <v>0</v>
      </c>
      <c r="N17" s="165"/>
      <c r="O17" s="163">
        <f>'PRIME CPIF LABOR INPUTS'!P196</f>
        <v>0</v>
      </c>
      <c r="P17" s="205"/>
      <c r="Q17" s="164">
        <f>'PRIME CPIF LABOR INPUTS'!R196</f>
        <v>0</v>
      </c>
    </row>
    <row r="18" spans="1:17" x14ac:dyDescent="0.25">
      <c r="A18" s="193"/>
      <c r="B18" s="204"/>
      <c r="C18" s="153" t="s">
        <v>399</v>
      </c>
      <c r="D18" s="154" t="s">
        <v>396</v>
      </c>
      <c r="E18" s="155" t="s">
        <v>398</v>
      </c>
      <c r="F18" s="166"/>
      <c r="G18" s="153" t="s">
        <v>399</v>
      </c>
      <c r="H18" s="154" t="s">
        <v>396</v>
      </c>
      <c r="I18" s="155" t="s">
        <v>398</v>
      </c>
      <c r="J18" s="166"/>
      <c r="K18" s="153" t="s">
        <v>399</v>
      </c>
      <c r="L18" s="154" t="s">
        <v>396</v>
      </c>
      <c r="M18" s="155" t="s">
        <v>398</v>
      </c>
      <c r="N18" s="166"/>
      <c r="O18" s="153" t="s">
        <v>399</v>
      </c>
      <c r="P18" s="154" t="s">
        <v>396</v>
      </c>
      <c r="Q18" s="155" t="s">
        <v>398</v>
      </c>
    </row>
    <row r="19" spans="1:17" ht="64.5" customHeight="1" x14ac:dyDescent="0.25">
      <c r="A19" s="193"/>
      <c r="B19" s="344" t="s">
        <v>611</v>
      </c>
      <c r="C19" s="199"/>
      <c r="D19" s="200"/>
      <c r="E19" s="201"/>
      <c r="F19" s="202"/>
      <c r="G19" s="199"/>
      <c r="H19" s="200"/>
      <c r="I19" s="201"/>
      <c r="J19" s="202"/>
      <c r="K19" s="199"/>
      <c r="L19" s="200"/>
      <c r="M19" s="201"/>
      <c r="N19" s="202"/>
      <c r="O19" s="199"/>
      <c r="P19" s="200"/>
      <c r="Q19" s="201"/>
    </row>
    <row r="20" spans="1:17" x14ac:dyDescent="0.25">
      <c r="A20" s="193"/>
      <c r="B20" s="167" t="str">
        <f>'PRIME CPIF RATES (ALL)'!B35</f>
        <v>Indirect Labor Category:  [Labor Fringe]</v>
      </c>
      <c r="C20" s="215">
        <f>+E17</f>
        <v>0</v>
      </c>
      <c r="D20" s="243">
        <f>'PRIME CPIF RATES (ALL)'!C35</f>
        <v>0</v>
      </c>
      <c r="E20" s="168">
        <f>ROUND(C20*D20,2)</f>
        <v>0</v>
      </c>
      <c r="F20" s="165"/>
      <c r="G20" s="215">
        <f>+I17</f>
        <v>0</v>
      </c>
      <c r="H20" s="243">
        <f>'PRIME CPIF RATES (ALL)'!D35</f>
        <v>0</v>
      </c>
      <c r="I20" s="168">
        <f>ROUND(G20*H20,2)</f>
        <v>0</v>
      </c>
      <c r="J20" s="165"/>
      <c r="K20" s="215">
        <f>+M17</f>
        <v>0</v>
      </c>
      <c r="L20" s="243">
        <f>'PRIME CPIF RATES (ALL)'!E35</f>
        <v>0</v>
      </c>
      <c r="M20" s="168">
        <f>ROUND(K20*L20,2)</f>
        <v>0</v>
      </c>
      <c r="N20" s="165"/>
      <c r="O20" s="215">
        <f>+Q17</f>
        <v>0</v>
      </c>
      <c r="P20" s="243">
        <f>'PRIME CPIF RATES (ALL)'!F35</f>
        <v>0</v>
      </c>
      <c r="Q20" s="168">
        <f>ROUND(O20*P20,2)</f>
        <v>0</v>
      </c>
    </row>
    <row r="21" spans="1:17" x14ac:dyDescent="0.25">
      <c r="A21" s="193"/>
      <c r="B21" s="167" t="str">
        <f>'PRIME CPIF RATES (ALL)'!B36</f>
        <v>Indirect Labor Category: [Labor Overhead]</v>
      </c>
      <c r="C21" s="215">
        <f>+C20+E20</f>
        <v>0</v>
      </c>
      <c r="D21" s="243">
        <f>'PRIME CPIF RATES (ALL)'!C36</f>
        <v>0</v>
      </c>
      <c r="E21" s="168">
        <f>ROUND(C21*D21,2)</f>
        <v>0</v>
      </c>
      <c r="F21" s="165"/>
      <c r="G21" s="215">
        <f>+G20+I20</f>
        <v>0</v>
      </c>
      <c r="H21" s="243">
        <f>'PRIME CPIF RATES (ALL)'!D36</f>
        <v>0</v>
      </c>
      <c r="I21" s="168">
        <f>ROUND(G21*H21,2)</f>
        <v>0</v>
      </c>
      <c r="J21" s="165"/>
      <c r="K21" s="215">
        <f>+K20+M20</f>
        <v>0</v>
      </c>
      <c r="L21" s="243">
        <f>'PRIME CPIF RATES (ALL)'!E36</f>
        <v>0</v>
      </c>
      <c r="M21" s="168">
        <f>ROUND(K21*L21,2)</f>
        <v>0</v>
      </c>
      <c r="N21" s="165"/>
      <c r="O21" s="215">
        <f>+O20+Q20</f>
        <v>0</v>
      </c>
      <c r="P21" s="243">
        <f>'PRIME CPIF RATES (ALL)'!F36</f>
        <v>0</v>
      </c>
      <c r="Q21" s="168">
        <f>ROUND(O21*P21,2)</f>
        <v>0</v>
      </c>
    </row>
    <row r="22" spans="1:17" x14ac:dyDescent="0.25">
      <c r="A22" s="193"/>
      <c r="B22" s="167" t="str">
        <f>'PRIME CPIF RATES (ALL)'!B37</f>
        <v>Indirect Labor Category: [G&amp;A]</v>
      </c>
      <c r="C22" s="215">
        <f>+C21+E21</f>
        <v>0</v>
      </c>
      <c r="D22" s="243">
        <f>'PRIME CPIF RATES (ALL)'!C37</f>
        <v>0</v>
      </c>
      <c r="E22" s="168">
        <f>ROUND(C22*D22,2)</f>
        <v>0</v>
      </c>
      <c r="F22" s="165"/>
      <c r="G22" s="215">
        <f>+G21+I21</f>
        <v>0</v>
      </c>
      <c r="H22" s="243">
        <f>'PRIME CPIF RATES (ALL)'!D37</f>
        <v>0</v>
      </c>
      <c r="I22" s="168">
        <f>ROUND(G22*H22,2)</f>
        <v>0</v>
      </c>
      <c r="J22" s="165"/>
      <c r="K22" s="215">
        <f>+K21+M21</f>
        <v>0</v>
      </c>
      <c r="L22" s="243">
        <f>'PRIME CPIF RATES (ALL)'!E37</f>
        <v>0</v>
      </c>
      <c r="M22" s="168">
        <f>ROUND(K22*L22,2)</f>
        <v>0</v>
      </c>
      <c r="N22" s="165"/>
      <c r="O22" s="215">
        <f>+O21+Q21</f>
        <v>0</v>
      </c>
      <c r="P22" s="243">
        <f>'PRIME CPIF RATES (ALL)'!F37</f>
        <v>0</v>
      </c>
      <c r="Q22" s="168">
        <f>ROUND(O22*P22,2)</f>
        <v>0</v>
      </c>
    </row>
    <row r="23" spans="1:17" x14ac:dyDescent="0.25">
      <c r="A23" s="193"/>
      <c r="B23" s="167" t="str">
        <f>'PRIME CPIF RATES (ALL)'!B38</f>
        <v>Indirect Labor Category: [FCCOM]</v>
      </c>
      <c r="C23" s="215">
        <f>C22+E22</f>
        <v>0</v>
      </c>
      <c r="D23" s="243">
        <f>'PRIME CPIF RATES (ALL)'!C38</f>
        <v>0</v>
      </c>
      <c r="E23" s="168">
        <f>ROUND(C23*D23,2)</f>
        <v>0</v>
      </c>
      <c r="F23" s="165"/>
      <c r="G23" s="215">
        <f>G22+I22</f>
        <v>0</v>
      </c>
      <c r="H23" s="243">
        <f>'PRIME CPIF RATES (ALL)'!D38</f>
        <v>0</v>
      </c>
      <c r="I23" s="168">
        <f>ROUND(G23*H23,2)</f>
        <v>0</v>
      </c>
      <c r="J23" s="165"/>
      <c r="K23" s="215">
        <f>K22+M22</f>
        <v>0</v>
      </c>
      <c r="L23" s="243">
        <f>'PRIME CPIF RATES (ALL)'!E38</f>
        <v>0</v>
      </c>
      <c r="M23" s="168">
        <f>ROUND(K23*L23,2)</f>
        <v>0</v>
      </c>
      <c r="N23" s="165"/>
      <c r="O23" s="215">
        <f>O22+Q22</f>
        <v>0</v>
      </c>
      <c r="P23" s="243">
        <f>'PRIME CPIF RATES (ALL)'!F38</f>
        <v>0</v>
      </c>
      <c r="Q23" s="168">
        <f>ROUND(O23*P23,2)</f>
        <v>0</v>
      </c>
    </row>
    <row r="24" spans="1:17" x14ac:dyDescent="0.25">
      <c r="A24" s="193"/>
      <c r="B24" s="167" t="str">
        <f>'PRIME CPIF RATES (ALL)'!B39</f>
        <v>Indirect Labor Category: [Target Fee]</v>
      </c>
      <c r="C24" s="215">
        <f>+C22+E22</f>
        <v>0</v>
      </c>
      <c r="D24" s="243">
        <f>'PRIME CPIF RATES (ALL)'!C39</f>
        <v>0</v>
      </c>
      <c r="E24" s="168">
        <f>ROUND(C24*D24,2)</f>
        <v>0</v>
      </c>
      <c r="F24" s="165"/>
      <c r="G24" s="215">
        <f>+G22+I22</f>
        <v>0</v>
      </c>
      <c r="H24" s="243">
        <f>'PRIME CPIF RATES (ALL)'!D39</f>
        <v>0</v>
      </c>
      <c r="I24" s="168">
        <f>ROUND(G24*H24,2)</f>
        <v>0</v>
      </c>
      <c r="J24" s="165"/>
      <c r="K24" s="215">
        <f>+K22+M22</f>
        <v>0</v>
      </c>
      <c r="L24" s="243">
        <f>'PRIME CPIF RATES (ALL)'!E39</f>
        <v>0</v>
      </c>
      <c r="M24" s="168">
        <f>ROUND(K24*L24,2)</f>
        <v>0</v>
      </c>
      <c r="N24" s="165"/>
      <c r="O24" s="215">
        <f>+O22+Q22</f>
        <v>0</v>
      </c>
      <c r="P24" s="243">
        <f>'PRIME CPIF RATES (ALL)'!F39</f>
        <v>0</v>
      </c>
      <c r="Q24" s="168">
        <f>ROUND(O24*P24,2)</f>
        <v>0</v>
      </c>
    </row>
    <row r="25" spans="1:17" x14ac:dyDescent="0.25">
      <c r="A25" s="193"/>
      <c r="B25" s="262" t="s">
        <v>258</v>
      </c>
      <c r="C25" s="210"/>
      <c r="D25" s="211"/>
      <c r="E25" s="230">
        <f>ROUND(SUM(E17,E20,E21,E22),2)</f>
        <v>0</v>
      </c>
      <c r="F25" s="165"/>
      <c r="G25" s="206"/>
      <c r="H25" s="207"/>
      <c r="I25" s="230">
        <f>ROUND(SUM(I17,I20,I21,I22),2)</f>
        <v>0</v>
      </c>
      <c r="J25" s="165"/>
      <c r="K25" s="206"/>
      <c r="L25" s="207"/>
      <c r="M25" s="230">
        <f>ROUND(SUM(M17,M20,M21,M22),2)</f>
        <v>0</v>
      </c>
      <c r="N25" s="165"/>
      <c r="O25" s="206"/>
      <c r="P25" s="207"/>
      <c r="Q25" s="230">
        <f>ROUND(SUM(Q17,Q20,Q21,Q22),2)</f>
        <v>0</v>
      </c>
    </row>
    <row r="26" spans="1:17" x14ac:dyDescent="0.25">
      <c r="A26" s="193"/>
      <c r="B26" s="262" t="s">
        <v>137</v>
      </c>
      <c r="C26" s="210"/>
      <c r="D26" s="211"/>
      <c r="E26" s="230">
        <f>ROUND(E23,2)</f>
        <v>0</v>
      </c>
      <c r="F26" s="165"/>
      <c r="G26" s="206"/>
      <c r="H26" s="207"/>
      <c r="I26" s="230">
        <f>ROUND(I23,2)</f>
        <v>0</v>
      </c>
      <c r="J26" s="165"/>
      <c r="K26" s="206"/>
      <c r="L26" s="207"/>
      <c r="M26" s="230">
        <f>ROUND(M23,2)</f>
        <v>0</v>
      </c>
      <c r="N26" s="165"/>
      <c r="O26" s="206"/>
      <c r="P26" s="207"/>
      <c r="Q26" s="230">
        <f>ROUND(Q23,2)</f>
        <v>0</v>
      </c>
    </row>
    <row r="27" spans="1:17" x14ac:dyDescent="0.25">
      <c r="A27" s="193"/>
      <c r="B27" s="262" t="s">
        <v>136</v>
      </c>
      <c r="C27" s="210"/>
      <c r="D27" s="211"/>
      <c r="E27" s="245">
        <f>ROUND(E24,2)</f>
        <v>0</v>
      </c>
      <c r="F27" s="170"/>
      <c r="G27" s="206"/>
      <c r="H27" s="207"/>
      <c r="I27" s="245">
        <f>ROUND(I24,2)</f>
        <v>0</v>
      </c>
      <c r="J27" s="170"/>
      <c r="K27" s="206"/>
      <c r="L27" s="207"/>
      <c r="M27" s="245">
        <f>ROUND(M24,2)</f>
        <v>0</v>
      </c>
      <c r="N27" s="170"/>
      <c r="O27" s="206"/>
      <c r="P27" s="207"/>
      <c r="Q27" s="245">
        <f>ROUND(Q24,2)</f>
        <v>0</v>
      </c>
    </row>
    <row r="28" spans="1:17" ht="16.5" thickBot="1" x14ac:dyDescent="0.3">
      <c r="A28" s="193"/>
      <c r="B28" s="263" t="s">
        <v>138</v>
      </c>
      <c r="C28" s="212"/>
      <c r="D28" s="213"/>
      <c r="E28" s="246">
        <f>ROUND(SUM(E25:E27),2)</f>
        <v>0</v>
      </c>
      <c r="F28" s="171"/>
      <c r="G28" s="208"/>
      <c r="H28" s="209"/>
      <c r="I28" s="246">
        <f>ROUND(SUM(I25:I27),2)</f>
        <v>0</v>
      </c>
      <c r="J28" s="171"/>
      <c r="K28" s="208"/>
      <c r="L28" s="209"/>
      <c r="M28" s="246">
        <f>ROUND(SUM(M25:M27),2)</f>
        <v>0</v>
      </c>
      <c r="N28" s="171"/>
      <c r="O28" s="208"/>
      <c r="P28" s="209"/>
      <c r="Q28" s="246">
        <f>ROUND(SUM(Q25:Q27),2)</f>
        <v>0</v>
      </c>
    </row>
    <row r="29" spans="1:17" ht="16.5" thickBot="1" x14ac:dyDescent="0.3">
      <c r="A29" s="193"/>
      <c r="B29" s="172"/>
      <c r="C29" s="173"/>
      <c r="D29" s="173"/>
      <c r="E29" s="256"/>
      <c r="F29" s="256"/>
      <c r="G29" s="256"/>
      <c r="H29" s="256"/>
      <c r="I29" s="256"/>
      <c r="J29" s="256"/>
      <c r="K29" s="256"/>
      <c r="L29" s="173"/>
      <c r="M29" s="173"/>
      <c r="N29" s="256"/>
      <c r="O29" s="256"/>
      <c r="P29" s="173"/>
      <c r="Q29" s="173"/>
    </row>
    <row r="30" spans="1:17" ht="16.5" customHeight="1" thickBot="1" x14ac:dyDescent="0.3">
      <c r="A30" s="193"/>
      <c r="B30" s="620" t="str">
        <f>B13</f>
        <v>CLIN 0001 (CPIF)                                                    TASK 1.09 SYSTEMS ENGINEERING AND PROGRAM MANAGEMENT</v>
      </c>
      <c r="C30" s="594" t="s">
        <v>145</v>
      </c>
      <c r="D30" s="595"/>
      <c r="E30" s="596"/>
      <c r="F30" s="175"/>
      <c r="G30" s="594" t="s">
        <v>145</v>
      </c>
      <c r="H30" s="595"/>
      <c r="I30" s="596"/>
      <c r="J30" s="175"/>
      <c r="K30" s="594" t="s">
        <v>145</v>
      </c>
      <c r="L30" s="595"/>
      <c r="M30" s="596"/>
      <c r="N30" s="175"/>
      <c r="O30" s="594" t="s">
        <v>145</v>
      </c>
      <c r="P30" s="595"/>
      <c r="Q30" s="596"/>
    </row>
    <row r="31" spans="1:17" ht="32.25" customHeight="1" thickBot="1" x14ac:dyDescent="0.3">
      <c r="A31" s="193"/>
      <c r="B31" s="621"/>
      <c r="C31" s="617" t="str">
        <f>C14</f>
        <v>CLIN 0001 - Basic Period (Year 1)</v>
      </c>
      <c r="D31" s="618"/>
      <c r="E31" s="619"/>
      <c r="F31" s="176"/>
      <c r="G31" s="617" t="str">
        <f>G14</f>
        <v>CLIN 0001 - Basic Period (Year 2)</v>
      </c>
      <c r="H31" s="618"/>
      <c r="I31" s="619"/>
      <c r="J31" s="176"/>
      <c r="K31" s="617" t="str">
        <f>K14</f>
        <v>CLIN 0001 - Basic Period (Year 3)</v>
      </c>
      <c r="L31" s="618"/>
      <c r="M31" s="619"/>
      <c r="N31" s="176"/>
      <c r="O31" s="617" t="str">
        <f>O14</f>
        <v>CLIN 0001 - Basic Period (Year 4)</v>
      </c>
      <c r="P31" s="618"/>
      <c r="Q31" s="619"/>
    </row>
    <row r="32" spans="1:17" x14ac:dyDescent="0.25">
      <c r="A32" s="193"/>
      <c r="B32" s="247"/>
      <c r="C32" s="153" t="s">
        <v>399</v>
      </c>
      <c r="D32" s="154" t="s">
        <v>396</v>
      </c>
      <c r="E32" s="155" t="s">
        <v>152</v>
      </c>
      <c r="F32" s="166"/>
      <c r="G32" s="153" t="s">
        <v>399</v>
      </c>
      <c r="H32" s="154" t="s">
        <v>396</v>
      </c>
      <c r="I32" s="155" t="s">
        <v>152</v>
      </c>
      <c r="J32" s="166"/>
      <c r="K32" s="153" t="s">
        <v>399</v>
      </c>
      <c r="L32" s="154" t="s">
        <v>396</v>
      </c>
      <c r="M32" s="155" t="s">
        <v>152</v>
      </c>
      <c r="N32" s="166"/>
      <c r="O32" s="153" t="s">
        <v>399</v>
      </c>
      <c r="P32" s="154" t="s">
        <v>396</v>
      </c>
      <c r="Q32" s="155" t="s">
        <v>152</v>
      </c>
    </row>
    <row r="33" spans="1:17" ht="51.75" x14ac:dyDescent="0.25">
      <c r="A33" s="193"/>
      <c r="B33" s="300" t="s">
        <v>612</v>
      </c>
      <c r="C33" s="231"/>
      <c r="D33" s="232"/>
      <c r="E33" s="216">
        <f>'PRIME CPIF TOTAL MATERIAL'!E19</f>
        <v>0</v>
      </c>
      <c r="F33" s="165"/>
      <c r="G33" s="231"/>
      <c r="H33" s="232"/>
      <c r="I33" s="216">
        <f>'PRIME CPIF TOTAL MATERIAL'!G19</f>
        <v>0</v>
      </c>
      <c r="J33" s="165"/>
      <c r="K33" s="231"/>
      <c r="L33" s="232"/>
      <c r="M33" s="216">
        <f>'PRIME CPIF TOTAL MATERIAL'!I19</f>
        <v>0</v>
      </c>
      <c r="N33" s="165"/>
      <c r="O33" s="231"/>
      <c r="P33" s="232"/>
      <c r="Q33" s="216">
        <f>'PRIME CPIF TOTAL MATERIAL'!K19</f>
        <v>0</v>
      </c>
    </row>
    <row r="34" spans="1:17" ht="67.5" customHeight="1" x14ac:dyDescent="0.25">
      <c r="A34" s="193" t="s">
        <v>5</v>
      </c>
      <c r="B34" s="344" t="s">
        <v>389</v>
      </c>
      <c r="C34" s="405"/>
      <c r="D34" s="406"/>
      <c r="E34" s="400"/>
      <c r="F34" s="165"/>
      <c r="G34" s="405"/>
      <c r="H34" s="406"/>
      <c r="I34" s="400"/>
      <c r="J34" s="165"/>
      <c r="K34" s="405"/>
      <c r="L34" s="406"/>
      <c r="M34" s="400"/>
      <c r="N34" s="165"/>
      <c r="O34" s="405"/>
      <c r="P34" s="406"/>
      <c r="Q34" s="400"/>
    </row>
    <row r="35" spans="1:17" x14ac:dyDescent="0.25">
      <c r="A35" s="193"/>
      <c r="B35" s="167" t="str">
        <f>'PRIME CPIF RATES (ALL)'!B52</f>
        <v>Indirect Category: [Material Overhead]</v>
      </c>
      <c r="C35" s="215">
        <f>+E33</f>
        <v>0</v>
      </c>
      <c r="D35" s="243">
        <f>'PRIME CPIF RATES (ALL)'!C52</f>
        <v>0</v>
      </c>
      <c r="E35" s="168">
        <f>ROUND(C35*D35,2)</f>
        <v>0</v>
      </c>
      <c r="F35" s="178"/>
      <c r="G35" s="215">
        <f>+I33</f>
        <v>0</v>
      </c>
      <c r="H35" s="243">
        <f>'PRIME CPIF RATES (ALL)'!D52</f>
        <v>0</v>
      </c>
      <c r="I35" s="168">
        <f>ROUND(G35*H35,2)</f>
        <v>0</v>
      </c>
      <c r="J35" s="178"/>
      <c r="K35" s="215">
        <f>+M33</f>
        <v>0</v>
      </c>
      <c r="L35" s="243">
        <f>'PRIME CPIF RATES (ALL)'!E52</f>
        <v>0</v>
      </c>
      <c r="M35" s="168">
        <f>ROUND(K35*L35,2)</f>
        <v>0</v>
      </c>
      <c r="N35" s="178"/>
      <c r="O35" s="215">
        <f>+Q33</f>
        <v>0</v>
      </c>
      <c r="P35" s="243">
        <f>'PRIME CPIF RATES (ALL)'!F52</f>
        <v>0</v>
      </c>
      <c r="Q35" s="168">
        <f>ROUND(O35*P35,2)</f>
        <v>0</v>
      </c>
    </row>
    <row r="36" spans="1:17" x14ac:dyDescent="0.25">
      <c r="A36" s="193"/>
      <c r="B36" s="167" t="str">
        <f>'PRIME CPIF RATES (ALL)'!B53</f>
        <v>Indirect Category: [G&amp;A]</v>
      </c>
      <c r="C36" s="215">
        <f>+C35+E35</f>
        <v>0</v>
      </c>
      <c r="D36" s="243">
        <f>'PRIME CPIF RATES (ALL)'!C53</f>
        <v>0</v>
      </c>
      <c r="E36" s="168">
        <f>ROUND(C36*D36,2)</f>
        <v>0</v>
      </c>
      <c r="F36" s="178"/>
      <c r="G36" s="215">
        <f>+G35+I35</f>
        <v>0</v>
      </c>
      <c r="H36" s="243">
        <f>'PRIME CPIF RATES (ALL)'!D53</f>
        <v>0</v>
      </c>
      <c r="I36" s="168">
        <f>ROUND(G36*H36,2)</f>
        <v>0</v>
      </c>
      <c r="J36" s="178"/>
      <c r="K36" s="215">
        <f>+K35+M35</f>
        <v>0</v>
      </c>
      <c r="L36" s="243">
        <f>'PRIME CPIF RATES (ALL)'!E53</f>
        <v>0</v>
      </c>
      <c r="M36" s="168">
        <f>ROUND(K36*L36,2)</f>
        <v>0</v>
      </c>
      <c r="N36" s="178"/>
      <c r="O36" s="215">
        <f>+O35+Q35</f>
        <v>0</v>
      </c>
      <c r="P36" s="243">
        <f>'PRIME CPIF RATES (ALL)'!F53</f>
        <v>0</v>
      </c>
      <c r="Q36" s="168">
        <f>ROUND(O36*P36,2)</f>
        <v>0</v>
      </c>
    </row>
    <row r="37" spans="1:17" x14ac:dyDescent="0.25">
      <c r="A37" s="193"/>
      <c r="B37" s="167" t="str">
        <f>'PRIME CPIF RATES (ALL)'!B54</f>
        <v>Indirect Category: [FCCOM]</v>
      </c>
      <c r="C37" s="215">
        <f>C36+E36</f>
        <v>0</v>
      </c>
      <c r="D37" s="243">
        <f>'PRIME CPIF RATES (ALL)'!C54</f>
        <v>0</v>
      </c>
      <c r="E37" s="168">
        <f>ROUND(C37*D37,2)</f>
        <v>0</v>
      </c>
      <c r="F37" s="165"/>
      <c r="G37" s="215">
        <f>G36+I36</f>
        <v>0</v>
      </c>
      <c r="H37" s="243">
        <f>'PRIME CPIF RATES (ALL)'!D54</f>
        <v>0</v>
      </c>
      <c r="I37" s="168">
        <f>ROUND(G37*H37,2)</f>
        <v>0</v>
      </c>
      <c r="J37" s="165"/>
      <c r="K37" s="215">
        <f>K36+M36</f>
        <v>0</v>
      </c>
      <c r="L37" s="243">
        <f>'PRIME CPIF RATES (ALL)'!E54</f>
        <v>0</v>
      </c>
      <c r="M37" s="168">
        <f>ROUND(K37*L37,2)</f>
        <v>0</v>
      </c>
      <c r="N37" s="165"/>
      <c r="O37" s="215">
        <f>O36+Q36</f>
        <v>0</v>
      </c>
      <c r="P37" s="243">
        <f>'PRIME CPIF RATES (ALL)'!F54</f>
        <v>0</v>
      </c>
      <c r="Q37" s="168">
        <f>ROUND(O37*P37,2)</f>
        <v>0</v>
      </c>
    </row>
    <row r="38" spans="1:17" x14ac:dyDescent="0.25">
      <c r="A38" s="193"/>
      <c r="B38" s="167" t="str">
        <f>'PRIME CPIF RATES (ALL)'!B55</f>
        <v>Indirect Category: [Target Fee]</v>
      </c>
      <c r="C38" s="215">
        <f>+C36+E36</f>
        <v>0</v>
      </c>
      <c r="D38" s="243">
        <f>'PRIME CPIF RATES (ALL)'!C55</f>
        <v>0</v>
      </c>
      <c r="E38" s="168">
        <f>ROUND(C38*D38,2)</f>
        <v>0</v>
      </c>
      <c r="F38" s="165"/>
      <c r="G38" s="215">
        <f>+G36+I36</f>
        <v>0</v>
      </c>
      <c r="H38" s="243">
        <f>'PRIME CPIF RATES (ALL)'!D55</f>
        <v>0</v>
      </c>
      <c r="I38" s="168">
        <f>ROUND(G38*H38,2)</f>
        <v>0</v>
      </c>
      <c r="J38" s="165"/>
      <c r="K38" s="215">
        <f>+K36+M36</f>
        <v>0</v>
      </c>
      <c r="L38" s="243">
        <f>'PRIME CPIF RATES (ALL)'!E55</f>
        <v>0</v>
      </c>
      <c r="M38" s="168">
        <f>ROUND(K38*L38,2)</f>
        <v>0</v>
      </c>
      <c r="N38" s="165"/>
      <c r="O38" s="215">
        <f>+O36+Q36</f>
        <v>0</v>
      </c>
      <c r="P38" s="243">
        <f>'PRIME CPIF RATES (ALL)'!F55</f>
        <v>0</v>
      </c>
      <c r="Q38" s="168">
        <f>ROUND(O38*P38,2)</f>
        <v>0</v>
      </c>
    </row>
    <row r="39" spans="1:17" x14ac:dyDescent="0.25">
      <c r="A39" s="193"/>
      <c r="B39" s="241" t="s">
        <v>259</v>
      </c>
      <c r="C39" s="233"/>
      <c r="D39" s="234"/>
      <c r="E39" s="168">
        <f>ROUND(SUM(E33:E36),2)</f>
        <v>0</v>
      </c>
      <c r="F39" s="165"/>
      <c r="G39" s="233"/>
      <c r="H39" s="234"/>
      <c r="I39" s="168">
        <f>ROUND(SUM(I33:I36),2)</f>
        <v>0</v>
      </c>
      <c r="J39" s="165"/>
      <c r="K39" s="233"/>
      <c r="L39" s="234"/>
      <c r="M39" s="168">
        <f>ROUND(SUM(M33:M36),2)</f>
        <v>0</v>
      </c>
      <c r="N39" s="165"/>
      <c r="O39" s="233"/>
      <c r="P39" s="234"/>
      <c r="Q39" s="168">
        <f>ROUND(SUM(Q33:Q36),2)</f>
        <v>0</v>
      </c>
    </row>
    <row r="40" spans="1:17" x14ac:dyDescent="0.25">
      <c r="A40" s="193"/>
      <c r="B40" s="241" t="s">
        <v>137</v>
      </c>
      <c r="C40" s="231"/>
      <c r="D40" s="235"/>
      <c r="E40" s="168">
        <f>ROUND(E37,2)</f>
        <v>0</v>
      </c>
      <c r="F40" s="165"/>
      <c r="G40" s="231"/>
      <c r="H40" s="235"/>
      <c r="I40" s="168">
        <f>ROUND(I37,2)</f>
        <v>0</v>
      </c>
      <c r="J40" s="165"/>
      <c r="K40" s="231"/>
      <c r="L40" s="235"/>
      <c r="M40" s="168">
        <f>ROUND(M37,2)</f>
        <v>0</v>
      </c>
      <c r="N40" s="165"/>
      <c r="O40" s="231"/>
      <c r="P40" s="235"/>
      <c r="Q40" s="168">
        <f>ROUND(Q37,2)</f>
        <v>0</v>
      </c>
    </row>
    <row r="41" spans="1:17" x14ac:dyDescent="0.2">
      <c r="B41" s="241" t="s">
        <v>136</v>
      </c>
      <c r="C41" s="231"/>
      <c r="D41" s="235"/>
      <c r="E41" s="182">
        <f>ROUND(E38,2)</f>
        <v>0</v>
      </c>
      <c r="F41" s="183"/>
      <c r="G41" s="231"/>
      <c r="H41" s="235"/>
      <c r="I41" s="182">
        <f>ROUND(I38,2)</f>
        <v>0</v>
      </c>
      <c r="J41" s="183"/>
      <c r="K41" s="231"/>
      <c r="L41" s="235"/>
      <c r="M41" s="182">
        <f>ROUND(M38,2)</f>
        <v>0</v>
      </c>
      <c r="N41" s="183"/>
      <c r="O41" s="231"/>
      <c r="P41" s="235"/>
      <c r="Q41" s="182">
        <f>ROUND(Q38,2)</f>
        <v>0</v>
      </c>
    </row>
    <row r="42" spans="1:17" ht="16.5" thickBot="1" x14ac:dyDescent="0.25">
      <c r="B42" s="242" t="s">
        <v>243</v>
      </c>
      <c r="C42" s="236"/>
      <c r="D42" s="237"/>
      <c r="E42" s="160">
        <f>SUM(E39:E41)</f>
        <v>0</v>
      </c>
      <c r="F42" s="161"/>
      <c r="G42" s="236"/>
      <c r="H42" s="237"/>
      <c r="I42" s="160">
        <f>SUM(I39:I41)</f>
        <v>0</v>
      </c>
      <c r="J42" s="161"/>
      <c r="K42" s="236"/>
      <c r="L42" s="237"/>
      <c r="M42" s="160">
        <f>SUM(M39:M41)</f>
        <v>0</v>
      </c>
      <c r="N42" s="161"/>
      <c r="O42" s="236"/>
      <c r="P42" s="237"/>
      <c r="Q42" s="160">
        <f>SUM(Q39:Q41)</f>
        <v>0</v>
      </c>
    </row>
    <row r="43" spans="1:17" ht="16.5" thickBot="1" x14ac:dyDescent="0.25">
      <c r="B43" s="172"/>
      <c r="E43" s="251"/>
      <c r="F43" s="251"/>
      <c r="G43" s="251"/>
      <c r="H43" s="251"/>
      <c r="I43" s="251"/>
      <c r="J43" s="251"/>
      <c r="K43" s="251"/>
      <c r="N43" s="251"/>
      <c r="O43" s="251"/>
    </row>
    <row r="44" spans="1:17" ht="16.5" thickBot="1" x14ac:dyDescent="0.3">
      <c r="B44" s="620" t="str">
        <f>B13</f>
        <v>CLIN 0001 (CPIF)                                                    TASK 1.09 SYSTEMS ENGINEERING AND PROGRAM MANAGEMENT</v>
      </c>
      <c r="C44" s="594" t="s">
        <v>318</v>
      </c>
      <c r="D44" s="595"/>
      <c r="E44" s="596"/>
      <c r="F44" s="175"/>
      <c r="G44" s="594" t="s">
        <v>318</v>
      </c>
      <c r="H44" s="595"/>
      <c r="I44" s="596"/>
      <c r="J44" s="175"/>
      <c r="K44" s="594" t="s">
        <v>318</v>
      </c>
      <c r="L44" s="595"/>
      <c r="M44" s="596"/>
      <c r="N44" s="175"/>
      <c r="O44" s="594" t="s">
        <v>318</v>
      </c>
      <c r="P44" s="595"/>
      <c r="Q44" s="596"/>
    </row>
    <row r="45" spans="1:17" ht="27.75" customHeight="1" thickBot="1" x14ac:dyDescent="0.3">
      <c r="B45" s="621"/>
      <c r="C45" s="617" t="str">
        <f>C31</f>
        <v>CLIN 0001 - Basic Period (Year 1)</v>
      </c>
      <c r="D45" s="618"/>
      <c r="E45" s="619"/>
      <c r="F45" s="176"/>
      <c r="G45" s="617" t="str">
        <f>G31</f>
        <v>CLIN 0001 - Basic Period (Year 2)</v>
      </c>
      <c r="H45" s="618"/>
      <c r="I45" s="619"/>
      <c r="J45" s="176"/>
      <c r="K45" s="617" t="str">
        <f>K31</f>
        <v>CLIN 0001 - Basic Period (Year 3)</v>
      </c>
      <c r="L45" s="618"/>
      <c r="M45" s="619"/>
      <c r="N45" s="176"/>
      <c r="O45" s="617" t="str">
        <f>O31</f>
        <v>CLIN 0001 - Basic Period (Year 4)</v>
      </c>
      <c r="P45" s="618"/>
      <c r="Q45" s="619"/>
    </row>
    <row r="46" spans="1:17" x14ac:dyDescent="0.25">
      <c r="B46" s="248"/>
      <c r="C46" s="153" t="s">
        <v>399</v>
      </c>
      <c r="D46" s="154" t="s">
        <v>396</v>
      </c>
      <c r="E46" s="155" t="s">
        <v>397</v>
      </c>
      <c r="F46" s="166"/>
      <c r="G46" s="153" t="s">
        <v>399</v>
      </c>
      <c r="H46" s="154" t="s">
        <v>396</v>
      </c>
      <c r="I46" s="155" t="s">
        <v>397</v>
      </c>
      <c r="J46" s="166"/>
      <c r="K46" s="153" t="s">
        <v>399</v>
      </c>
      <c r="L46" s="154" t="s">
        <v>396</v>
      </c>
      <c r="M46" s="155" t="s">
        <v>397</v>
      </c>
      <c r="N46" s="166"/>
      <c r="O46" s="153" t="s">
        <v>399</v>
      </c>
      <c r="P46" s="154" t="s">
        <v>396</v>
      </c>
      <c r="Q46" s="155" t="s">
        <v>397</v>
      </c>
    </row>
    <row r="47" spans="1:17" ht="25.5" x14ac:dyDescent="0.2">
      <c r="B47" s="300" t="s">
        <v>560</v>
      </c>
      <c r="C47" s="285"/>
      <c r="D47" s="285"/>
      <c r="E47" s="345">
        <f>'PRIME CPIF TOTAL SUB'!E19</f>
        <v>0</v>
      </c>
      <c r="F47" s="288"/>
      <c r="G47" s="231"/>
      <c r="H47" s="285"/>
      <c r="I47" s="345">
        <f>'PRIME CPIF TOTAL SUB'!G19</f>
        <v>0</v>
      </c>
      <c r="J47" s="288"/>
      <c r="K47" s="231"/>
      <c r="L47" s="285"/>
      <c r="M47" s="345">
        <f>'PRIME CPIF TOTAL SUB'!I19</f>
        <v>0</v>
      </c>
      <c r="N47" s="165"/>
      <c r="O47" s="231"/>
      <c r="P47" s="285"/>
      <c r="Q47" s="345">
        <f>'PRIME CPIF TOTAL SUB'!K19</f>
        <v>0</v>
      </c>
    </row>
    <row r="48" spans="1:17" ht="77.25" thickBot="1" x14ac:dyDescent="0.25">
      <c r="B48" s="344" t="s">
        <v>613</v>
      </c>
      <c r="C48" s="405" t="s">
        <v>5</v>
      </c>
      <c r="D48" s="406"/>
      <c r="E48" s="465"/>
      <c r="F48" s="178"/>
      <c r="G48" s="627"/>
      <c r="H48" s="625"/>
      <c r="I48" s="626"/>
      <c r="J48" s="178"/>
      <c r="K48" s="627"/>
      <c r="L48" s="625"/>
      <c r="M48" s="626"/>
      <c r="N48" s="178"/>
      <c r="O48" s="627"/>
      <c r="P48" s="625"/>
      <c r="Q48" s="626"/>
    </row>
    <row r="49" spans="1:17" x14ac:dyDescent="0.2">
      <c r="B49" s="351" t="str">
        <f>'PRIME CPIF RATES (ALL)'!B44</f>
        <v>Indirect Category: [Overhead]</v>
      </c>
      <c r="C49" s="466">
        <f>E47</f>
        <v>0</v>
      </c>
      <c r="D49" s="467">
        <f>'PRIME CPIF RATES (ALL)'!C44</f>
        <v>0</v>
      </c>
      <c r="E49" s="168">
        <f>ROUND(C49*D49,2)</f>
        <v>0</v>
      </c>
      <c r="F49" s="178"/>
      <c r="G49" s="215">
        <f>I47</f>
        <v>0</v>
      </c>
      <c r="H49" s="243">
        <f>'PRIME CPIF RATES (ALL)'!D44</f>
        <v>0</v>
      </c>
      <c r="I49" s="168">
        <f>ROUND(G49*H49,2)</f>
        <v>0</v>
      </c>
      <c r="J49" s="178"/>
      <c r="K49" s="215">
        <f>M47</f>
        <v>0</v>
      </c>
      <c r="L49" s="243">
        <f>'PRIME CPIF RATES (ALL)'!E44</f>
        <v>0</v>
      </c>
      <c r="M49" s="168">
        <f>ROUND(K49*L49,2)</f>
        <v>0</v>
      </c>
      <c r="N49" s="178"/>
      <c r="O49" s="215">
        <f>Q47</f>
        <v>0</v>
      </c>
      <c r="P49" s="243">
        <f>'PRIME CPIF RATES (ALL)'!F44</f>
        <v>0</v>
      </c>
      <c r="Q49" s="168">
        <f>ROUND(O49*P49,2)</f>
        <v>0</v>
      </c>
    </row>
    <row r="50" spans="1:17" x14ac:dyDescent="0.2">
      <c r="B50" s="351" t="str">
        <f>'PRIME CPIF RATES (ALL)'!B45</f>
        <v>Indirect Category: [G&amp;A]</v>
      </c>
      <c r="C50" s="215">
        <f>C49+E49</f>
        <v>0</v>
      </c>
      <c r="D50" s="243">
        <f>'PRIME CPIF RATES (ALL)'!C45</f>
        <v>0</v>
      </c>
      <c r="E50" s="168">
        <f>ROUND(C50*D50,2)</f>
        <v>0</v>
      </c>
      <c r="F50" s="288"/>
      <c r="G50" s="215">
        <f>G49+I49</f>
        <v>0</v>
      </c>
      <c r="H50" s="243">
        <f>'PRIME CPIF RATES (ALL)'!D45</f>
        <v>0</v>
      </c>
      <c r="I50" s="168">
        <f>ROUND(G50*H50,2)</f>
        <v>0</v>
      </c>
      <c r="J50" s="288"/>
      <c r="K50" s="215">
        <f>K49+M49</f>
        <v>0</v>
      </c>
      <c r="L50" s="243">
        <f>'PRIME CPIF RATES (ALL)'!E45</f>
        <v>0</v>
      </c>
      <c r="M50" s="168">
        <f>ROUND(K50*L50,2)</f>
        <v>0</v>
      </c>
      <c r="N50" s="165"/>
      <c r="O50" s="215">
        <f>O49+Q49</f>
        <v>0</v>
      </c>
      <c r="P50" s="243">
        <f>'PRIME CPIF RATES (ALL)'!F45</f>
        <v>0</v>
      </c>
      <c r="Q50" s="168">
        <f>ROUND(O50*P50,2)</f>
        <v>0</v>
      </c>
    </row>
    <row r="51" spans="1:17" x14ac:dyDescent="0.2">
      <c r="B51" s="351" t="str">
        <f>'PRIME CPIF RATES (ALL)'!B46</f>
        <v>Indirect Category: [FCCOM]</v>
      </c>
      <c r="C51" s="215">
        <f>C50+E50</f>
        <v>0</v>
      </c>
      <c r="D51" s="243">
        <f>'PRIME CPIF RATES (ALL)'!C46</f>
        <v>0</v>
      </c>
      <c r="E51" s="353">
        <f>ROUND(C51*D51,2)</f>
        <v>0</v>
      </c>
      <c r="F51" s="288"/>
      <c r="G51" s="215">
        <f>G50+I50</f>
        <v>0</v>
      </c>
      <c r="H51" s="243">
        <f>'PRIME CPIF RATES (ALL)'!D46</f>
        <v>0</v>
      </c>
      <c r="I51" s="353">
        <f>ROUND(G51*H51,2)</f>
        <v>0</v>
      </c>
      <c r="J51" s="288"/>
      <c r="K51" s="215">
        <f>K50+M50</f>
        <v>0</v>
      </c>
      <c r="L51" s="243">
        <f>'PRIME CPIF RATES (ALL)'!E46</f>
        <v>0</v>
      </c>
      <c r="M51" s="353">
        <f>ROUND(K51*L51,2)</f>
        <v>0</v>
      </c>
      <c r="N51" s="165"/>
      <c r="O51" s="215">
        <f>O50+Q50</f>
        <v>0</v>
      </c>
      <c r="P51" s="243">
        <f>'PRIME CPIF RATES (ALL)'!F46</f>
        <v>0</v>
      </c>
      <c r="Q51" s="353">
        <f>ROUND(O51*P51,2)</f>
        <v>0</v>
      </c>
    </row>
    <row r="52" spans="1:17" ht="16.5" thickBot="1" x14ac:dyDescent="0.25">
      <c r="B52" s="167" t="str">
        <f>'PRIME CPIF RATES (ALL)'!B47</f>
        <v>Indirect Category: [Target Fee]</v>
      </c>
      <c r="C52" s="468">
        <f>C50+E50</f>
        <v>0</v>
      </c>
      <c r="D52" s="469">
        <f>'PRIME CPIF RATES (ALL)'!C47</f>
        <v>0</v>
      </c>
      <c r="E52" s="353">
        <f>ROUND(C52*D52,2)</f>
        <v>0</v>
      </c>
      <c r="F52" s="288"/>
      <c r="G52" s="214">
        <f>G50+I50</f>
        <v>0</v>
      </c>
      <c r="H52" s="354">
        <f>'PRIME CPIF RATES (ALL)'!D47</f>
        <v>0</v>
      </c>
      <c r="I52" s="353">
        <f>ROUND(G52*H52,2)</f>
        <v>0</v>
      </c>
      <c r="J52" s="288"/>
      <c r="K52" s="214">
        <f>K50+M50</f>
        <v>0</v>
      </c>
      <c r="L52" s="354">
        <f>'PRIME CPIF RATES (ALL)'!E47</f>
        <v>0</v>
      </c>
      <c r="M52" s="353">
        <f>ROUND(K52*L52,2)</f>
        <v>0</v>
      </c>
      <c r="N52" s="165"/>
      <c r="O52" s="214">
        <f>O50+Q50</f>
        <v>0</v>
      </c>
      <c r="P52" s="354">
        <f>'PRIME CPIF RATES (ALL)'!F47</f>
        <v>0</v>
      </c>
      <c r="Q52" s="353">
        <f>ROUND(O52*P52,2)</f>
        <v>0</v>
      </c>
    </row>
    <row r="53" spans="1:17" x14ac:dyDescent="0.2">
      <c r="B53" s="241" t="s">
        <v>320</v>
      </c>
      <c r="C53" s="231"/>
      <c r="D53" s="235"/>
      <c r="E53" s="168">
        <f>ROUND(E47+E49+E50,2)</f>
        <v>0</v>
      </c>
      <c r="F53" s="288"/>
      <c r="G53" s="233"/>
      <c r="H53" s="234"/>
      <c r="I53" s="168">
        <f>ROUND(I47+I49+I50,2)</f>
        <v>0</v>
      </c>
      <c r="J53" s="288"/>
      <c r="K53" s="233"/>
      <c r="L53" s="234"/>
      <c r="M53" s="168">
        <f>ROUND(M47+M49+M50,2)</f>
        <v>0</v>
      </c>
      <c r="N53" s="165"/>
      <c r="O53" s="233"/>
      <c r="P53" s="234"/>
      <c r="Q53" s="168">
        <f>ROUND(Q47+Q49+Q50,2)</f>
        <v>0</v>
      </c>
    </row>
    <row r="54" spans="1:17" x14ac:dyDescent="0.2">
      <c r="B54" s="241" t="s">
        <v>298</v>
      </c>
      <c r="C54" s="231"/>
      <c r="D54" s="235"/>
      <c r="E54" s="168">
        <f>ROUND(E51,2)</f>
        <v>0</v>
      </c>
      <c r="F54" s="288"/>
      <c r="G54" s="231"/>
      <c r="H54" s="235"/>
      <c r="I54" s="168">
        <f>ROUND(I51,2)</f>
        <v>0</v>
      </c>
      <c r="J54" s="288"/>
      <c r="K54" s="231"/>
      <c r="L54" s="235"/>
      <c r="M54" s="168">
        <f>ROUND(M51,2)</f>
        <v>0</v>
      </c>
      <c r="N54" s="165"/>
      <c r="O54" s="231"/>
      <c r="P54" s="235"/>
      <c r="Q54" s="168">
        <f>ROUND(Q51,2)</f>
        <v>0</v>
      </c>
    </row>
    <row r="55" spans="1:17" x14ac:dyDescent="0.2">
      <c r="B55" s="241" t="s">
        <v>136</v>
      </c>
      <c r="C55" s="231"/>
      <c r="D55" s="235"/>
      <c r="E55" s="182">
        <f>ROUND(E52,2)</f>
        <v>0</v>
      </c>
      <c r="F55" s="183"/>
      <c r="G55" s="231"/>
      <c r="H55" s="235"/>
      <c r="I55" s="182">
        <f>ROUND(I52,2)</f>
        <v>0</v>
      </c>
      <c r="J55" s="183"/>
      <c r="K55" s="231"/>
      <c r="L55" s="235"/>
      <c r="M55" s="182">
        <f>ROUND(M52,2)</f>
        <v>0</v>
      </c>
      <c r="N55" s="183"/>
      <c r="O55" s="231"/>
      <c r="P55" s="235"/>
      <c r="Q55" s="182">
        <f>ROUND(Q52,2)</f>
        <v>0</v>
      </c>
    </row>
    <row r="56" spans="1:17" ht="16.5" thickBot="1" x14ac:dyDescent="0.25">
      <c r="B56" s="242" t="s">
        <v>321</v>
      </c>
      <c r="C56" s="236"/>
      <c r="D56" s="237"/>
      <c r="E56" s="160">
        <f>ROUND(SUM(E53:E55),2)</f>
        <v>0</v>
      </c>
      <c r="F56" s="161"/>
      <c r="G56" s="236"/>
      <c r="H56" s="237"/>
      <c r="I56" s="160">
        <f>ROUND(SUM(I53:I55),2)</f>
        <v>0</v>
      </c>
      <c r="J56" s="161"/>
      <c r="K56" s="236"/>
      <c r="L56" s="237"/>
      <c r="M56" s="160">
        <f>ROUND(SUM(M53:M55),2)</f>
        <v>0</v>
      </c>
      <c r="N56" s="161"/>
      <c r="O56" s="236"/>
      <c r="P56" s="237"/>
      <c r="Q56" s="160">
        <f>ROUND(SUM(Q53:Q55),2)</f>
        <v>0</v>
      </c>
    </row>
    <row r="57" spans="1:17" ht="16.5" thickBot="1" x14ac:dyDescent="0.25">
      <c r="B57" s="172"/>
      <c r="E57" s="251"/>
      <c r="F57" s="251"/>
      <c r="G57" s="251"/>
      <c r="H57" s="251"/>
      <c r="I57" s="251"/>
      <c r="J57" s="251"/>
      <c r="K57" s="251"/>
      <c r="N57" s="251"/>
      <c r="O57" s="251"/>
    </row>
    <row r="58" spans="1:17" ht="16.5" customHeight="1" thickBot="1" x14ac:dyDescent="0.3">
      <c r="A58" s="193"/>
      <c r="B58" s="620" t="str">
        <f>B30</f>
        <v>CLIN 0001 (CPIF)                                                    TASK 1.09 SYSTEMS ENGINEERING AND PROGRAM MANAGEMENT</v>
      </c>
      <c r="C58" s="594" t="s">
        <v>146</v>
      </c>
      <c r="D58" s="595"/>
      <c r="E58" s="596"/>
      <c r="F58" s="175"/>
      <c r="G58" s="594" t="s">
        <v>147</v>
      </c>
      <c r="H58" s="595"/>
      <c r="I58" s="596"/>
      <c r="J58" s="175"/>
      <c r="K58" s="594" t="s">
        <v>147</v>
      </c>
      <c r="L58" s="595"/>
      <c r="M58" s="596"/>
      <c r="N58" s="175"/>
      <c r="O58" s="594" t="s">
        <v>147</v>
      </c>
      <c r="P58" s="595"/>
      <c r="Q58" s="596"/>
    </row>
    <row r="59" spans="1:17" ht="33.75" customHeight="1" thickBot="1" x14ac:dyDescent="0.3">
      <c r="A59" s="193"/>
      <c r="B59" s="621"/>
      <c r="C59" s="617" t="str">
        <f>C31</f>
        <v>CLIN 0001 - Basic Period (Year 1)</v>
      </c>
      <c r="D59" s="618"/>
      <c r="E59" s="619"/>
      <c r="F59" s="176"/>
      <c r="G59" s="617" t="str">
        <f>G31</f>
        <v>CLIN 0001 - Basic Period (Year 2)</v>
      </c>
      <c r="H59" s="618"/>
      <c r="I59" s="619"/>
      <c r="J59" s="176"/>
      <c r="K59" s="617" t="str">
        <f>K31</f>
        <v>CLIN 0001 - Basic Period (Year 3)</v>
      </c>
      <c r="L59" s="618"/>
      <c r="M59" s="619"/>
      <c r="N59" s="176"/>
      <c r="O59" s="617" t="str">
        <f>O31</f>
        <v>CLIN 0001 - Basic Period (Year 4)</v>
      </c>
      <c r="P59" s="618"/>
      <c r="Q59" s="619"/>
    </row>
    <row r="60" spans="1:17" x14ac:dyDescent="0.25">
      <c r="A60" s="193"/>
      <c r="B60" s="248"/>
      <c r="C60" s="153" t="s">
        <v>399</v>
      </c>
      <c r="D60" s="154" t="s">
        <v>396</v>
      </c>
      <c r="E60" s="155" t="s">
        <v>153</v>
      </c>
      <c r="F60" s="166"/>
      <c r="G60" s="153" t="s">
        <v>399</v>
      </c>
      <c r="H60" s="154" t="s">
        <v>396</v>
      </c>
      <c r="I60" s="155" t="s">
        <v>153</v>
      </c>
      <c r="J60" s="166"/>
      <c r="K60" s="153" t="s">
        <v>399</v>
      </c>
      <c r="L60" s="154" t="s">
        <v>396</v>
      </c>
      <c r="M60" s="155" t="s">
        <v>153</v>
      </c>
      <c r="N60" s="166"/>
      <c r="O60" s="153" t="s">
        <v>399</v>
      </c>
      <c r="P60" s="154" t="s">
        <v>396</v>
      </c>
      <c r="Q60" s="155" t="s">
        <v>153</v>
      </c>
    </row>
    <row r="61" spans="1:17" ht="26.25" x14ac:dyDescent="0.25">
      <c r="A61" s="193"/>
      <c r="B61" s="300" t="s">
        <v>561</v>
      </c>
      <c r="C61" s="285"/>
      <c r="D61" s="285"/>
      <c r="E61" s="401">
        <f>'PRIME CPIF TOTAL ODC'!E19</f>
        <v>0</v>
      </c>
      <c r="F61" s="165"/>
      <c r="G61" s="285"/>
      <c r="H61" s="285"/>
      <c r="I61" s="401">
        <f>'PRIME CPIF TOTAL ODC'!G19</f>
        <v>0</v>
      </c>
      <c r="J61" s="165"/>
      <c r="K61" s="285"/>
      <c r="L61" s="285"/>
      <c r="M61" s="400">
        <f>'PRIME CPIF TOTAL ODC'!I19</f>
        <v>0</v>
      </c>
      <c r="N61" s="165"/>
      <c r="O61" s="285"/>
      <c r="P61" s="285"/>
      <c r="Q61" s="400">
        <f>'PRIME CPIF TOTAL ODC'!K19</f>
        <v>0</v>
      </c>
    </row>
    <row r="62" spans="1:17" ht="66" customHeight="1" thickBot="1" x14ac:dyDescent="0.3">
      <c r="A62" s="193"/>
      <c r="B62" s="490" t="s">
        <v>614</v>
      </c>
      <c r="C62" s="405"/>
      <c r="D62" s="406"/>
      <c r="E62" s="465"/>
      <c r="F62" s="288"/>
      <c r="G62" s="405"/>
      <c r="H62" s="404"/>
      <c r="I62" s="403"/>
      <c r="J62" s="288"/>
      <c r="K62" s="405"/>
      <c r="L62" s="404"/>
      <c r="M62" s="400"/>
      <c r="N62" s="165"/>
      <c r="O62" s="405"/>
      <c r="P62" s="404"/>
      <c r="Q62" s="400"/>
    </row>
    <row r="63" spans="1:17" x14ac:dyDescent="0.25">
      <c r="A63" s="193"/>
      <c r="B63" s="167" t="s">
        <v>125</v>
      </c>
      <c r="C63" s="466">
        <f>+E61</f>
        <v>0</v>
      </c>
      <c r="D63" s="467">
        <f>'PRIME CPIF RATES (ALL)'!C60</f>
        <v>0</v>
      </c>
      <c r="E63" s="168">
        <f>ROUND(C63*D63,2)</f>
        <v>0</v>
      </c>
      <c r="F63" s="178"/>
      <c r="G63" s="466">
        <f>+I61</f>
        <v>0</v>
      </c>
      <c r="H63" s="467">
        <f>'PRIME CPIF RATES (ALL)'!D60</f>
        <v>0</v>
      </c>
      <c r="I63" s="168">
        <f>ROUND(G63*H63,2)</f>
        <v>0</v>
      </c>
      <c r="J63" s="178"/>
      <c r="K63" s="466">
        <f>+M61</f>
        <v>0</v>
      </c>
      <c r="L63" s="467">
        <f>'PRIME CPIF RATES (ALL)'!E60</f>
        <v>0</v>
      </c>
      <c r="M63" s="168">
        <f>ROUND(K63*L63,2)</f>
        <v>0</v>
      </c>
      <c r="N63" s="178"/>
      <c r="O63" s="466">
        <f>+Q61</f>
        <v>0</v>
      </c>
      <c r="P63" s="467">
        <f>'PRIME CPIF RATES (ALL)'!F60</f>
        <v>0</v>
      </c>
      <c r="Q63" s="168">
        <f>ROUND(O63*P63,2)</f>
        <v>0</v>
      </c>
    </row>
    <row r="64" spans="1:17" x14ac:dyDescent="0.25">
      <c r="A64" s="193"/>
      <c r="B64" s="167" t="s">
        <v>126</v>
      </c>
      <c r="C64" s="215">
        <f>+C63+E63</f>
        <v>0</v>
      </c>
      <c r="D64" s="243">
        <f>'PRIME CPIF RATES (ALL)'!C61</f>
        <v>0</v>
      </c>
      <c r="E64" s="168">
        <f>ROUND(C64*D64,2)</f>
        <v>0</v>
      </c>
      <c r="F64" s="178"/>
      <c r="G64" s="215">
        <f>+G63+I63</f>
        <v>0</v>
      </c>
      <c r="H64" s="243">
        <f>'PRIME CPIF RATES (ALL)'!D61</f>
        <v>0</v>
      </c>
      <c r="I64" s="168">
        <f>ROUND(G64*H64,2)</f>
        <v>0</v>
      </c>
      <c r="J64" s="178"/>
      <c r="K64" s="215">
        <f>+K63+M63</f>
        <v>0</v>
      </c>
      <c r="L64" s="243">
        <f>'PRIME CPIF RATES (ALL)'!E61</f>
        <v>0</v>
      </c>
      <c r="M64" s="168">
        <f>ROUND(K64*L64,2)</f>
        <v>0</v>
      </c>
      <c r="N64" s="178"/>
      <c r="O64" s="215">
        <f>+O63+Q63</f>
        <v>0</v>
      </c>
      <c r="P64" s="243">
        <f>'PRIME CPIF RATES (ALL)'!F61</f>
        <v>0</v>
      </c>
      <c r="Q64" s="168">
        <f>ROUND(O64*P64,2)</f>
        <v>0</v>
      </c>
    </row>
    <row r="65" spans="1:17" x14ac:dyDescent="0.25">
      <c r="A65" s="193"/>
      <c r="B65" s="167" t="s">
        <v>566</v>
      </c>
      <c r="C65" s="215">
        <f>C64+E64</f>
        <v>0</v>
      </c>
      <c r="D65" s="243">
        <f>'PRIME CPIF RATES (ALL)'!C62</f>
        <v>0</v>
      </c>
      <c r="E65" s="168">
        <f>ROUND(C65*D65,2)</f>
        <v>0</v>
      </c>
      <c r="F65" s="165"/>
      <c r="G65" s="215">
        <f>G64+I64</f>
        <v>0</v>
      </c>
      <c r="H65" s="243">
        <f>'PRIME CPIF RATES (ALL)'!D62</f>
        <v>0</v>
      </c>
      <c r="I65" s="168">
        <f>ROUND(G65*H65,2)</f>
        <v>0</v>
      </c>
      <c r="J65" s="165"/>
      <c r="K65" s="215">
        <f>K64+M64</f>
        <v>0</v>
      </c>
      <c r="L65" s="243">
        <f>'PRIME CPIF RATES (ALL)'!E62</f>
        <v>0</v>
      </c>
      <c r="M65" s="168">
        <f>ROUND(K65*L65,2)</f>
        <v>0</v>
      </c>
      <c r="N65" s="165"/>
      <c r="O65" s="215">
        <f>O64+Q64</f>
        <v>0</v>
      </c>
      <c r="P65" s="243">
        <f>'PRIME CPIF RATES (ALL)'!F62</f>
        <v>0</v>
      </c>
      <c r="Q65" s="168">
        <f>ROUND(O65*P65,2)</f>
        <v>0</v>
      </c>
    </row>
    <row r="66" spans="1:17" x14ac:dyDescent="0.25">
      <c r="A66" s="193"/>
      <c r="B66" s="167" t="s">
        <v>127</v>
      </c>
      <c r="C66" s="215">
        <f>+C64+E64</f>
        <v>0</v>
      </c>
      <c r="D66" s="354">
        <f>'PRIME CPIF RATES (ALL)'!C63</f>
        <v>0</v>
      </c>
      <c r="E66" s="168">
        <f>ROUND(C66*D66,2)</f>
        <v>0</v>
      </c>
      <c r="F66" s="165"/>
      <c r="G66" s="215">
        <f>+G64+I64</f>
        <v>0</v>
      </c>
      <c r="H66" s="354">
        <f>'PRIME CPIF RATES (ALL)'!D63</f>
        <v>0</v>
      </c>
      <c r="I66" s="168">
        <f>ROUND(G66*H66,2)</f>
        <v>0</v>
      </c>
      <c r="J66" s="165"/>
      <c r="K66" s="215">
        <f>+K64+M64</f>
        <v>0</v>
      </c>
      <c r="L66" s="354">
        <f>'PRIME CPIF RATES (ALL)'!E63</f>
        <v>0</v>
      </c>
      <c r="M66" s="168">
        <f>ROUND(K66*L66,2)</f>
        <v>0</v>
      </c>
      <c r="N66" s="165"/>
      <c r="O66" s="215">
        <f>+O64+Q64</f>
        <v>0</v>
      </c>
      <c r="P66" s="354">
        <f>'PRIME CPIF RATES (ALL)'!F63</f>
        <v>0</v>
      </c>
      <c r="Q66" s="168">
        <f>ROUND(O66*P66,2)</f>
        <v>0</v>
      </c>
    </row>
    <row r="67" spans="1:17" x14ac:dyDescent="0.25">
      <c r="A67" s="193"/>
      <c r="B67" s="241" t="s">
        <v>260</v>
      </c>
      <c r="C67" s="233"/>
      <c r="D67" s="234"/>
      <c r="E67" s="168">
        <f>ROUND(SUM(E61:E64),2)</f>
        <v>0</v>
      </c>
      <c r="F67" s="165"/>
      <c r="G67" s="233"/>
      <c r="H67" s="234"/>
      <c r="I67" s="168">
        <f>ROUND(SUM(I61:I64),2)</f>
        <v>0</v>
      </c>
      <c r="J67" s="165"/>
      <c r="K67" s="233"/>
      <c r="L67" s="234"/>
      <c r="M67" s="168">
        <f>ROUND(SUM(M61:M64),2)</f>
        <v>0</v>
      </c>
      <c r="N67" s="165"/>
      <c r="O67" s="233"/>
      <c r="P67" s="234"/>
      <c r="Q67" s="168">
        <f>ROUND(SUM(Q61:Q64),2)</f>
        <v>0</v>
      </c>
    </row>
    <row r="68" spans="1:17" x14ac:dyDescent="0.25">
      <c r="A68" s="193"/>
      <c r="B68" s="241" t="s">
        <v>137</v>
      </c>
      <c r="C68" s="231"/>
      <c r="D68" s="235"/>
      <c r="E68" s="168">
        <f>ROUND(E65,2)</f>
        <v>0</v>
      </c>
      <c r="F68" s="165"/>
      <c r="G68" s="231"/>
      <c r="H68" s="235"/>
      <c r="I68" s="168">
        <f>ROUND(I65,2)</f>
        <v>0</v>
      </c>
      <c r="J68" s="165"/>
      <c r="K68" s="231"/>
      <c r="L68" s="235"/>
      <c r="M68" s="168">
        <f>ROUND(M65,2)</f>
        <v>0</v>
      </c>
      <c r="N68" s="165"/>
      <c r="O68" s="231"/>
      <c r="P68" s="235"/>
      <c r="Q68" s="168">
        <f>ROUND(Q65,2)</f>
        <v>0</v>
      </c>
    </row>
    <row r="69" spans="1:17" x14ac:dyDescent="0.2">
      <c r="A69" s="186"/>
      <c r="B69" s="241" t="s">
        <v>136</v>
      </c>
      <c r="C69" s="231"/>
      <c r="D69" s="235"/>
      <c r="E69" s="182">
        <f>ROUND(E66,2)</f>
        <v>0</v>
      </c>
      <c r="F69" s="183"/>
      <c r="G69" s="231"/>
      <c r="H69" s="235"/>
      <c r="I69" s="182">
        <f>ROUND(I66,2)</f>
        <v>0</v>
      </c>
      <c r="J69" s="183"/>
      <c r="K69" s="231"/>
      <c r="L69" s="235"/>
      <c r="M69" s="182">
        <f>ROUND(M66,2)</f>
        <v>0</v>
      </c>
      <c r="N69" s="183"/>
      <c r="O69" s="231"/>
      <c r="P69" s="235"/>
      <c r="Q69" s="182">
        <f>ROUND(Q66,2)</f>
        <v>0</v>
      </c>
    </row>
    <row r="70" spans="1:17" ht="16.5" thickBot="1" x14ac:dyDescent="0.25">
      <c r="A70" s="186"/>
      <c r="B70" s="242" t="s">
        <v>244</v>
      </c>
      <c r="C70" s="236"/>
      <c r="D70" s="237"/>
      <c r="E70" s="160">
        <f>ROUND(SUM(E67:E69),2)</f>
        <v>0</v>
      </c>
      <c r="F70" s="161"/>
      <c r="G70" s="236"/>
      <c r="H70" s="237"/>
      <c r="I70" s="160">
        <f>ROUND(SUM(I67:I69),2)</f>
        <v>0</v>
      </c>
      <c r="J70" s="161"/>
      <c r="K70" s="236"/>
      <c r="L70" s="237"/>
      <c r="M70" s="160">
        <f>ROUND(SUM(M67:M69),2)</f>
        <v>0</v>
      </c>
      <c r="N70" s="161"/>
      <c r="O70" s="236"/>
      <c r="P70" s="237"/>
      <c r="Q70" s="160">
        <f>ROUND(SUM(Q67:Q69),2)</f>
        <v>0</v>
      </c>
    </row>
    <row r="71" spans="1:17" ht="16.5" thickBot="1" x14ac:dyDescent="0.25">
      <c r="A71" s="186"/>
      <c r="B71" s="172"/>
      <c r="E71" s="251"/>
      <c r="F71" s="251"/>
      <c r="G71" s="251"/>
      <c r="H71" s="251"/>
      <c r="I71" s="251"/>
      <c r="J71" s="251"/>
      <c r="K71" s="251"/>
      <c r="N71" s="251"/>
      <c r="O71" s="251"/>
    </row>
    <row r="72" spans="1:17" ht="16.5" thickBot="1" x14ac:dyDescent="0.3">
      <c r="A72" s="186"/>
      <c r="B72" s="628" t="str">
        <f>B58</f>
        <v>CLIN 0001 (CPIF)                                                    TASK 1.09 SYSTEMS ENGINEERING AND PROGRAM MANAGEMENT</v>
      </c>
      <c r="C72" s="614" t="s">
        <v>319</v>
      </c>
      <c r="D72" s="615"/>
      <c r="E72" s="616"/>
      <c r="F72" s="175"/>
      <c r="G72" s="614" t="s">
        <v>319</v>
      </c>
      <c r="H72" s="615"/>
      <c r="I72" s="616"/>
      <c r="J72" s="175"/>
      <c r="K72" s="614" t="s">
        <v>319</v>
      </c>
      <c r="L72" s="615"/>
      <c r="M72" s="616"/>
      <c r="N72" s="175"/>
      <c r="O72" s="614" t="s">
        <v>319</v>
      </c>
      <c r="P72" s="615"/>
      <c r="Q72" s="616"/>
    </row>
    <row r="73" spans="1:17" ht="33.75" customHeight="1" thickBot="1" x14ac:dyDescent="0.3">
      <c r="A73" s="186"/>
      <c r="B73" s="629"/>
      <c r="C73" s="280"/>
      <c r="D73" s="281"/>
      <c r="E73" s="188" t="s">
        <v>294</v>
      </c>
      <c r="F73" s="189"/>
      <c r="G73" s="280"/>
      <c r="H73" s="281"/>
      <c r="I73" s="188" t="s">
        <v>295</v>
      </c>
      <c r="J73" s="189"/>
      <c r="K73" s="280"/>
      <c r="L73" s="281"/>
      <c r="M73" s="188" t="s">
        <v>297</v>
      </c>
      <c r="N73" s="189"/>
      <c r="O73" s="280"/>
      <c r="P73" s="281"/>
      <c r="Q73" s="188" t="s">
        <v>296</v>
      </c>
    </row>
    <row r="74" spans="1:17" x14ac:dyDescent="0.2">
      <c r="A74" s="186"/>
      <c r="B74" s="167" t="s">
        <v>261</v>
      </c>
      <c r="C74" s="282"/>
      <c r="D74" s="282"/>
      <c r="E74" s="190">
        <f>+ROUND(E25+E39+E53+E67,2)</f>
        <v>0</v>
      </c>
      <c r="F74" s="165"/>
      <c r="G74" s="282"/>
      <c r="H74" s="282"/>
      <c r="I74" s="190">
        <f>+ROUND(I25+I39+I53+I67,2)</f>
        <v>0</v>
      </c>
      <c r="J74" s="165"/>
      <c r="K74" s="282"/>
      <c r="L74" s="282"/>
      <c r="M74" s="190">
        <f>+ROUND(M25+M39+M53+M67,2)</f>
        <v>0</v>
      </c>
      <c r="N74" s="165"/>
      <c r="O74" s="282"/>
      <c r="P74" s="282"/>
      <c r="Q74" s="190">
        <f>+ROUND(Q25+Q39+Q53+Q67,2)</f>
        <v>0</v>
      </c>
    </row>
    <row r="75" spans="1:17" x14ac:dyDescent="0.2">
      <c r="A75" s="186"/>
      <c r="B75" s="167" t="s">
        <v>137</v>
      </c>
      <c r="C75" s="282"/>
      <c r="D75" s="282"/>
      <c r="E75" s="168">
        <f>+ROUND(E26+E40+E54+E68,2)</f>
        <v>0</v>
      </c>
      <c r="F75" s="165"/>
      <c r="G75" s="282"/>
      <c r="H75" s="282"/>
      <c r="I75" s="168">
        <f>+ROUND(I26+I40+I54+I68,2)</f>
        <v>0</v>
      </c>
      <c r="J75" s="165"/>
      <c r="K75" s="282"/>
      <c r="L75" s="282"/>
      <c r="M75" s="168">
        <f>+ROUND(M26+M40+M54+M68,2)</f>
        <v>0</v>
      </c>
      <c r="N75" s="165"/>
      <c r="O75" s="282"/>
      <c r="P75" s="282"/>
      <c r="Q75" s="168">
        <f>+ROUND(Q26+Q40+Q54+Q68,2)</f>
        <v>0</v>
      </c>
    </row>
    <row r="76" spans="1:17" x14ac:dyDescent="0.2">
      <c r="A76" s="186"/>
      <c r="B76" s="167" t="s">
        <v>136</v>
      </c>
      <c r="C76" s="282"/>
      <c r="D76" s="282"/>
      <c r="E76" s="169">
        <f>+ROUND(E27+E41+E55+E69,2)</f>
        <v>0</v>
      </c>
      <c r="F76" s="170"/>
      <c r="G76" s="282"/>
      <c r="H76" s="282"/>
      <c r="I76" s="169">
        <f>+ROUND(I27+I41+I55+I69,2)</f>
        <v>0</v>
      </c>
      <c r="J76" s="170"/>
      <c r="K76" s="282"/>
      <c r="L76" s="282"/>
      <c r="M76" s="169">
        <f>+ROUND(M27+M41+M55+M69,2)</f>
        <v>0</v>
      </c>
      <c r="N76" s="170"/>
      <c r="O76" s="282"/>
      <c r="P76" s="282"/>
      <c r="Q76" s="169">
        <f>+ROUND(Q27+Q41+Q55+Q69,2)</f>
        <v>0</v>
      </c>
    </row>
    <row r="77" spans="1:17" ht="32.25" thickBot="1" x14ac:dyDescent="0.3">
      <c r="A77" s="186"/>
      <c r="B77" s="267" t="s">
        <v>505</v>
      </c>
      <c r="C77" s="283"/>
      <c r="D77" s="283"/>
      <c r="E77" s="266">
        <f>SUM(E74:E76)</f>
        <v>0</v>
      </c>
      <c r="F77" s="171"/>
      <c r="G77" s="283"/>
      <c r="H77" s="283"/>
      <c r="I77" s="266">
        <f>SUM(I74:I76)</f>
        <v>0</v>
      </c>
      <c r="J77" s="171"/>
      <c r="K77" s="283"/>
      <c r="L77" s="283"/>
      <c r="M77" s="266">
        <f>SUM(M74:M76)</f>
        <v>0</v>
      </c>
      <c r="N77" s="171"/>
      <c r="O77" s="283"/>
      <c r="P77" s="283"/>
      <c r="Q77" s="266">
        <f>SUM(Q74:Q76)</f>
        <v>0</v>
      </c>
    </row>
    <row r="78" spans="1:17" ht="16.5" thickBot="1" x14ac:dyDescent="0.3"/>
    <row r="79" spans="1:17" ht="31.5" x14ac:dyDescent="0.25">
      <c r="Q79" s="411" t="s">
        <v>506</v>
      </c>
    </row>
    <row r="80" spans="1:17" ht="16.5" thickBot="1" x14ac:dyDescent="0.3">
      <c r="Q80" s="410">
        <f>E77+I77+M77+Q77</f>
        <v>0</v>
      </c>
    </row>
  </sheetData>
  <mergeCells count="45">
    <mergeCell ref="G48:I48"/>
    <mergeCell ref="K48:M48"/>
    <mergeCell ref="O48:Q48"/>
    <mergeCell ref="B44:B45"/>
    <mergeCell ref="C44:E44"/>
    <mergeCell ref="G44:I44"/>
    <mergeCell ref="K44:M44"/>
    <mergeCell ref="O44:Q44"/>
    <mergeCell ref="C45:E45"/>
    <mergeCell ref="G45:I45"/>
    <mergeCell ref="K45:M45"/>
    <mergeCell ref="O45:Q45"/>
    <mergeCell ref="O59:Q59"/>
    <mergeCell ref="O72:Q72"/>
    <mergeCell ref="O13:Q13"/>
    <mergeCell ref="O14:Q14"/>
    <mergeCell ref="O30:Q30"/>
    <mergeCell ref="O31:Q31"/>
    <mergeCell ref="O58:Q58"/>
    <mergeCell ref="C14:E14"/>
    <mergeCell ref="G14:I14"/>
    <mergeCell ref="K14:M14"/>
    <mergeCell ref="A3:C3"/>
    <mergeCell ref="B13:B14"/>
    <mergeCell ref="C13:E13"/>
    <mergeCell ref="G13:I13"/>
    <mergeCell ref="K13:M13"/>
    <mergeCell ref="B30:B31"/>
    <mergeCell ref="C30:E30"/>
    <mergeCell ref="G30:I30"/>
    <mergeCell ref="K30:M30"/>
    <mergeCell ref="C31:E31"/>
    <mergeCell ref="G31:I31"/>
    <mergeCell ref="K31:M31"/>
    <mergeCell ref="B58:B59"/>
    <mergeCell ref="C58:E58"/>
    <mergeCell ref="G58:I58"/>
    <mergeCell ref="K58:M58"/>
    <mergeCell ref="B72:B73"/>
    <mergeCell ref="C72:E72"/>
    <mergeCell ref="G72:I72"/>
    <mergeCell ref="K72:M72"/>
    <mergeCell ref="C59:E59"/>
    <mergeCell ref="G59:I59"/>
    <mergeCell ref="K59:M59"/>
  </mergeCells>
  <pageMargins left="0.7" right="0.7" top="0.75" bottom="0.75" header="0.3" footer="0.3"/>
  <pageSetup orientation="portrait" horizontalDpi="1200" verticalDpi="1200"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D68FC3-30D3-41EC-9BBD-ECB97CF0938A}">
  <sheetPr>
    <tabColor theme="0"/>
  </sheetPr>
  <dimension ref="A1:Q80"/>
  <sheetViews>
    <sheetView zoomScale="80" zoomScaleNormal="80" workbookViewId="0">
      <pane ySplit="11" topLeftCell="A12" activePane="bottomLeft" state="frozen"/>
      <selection pane="bottomLeft" activeCell="P65" sqref="P65"/>
    </sheetView>
    <sheetView workbookViewId="1"/>
  </sheetViews>
  <sheetFormatPr defaultColWidth="15.85546875" defaultRowHeight="15.75" x14ac:dyDescent="0.25"/>
  <cols>
    <col min="1" max="1" width="3.42578125" style="191" customWidth="1"/>
    <col min="2" max="2" width="49.140625" style="174" customWidth="1"/>
    <col min="3" max="3" width="18.28515625" style="186" bestFit="1" customWidth="1"/>
    <col min="4" max="4" width="12.42578125" style="186" bestFit="1" customWidth="1"/>
    <col min="5" max="5" width="32.140625" style="186" bestFit="1" customWidth="1"/>
    <col min="6" max="6" width="1" style="186" customWidth="1"/>
    <col min="7" max="7" width="14.28515625" style="186" customWidth="1"/>
    <col min="8" max="8" width="14.5703125" style="186" customWidth="1"/>
    <col min="9" max="9" width="34.42578125" style="186" bestFit="1" customWidth="1"/>
    <col min="10" max="10" width="1" style="186" customWidth="1"/>
    <col min="11" max="11" width="16.7109375" style="186" customWidth="1"/>
    <col min="12" max="12" width="16.28515625" style="186" customWidth="1"/>
    <col min="13" max="13" width="34.42578125" style="186" bestFit="1" customWidth="1"/>
    <col min="14" max="14" width="0.85546875" style="186" customWidth="1"/>
    <col min="15" max="15" width="15.42578125" style="186" customWidth="1"/>
    <col min="16" max="16" width="12.42578125" style="186" bestFit="1" customWidth="1"/>
    <col min="17" max="17" width="34" style="186" bestFit="1" customWidth="1"/>
    <col min="18" max="16384" width="15.85546875" style="186"/>
  </cols>
  <sheetData>
    <row r="1" spans="1:17" ht="16.5" thickBot="1" x14ac:dyDescent="0.3">
      <c r="B1" s="126" t="s">
        <v>626</v>
      </c>
      <c r="C1" s="494" t="str">
        <f>'FFP CLINs X007-X021'!B1</f>
        <v>NAME</v>
      </c>
    </row>
    <row r="2" spans="1:17" ht="16.5" thickBot="1" x14ac:dyDescent="0.3"/>
    <row r="3" spans="1:17" ht="52.5" customHeight="1" thickBot="1" x14ac:dyDescent="0.3">
      <c r="A3" s="557" t="s">
        <v>132</v>
      </c>
      <c r="B3" s="558"/>
      <c r="C3" s="559"/>
      <c r="I3" s="251" t="s">
        <v>149</v>
      </c>
    </row>
    <row r="5" spans="1:17" s="259" customFormat="1" ht="17.25" customHeight="1" x14ac:dyDescent="0.2">
      <c r="A5" s="260"/>
      <c r="B5" s="261" t="s">
        <v>130</v>
      </c>
    </row>
    <row r="6" spans="1:17" s="259" customFormat="1" x14ac:dyDescent="0.25">
      <c r="A6" s="258"/>
      <c r="B6" s="258" t="s">
        <v>606</v>
      </c>
    </row>
    <row r="7" spans="1:17" s="259" customFormat="1" x14ac:dyDescent="0.25">
      <c r="A7" s="258"/>
      <c r="B7" s="258" t="s">
        <v>390</v>
      </c>
    </row>
    <row r="8" spans="1:17" s="259" customFormat="1" x14ac:dyDescent="0.25">
      <c r="A8" s="258"/>
      <c r="B8" s="258" t="s">
        <v>607</v>
      </c>
    </row>
    <row r="9" spans="1:17" s="259" customFormat="1" x14ac:dyDescent="0.25">
      <c r="A9" s="258"/>
      <c r="B9" s="258" t="s">
        <v>608</v>
      </c>
    </row>
    <row r="10" spans="1:17" x14ac:dyDescent="0.25">
      <c r="A10" s="192"/>
      <c r="B10" s="258" t="s">
        <v>609</v>
      </c>
      <c r="C10" s="194"/>
    </row>
    <row r="11" spans="1:17" x14ac:dyDescent="0.25">
      <c r="A11" s="192"/>
      <c r="B11" s="258" t="s">
        <v>507</v>
      </c>
      <c r="C11" s="194"/>
    </row>
    <row r="12" spans="1:17" ht="16.5" thickBot="1" x14ac:dyDescent="0.3"/>
    <row r="13" spans="1:17" ht="16.5" thickBot="1" x14ac:dyDescent="0.3">
      <c r="A13" s="193"/>
      <c r="B13" s="620" t="s">
        <v>508</v>
      </c>
      <c r="C13" s="594" t="s">
        <v>134</v>
      </c>
      <c r="D13" s="595"/>
      <c r="E13" s="596"/>
      <c r="F13" s="151"/>
      <c r="G13" s="594" t="s">
        <v>134</v>
      </c>
      <c r="H13" s="595"/>
      <c r="I13" s="596"/>
      <c r="J13" s="151"/>
      <c r="K13" s="594" t="s">
        <v>134</v>
      </c>
      <c r="L13" s="595"/>
      <c r="M13" s="596"/>
      <c r="N13" s="151"/>
      <c r="O13" s="594" t="s">
        <v>134</v>
      </c>
      <c r="P13" s="595"/>
      <c r="Q13" s="596"/>
    </row>
    <row r="14" spans="1:17" ht="32.25" customHeight="1" thickBot="1" x14ac:dyDescent="0.3">
      <c r="A14" s="193"/>
      <c r="B14" s="621"/>
      <c r="C14" s="617" t="s">
        <v>299</v>
      </c>
      <c r="D14" s="618"/>
      <c r="E14" s="619"/>
      <c r="F14" s="152"/>
      <c r="G14" s="617" t="s">
        <v>300</v>
      </c>
      <c r="H14" s="618"/>
      <c r="I14" s="619"/>
      <c r="J14" s="152"/>
      <c r="K14" s="617" t="s">
        <v>301</v>
      </c>
      <c r="L14" s="618"/>
      <c r="M14" s="619"/>
      <c r="N14" s="152"/>
      <c r="O14" s="617" t="s">
        <v>302</v>
      </c>
      <c r="P14" s="618"/>
      <c r="Q14" s="619"/>
    </row>
    <row r="15" spans="1:17" x14ac:dyDescent="0.25">
      <c r="A15" s="193"/>
      <c r="B15" s="153" t="s">
        <v>110</v>
      </c>
      <c r="C15" s="153" t="s">
        <v>91</v>
      </c>
      <c r="D15" s="154" t="s">
        <v>133</v>
      </c>
      <c r="E15" s="155" t="s">
        <v>139</v>
      </c>
      <c r="F15" s="156"/>
      <c r="G15" s="153" t="s">
        <v>91</v>
      </c>
      <c r="H15" s="154" t="s">
        <v>133</v>
      </c>
      <c r="I15" s="155" t="s">
        <v>139</v>
      </c>
      <c r="J15" s="156"/>
      <c r="K15" s="153" t="s">
        <v>91</v>
      </c>
      <c r="L15" s="154" t="s">
        <v>133</v>
      </c>
      <c r="M15" s="155" t="s">
        <v>139</v>
      </c>
      <c r="N15" s="156"/>
      <c r="O15" s="153" t="s">
        <v>91</v>
      </c>
      <c r="P15" s="154" t="s">
        <v>133</v>
      </c>
      <c r="Q15" s="155" t="s">
        <v>139</v>
      </c>
    </row>
    <row r="16" spans="1:17" ht="30" customHeight="1" thickBot="1" x14ac:dyDescent="0.3">
      <c r="A16" s="193"/>
      <c r="B16" s="203" t="s">
        <v>558</v>
      </c>
      <c r="C16" s="289"/>
      <c r="D16" s="290"/>
      <c r="E16" s="291"/>
      <c r="F16" s="156"/>
      <c r="G16" s="289"/>
      <c r="H16" s="290"/>
      <c r="I16" s="291"/>
      <c r="J16" s="156"/>
      <c r="K16" s="289"/>
      <c r="L16" s="290"/>
      <c r="M16" s="291"/>
      <c r="N16" s="156"/>
      <c r="O16" s="289"/>
      <c r="P16" s="290"/>
      <c r="Q16" s="291"/>
    </row>
    <row r="17" spans="1:17" ht="16.5" thickBot="1" x14ac:dyDescent="0.3">
      <c r="A17" s="193"/>
      <c r="B17" s="299" t="s">
        <v>151</v>
      </c>
      <c r="C17" s="163">
        <f>'PRIME CPIF LABOR INPUTS'!D217</f>
        <v>0</v>
      </c>
      <c r="D17" s="205"/>
      <c r="E17" s="164">
        <f>'PRIME CPIF LABOR INPUTS'!F217</f>
        <v>0</v>
      </c>
      <c r="F17" s="165"/>
      <c r="G17" s="163">
        <f>'PRIME CPIF LABOR INPUTS'!H217</f>
        <v>0</v>
      </c>
      <c r="H17" s="205"/>
      <c r="I17" s="164">
        <f>'PRIME CPIF LABOR INPUTS'!J217</f>
        <v>0</v>
      </c>
      <c r="J17" s="165"/>
      <c r="K17" s="163">
        <f>'PRIME CPIF LABOR INPUTS'!L217</f>
        <v>0</v>
      </c>
      <c r="L17" s="205"/>
      <c r="M17" s="164">
        <f>'PRIME CPIF LABOR INPUTS'!N217</f>
        <v>0</v>
      </c>
      <c r="N17" s="165"/>
      <c r="O17" s="163">
        <f>'PRIME CPIF LABOR INPUTS'!P217</f>
        <v>0</v>
      </c>
      <c r="P17" s="205"/>
      <c r="Q17" s="164">
        <f>'PRIME CPIF LABOR INPUTS'!R217</f>
        <v>0</v>
      </c>
    </row>
    <row r="18" spans="1:17" x14ac:dyDescent="0.25">
      <c r="A18" s="193"/>
      <c r="B18" s="204"/>
      <c r="C18" s="153" t="s">
        <v>399</v>
      </c>
      <c r="D18" s="154" t="s">
        <v>396</v>
      </c>
      <c r="E18" s="155" t="s">
        <v>398</v>
      </c>
      <c r="F18" s="166"/>
      <c r="G18" s="153" t="s">
        <v>399</v>
      </c>
      <c r="H18" s="154" t="s">
        <v>396</v>
      </c>
      <c r="I18" s="155" t="s">
        <v>398</v>
      </c>
      <c r="J18" s="166"/>
      <c r="K18" s="153" t="s">
        <v>399</v>
      </c>
      <c r="L18" s="154" t="s">
        <v>396</v>
      </c>
      <c r="M18" s="155" t="s">
        <v>398</v>
      </c>
      <c r="N18" s="166"/>
      <c r="O18" s="153" t="s">
        <v>399</v>
      </c>
      <c r="P18" s="154" t="s">
        <v>396</v>
      </c>
      <c r="Q18" s="155" t="s">
        <v>398</v>
      </c>
    </row>
    <row r="19" spans="1:17" ht="63.75" customHeight="1" x14ac:dyDescent="0.25">
      <c r="A19" s="193"/>
      <c r="B19" s="344" t="s">
        <v>611</v>
      </c>
      <c r="C19" s="289"/>
      <c r="D19" s="290"/>
      <c r="E19" s="291"/>
      <c r="F19" s="202"/>
      <c r="G19" s="289"/>
      <c r="H19" s="290"/>
      <c r="I19" s="291"/>
      <c r="J19" s="202"/>
      <c r="K19" s="289"/>
      <c r="L19" s="290"/>
      <c r="M19" s="291"/>
      <c r="N19" s="202"/>
      <c r="O19" s="289"/>
      <c r="P19" s="290"/>
      <c r="Q19" s="291"/>
    </row>
    <row r="20" spans="1:17" x14ac:dyDescent="0.25">
      <c r="A20" s="193"/>
      <c r="B20" s="167" t="str">
        <f>'PRIME CPIF RATES (ALL)'!B35</f>
        <v>Indirect Labor Category:  [Labor Fringe]</v>
      </c>
      <c r="C20" s="215">
        <f>+E17</f>
        <v>0</v>
      </c>
      <c r="D20" s="243">
        <f>'PRIME CPIF RATES (ALL)'!C35</f>
        <v>0</v>
      </c>
      <c r="E20" s="168">
        <f>ROUND(C20*D20,2)</f>
        <v>0</v>
      </c>
      <c r="F20" s="165"/>
      <c r="G20" s="215">
        <f>+I17</f>
        <v>0</v>
      </c>
      <c r="H20" s="243">
        <f>'PRIME CPIF RATES (ALL)'!D35</f>
        <v>0</v>
      </c>
      <c r="I20" s="168">
        <f>ROUND(G20*H20,2)</f>
        <v>0</v>
      </c>
      <c r="J20" s="165"/>
      <c r="K20" s="215">
        <f>+M17</f>
        <v>0</v>
      </c>
      <c r="L20" s="243">
        <f>'PRIME CPIF RATES (ALL)'!E35</f>
        <v>0</v>
      </c>
      <c r="M20" s="168">
        <f>ROUND(K20*L20,2)</f>
        <v>0</v>
      </c>
      <c r="N20" s="165"/>
      <c r="O20" s="215">
        <f>+Q17</f>
        <v>0</v>
      </c>
      <c r="P20" s="243">
        <f>'PRIME CPIF RATES (ALL)'!F35</f>
        <v>0</v>
      </c>
      <c r="Q20" s="168">
        <f>ROUND(O20*P20,2)</f>
        <v>0</v>
      </c>
    </row>
    <row r="21" spans="1:17" x14ac:dyDescent="0.25">
      <c r="A21" s="193"/>
      <c r="B21" s="167" t="str">
        <f>'PRIME CPIF RATES (ALL)'!B36</f>
        <v>Indirect Labor Category: [Labor Overhead]</v>
      </c>
      <c r="C21" s="215">
        <f>+C20+E20</f>
        <v>0</v>
      </c>
      <c r="D21" s="243">
        <f>'PRIME CPIF RATES (ALL)'!C36</f>
        <v>0</v>
      </c>
      <c r="E21" s="168">
        <f>ROUND(C21*D21,2)</f>
        <v>0</v>
      </c>
      <c r="F21" s="165"/>
      <c r="G21" s="215">
        <f>+G20+I20</f>
        <v>0</v>
      </c>
      <c r="H21" s="243">
        <f>'PRIME CPIF RATES (ALL)'!D36</f>
        <v>0</v>
      </c>
      <c r="I21" s="168">
        <f>ROUND(G21*H21,2)</f>
        <v>0</v>
      </c>
      <c r="J21" s="165"/>
      <c r="K21" s="215">
        <f>+K20+M20</f>
        <v>0</v>
      </c>
      <c r="L21" s="243">
        <f>'PRIME CPIF RATES (ALL)'!E36</f>
        <v>0</v>
      </c>
      <c r="M21" s="168">
        <f>ROUND(K21*L21,2)</f>
        <v>0</v>
      </c>
      <c r="N21" s="165"/>
      <c r="O21" s="215">
        <f>+O20+Q20</f>
        <v>0</v>
      </c>
      <c r="P21" s="243">
        <f>'PRIME CPIF RATES (ALL)'!F36</f>
        <v>0</v>
      </c>
      <c r="Q21" s="168">
        <f>ROUND(O21*P21,2)</f>
        <v>0</v>
      </c>
    </row>
    <row r="22" spans="1:17" x14ac:dyDescent="0.25">
      <c r="A22" s="193"/>
      <c r="B22" s="167" t="str">
        <f>'PRIME CPIF RATES (ALL)'!B37</f>
        <v>Indirect Labor Category: [G&amp;A]</v>
      </c>
      <c r="C22" s="215">
        <f>+C21+E21</f>
        <v>0</v>
      </c>
      <c r="D22" s="243">
        <f>'PRIME CPIF RATES (ALL)'!C37</f>
        <v>0</v>
      </c>
      <c r="E22" s="168">
        <f>ROUND(C22*D22,2)</f>
        <v>0</v>
      </c>
      <c r="F22" s="165"/>
      <c r="G22" s="215">
        <f>+G21+I21</f>
        <v>0</v>
      </c>
      <c r="H22" s="243">
        <f>'PRIME CPIF RATES (ALL)'!D37</f>
        <v>0</v>
      </c>
      <c r="I22" s="168">
        <f>ROUND(G22*H22,2)</f>
        <v>0</v>
      </c>
      <c r="J22" s="165"/>
      <c r="K22" s="215">
        <f>+K21+M21</f>
        <v>0</v>
      </c>
      <c r="L22" s="243">
        <f>'PRIME CPIF RATES (ALL)'!E37</f>
        <v>0</v>
      </c>
      <c r="M22" s="168">
        <f>ROUND(K22*L22,2)</f>
        <v>0</v>
      </c>
      <c r="N22" s="165"/>
      <c r="O22" s="215">
        <f>+O21+Q21</f>
        <v>0</v>
      </c>
      <c r="P22" s="243">
        <f>'PRIME CPIF RATES (ALL)'!F37</f>
        <v>0</v>
      </c>
      <c r="Q22" s="168">
        <f>ROUND(O22*P22,2)</f>
        <v>0</v>
      </c>
    </row>
    <row r="23" spans="1:17" x14ac:dyDescent="0.25">
      <c r="A23" s="193"/>
      <c r="B23" s="167" t="str">
        <f>'PRIME CPIF RATES (ALL)'!B38</f>
        <v>Indirect Labor Category: [FCCOM]</v>
      </c>
      <c r="C23" s="215">
        <f>C22+E22</f>
        <v>0</v>
      </c>
      <c r="D23" s="243">
        <f>'PRIME CPIF RATES (ALL)'!C38</f>
        <v>0</v>
      </c>
      <c r="E23" s="168">
        <f>ROUND(C23*D23,2)</f>
        <v>0</v>
      </c>
      <c r="F23" s="165"/>
      <c r="G23" s="215">
        <f>G22+I22</f>
        <v>0</v>
      </c>
      <c r="H23" s="243">
        <f>'PRIME CPIF RATES (ALL)'!D38</f>
        <v>0</v>
      </c>
      <c r="I23" s="168">
        <f>ROUND(G23*H23,2)</f>
        <v>0</v>
      </c>
      <c r="J23" s="165"/>
      <c r="K23" s="215">
        <f>K22+M22</f>
        <v>0</v>
      </c>
      <c r="L23" s="243">
        <f>'PRIME CPIF RATES (ALL)'!E38</f>
        <v>0</v>
      </c>
      <c r="M23" s="168">
        <f>ROUND(K23*L23,2)</f>
        <v>0</v>
      </c>
      <c r="N23" s="165"/>
      <c r="O23" s="215">
        <f>O22+Q22</f>
        <v>0</v>
      </c>
      <c r="P23" s="243">
        <f>'PRIME CPIF RATES (ALL)'!F38</f>
        <v>0</v>
      </c>
      <c r="Q23" s="168">
        <f>ROUND(O23*P23,2)</f>
        <v>0</v>
      </c>
    </row>
    <row r="24" spans="1:17" x14ac:dyDescent="0.25">
      <c r="A24" s="193"/>
      <c r="B24" s="167" t="str">
        <f>'PRIME CPIF RATES (ALL)'!B39</f>
        <v>Indirect Labor Category: [Target Fee]</v>
      </c>
      <c r="C24" s="215">
        <f>+C22+E22</f>
        <v>0</v>
      </c>
      <c r="D24" s="243">
        <f>'PRIME CPIF RATES (ALL)'!C39</f>
        <v>0</v>
      </c>
      <c r="E24" s="168">
        <f>ROUND(C24*D24,2)</f>
        <v>0</v>
      </c>
      <c r="F24" s="165"/>
      <c r="G24" s="215">
        <f>+G22+I22</f>
        <v>0</v>
      </c>
      <c r="H24" s="243">
        <f>'PRIME CPIF RATES (ALL)'!D39</f>
        <v>0</v>
      </c>
      <c r="I24" s="168">
        <f>ROUND(G24*H24,2)</f>
        <v>0</v>
      </c>
      <c r="J24" s="165"/>
      <c r="K24" s="215">
        <f>+K22+M22</f>
        <v>0</v>
      </c>
      <c r="L24" s="243">
        <f>'PRIME CPIF RATES (ALL)'!E39</f>
        <v>0</v>
      </c>
      <c r="M24" s="168">
        <f>ROUND(K24*L24,2)</f>
        <v>0</v>
      </c>
      <c r="N24" s="165"/>
      <c r="O24" s="215">
        <f>+O22+Q22</f>
        <v>0</v>
      </c>
      <c r="P24" s="243">
        <f>'PRIME CPIF RATES (ALL)'!F39</f>
        <v>0</v>
      </c>
      <c r="Q24" s="168">
        <f>ROUND(O24*P24,2)</f>
        <v>0</v>
      </c>
    </row>
    <row r="25" spans="1:17" x14ac:dyDescent="0.25">
      <c r="A25" s="193"/>
      <c r="B25" s="262" t="s">
        <v>258</v>
      </c>
      <c r="C25" s="210"/>
      <c r="D25" s="211"/>
      <c r="E25" s="230">
        <f>ROUND(SUM(E17,E20,E21,E22),2)</f>
        <v>0</v>
      </c>
      <c r="F25" s="165"/>
      <c r="G25" s="206"/>
      <c r="H25" s="207"/>
      <c r="I25" s="230">
        <f>ROUND(SUM(I17,I20,I21,I22),2)</f>
        <v>0</v>
      </c>
      <c r="J25" s="165"/>
      <c r="K25" s="206"/>
      <c r="L25" s="207"/>
      <c r="M25" s="230">
        <f>ROUND(SUM(M17,M20,M21,M22),2)</f>
        <v>0</v>
      </c>
      <c r="N25" s="165"/>
      <c r="O25" s="206"/>
      <c r="P25" s="207"/>
      <c r="Q25" s="230">
        <f>ROUND(SUM(Q17,Q20,Q21,Q22),2)</f>
        <v>0</v>
      </c>
    </row>
    <row r="26" spans="1:17" x14ac:dyDescent="0.25">
      <c r="A26" s="193"/>
      <c r="B26" s="262" t="s">
        <v>137</v>
      </c>
      <c r="C26" s="210"/>
      <c r="D26" s="211"/>
      <c r="E26" s="230">
        <f>ROUND(E23,2)</f>
        <v>0</v>
      </c>
      <c r="F26" s="165"/>
      <c r="G26" s="206"/>
      <c r="H26" s="207"/>
      <c r="I26" s="230">
        <f>ROUND(I23,2)</f>
        <v>0</v>
      </c>
      <c r="J26" s="165"/>
      <c r="K26" s="206"/>
      <c r="L26" s="207"/>
      <c r="M26" s="230">
        <f>ROUND(M23,2)</f>
        <v>0</v>
      </c>
      <c r="N26" s="165"/>
      <c r="O26" s="206"/>
      <c r="P26" s="207"/>
      <c r="Q26" s="230">
        <f>ROUND(Q23,2)</f>
        <v>0</v>
      </c>
    </row>
    <row r="27" spans="1:17" x14ac:dyDescent="0.25">
      <c r="A27" s="193"/>
      <c r="B27" s="262" t="s">
        <v>136</v>
      </c>
      <c r="C27" s="210"/>
      <c r="D27" s="211"/>
      <c r="E27" s="245">
        <f>ROUND(E24,2)</f>
        <v>0</v>
      </c>
      <c r="F27" s="170"/>
      <c r="G27" s="206"/>
      <c r="H27" s="207"/>
      <c r="I27" s="245">
        <f>ROUND(I24,2)</f>
        <v>0</v>
      </c>
      <c r="J27" s="170"/>
      <c r="K27" s="206"/>
      <c r="L27" s="207"/>
      <c r="M27" s="245">
        <f>ROUND(M24,2)</f>
        <v>0</v>
      </c>
      <c r="N27" s="170"/>
      <c r="O27" s="206"/>
      <c r="P27" s="207"/>
      <c r="Q27" s="245">
        <f>ROUND(Q24,2)</f>
        <v>0</v>
      </c>
    </row>
    <row r="28" spans="1:17" ht="16.5" thickBot="1" x14ac:dyDescent="0.3">
      <c r="A28" s="193"/>
      <c r="B28" s="263" t="s">
        <v>138</v>
      </c>
      <c r="C28" s="212"/>
      <c r="D28" s="213"/>
      <c r="E28" s="246">
        <f>ROUND(SUM(E25:E27),2)</f>
        <v>0</v>
      </c>
      <c r="F28" s="171"/>
      <c r="G28" s="208"/>
      <c r="H28" s="209"/>
      <c r="I28" s="246">
        <f>ROUND(SUM(I25:I27),2)</f>
        <v>0</v>
      </c>
      <c r="J28" s="171"/>
      <c r="K28" s="208"/>
      <c r="L28" s="209"/>
      <c r="M28" s="246">
        <f>ROUND(SUM(M25:M27),2)</f>
        <v>0</v>
      </c>
      <c r="N28" s="171"/>
      <c r="O28" s="208"/>
      <c r="P28" s="209"/>
      <c r="Q28" s="246">
        <f>ROUND(SUM(Q25:Q27),2)</f>
        <v>0</v>
      </c>
    </row>
    <row r="29" spans="1:17" ht="16.5" thickBot="1" x14ac:dyDescent="0.3">
      <c r="A29" s="193"/>
      <c r="B29" s="172"/>
      <c r="C29" s="173"/>
      <c r="D29" s="173"/>
      <c r="E29" s="256"/>
      <c r="F29" s="256"/>
      <c r="G29" s="256"/>
      <c r="H29" s="256"/>
      <c r="I29" s="256"/>
      <c r="J29" s="256"/>
      <c r="K29" s="256"/>
      <c r="L29" s="173"/>
      <c r="M29" s="173"/>
      <c r="N29" s="165"/>
      <c r="O29" s="256"/>
      <c r="P29" s="173"/>
      <c r="Q29" s="173"/>
    </row>
    <row r="30" spans="1:17" ht="16.5" customHeight="1" thickBot="1" x14ac:dyDescent="0.3">
      <c r="A30" s="193"/>
      <c r="B30" s="620" t="str">
        <f>B13</f>
        <v>CLIN 0001 (CPIF)                                                    TASK 1.10 AIRCREW AND MAINTENANCE TRAINING</v>
      </c>
      <c r="C30" s="594" t="s">
        <v>145</v>
      </c>
      <c r="D30" s="595"/>
      <c r="E30" s="596"/>
      <c r="F30" s="175"/>
      <c r="G30" s="594" t="s">
        <v>145</v>
      </c>
      <c r="H30" s="595"/>
      <c r="I30" s="596"/>
      <c r="J30" s="175"/>
      <c r="K30" s="594" t="s">
        <v>145</v>
      </c>
      <c r="L30" s="595"/>
      <c r="M30" s="596"/>
      <c r="N30" s="175"/>
      <c r="O30" s="594" t="s">
        <v>145</v>
      </c>
      <c r="P30" s="595"/>
      <c r="Q30" s="596"/>
    </row>
    <row r="31" spans="1:17" ht="32.25" customHeight="1" thickBot="1" x14ac:dyDescent="0.3">
      <c r="A31" s="193"/>
      <c r="B31" s="621"/>
      <c r="C31" s="617" t="str">
        <f>C14</f>
        <v>CLIN 0001 - Basic Period (Year 1)</v>
      </c>
      <c r="D31" s="618"/>
      <c r="E31" s="619"/>
      <c r="F31" s="176"/>
      <c r="G31" s="617" t="str">
        <f>G14</f>
        <v>CLIN 0001 - Basic Period (Year 2)</v>
      </c>
      <c r="H31" s="618"/>
      <c r="I31" s="619"/>
      <c r="J31" s="176"/>
      <c r="K31" s="617" t="str">
        <f>K14</f>
        <v>CLIN 0001 - Basic Period (Year 3)</v>
      </c>
      <c r="L31" s="618"/>
      <c r="M31" s="619"/>
      <c r="N31" s="176"/>
      <c r="O31" s="617" t="str">
        <f>O14</f>
        <v>CLIN 0001 - Basic Period (Year 4)</v>
      </c>
      <c r="P31" s="618"/>
      <c r="Q31" s="619"/>
    </row>
    <row r="32" spans="1:17" x14ac:dyDescent="0.25">
      <c r="A32" s="193"/>
      <c r="B32" s="247"/>
      <c r="C32" s="153" t="s">
        <v>399</v>
      </c>
      <c r="D32" s="154" t="s">
        <v>396</v>
      </c>
      <c r="E32" s="155" t="s">
        <v>152</v>
      </c>
      <c r="F32" s="166"/>
      <c r="G32" s="153" t="s">
        <v>399</v>
      </c>
      <c r="H32" s="154" t="s">
        <v>396</v>
      </c>
      <c r="I32" s="155" t="s">
        <v>152</v>
      </c>
      <c r="J32" s="166"/>
      <c r="K32" s="153" t="s">
        <v>399</v>
      </c>
      <c r="L32" s="154" t="s">
        <v>396</v>
      </c>
      <c r="M32" s="155" t="s">
        <v>152</v>
      </c>
      <c r="N32" s="166"/>
      <c r="O32" s="153" t="s">
        <v>399</v>
      </c>
      <c r="P32" s="154" t="s">
        <v>396</v>
      </c>
      <c r="Q32" s="155" t="s">
        <v>152</v>
      </c>
    </row>
    <row r="33" spans="1:17" ht="51.75" x14ac:dyDescent="0.25">
      <c r="A33" s="193"/>
      <c r="B33" s="300" t="s">
        <v>612</v>
      </c>
      <c r="C33" s="231"/>
      <c r="D33" s="232"/>
      <c r="E33" s="400">
        <f>'PRIME CPIF TOTAL MATERIAL'!E20</f>
        <v>0</v>
      </c>
      <c r="F33" s="165"/>
      <c r="G33" s="231"/>
      <c r="H33" s="232"/>
      <c r="I33" s="400">
        <f>'PRIME CPIF TOTAL MATERIAL'!G20</f>
        <v>0</v>
      </c>
      <c r="J33" s="165"/>
      <c r="K33" s="231"/>
      <c r="L33" s="232"/>
      <c r="M33" s="400">
        <f>'PRIME CPIF TOTAL MATERIAL'!I20</f>
        <v>0</v>
      </c>
      <c r="N33" s="165"/>
      <c r="O33" s="231"/>
      <c r="P33" s="232"/>
      <c r="Q33" s="400">
        <f>'PRIME CPIF TOTAL MATERIAL'!K20</f>
        <v>0</v>
      </c>
    </row>
    <row r="34" spans="1:17" ht="67.5" customHeight="1" x14ac:dyDescent="0.25">
      <c r="A34" s="193"/>
      <c r="B34" s="344" t="s">
        <v>389</v>
      </c>
      <c r="C34" s="405"/>
      <c r="D34" s="406"/>
      <c r="E34" s="400"/>
      <c r="F34" s="165"/>
      <c r="G34" s="405"/>
      <c r="H34" s="406"/>
      <c r="I34" s="400"/>
      <c r="J34" s="165"/>
      <c r="K34" s="405"/>
      <c r="L34" s="406"/>
      <c r="M34" s="400"/>
      <c r="N34" s="165"/>
      <c r="O34" s="405"/>
      <c r="P34" s="406"/>
      <c r="Q34" s="400"/>
    </row>
    <row r="35" spans="1:17" x14ac:dyDescent="0.25">
      <c r="A35" s="193"/>
      <c r="B35" s="167" t="str">
        <f>'PRIME CPIF RATES (ALL)'!B52</f>
        <v>Indirect Category: [Material Overhead]</v>
      </c>
      <c r="C35" s="215">
        <f>+E33</f>
        <v>0</v>
      </c>
      <c r="D35" s="243">
        <f>'PRIME CPIF RATES (ALL)'!C52</f>
        <v>0</v>
      </c>
      <c r="E35" s="168">
        <f>ROUND(C35*D35,2)</f>
        <v>0</v>
      </c>
      <c r="F35" s="178"/>
      <c r="G35" s="215">
        <f>+I33</f>
        <v>0</v>
      </c>
      <c r="H35" s="243">
        <f>'PRIME CPIF RATES (ALL)'!D52</f>
        <v>0</v>
      </c>
      <c r="I35" s="168">
        <f>ROUND(G35*H35,2)</f>
        <v>0</v>
      </c>
      <c r="J35" s="178"/>
      <c r="K35" s="215">
        <f>+M33</f>
        <v>0</v>
      </c>
      <c r="L35" s="243">
        <f>'PRIME CPIF RATES (ALL)'!E52</f>
        <v>0</v>
      </c>
      <c r="M35" s="168">
        <f>ROUND(K35*L35,2)</f>
        <v>0</v>
      </c>
      <c r="N35" s="178"/>
      <c r="O35" s="215">
        <f>+Q33</f>
        <v>0</v>
      </c>
      <c r="P35" s="243">
        <f>'PRIME CPIF RATES (ALL)'!F52</f>
        <v>0</v>
      </c>
      <c r="Q35" s="168">
        <f>ROUND(O35*P35,2)</f>
        <v>0</v>
      </c>
    </row>
    <row r="36" spans="1:17" x14ac:dyDescent="0.25">
      <c r="A36" s="193"/>
      <c r="B36" s="167" t="str">
        <f>'PRIME CPIF RATES (ALL)'!B53</f>
        <v>Indirect Category: [G&amp;A]</v>
      </c>
      <c r="C36" s="215">
        <f>+C35+E35</f>
        <v>0</v>
      </c>
      <c r="D36" s="243">
        <f>'PRIME CPIF RATES (ALL)'!C53</f>
        <v>0</v>
      </c>
      <c r="E36" s="168">
        <f>ROUND(C36*D36,2)</f>
        <v>0</v>
      </c>
      <c r="F36" s="178"/>
      <c r="G36" s="215">
        <f>+G35+I35</f>
        <v>0</v>
      </c>
      <c r="H36" s="243">
        <f>'PRIME CPIF RATES (ALL)'!D53</f>
        <v>0</v>
      </c>
      <c r="I36" s="168">
        <f>ROUND(G36*H36,2)</f>
        <v>0</v>
      </c>
      <c r="J36" s="178"/>
      <c r="K36" s="215">
        <f>+K35+M35</f>
        <v>0</v>
      </c>
      <c r="L36" s="243">
        <f>'PRIME CPIF RATES (ALL)'!E53</f>
        <v>0</v>
      </c>
      <c r="M36" s="168">
        <f>ROUND(K36*L36,2)</f>
        <v>0</v>
      </c>
      <c r="N36" s="178"/>
      <c r="O36" s="215">
        <f>+O35+Q35</f>
        <v>0</v>
      </c>
      <c r="P36" s="243">
        <f>'PRIME CPIF RATES (ALL)'!F53</f>
        <v>0</v>
      </c>
      <c r="Q36" s="168">
        <f>ROUND(O36*P36,2)</f>
        <v>0</v>
      </c>
    </row>
    <row r="37" spans="1:17" x14ac:dyDescent="0.25">
      <c r="A37" s="193"/>
      <c r="B37" s="167" t="str">
        <f>'PRIME CPIF RATES (ALL)'!B54</f>
        <v>Indirect Category: [FCCOM]</v>
      </c>
      <c r="C37" s="215">
        <f>C36+E36</f>
        <v>0</v>
      </c>
      <c r="D37" s="243">
        <f>'PRIME CPIF RATES (ALL)'!C54</f>
        <v>0</v>
      </c>
      <c r="E37" s="168">
        <f>ROUND(C37*D37,2)</f>
        <v>0</v>
      </c>
      <c r="F37" s="165"/>
      <c r="G37" s="215">
        <f>G36+I36</f>
        <v>0</v>
      </c>
      <c r="H37" s="243">
        <f>'PRIME CPIF RATES (ALL)'!D54</f>
        <v>0</v>
      </c>
      <c r="I37" s="168">
        <f>ROUND(G37*H37,2)</f>
        <v>0</v>
      </c>
      <c r="J37" s="165"/>
      <c r="K37" s="215">
        <f>K36+M36</f>
        <v>0</v>
      </c>
      <c r="L37" s="243">
        <f>'PRIME CPIF RATES (ALL)'!E54</f>
        <v>0</v>
      </c>
      <c r="M37" s="168">
        <f>ROUND(K37*L37,2)</f>
        <v>0</v>
      </c>
      <c r="N37" s="165"/>
      <c r="O37" s="215">
        <f>O36+Q36</f>
        <v>0</v>
      </c>
      <c r="P37" s="243">
        <f>'PRIME CPIF RATES (ALL)'!F54</f>
        <v>0</v>
      </c>
      <c r="Q37" s="168">
        <f>ROUND(O37*P37,2)</f>
        <v>0</v>
      </c>
    </row>
    <row r="38" spans="1:17" x14ac:dyDescent="0.25">
      <c r="A38" s="193"/>
      <c r="B38" s="167" t="str">
        <f>'PRIME CPIF RATES (ALL)'!B55</f>
        <v>Indirect Category: [Target Fee]</v>
      </c>
      <c r="C38" s="215">
        <f>+C36+E36</f>
        <v>0</v>
      </c>
      <c r="D38" s="243">
        <f>'PRIME CPIF RATES (ALL)'!C55</f>
        <v>0</v>
      </c>
      <c r="E38" s="168">
        <f>ROUND(C38*D38,2)</f>
        <v>0</v>
      </c>
      <c r="F38" s="165"/>
      <c r="G38" s="215">
        <f>+G36+I36</f>
        <v>0</v>
      </c>
      <c r="H38" s="243">
        <f>'PRIME CPIF RATES (ALL)'!D55</f>
        <v>0</v>
      </c>
      <c r="I38" s="168">
        <f>ROUND(G38*H38,2)</f>
        <v>0</v>
      </c>
      <c r="J38" s="165"/>
      <c r="K38" s="215">
        <f>+K36+M36</f>
        <v>0</v>
      </c>
      <c r="L38" s="243">
        <f>'PRIME CPIF RATES (ALL)'!E55</f>
        <v>0</v>
      </c>
      <c r="M38" s="168">
        <f>ROUND(K38*L38,2)</f>
        <v>0</v>
      </c>
      <c r="N38" s="165"/>
      <c r="O38" s="215">
        <f>+O36+Q36</f>
        <v>0</v>
      </c>
      <c r="P38" s="243">
        <f>'PRIME CPIF RATES (ALL)'!F55</f>
        <v>0</v>
      </c>
      <c r="Q38" s="168">
        <f>ROUND(O38*P38,2)</f>
        <v>0</v>
      </c>
    </row>
    <row r="39" spans="1:17" x14ac:dyDescent="0.25">
      <c r="A39" s="193"/>
      <c r="B39" s="241" t="s">
        <v>259</v>
      </c>
      <c r="C39" s="233"/>
      <c r="D39" s="234"/>
      <c r="E39" s="168">
        <f>ROUND(SUM(E33:E36),2)</f>
        <v>0</v>
      </c>
      <c r="F39" s="165"/>
      <c r="G39" s="233"/>
      <c r="H39" s="234"/>
      <c r="I39" s="168">
        <f>ROUND(SUM(I33:I36),2)</f>
        <v>0</v>
      </c>
      <c r="J39" s="165"/>
      <c r="K39" s="233"/>
      <c r="L39" s="234"/>
      <c r="M39" s="168">
        <f>ROUND(SUM(M33:M36),2)</f>
        <v>0</v>
      </c>
      <c r="N39" s="165"/>
      <c r="O39" s="233"/>
      <c r="P39" s="234"/>
      <c r="Q39" s="168">
        <f>ROUND(SUM(Q33:Q36),2)</f>
        <v>0</v>
      </c>
    </row>
    <row r="40" spans="1:17" x14ac:dyDescent="0.25">
      <c r="A40" s="193"/>
      <c r="B40" s="241" t="s">
        <v>137</v>
      </c>
      <c r="C40" s="231"/>
      <c r="D40" s="235"/>
      <c r="E40" s="168">
        <f>ROUND(E37,2)</f>
        <v>0</v>
      </c>
      <c r="F40" s="165"/>
      <c r="G40" s="231"/>
      <c r="H40" s="235"/>
      <c r="I40" s="168">
        <f>ROUND(I37,2)</f>
        <v>0</v>
      </c>
      <c r="J40" s="165"/>
      <c r="K40" s="231"/>
      <c r="L40" s="235"/>
      <c r="M40" s="168">
        <f>ROUND(M37,2)</f>
        <v>0</v>
      </c>
      <c r="N40" s="165"/>
      <c r="O40" s="231"/>
      <c r="P40" s="235"/>
      <c r="Q40" s="168">
        <f>ROUND(Q37,2)</f>
        <v>0</v>
      </c>
    </row>
    <row r="41" spans="1:17" x14ac:dyDescent="0.2">
      <c r="B41" s="241" t="s">
        <v>136</v>
      </c>
      <c r="C41" s="231"/>
      <c r="D41" s="235"/>
      <c r="E41" s="182">
        <f>ROUND(E38,2)</f>
        <v>0</v>
      </c>
      <c r="F41" s="183"/>
      <c r="G41" s="231"/>
      <c r="H41" s="235"/>
      <c r="I41" s="182">
        <f>ROUND(I38,2)</f>
        <v>0</v>
      </c>
      <c r="J41" s="183"/>
      <c r="K41" s="231"/>
      <c r="L41" s="235"/>
      <c r="M41" s="182">
        <f>ROUND(M38,2)</f>
        <v>0</v>
      </c>
      <c r="N41" s="183"/>
      <c r="O41" s="231"/>
      <c r="P41" s="235"/>
      <c r="Q41" s="182">
        <f>ROUND(Q38,2)</f>
        <v>0</v>
      </c>
    </row>
    <row r="42" spans="1:17" ht="16.5" thickBot="1" x14ac:dyDescent="0.25">
      <c r="B42" s="242" t="s">
        <v>243</v>
      </c>
      <c r="C42" s="236"/>
      <c r="D42" s="237"/>
      <c r="E42" s="160">
        <f>SUM(E39:E41)</f>
        <v>0</v>
      </c>
      <c r="F42" s="161"/>
      <c r="G42" s="236"/>
      <c r="H42" s="237"/>
      <c r="I42" s="160">
        <f>SUM(I39:I41)</f>
        <v>0</v>
      </c>
      <c r="J42" s="161"/>
      <c r="K42" s="236"/>
      <c r="L42" s="237"/>
      <c r="M42" s="160">
        <f>SUM(M39:M41)</f>
        <v>0</v>
      </c>
      <c r="N42" s="161"/>
      <c r="O42" s="236"/>
      <c r="P42" s="237"/>
      <c r="Q42" s="160">
        <f>SUM(Q39:Q41)</f>
        <v>0</v>
      </c>
    </row>
    <row r="43" spans="1:17" ht="16.5" thickBot="1" x14ac:dyDescent="0.25">
      <c r="B43" s="172"/>
      <c r="E43" s="251"/>
      <c r="F43" s="251"/>
      <c r="G43" s="251"/>
      <c r="H43" s="251"/>
      <c r="I43" s="251"/>
      <c r="J43" s="251"/>
      <c r="K43" s="251"/>
      <c r="N43" s="187"/>
      <c r="O43" s="251"/>
    </row>
    <row r="44" spans="1:17" ht="16.5" thickBot="1" x14ac:dyDescent="0.3">
      <c r="B44" s="620" t="str">
        <f>B13</f>
        <v>CLIN 0001 (CPIF)                                                    TASK 1.10 AIRCREW AND MAINTENANCE TRAINING</v>
      </c>
      <c r="C44" s="594" t="s">
        <v>318</v>
      </c>
      <c r="D44" s="595"/>
      <c r="E44" s="596"/>
      <c r="F44" s="175"/>
      <c r="G44" s="594" t="s">
        <v>318</v>
      </c>
      <c r="H44" s="595"/>
      <c r="I44" s="596"/>
      <c r="J44" s="175"/>
      <c r="K44" s="594" t="s">
        <v>318</v>
      </c>
      <c r="L44" s="595"/>
      <c r="M44" s="596"/>
      <c r="N44" s="175"/>
      <c r="O44" s="594" t="s">
        <v>318</v>
      </c>
      <c r="P44" s="595"/>
      <c r="Q44" s="596"/>
    </row>
    <row r="45" spans="1:17" ht="27.75" customHeight="1" thickBot="1" x14ac:dyDescent="0.3">
      <c r="B45" s="621"/>
      <c r="C45" s="617" t="str">
        <f>C31</f>
        <v>CLIN 0001 - Basic Period (Year 1)</v>
      </c>
      <c r="D45" s="618"/>
      <c r="E45" s="619"/>
      <c r="F45" s="176"/>
      <c r="G45" s="617" t="str">
        <f>G31</f>
        <v>CLIN 0001 - Basic Period (Year 2)</v>
      </c>
      <c r="H45" s="618"/>
      <c r="I45" s="619"/>
      <c r="J45" s="176"/>
      <c r="K45" s="617" t="str">
        <f>K31</f>
        <v>CLIN 0001 - Basic Period (Year 3)</v>
      </c>
      <c r="L45" s="618"/>
      <c r="M45" s="619"/>
      <c r="N45" s="176"/>
      <c r="O45" s="617" t="str">
        <f>O31</f>
        <v>CLIN 0001 - Basic Period (Year 4)</v>
      </c>
      <c r="P45" s="618"/>
      <c r="Q45" s="619"/>
    </row>
    <row r="46" spans="1:17" x14ac:dyDescent="0.25">
      <c r="B46" s="248"/>
      <c r="C46" s="153" t="s">
        <v>399</v>
      </c>
      <c r="D46" s="154" t="s">
        <v>396</v>
      </c>
      <c r="E46" s="155" t="s">
        <v>397</v>
      </c>
      <c r="F46" s="166"/>
      <c r="G46" s="153" t="s">
        <v>399</v>
      </c>
      <c r="H46" s="154" t="s">
        <v>396</v>
      </c>
      <c r="I46" s="155" t="s">
        <v>397</v>
      </c>
      <c r="J46" s="166"/>
      <c r="K46" s="153" t="s">
        <v>399</v>
      </c>
      <c r="L46" s="154" t="s">
        <v>396</v>
      </c>
      <c r="M46" s="155" t="s">
        <v>397</v>
      </c>
      <c r="N46" s="166"/>
      <c r="O46" s="153" t="s">
        <v>399</v>
      </c>
      <c r="P46" s="154" t="s">
        <v>396</v>
      </c>
      <c r="Q46" s="155" t="s">
        <v>397</v>
      </c>
    </row>
    <row r="47" spans="1:17" ht="25.5" x14ac:dyDescent="0.2">
      <c r="B47" s="300" t="s">
        <v>560</v>
      </c>
      <c r="C47" s="285"/>
      <c r="D47" s="285"/>
      <c r="E47" s="345">
        <f>'PRIME CPIF TOTAL SUB'!E20</f>
        <v>0</v>
      </c>
      <c r="F47" s="288"/>
      <c r="G47" s="231"/>
      <c r="H47" s="285"/>
      <c r="I47" s="345">
        <f>'PRIME CPIF TOTAL SUB'!G20</f>
        <v>0</v>
      </c>
      <c r="J47" s="288"/>
      <c r="K47" s="231"/>
      <c r="L47" s="285"/>
      <c r="M47" s="345">
        <f>'PRIME CPIF TOTAL SUB'!I20</f>
        <v>0</v>
      </c>
      <c r="N47" s="165"/>
      <c r="O47" s="231"/>
      <c r="P47" s="285"/>
      <c r="Q47" s="345">
        <f>'PRIME CPIF TOTAL SUB'!K20</f>
        <v>0</v>
      </c>
    </row>
    <row r="48" spans="1:17" ht="76.5" x14ac:dyDescent="0.2">
      <c r="B48" s="344" t="s">
        <v>613</v>
      </c>
      <c r="C48" s="624" t="s">
        <v>5</v>
      </c>
      <c r="D48" s="625"/>
      <c r="E48" s="626"/>
      <c r="F48" s="178"/>
      <c r="G48" s="627"/>
      <c r="H48" s="625"/>
      <c r="I48" s="626"/>
      <c r="J48" s="178"/>
      <c r="K48" s="627"/>
      <c r="L48" s="625"/>
      <c r="M48" s="626"/>
      <c r="N48" s="178"/>
      <c r="O48" s="627"/>
      <c r="P48" s="625"/>
      <c r="Q48" s="626"/>
    </row>
    <row r="49" spans="1:17" x14ac:dyDescent="0.2">
      <c r="B49" s="287" t="str">
        <f>'PRIME CPIF RATES (ALL)'!B44</f>
        <v>Indirect Category: [Overhead]</v>
      </c>
      <c r="C49" s="286">
        <f>E47</f>
        <v>0</v>
      </c>
      <c r="D49" s="243">
        <f>'PRIME CPIF RATES (ALL)'!C44</f>
        <v>0</v>
      </c>
      <c r="E49" s="168">
        <f>ROUND(C49*D49,2)</f>
        <v>0</v>
      </c>
      <c r="F49" s="178"/>
      <c r="G49" s="215">
        <f>I47</f>
        <v>0</v>
      </c>
      <c r="H49" s="243">
        <f>'PRIME CPIF RATES (ALL)'!D44</f>
        <v>0</v>
      </c>
      <c r="I49" s="168">
        <f>ROUND(G49*H49,2)</f>
        <v>0</v>
      </c>
      <c r="J49" s="178"/>
      <c r="K49" s="215">
        <f>M47</f>
        <v>0</v>
      </c>
      <c r="L49" s="243">
        <f>'PRIME CPIF RATES (ALL)'!E44</f>
        <v>0</v>
      </c>
      <c r="M49" s="168">
        <f>ROUND(K49*L49,2)</f>
        <v>0</v>
      </c>
      <c r="N49" s="178"/>
      <c r="O49" s="215">
        <f>Q47</f>
        <v>0</v>
      </c>
      <c r="P49" s="243">
        <f>'PRIME CPIF RATES (ALL)'!F44</f>
        <v>0</v>
      </c>
      <c r="Q49" s="168">
        <f>ROUND(O49*P49,2)</f>
        <v>0</v>
      </c>
    </row>
    <row r="50" spans="1:17" x14ac:dyDescent="0.2">
      <c r="B50" s="287" t="str">
        <f>'PRIME CPIF RATES (ALL)'!B45</f>
        <v>Indirect Category: [G&amp;A]</v>
      </c>
      <c r="C50" s="286">
        <f>C49+E49</f>
        <v>0</v>
      </c>
      <c r="D50" s="243">
        <f>'PRIME CPIF RATES (ALL)'!C45</f>
        <v>0</v>
      </c>
      <c r="E50" s="168">
        <f>ROUND(C50*D50,2)</f>
        <v>0</v>
      </c>
      <c r="F50" s="288"/>
      <c r="G50" s="286">
        <f>G49+I49</f>
        <v>0</v>
      </c>
      <c r="H50" s="243">
        <f>'PRIME CPIF RATES (ALL)'!D45</f>
        <v>0</v>
      </c>
      <c r="I50" s="168">
        <f>ROUND(G50*H50,2)</f>
        <v>0</v>
      </c>
      <c r="J50" s="288"/>
      <c r="K50" s="286">
        <f>K49+M49</f>
        <v>0</v>
      </c>
      <c r="L50" s="243">
        <f>'PRIME CPIF RATES (ALL)'!E45</f>
        <v>0</v>
      </c>
      <c r="M50" s="168">
        <f>ROUND(K50*L50,2)</f>
        <v>0</v>
      </c>
      <c r="N50" s="165"/>
      <c r="O50" s="286">
        <f>O49+Q49</f>
        <v>0</v>
      </c>
      <c r="P50" s="243">
        <f>'PRIME CPIF RATES (ALL)'!F45</f>
        <v>0</v>
      </c>
      <c r="Q50" s="168">
        <f>ROUND(O50*P50,2)</f>
        <v>0</v>
      </c>
    </row>
    <row r="51" spans="1:17" x14ac:dyDescent="0.2">
      <c r="B51" s="351" t="str">
        <f>'PRIME CPIF RATES (ALL)'!B46</f>
        <v>Indirect Category: [FCCOM]</v>
      </c>
      <c r="C51" s="215">
        <f>C50+E50</f>
        <v>0</v>
      </c>
      <c r="D51" s="243">
        <f>'PRIME CPIF RATES (ALL)'!C46</f>
        <v>0</v>
      </c>
      <c r="E51" s="353">
        <f>ROUND(C51*D51,2)</f>
        <v>0</v>
      </c>
      <c r="F51" s="288"/>
      <c r="G51" s="215">
        <f>G50+I50</f>
        <v>0</v>
      </c>
      <c r="H51" s="243">
        <f>'PRIME CPIF RATES (ALL)'!D46</f>
        <v>0</v>
      </c>
      <c r="I51" s="353">
        <f>ROUND(G51*H51,2)</f>
        <v>0</v>
      </c>
      <c r="J51" s="288"/>
      <c r="K51" s="215">
        <f>K50+M50</f>
        <v>0</v>
      </c>
      <c r="L51" s="243">
        <f>'PRIME CPIF RATES (ALL)'!E46</f>
        <v>0</v>
      </c>
      <c r="M51" s="353">
        <f>ROUND(K51*L51,2)</f>
        <v>0</v>
      </c>
      <c r="N51" s="165"/>
      <c r="O51" s="215">
        <f>O50+Q50</f>
        <v>0</v>
      </c>
      <c r="P51" s="243">
        <f>'PRIME CPIF RATES (ALL)'!F46</f>
        <v>0</v>
      </c>
      <c r="Q51" s="353">
        <f>ROUND(O51*P51,2)</f>
        <v>0</v>
      </c>
    </row>
    <row r="52" spans="1:17" x14ac:dyDescent="0.2">
      <c r="B52" s="167" t="str">
        <f>'PRIME CPIF RATES (ALL)'!B47</f>
        <v>Indirect Category: [Target Fee]</v>
      </c>
      <c r="C52" s="214">
        <f>C50+E50</f>
        <v>0</v>
      </c>
      <c r="D52" s="354">
        <f>'PRIME CPIF RATES (ALL)'!C47</f>
        <v>0</v>
      </c>
      <c r="E52" s="353">
        <f>ROUND(C52*D52,2)</f>
        <v>0</v>
      </c>
      <c r="F52" s="288"/>
      <c r="G52" s="214">
        <f>G50+I50</f>
        <v>0</v>
      </c>
      <c r="H52" s="354">
        <f>'PRIME CPIF RATES (ALL)'!D47</f>
        <v>0</v>
      </c>
      <c r="I52" s="353">
        <f>ROUND(G52*H52,2)</f>
        <v>0</v>
      </c>
      <c r="J52" s="288"/>
      <c r="K52" s="214">
        <f>K50+M50</f>
        <v>0</v>
      </c>
      <c r="L52" s="354">
        <f>'PRIME CPIF RATES (ALL)'!E47</f>
        <v>0</v>
      </c>
      <c r="M52" s="353">
        <f>ROUND(K52*L52,2)</f>
        <v>0</v>
      </c>
      <c r="N52" s="165"/>
      <c r="O52" s="214">
        <f>O50+Q50</f>
        <v>0</v>
      </c>
      <c r="P52" s="354">
        <f>'PRIME CPIF RATES (ALL)'!F47</f>
        <v>0</v>
      </c>
      <c r="Q52" s="353">
        <f>ROUND(O52*P52,2)</f>
        <v>0</v>
      </c>
    </row>
    <row r="53" spans="1:17" x14ac:dyDescent="0.2">
      <c r="B53" s="241" t="s">
        <v>320</v>
      </c>
      <c r="C53" s="233"/>
      <c r="D53" s="234"/>
      <c r="E53" s="168">
        <f>ROUND(E47+E49+E50,2)</f>
        <v>0</v>
      </c>
      <c r="F53" s="288"/>
      <c r="G53" s="233"/>
      <c r="H53" s="234"/>
      <c r="I53" s="168">
        <f>ROUND(I47+I49+I50,2)</f>
        <v>0</v>
      </c>
      <c r="J53" s="288"/>
      <c r="K53" s="233"/>
      <c r="L53" s="234"/>
      <c r="M53" s="168">
        <f>ROUND(M47+M49+M50,2)</f>
        <v>0</v>
      </c>
      <c r="N53" s="165"/>
      <c r="O53" s="233"/>
      <c r="P53" s="234"/>
      <c r="Q53" s="168">
        <f>ROUND(Q47+Q49+Q50,2)</f>
        <v>0</v>
      </c>
    </row>
    <row r="54" spans="1:17" x14ac:dyDescent="0.2">
      <c r="B54" s="241" t="s">
        <v>298</v>
      </c>
      <c r="C54" s="231"/>
      <c r="D54" s="235"/>
      <c r="E54" s="168">
        <f>ROUND(E51,2)</f>
        <v>0</v>
      </c>
      <c r="F54" s="288"/>
      <c r="G54" s="231"/>
      <c r="H54" s="235"/>
      <c r="I54" s="168">
        <f>ROUND(I51,2)</f>
        <v>0</v>
      </c>
      <c r="J54" s="288"/>
      <c r="K54" s="231"/>
      <c r="L54" s="235"/>
      <c r="M54" s="168">
        <f>ROUND(M51,2)</f>
        <v>0</v>
      </c>
      <c r="N54" s="165"/>
      <c r="O54" s="231"/>
      <c r="P54" s="235"/>
      <c r="Q54" s="168">
        <f>ROUND(Q51,2)</f>
        <v>0</v>
      </c>
    </row>
    <row r="55" spans="1:17" x14ac:dyDescent="0.2">
      <c r="B55" s="241" t="s">
        <v>136</v>
      </c>
      <c r="C55" s="231"/>
      <c r="D55" s="235"/>
      <c r="E55" s="182">
        <f>ROUND(E52,2)</f>
        <v>0</v>
      </c>
      <c r="F55" s="183"/>
      <c r="G55" s="231"/>
      <c r="H55" s="235"/>
      <c r="I55" s="182">
        <f>ROUND(I52,2)</f>
        <v>0</v>
      </c>
      <c r="J55" s="183"/>
      <c r="K55" s="231"/>
      <c r="L55" s="235"/>
      <c r="M55" s="182">
        <f>ROUND(M52,2)</f>
        <v>0</v>
      </c>
      <c r="N55" s="183"/>
      <c r="O55" s="231"/>
      <c r="P55" s="235"/>
      <c r="Q55" s="182">
        <f>ROUND(Q52,2)</f>
        <v>0</v>
      </c>
    </row>
    <row r="56" spans="1:17" ht="16.5" thickBot="1" x14ac:dyDescent="0.25">
      <c r="B56" s="242" t="s">
        <v>321</v>
      </c>
      <c r="C56" s="236"/>
      <c r="D56" s="237"/>
      <c r="E56" s="160">
        <f>ROUND(SUM(E53:E55),2)</f>
        <v>0</v>
      </c>
      <c r="F56" s="161"/>
      <c r="G56" s="236"/>
      <c r="H56" s="237"/>
      <c r="I56" s="160">
        <f>ROUND(SUM(I53:I55),2)</f>
        <v>0</v>
      </c>
      <c r="J56" s="161"/>
      <c r="K56" s="236"/>
      <c r="L56" s="237"/>
      <c r="M56" s="160">
        <f>ROUND(SUM(M53:M55),2)</f>
        <v>0</v>
      </c>
      <c r="N56" s="161"/>
      <c r="O56" s="236"/>
      <c r="P56" s="237"/>
      <c r="Q56" s="160">
        <f>ROUND(SUM(Q53:Q55),2)</f>
        <v>0</v>
      </c>
    </row>
    <row r="57" spans="1:17" ht="16.5" thickBot="1" x14ac:dyDescent="0.25">
      <c r="B57" s="172"/>
      <c r="E57" s="251"/>
      <c r="F57" s="251"/>
      <c r="G57" s="251"/>
      <c r="H57" s="251"/>
      <c r="I57" s="251"/>
      <c r="J57" s="251"/>
      <c r="K57" s="251"/>
      <c r="N57" s="187"/>
      <c r="O57" s="251"/>
    </row>
    <row r="58" spans="1:17" ht="16.5" customHeight="1" thickBot="1" x14ac:dyDescent="0.3">
      <c r="A58" s="193"/>
      <c r="B58" s="620" t="str">
        <f>B30</f>
        <v>CLIN 0001 (CPIF)                                                    TASK 1.10 AIRCREW AND MAINTENANCE TRAINING</v>
      </c>
      <c r="C58" s="594" t="s">
        <v>146</v>
      </c>
      <c r="D58" s="595"/>
      <c r="E58" s="596"/>
      <c r="F58" s="175"/>
      <c r="G58" s="594" t="s">
        <v>147</v>
      </c>
      <c r="H58" s="595"/>
      <c r="I58" s="596"/>
      <c r="J58" s="175"/>
      <c r="K58" s="594" t="s">
        <v>147</v>
      </c>
      <c r="L58" s="595"/>
      <c r="M58" s="596"/>
      <c r="N58" s="175"/>
      <c r="O58" s="594" t="s">
        <v>147</v>
      </c>
      <c r="P58" s="595"/>
      <c r="Q58" s="596"/>
    </row>
    <row r="59" spans="1:17" ht="33.75" customHeight="1" thickBot="1" x14ac:dyDescent="0.3">
      <c r="A59" s="193"/>
      <c r="B59" s="621"/>
      <c r="C59" s="617" t="str">
        <f>C31</f>
        <v>CLIN 0001 - Basic Period (Year 1)</v>
      </c>
      <c r="D59" s="618"/>
      <c r="E59" s="619"/>
      <c r="F59" s="176"/>
      <c r="G59" s="617" t="str">
        <f>G31</f>
        <v>CLIN 0001 - Basic Period (Year 2)</v>
      </c>
      <c r="H59" s="618"/>
      <c r="I59" s="619"/>
      <c r="J59" s="176"/>
      <c r="K59" s="617" t="str">
        <f>K31</f>
        <v>CLIN 0001 - Basic Period (Year 3)</v>
      </c>
      <c r="L59" s="618"/>
      <c r="M59" s="619"/>
      <c r="N59" s="176"/>
      <c r="O59" s="617" t="str">
        <f>O31</f>
        <v>CLIN 0001 - Basic Period (Year 4)</v>
      </c>
      <c r="P59" s="618"/>
      <c r="Q59" s="619"/>
    </row>
    <row r="60" spans="1:17" x14ac:dyDescent="0.25">
      <c r="A60" s="193"/>
      <c r="B60" s="248"/>
      <c r="C60" s="153" t="s">
        <v>399</v>
      </c>
      <c r="D60" s="154" t="s">
        <v>396</v>
      </c>
      <c r="E60" s="155" t="s">
        <v>153</v>
      </c>
      <c r="F60" s="166"/>
      <c r="G60" s="153" t="s">
        <v>399</v>
      </c>
      <c r="H60" s="154" t="s">
        <v>396</v>
      </c>
      <c r="I60" s="155" t="s">
        <v>153</v>
      </c>
      <c r="J60" s="166"/>
      <c r="K60" s="153" t="s">
        <v>399</v>
      </c>
      <c r="L60" s="154" t="s">
        <v>396</v>
      </c>
      <c r="M60" s="155" t="s">
        <v>153</v>
      </c>
      <c r="N60" s="166"/>
      <c r="O60" s="153" t="s">
        <v>399</v>
      </c>
      <c r="P60" s="154" t="s">
        <v>396</v>
      </c>
      <c r="Q60" s="155" t="s">
        <v>153</v>
      </c>
    </row>
    <row r="61" spans="1:17" ht="26.25" x14ac:dyDescent="0.25">
      <c r="A61" s="193"/>
      <c r="B61" s="300" t="s">
        <v>561</v>
      </c>
      <c r="C61" s="231"/>
      <c r="D61" s="232"/>
      <c r="E61" s="345">
        <f>'PRIME CPIF TOTAL ODC'!E20</f>
        <v>0</v>
      </c>
      <c r="F61" s="165"/>
      <c r="G61" s="231"/>
      <c r="H61" s="232"/>
      <c r="I61" s="345">
        <f>'PRIME CPIF TOTAL ODC'!G20</f>
        <v>0</v>
      </c>
      <c r="J61" s="165"/>
      <c r="K61" s="231"/>
      <c r="L61" s="232"/>
      <c r="M61" s="400">
        <f>'PRIME CPIF TOTAL ODC'!I20</f>
        <v>0</v>
      </c>
      <c r="N61" s="165"/>
      <c r="O61" s="231"/>
      <c r="P61" s="232"/>
      <c r="Q61" s="400">
        <f>'PRIME CPIF TOTAL ODC'!K20</f>
        <v>0</v>
      </c>
    </row>
    <row r="62" spans="1:17" ht="66" customHeight="1" x14ac:dyDescent="0.25">
      <c r="A62" s="193"/>
      <c r="B62" s="490" t="s">
        <v>614</v>
      </c>
      <c r="C62" s="404"/>
      <c r="D62" s="404"/>
      <c r="E62" s="403"/>
      <c r="F62" s="288"/>
      <c r="G62" s="405"/>
      <c r="H62" s="404"/>
      <c r="I62" s="403"/>
      <c r="J62" s="288"/>
      <c r="K62" s="405"/>
      <c r="L62" s="404"/>
      <c r="M62" s="400"/>
      <c r="N62" s="165"/>
      <c r="O62" s="405"/>
      <c r="P62" s="404"/>
      <c r="Q62" s="400"/>
    </row>
    <row r="63" spans="1:17" x14ac:dyDescent="0.25">
      <c r="A63" s="193"/>
      <c r="B63" s="167" t="s">
        <v>125</v>
      </c>
      <c r="C63" s="215">
        <f>+E61</f>
        <v>0</v>
      </c>
      <c r="D63" s="243">
        <f>'PRIME CPIF RATES (ALL)'!C60</f>
        <v>0</v>
      </c>
      <c r="E63" s="168">
        <f>ROUND(C63*D63,2)</f>
        <v>0</v>
      </c>
      <c r="F63" s="178"/>
      <c r="G63" s="215">
        <f>+I61</f>
        <v>0</v>
      </c>
      <c r="H63" s="243">
        <f>'PRIME CPIF RATES (ALL)'!D60</f>
        <v>0</v>
      </c>
      <c r="I63" s="168">
        <f>ROUND(G63*H63,2)</f>
        <v>0</v>
      </c>
      <c r="J63" s="178"/>
      <c r="K63" s="215">
        <f>+M61</f>
        <v>0</v>
      </c>
      <c r="L63" s="243">
        <f>'PRIME CPIF RATES (ALL)'!E60</f>
        <v>0</v>
      </c>
      <c r="M63" s="168">
        <f>ROUND(K63*L63,2)</f>
        <v>0</v>
      </c>
      <c r="N63" s="178"/>
      <c r="O63" s="215">
        <f>+Q61</f>
        <v>0</v>
      </c>
      <c r="P63" s="243">
        <f>'PRIME CPIF RATES (ALL)'!F60</f>
        <v>0</v>
      </c>
      <c r="Q63" s="168">
        <f>ROUND(O63*P63,2)</f>
        <v>0</v>
      </c>
    </row>
    <row r="64" spans="1:17" x14ac:dyDescent="0.25">
      <c r="A64" s="193"/>
      <c r="B64" s="167" t="s">
        <v>126</v>
      </c>
      <c r="C64" s="215">
        <f>+C63+E63</f>
        <v>0</v>
      </c>
      <c r="D64" s="243">
        <f>'PRIME CPIF RATES (ALL)'!C61</f>
        <v>0</v>
      </c>
      <c r="E64" s="168">
        <f>ROUND(C64*D64,2)</f>
        <v>0</v>
      </c>
      <c r="F64" s="178"/>
      <c r="G64" s="215">
        <f>+G63+I63</f>
        <v>0</v>
      </c>
      <c r="H64" s="243">
        <f>'PRIME CPIF RATES (ALL)'!D61</f>
        <v>0</v>
      </c>
      <c r="I64" s="168">
        <f>ROUND(G64*H64,2)</f>
        <v>0</v>
      </c>
      <c r="J64" s="178"/>
      <c r="K64" s="215">
        <f>+K63+M63</f>
        <v>0</v>
      </c>
      <c r="L64" s="243">
        <f>'PRIME CPIF RATES (ALL)'!E61</f>
        <v>0</v>
      </c>
      <c r="M64" s="168">
        <f>ROUND(K64*L64,2)</f>
        <v>0</v>
      </c>
      <c r="N64" s="178"/>
      <c r="O64" s="215">
        <f>+O63+Q63</f>
        <v>0</v>
      </c>
      <c r="P64" s="243">
        <f>'PRIME CPIF RATES (ALL)'!F61</f>
        <v>0</v>
      </c>
      <c r="Q64" s="168">
        <f>ROUND(O64*P64,2)</f>
        <v>0</v>
      </c>
    </row>
    <row r="65" spans="1:17" x14ac:dyDescent="0.25">
      <c r="A65" s="193"/>
      <c r="B65" s="167" t="s">
        <v>566</v>
      </c>
      <c r="C65" s="215">
        <f>C64+E64</f>
        <v>0</v>
      </c>
      <c r="D65" s="243">
        <f>'PRIME CPIF RATES (ALL)'!C62</f>
        <v>0</v>
      </c>
      <c r="E65" s="168">
        <f>ROUND(C65*D65,2)</f>
        <v>0</v>
      </c>
      <c r="F65" s="165"/>
      <c r="G65" s="215">
        <f>G64+I64</f>
        <v>0</v>
      </c>
      <c r="H65" s="243">
        <f>'PRIME CPIF RATES (ALL)'!D62</f>
        <v>0</v>
      </c>
      <c r="I65" s="168">
        <f>ROUND(G65*H65,2)</f>
        <v>0</v>
      </c>
      <c r="J65" s="165"/>
      <c r="K65" s="215">
        <f>K64+M64</f>
        <v>0</v>
      </c>
      <c r="L65" s="243">
        <f>'PRIME CPIF RATES (ALL)'!E62</f>
        <v>0</v>
      </c>
      <c r="M65" s="168">
        <f>ROUND(K65*L65,2)</f>
        <v>0</v>
      </c>
      <c r="N65" s="165"/>
      <c r="O65" s="215">
        <f>O64+Q64</f>
        <v>0</v>
      </c>
      <c r="P65" s="243">
        <f>'PRIME CPIF RATES (ALL)'!F62</f>
        <v>0</v>
      </c>
      <c r="Q65" s="168">
        <f>ROUND(O65*P65,2)</f>
        <v>0</v>
      </c>
    </row>
    <row r="66" spans="1:17" x14ac:dyDescent="0.25">
      <c r="A66" s="193"/>
      <c r="B66" s="167" t="s">
        <v>127</v>
      </c>
      <c r="C66" s="215">
        <f>+C64+E64</f>
        <v>0</v>
      </c>
      <c r="D66" s="354">
        <f>'PRIME CPIF RATES (ALL)'!C63</f>
        <v>0</v>
      </c>
      <c r="E66" s="168">
        <f>ROUND(C66*D66,2)</f>
        <v>0</v>
      </c>
      <c r="F66" s="165"/>
      <c r="G66" s="215">
        <f>+G64+I64</f>
        <v>0</v>
      </c>
      <c r="H66" s="354">
        <f>'PRIME CPIF RATES (ALL)'!D63</f>
        <v>0</v>
      </c>
      <c r="I66" s="168">
        <f>ROUND(G66*H66,2)</f>
        <v>0</v>
      </c>
      <c r="J66" s="165"/>
      <c r="K66" s="215">
        <f>+K64+M64</f>
        <v>0</v>
      </c>
      <c r="L66" s="354">
        <f>'PRIME CPIF RATES (ALL)'!E63</f>
        <v>0</v>
      </c>
      <c r="M66" s="168">
        <f>ROUND(K66*L66,2)</f>
        <v>0</v>
      </c>
      <c r="N66" s="165"/>
      <c r="O66" s="215">
        <f>+O64+Q64</f>
        <v>0</v>
      </c>
      <c r="P66" s="354">
        <f>'PRIME CPIF RATES (ALL)'!F63</f>
        <v>0</v>
      </c>
      <c r="Q66" s="168">
        <f>ROUND(O66*P66,2)</f>
        <v>0</v>
      </c>
    </row>
    <row r="67" spans="1:17" x14ac:dyDescent="0.25">
      <c r="A67" s="193"/>
      <c r="B67" s="241" t="s">
        <v>260</v>
      </c>
      <c r="C67" s="233"/>
      <c r="D67" s="234"/>
      <c r="E67" s="168">
        <f>ROUND(SUM(E61:E64),2)</f>
        <v>0</v>
      </c>
      <c r="F67" s="165"/>
      <c r="G67" s="233"/>
      <c r="H67" s="234"/>
      <c r="I67" s="168">
        <f>ROUND(SUM(I61:I64),2)</f>
        <v>0</v>
      </c>
      <c r="J67" s="165"/>
      <c r="K67" s="233"/>
      <c r="L67" s="234"/>
      <c r="M67" s="168">
        <f>ROUND(SUM(M61:M64),2)</f>
        <v>0</v>
      </c>
      <c r="N67" s="165"/>
      <c r="O67" s="233"/>
      <c r="P67" s="234"/>
      <c r="Q67" s="168">
        <f>ROUND(SUM(Q61:Q64),2)</f>
        <v>0</v>
      </c>
    </row>
    <row r="68" spans="1:17" x14ac:dyDescent="0.25">
      <c r="A68" s="193"/>
      <c r="B68" s="241" t="s">
        <v>137</v>
      </c>
      <c r="C68" s="231"/>
      <c r="D68" s="235"/>
      <c r="E68" s="168">
        <f>ROUND(E65,2)</f>
        <v>0</v>
      </c>
      <c r="F68" s="165"/>
      <c r="G68" s="231"/>
      <c r="H68" s="235"/>
      <c r="I68" s="168">
        <f>ROUND(I65,2)</f>
        <v>0</v>
      </c>
      <c r="J68" s="165"/>
      <c r="K68" s="231"/>
      <c r="L68" s="235"/>
      <c r="M68" s="168">
        <f>ROUND(M65,2)</f>
        <v>0</v>
      </c>
      <c r="N68" s="165"/>
      <c r="O68" s="231"/>
      <c r="P68" s="235"/>
      <c r="Q68" s="168">
        <f>ROUND(Q65,2)</f>
        <v>0</v>
      </c>
    </row>
    <row r="69" spans="1:17" x14ac:dyDescent="0.2">
      <c r="A69" s="186"/>
      <c r="B69" s="241" t="s">
        <v>136</v>
      </c>
      <c r="C69" s="231"/>
      <c r="D69" s="235"/>
      <c r="E69" s="182">
        <f>ROUND(E66,2)</f>
        <v>0</v>
      </c>
      <c r="F69" s="183"/>
      <c r="G69" s="231"/>
      <c r="H69" s="235"/>
      <c r="I69" s="182">
        <f>ROUND(I66,2)</f>
        <v>0</v>
      </c>
      <c r="J69" s="183"/>
      <c r="K69" s="231"/>
      <c r="L69" s="235"/>
      <c r="M69" s="182">
        <f>ROUND(M66,2)</f>
        <v>0</v>
      </c>
      <c r="N69" s="183"/>
      <c r="O69" s="231"/>
      <c r="P69" s="235"/>
      <c r="Q69" s="182">
        <f>ROUND(Q66,2)</f>
        <v>0</v>
      </c>
    </row>
    <row r="70" spans="1:17" ht="16.5" thickBot="1" x14ac:dyDescent="0.25">
      <c r="A70" s="186"/>
      <c r="B70" s="242" t="s">
        <v>244</v>
      </c>
      <c r="C70" s="236"/>
      <c r="D70" s="237"/>
      <c r="E70" s="160">
        <f>ROUND(SUM(E67:E69),2)</f>
        <v>0</v>
      </c>
      <c r="F70" s="161"/>
      <c r="G70" s="236"/>
      <c r="H70" s="237"/>
      <c r="I70" s="160">
        <f>ROUND(SUM(I67:I69),2)</f>
        <v>0</v>
      </c>
      <c r="J70" s="161"/>
      <c r="K70" s="236"/>
      <c r="L70" s="237"/>
      <c r="M70" s="160">
        <f>ROUND(SUM(M67:M69),2)</f>
        <v>0</v>
      </c>
      <c r="N70" s="161"/>
      <c r="O70" s="236"/>
      <c r="P70" s="237"/>
      <c r="Q70" s="160">
        <f>ROUND(SUM(Q67:Q69),2)</f>
        <v>0</v>
      </c>
    </row>
    <row r="71" spans="1:17" ht="16.5" thickBot="1" x14ac:dyDescent="0.25">
      <c r="A71" s="186"/>
      <c r="B71" s="172"/>
      <c r="E71" s="251"/>
      <c r="F71" s="251"/>
      <c r="G71" s="251"/>
      <c r="H71" s="251"/>
      <c r="I71" s="251"/>
      <c r="J71" s="251"/>
      <c r="K71" s="251"/>
      <c r="N71" s="187"/>
      <c r="O71" s="251"/>
    </row>
    <row r="72" spans="1:17" ht="16.5" thickBot="1" x14ac:dyDescent="0.3">
      <c r="A72" s="186"/>
      <c r="B72" s="628" t="str">
        <f>B58</f>
        <v>CLIN 0001 (CPIF)                                                    TASK 1.10 AIRCREW AND MAINTENANCE TRAINING</v>
      </c>
      <c r="C72" s="614" t="s">
        <v>319</v>
      </c>
      <c r="D72" s="615"/>
      <c r="E72" s="616"/>
      <c r="F72" s="175"/>
      <c r="G72" s="614" t="s">
        <v>319</v>
      </c>
      <c r="H72" s="615"/>
      <c r="I72" s="616"/>
      <c r="J72" s="175"/>
      <c r="K72" s="614" t="s">
        <v>319</v>
      </c>
      <c r="L72" s="615"/>
      <c r="M72" s="616"/>
      <c r="N72" s="175"/>
      <c r="O72" s="614" t="s">
        <v>319</v>
      </c>
      <c r="P72" s="615"/>
      <c r="Q72" s="616"/>
    </row>
    <row r="73" spans="1:17" ht="33.75" customHeight="1" thickBot="1" x14ac:dyDescent="0.3">
      <c r="A73" s="186"/>
      <c r="B73" s="629"/>
      <c r="C73" s="280"/>
      <c r="D73" s="281"/>
      <c r="E73" s="188" t="s">
        <v>294</v>
      </c>
      <c r="F73" s="189"/>
      <c r="G73" s="280"/>
      <c r="H73" s="281"/>
      <c r="I73" s="188" t="s">
        <v>295</v>
      </c>
      <c r="J73" s="189"/>
      <c r="K73" s="280"/>
      <c r="L73" s="281"/>
      <c r="M73" s="188" t="s">
        <v>297</v>
      </c>
      <c r="N73" s="189"/>
      <c r="O73" s="280"/>
      <c r="P73" s="281"/>
      <c r="Q73" s="188" t="s">
        <v>296</v>
      </c>
    </row>
    <row r="74" spans="1:17" x14ac:dyDescent="0.2">
      <c r="A74" s="186"/>
      <c r="B74" s="167" t="s">
        <v>261</v>
      </c>
      <c r="C74" s="282"/>
      <c r="D74" s="282"/>
      <c r="E74" s="190">
        <f>+ROUND(E25+E39+E53+E67,2)</f>
        <v>0</v>
      </c>
      <c r="F74" s="165"/>
      <c r="G74" s="282"/>
      <c r="H74" s="282"/>
      <c r="I74" s="190">
        <f>+ROUND(I25+I39+I53+I67,2)</f>
        <v>0</v>
      </c>
      <c r="J74" s="165"/>
      <c r="K74" s="282"/>
      <c r="L74" s="282"/>
      <c r="M74" s="190">
        <f>+ROUND(M25+M39+M53+M67,2)</f>
        <v>0</v>
      </c>
      <c r="N74" s="165"/>
      <c r="O74" s="282"/>
      <c r="P74" s="282"/>
      <c r="Q74" s="190">
        <f>+ROUND(Q25+Q39+Q53+Q67,2)</f>
        <v>0</v>
      </c>
    </row>
    <row r="75" spans="1:17" x14ac:dyDescent="0.2">
      <c r="A75" s="186"/>
      <c r="B75" s="167" t="s">
        <v>137</v>
      </c>
      <c r="C75" s="282"/>
      <c r="D75" s="282"/>
      <c r="E75" s="168">
        <f>+ROUND(E26+E40+E54+E68,2)</f>
        <v>0</v>
      </c>
      <c r="F75" s="165"/>
      <c r="G75" s="282"/>
      <c r="H75" s="282"/>
      <c r="I75" s="168">
        <f>+ROUND(I26+I40+I54+I68,2)</f>
        <v>0</v>
      </c>
      <c r="J75" s="165"/>
      <c r="K75" s="282"/>
      <c r="L75" s="282"/>
      <c r="M75" s="168">
        <f>+ROUND(M26+M40+M54+M68,2)</f>
        <v>0</v>
      </c>
      <c r="N75" s="165"/>
      <c r="O75" s="282"/>
      <c r="P75" s="282"/>
      <c r="Q75" s="168">
        <f>+ROUND(Q26+Q40+Q54+Q68,2)</f>
        <v>0</v>
      </c>
    </row>
    <row r="76" spans="1:17" x14ac:dyDescent="0.2">
      <c r="A76" s="186"/>
      <c r="B76" s="167" t="s">
        <v>136</v>
      </c>
      <c r="C76" s="282"/>
      <c r="D76" s="282"/>
      <c r="E76" s="169">
        <f>+ROUND(E27+E41+E55+E69,2)</f>
        <v>0</v>
      </c>
      <c r="F76" s="170"/>
      <c r="G76" s="282"/>
      <c r="H76" s="282"/>
      <c r="I76" s="169">
        <f>+ROUND(I27+I41+I55+I69,2)</f>
        <v>0</v>
      </c>
      <c r="J76" s="170"/>
      <c r="K76" s="282"/>
      <c r="L76" s="282"/>
      <c r="M76" s="169">
        <f>+ROUND(M27+M41+M55+M69,2)</f>
        <v>0</v>
      </c>
      <c r="N76" s="170"/>
      <c r="O76" s="282"/>
      <c r="P76" s="282"/>
      <c r="Q76" s="169">
        <f>+ROUND(Q27+Q41+Q55+Q69,2)</f>
        <v>0</v>
      </c>
    </row>
    <row r="77" spans="1:17" ht="32.25" thickBot="1" x14ac:dyDescent="0.3">
      <c r="A77" s="186"/>
      <c r="B77" s="267" t="s">
        <v>509</v>
      </c>
      <c r="C77" s="283"/>
      <c r="D77" s="283"/>
      <c r="E77" s="266">
        <f>SUM(E74:E76)</f>
        <v>0</v>
      </c>
      <c r="F77" s="171"/>
      <c r="G77" s="283"/>
      <c r="H77" s="283"/>
      <c r="I77" s="266">
        <f>SUM(I74:I76)</f>
        <v>0</v>
      </c>
      <c r="J77" s="171"/>
      <c r="K77" s="283"/>
      <c r="L77" s="283"/>
      <c r="M77" s="266">
        <f>SUM(M74:M76)</f>
        <v>0</v>
      </c>
      <c r="N77" s="171"/>
      <c r="O77" s="283"/>
      <c r="P77" s="283"/>
      <c r="Q77" s="266">
        <f>SUM(Q74:Q76)</f>
        <v>0</v>
      </c>
    </row>
    <row r="78" spans="1:17" ht="16.5" thickBot="1" x14ac:dyDescent="0.3"/>
    <row r="79" spans="1:17" ht="31.5" x14ac:dyDescent="0.25">
      <c r="Q79" s="411" t="s">
        <v>510</v>
      </c>
    </row>
    <row r="80" spans="1:17" ht="16.5" thickBot="1" x14ac:dyDescent="0.3">
      <c r="Q80" s="410">
        <f>E77+I77+M77+Q77</f>
        <v>0</v>
      </c>
    </row>
  </sheetData>
  <mergeCells count="46">
    <mergeCell ref="C48:E48"/>
    <mergeCell ref="G48:I48"/>
    <mergeCell ref="K48:M48"/>
    <mergeCell ref="O48:Q48"/>
    <mergeCell ref="B44:B45"/>
    <mergeCell ref="C44:E44"/>
    <mergeCell ref="G44:I44"/>
    <mergeCell ref="K44:M44"/>
    <mergeCell ref="O44:Q44"/>
    <mergeCell ref="C45:E45"/>
    <mergeCell ref="G45:I45"/>
    <mergeCell ref="K45:M45"/>
    <mergeCell ref="O45:Q45"/>
    <mergeCell ref="O59:Q59"/>
    <mergeCell ref="O72:Q72"/>
    <mergeCell ref="O13:Q13"/>
    <mergeCell ref="O14:Q14"/>
    <mergeCell ref="O30:Q30"/>
    <mergeCell ref="O31:Q31"/>
    <mergeCell ref="O58:Q58"/>
    <mergeCell ref="C14:E14"/>
    <mergeCell ref="G14:I14"/>
    <mergeCell ref="K14:M14"/>
    <mergeCell ref="A3:C3"/>
    <mergeCell ref="B13:B14"/>
    <mergeCell ref="C13:E13"/>
    <mergeCell ref="G13:I13"/>
    <mergeCell ref="K13:M13"/>
    <mergeCell ref="B30:B31"/>
    <mergeCell ref="C30:E30"/>
    <mergeCell ref="G30:I30"/>
    <mergeCell ref="K30:M30"/>
    <mergeCell ref="C31:E31"/>
    <mergeCell ref="G31:I31"/>
    <mergeCell ref="K31:M31"/>
    <mergeCell ref="B58:B59"/>
    <mergeCell ref="C58:E58"/>
    <mergeCell ref="G58:I58"/>
    <mergeCell ref="K58:M58"/>
    <mergeCell ref="B72:B73"/>
    <mergeCell ref="C72:E72"/>
    <mergeCell ref="G72:I72"/>
    <mergeCell ref="K72:M72"/>
    <mergeCell ref="C59:E59"/>
    <mergeCell ref="G59:I59"/>
    <mergeCell ref="K59:M59"/>
  </mergeCells>
  <pageMargins left="0.7" right="0.7" top="0.75" bottom="0.75" header="0.3" footer="0.3"/>
  <pageSetup orientation="portrait" horizontalDpi="1200" verticalDpi="1200"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28703D-7917-4D68-88B0-5DD617478E61}">
  <sheetPr>
    <tabColor theme="0"/>
  </sheetPr>
  <dimension ref="A1:Q80"/>
  <sheetViews>
    <sheetView zoomScale="80" zoomScaleNormal="80" workbookViewId="0">
      <pane ySplit="11" topLeftCell="A62" activePane="bottomLeft" state="frozen"/>
      <selection pane="bottomLeft" activeCell="P65" sqref="P65"/>
    </sheetView>
    <sheetView workbookViewId="1"/>
  </sheetViews>
  <sheetFormatPr defaultColWidth="15.85546875" defaultRowHeight="15.75" x14ac:dyDescent="0.25"/>
  <cols>
    <col min="1" max="1" width="3.42578125" style="191" customWidth="1"/>
    <col min="2" max="2" width="49.140625" style="174" customWidth="1"/>
    <col min="3" max="3" width="18.28515625" style="186" bestFit="1" customWidth="1"/>
    <col min="4" max="4" width="12.42578125" style="186" bestFit="1" customWidth="1"/>
    <col min="5" max="5" width="32.140625" style="186" bestFit="1" customWidth="1"/>
    <col min="6" max="6" width="1" style="186" customWidth="1"/>
    <col min="7" max="7" width="14.28515625" style="186" customWidth="1"/>
    <col min="8" max="8" width="14.5703125" style="186" customWidth="1"/>
    <col min="9" max="9" width="33.28515625" style="186" customWidth="1"/>
    <col min="10" max="10" width="1" style="186" customWidth="1"/>
    <col min="11" max="11" width="16.7109375" style="186" customWidth="1"/>
    <col min="12" max="12" width="16.28515625" style="186" customWidth="1"/>
    <col min="13" max="13" width="34" style="186" bestFit="1" customWidth="1"/>
    <col min="14" max="14" width="0.85546875" style="186" customWidth="1"/>
    <col min="15" max="15" width="12.85546875" style="186" bestFit="1" customWidth="1"/>
    <col min="16" max="16" width="12.42578125" style="186" bestFit="1" customWidth="1"/>
    <col min="17" max="17" width="34" style="186" bestFit="1" customWidth="1"/>
    <col min="18" max="16384" width="15.85546875" style="186"/>
  </cols>
  <sheetData>
    <row r="1" spans="1:17" ht="16.5" thickBot="1" x14ac:dyDescent="0.3">
      <c r="B1" s="126" t="s">
        <v>626</v>
      </c>
      <c r="C1" s="494" t="str">
        <f>'FFP CLINs X007-X021'!B1</f>
        <v>NAME</v>
      </c>
    </row>
    <row r="2" spans="1:17" ht="16.5" thickBot="1" x14ac:dyDescent="0.3"/>
    <row r="3" spans="1:17" ht="52.5" customHeight="1" thickBot="1" x14ac:dyDescent="0.3">
      <c r="A3" s="557" t="s">
        <v>132</v>
      </c>
      <c r="B3" s="558"/>
      <c r="C3" s="559"/>
      <c r="I3" s="251" t="s">
        <v>149</v>
      </c>
    </row>
    <row r="5" spans="1:17" s="259" customFormat="1" ht="17.25" customHeight="1" x14ac:dyDescent="0.2">
      <c r="A5" s="260"/>
      <c r="B5" s="261" t="s">
        <v>130</v>
      </c>
    </row>
    <row r="6" spans="1:17" s="259" customFormat="1" x14ac:dyDescent="0.25">
      <c r="A6" s="258"/>
      <c r="B6" s="258" t="s">
        <v>606</v>
      </c>
    </row>
    <row r="7" spans="1:17" s="259" customFormat="1" x14ac:dyDescent="0.25">
      <c r="A7" s="258"/>
      <c r="B7" s="258" t="s">
        <v>390</v>
      </c>
    </row>
    <row r="8" spans="1:17" s="259" customFormat="1" x14ac:dyDescent="0.25">
      <c r="A8" s="258"/>
      <c r="B8" s="258" t="s">
        <v>607</v>
      </c>
    </row>
    <row r="9" spans="1:17" s="259" customFormat="1" x14ac:dyDescent="0.25">
      <c r="A9" s="258"/>
      <c r="B9" s="258" t="s">
        <v>608</v>
      </c>
    </row>
    <row r="10" spans="1:17" x14ac:dyDescent="0.25">
      <c r="A10" s="192"/>
      <c r="B10" s="258" t="s">
        <v>609</v>
      </c>
      <c r="C10" s="194"/>
    </row>
    <row r="11" spans="1:17" x14ac:dyDescent="0.25">
      <c r="A11" s="192"/>
      <c r="B11" s="258" t="s">
        <v>511</v>
      </c>
      <c r="C11" s="194"/>
    </row>
    <row r="12" spans="1:17" ht="16.5" thickBot="1" x14ac:dyDescent="0.3"/>
    <row r="13" spans="1:17" ht="16.5" thickBot="1" x14ac:dyDescent="0.3">
      <c r="A13" s="193"/>
      <c r="B13" s="620" t="s">
        <v>512</v>
      </c>
      <c r="C13" s="594" t="s">
        <v>134</v>
      </c>
      <c r="D13" s="595"/>
      <c r="E13" s="596"/>
      <c r="F13" s="151"/>
      <c r="G13" s="594" t="s">
        <v>134</v>
      </c>
      <c r="H13" s="595"/>
      <c r="I13" s="596"/>
      <c r="J13" s="151"/>
      <c r="K13" s="594" t="s">
        <v>134</v>
      </c>
      <c r="L13" s="595"/>
      <c r="M13" s="596"/>
      <c r="N13" s="151"/>
      <c r="O13" s="594" t="s">
        <v>134</v>
      </c>
      <c r="P13" s="595"/>
      <c r="Q13" s="596"/>
    </row>
    <row r="14" spans="1:17" ht="32.25" customHeight="1" thickBot="1" x14ac:dyDescent="0.3">
      <c r="A14" s="193"/>
      <c r="B14" s="621"/>
      <c r="C14" s="617" t="s">
        <v>299</v>
      </c>
      <c r="D14" s="618"/>
      <c r="E14" s="619"/>
      <c r="F14" s="152"/>
      <c r="G14" s="617" t="s">
        <v>300</v>
      </c>
      <c r="H14" s="618"/>
      <c r="I14" s="619"/>
      <c r="J14" s="152"/>
      <c r="K14" s="617" t="s">
        <v>301</v>
      </c>
      <c r="L14" s="618"/>
      <c r="M14" s="619"/>
      <c r="N14" s="152"/>
      <c r="O14" s="617" t="s">
        <v>302</v>
      </c>
      <c r="P14" s="618"/>
      <c r="Q14" s="619"/>
    </row>
    <row r="15" spans="1:17" x14ac:dyDescent="0.25">
      <c r="A15" s="193"/>
      <c r="B15" s="153" t="s">
        <v>110</v>
      </c>
      <c r="C15" s="153" t="s">
        <v>91</v>
      </c>
      <c r="D15" s="154" t="s">
        <v>133</v>
      </c>
      <c r="E15" s="155" t="s">
        <v>139</v>
      </c>
      <c r="F15" s="156"/>
      <c r="G15" s="153" t="s">
        <v>91</v>
      </c>
      <c r="H15" s="154" t="s">
        <v>133</v>
      </c>
      <c r="I15" s="155" t="s">
        <v>139</v>
      </c>
      <c r="J15" s="156"/>
      <c r="K15" s="153" t="s">
        <v>91</v>
      </c>
      <c r="L15" s="154" t="s">
        <v>133</v>
      </c>
      <c r="M15" s="155" t="s">
        <v>139</v>
      </c>
      <c r="N15" s="156"/>
      <c r="O15" s="153" t="s">
        <v>91</v>
      </c>
      <c r="P15" s="154" t="s">
        <v>133</v>
      </c>
      <c r="Q15" s="155" t="s">
        <v>139</v>
      </c>
    </row>
    <row r="16" spans="1:17" ht="30" customHeight="1" thickBot="1" x14ac:dyDescent="0.3">
      <c r="A16" s="193"/>
      <c r="B16" s="203" t="s">
        <v>558</v>
      </c>
      <c r="C16" s="289"/>
      <c r="D16" s="290"/>
      <c r="E16" s="291"/>
      <c r="F16" s="156"/>
      <c r="G16" s="289"/>
      <c r="H16" s="290"/>
      <c r="I16" s="291"/>
      <c r="J16" s="156"/>
      <c r="K16" s="289"/>
      <c r="L16" s="290"/>
      <c r="M16" s="291"/>
      <c r="N16" s="156"/>
      <c r="O16" s="289"/>
      <c r="P16" s="290"/>
      <c r="Q16" s="291"/>
    </row>
    <row r="17" spans="1:17" ht="16.5" thickBot="1" x14ac:dyDescent="0.3">
      <c r="A17" s="193"/>
      <c r="B17" s="162" t="s">
        <v>151</v>
      </c>
      <c r="C17" s="163">
        <f>'PRIME CPIF LABOR INPUTS'!D238</f>
        <v>0</v>
      </c>
      <c r="D17" s="205"/>
      <c r="E17" s="164">
        <f>'PRIME CPIF LABOR INPUTS'!F238</f>
        <v>0</v>
      </c>
      <c r="F17" s="165"/>
      <c r="G17" s="163">
        <f>'PRIME CPIF LABOR INPUTS'!H238</f>
        <v>0</v>
      </c>
      <c r="H17" s="205"/>
      <c r="I17" s="164">
        <f>'PRIME CPIF LABOR INPUTS'!J238</f>
        <v>0</v>
      </c>
      <c r="J17" s="165"/>
      <c r="K17" s="163">
        <f>'PRIME CPIF LABOR INPUTS'!L238</f>
        <v>0</v>
      </c>
      <c r="L17" s="205"/>
      <c r="M17" s="164">
        <f>'PRIME CPIF LABOR INPUTS'!N238</f>
        <v>0</v>
      </c>
      <c r="N17" s="165"/>
      <c r="O17" s="163">
        <f>'PRIME CPIF LABOR INPUTS'!P238</f>
        <v>0</v>
      </c>
      <c r="P17" s="205"/>
      <c r="Q17" s="164">
        <f>'PRIME CPIF LABOR INPUTS'!R238</f>
        <v>0</v>
      </c>
    </row>
    <row r="18" spans="1:17" x14ac:dyDescent="0.25">
      <c r="A18" s="193"/>
      <c r="B18" s="204"/>
      <c r="C18" s="153" t="s">
        <v>399</v>
      </c>
      <c r="D18" s="154" t="s">
        <v>396</v>
      </c>
      <c r="E18" s="155" t="s">
        <v>398</v>
      </c>
      <c r="F18" s="166"/>
      <c r="G18" s="153" t="s">
        <v>399</v>
      </c>
      <c r="H18" s="154" t="s">
        <v>396</v>
      </c>
      <c r="I18" s="155" t="s">
        <v>398</v>
      </c>
      <c r="J18" s="166"/>
      <c r="K18" s="153" t="s">
        <v>399</v>
      </c>
      <c r="L18" s="154" t="s">
        <v>396</v>
      </c>
      <c r="M18" s="155" t="s">
        <v>398</v>
      </c>
      <c r="N18" s="166"/>
      <c r="O18" s="153" t="s">
        <v>399</v>
      </c>
      <c r="P18" s="154" t="s">
        <v>396</v>
      </c>
      <c r="Q18" s="155" t="s">
        <v>398</v>
      </c>
    </row>
    <row r="19" spans="1:17" ht="65.25" customHeight="1" x14ac:dyDescent="0.25">
      <c r="A19" s="193"/>
      <c r="B19" s="344" t="s">
        <v>611</v>
      </c>
      <c r="C19" s="289"/>
      <c r="D19" s="290"/>
      <c r="E19" s="291"/>
      <c r="F19" s="202"/>
      <c r="G19" s="289"/>
      <c r="H19" s="290"/>
      <c r="I19" s="291"/>
      <c r="J19" s="202"/>
      <c r="K19" s="289"/>
      <c r="L19" s="290"/>
      <c r="M19" s="291"/>
      <c r="N19" s="202"/>
      <c r="O19" s="289"/>
      <c r="P19" s="290"/>
      <c r="Q19" s="291"/>
    </row>
    <row r="20" spans="1:17" x14ac:dyDescent="0.25">
      <c r="A20" s="193"/>
      <c r="B20" s="167" t="str">
        <f>'PRIME CPIF RATES (ALL)'!B35</f>
        <v>Indirect Labor Category:  [Labor Fringe]</v>
      </c>
      <c r="C20" s="215">
        <f>+E17</f>
        <v>0</v>
      </c>
      <c r="D20" s="243">
        <f>'PRIME CPIF RATES (ALL)'!C35</f>
        <v>0</v>
      </c>
      <c r="E20" s="168">
        <f>ROUND(C20*D20,2)</f>
        <v>0</v>
      </c>
      <c r="F20" s="165"/>
      <c r="G20" s="215">
        <f>+I17</f>
        <v>0</v>
      </c>
      <c r="H20" s="243">
        <f>'PRIME CPIF RATES (ALL)'!D35</f>
        <v>0</v>
      </c>
      <c r="I20" s="168">
        <f>ROUND(G20*H20,2)</f>
        <v>0</v>
      </c>
      <c r="J20" s="165"/>
      <c r="K20" s="215">
        <f>+M17</f>
        <v>0</v>
      </c>
      <c r="L20" s="243">
        <f>'PRIME CPIF RATES (ALL)'!E35</f>
        <v>0</v>
      </c>
      <c r="M20" s="168">
        <f>ROUND(K20*L20,2)</f>
        <v>0</v>
      </c>
      <c r="N20" s="165"/>
      <c r="O20" s="215">
        <f>+Q17</f>
        <v>0</v>
      </c>
      <c r="P20" s="243">
        <f>'PRIME CPIF RATES (ALL)'!F35</f>
        <v>0</v>
      </c>
      <c r="Q20" s="168">
        <f>ROUND(O20*P20,2)</f>
        <v>0</v>
      </c>
    </row>
    <row r="21" spans="1:17" x14ac:dyDescent="0.25">
      <c r="A21" s="193"/>
      <c r="B21" s="167" t="str">
        <f>'PRIME CPIF RATES (ALL)'!B36</f>
        <v>Indirect Labor Category: [Labor Overhead]</v>
      </c>
      <c r="C21" s="215">
        <f>+C20+E20</f>
        <v>0</v>
      </c>
      <c r="D21" s="243">
        <f>'PRIME CPIF RATES (ALL)'!C36</f>
        <v>0</v>
      </c>
      <c r="E21" s="168">
        <f>ROUND(C21*D21,2)</f>
        <v>0</v>
      </c>
      <c r="F21" s="165"/>
      <c r="G21" s="215">
        <f>+G20+I20</f>
        <v>0</v>
      </c>
      <c r="H21" s="243">
        <f>'PRIME CPIF RATES (ALL)'!D36</f>
        <v>0</v>
      </c>
      <c r="I21" s="168">
        <f>ROUND(G21*H21,2)</f>
        <v>0</v>
      </c>
      <c r="J21" s="165"/>
      <c r="K21" s="215">
        <f>+K20+M20</f>
        <v>0</v>
      </c>
      <c r="L21" s="243">
        <f>'PRIME CPIF RATES (ALL)'!E36</f>
        <v>0</v>
      </c>
      <c r="M21" s="168">
        <f>ROUND(K21*L21,2)</f>
        <v>0</v>
      </c>
      <c r="N21" s="165"/>
      <c r="O21" s="215">
        <f>+O20+Q20</f>
        <v>0</v>
      </c>
      <c r="P21" s="243">
        <f>'PRIME CPIF RATES (ALL)'!F36</f>
        <v>0</v>
      </c>
      <c r="Q21" s="168">
        <f>ROUND(O21*P21,2)</f>
        <v>0</v>
      </c>
    </row>
    <row r="22" spans="1:17" x14ac:dyDescent="0.25">
      <c r="A22" s="193"/>
      <c r="B22" s="167" t="str">
        <f>'PRIME CPIF RATES (ALL)'!B37</f>
        <v>Indirect Labor Category: [G&amp;A]</v>
      </c>
      <c r="C22" s="215">
        <f>+C21+E21</f>
        <v>0</v>
      </c>
      <c r="D22" s="243">
        <f>'PRIME CPIF RATES (ALL)'!C37</f>
        <v>0</v>
      </c>
      <c r="E22" s="168">
        <f>ROUND(C22*D22,2)</f>
        <v>0</v>
      </c>
      <c r="F22" s="165"/>
      <c r="G22" s="215">
        <f>+G21+I21</f>
        <v>0</v>
      </c>
      <c r="H22" s="243">
        <f>'PRIME CPIF RATES (ALL)'!D37</f>
        <v>0</v>
      </c>
      <c r="I22" s="168">
        <f>ROUND(G22*H22,2)</f>
        <v>0</v>
      </c>
      <c r="J22" s="165"/>
      <c r="K22" s="215">
        <f>+K21+M21</f>
        <v>0</v>
      </c>
      <c r="L22" s="243">
        <f>'PRIME CPIF RATES (ALL)'!E37</f>
        <v>0</v>
      </c>
      <c r="M22" s="168">
        <f>ROUND(K22*L22,2)</f>
        <v>0</v>
      </c>
      <c r="N22" s="165"/>
      <c r="O22" s="215">
        <f>+O21+Q21</f>
        <v>0</v>
      </c>
      <c r="P22" s="243">
        <f>'PRIME CPIF RATES (ALL)'!F37</f>
        <v>0</v>
      </c>
      <c r="Q22" s="168">
        <f>ROUND(O22*P22,2)</f>
        <v>0</v>
      </c>
    </row>
    <row r="23" spans="1:17" x14ac:dyDescent="0.25">
      <c r="A23" s="193"/>
      <c r="B23" s="167" t="str">
        <f>'PRIME CPIF RATES (ALL)'!B38</f>
        <v>Indirect Labor Category: [FCCOM]</v>
      </c>
      <c r="C23" s="215">
        <f>C22+E22</f>
        <v>0</v>
      </c>
      <c r="D23" s="243">
        <f>'PRIME CPIF RATES (ALL)'!C38</f>
        <v>0</v>
      </c>
      <c r="E23" s="168">
        <f>ROUND(C23*D23,2)</f>
        <v>0</v>
      </c>
      <c r="F23" s="165"/>
      <c r="G23" s="215">
        <f>G22+I22</f>
        <v>0</v>
      </c>
      <c r="H23" s="243">
        <f>'PRIME CPIF RATES (ALL)'!D38</f>
        <v>0</v>
      </c>
      <c r="I23" s="168">
        <f>ROUND(G23*H23,2)</f>
        <v>0</v>
      </c>
      <c r="J23" s="165"/>
      <c r="K23" s="215">
        <f>K22+M22</f>
        <v>0</v>
      </c>
      <c r="L23" s="243">
        <f>'PRIME CPIF RATES (ALL)'!E38</f>
        <v>0</v>
      </c>
      <c r="M23" s="168">
        <f>ROUND(K23*L23,2)</f>
        <v>0</v>
      </c>
      <c r="N23" s="165"/>
      <c r="O23" s="215">
        <f>O22+Q22</f>
        <v>0</v>
      </c>
      <c r="P23" s="243">
        <f>'PRIME CPIF RATES (ALL)'!F38</f>
        <v>0</v>
      </c>
      <c r="Q23" s="168">
        <f>ROUND(O23*P23,2)</f>
        <v>0</v>
      </c>
    </row>
    <row r="24" spans="1:17" x14ac:dyDescent="0.25">
      <c r="A24" s="193"/>
      <c r="B24" s="167" t="str">
        <f>'PRIME CPIF RATES (ALL)'!B39</f>
        <v>Indirect Labor Category: [Target Fee]</v>
      </c>
      <c r="C24" s="215">
        <f>+C22+E22</f>
        <v>0</v>
      </c>
      <c r="D24" s="243">
        <f>'PRIME CPIF RATES (ALL)'!C39</f>
        <v>0</v>
      </c>
      <c r="E24" s="168">
        <f>ROUND(C24*D24,2)</f>
        <v>0</v>
      </c>
      <c r="F24" s="165"/>
      <c r="G24" s="215">
        <f>+G22+I22</f>
        <v>0</v>
      </c>
      <c r="H24" s="243">
        <f>'PRIME CPIF RATES (ALL)'!D39</f>
        <v>0</v>
      </c>
      <c r="I24" s="168">
        <f>ROUND(G24*H24,2)</f>
        <v>0</v>
      </c>
      <c r="J24" s="165"/>
      <c r="K24" s="215">
        <f>+K22+M22</f>
        <v>0</v>
      </c>
      <c r="L24" s="243">
        <f>'PRIME CPIF RATES (ALL)'!E39</f>
        <v>0</v>
      </c>
      <c r="M24" s="168">
        <f>ROUND(K24*L24,2)</f>
        <v>0</v>
      </c>
      <c r="N24" s="165"/>
      <c r="O24" s="215">
        <f>+O22+Q22</f>
        <v>0</v>
      </c>
      <c r="P24" s="243">
        <f>'PRIME CPIF RATES (ALL)'!F39</f>
        <v>0</v>
      </c>
      <c r="Q24" s="168">
        <f>ROUND(O24*P24,2)</f>
        <v>0</v>
      </c>
    </row>
    <row r="25" spans="1:17" x14ac:dyDescent="0.25">
      <c r="A25" s="193"/>
      <c r="B25" s="262" t="s">
        <v>258</v>
      </c>
      <c r="C25" s="210"/>
      <c r="D25" s="211"/>
      <c r="E25" s="230">
        <f>ROUND(SUM(E17,E20,E21,E22),2)</f>
        <v>0</v>
      </c>
      <c r="F25" s="165"/>
      <c r="G25" s="206"/>
      <c r="H25" s="207"/>
      <c r="I25" s="230">
        <f>ROUND(SUM(I17,I20,I21,I22),2)</f>
        <v>0</v>
      </c>
      <c r="J25" s="165"/>
      <c r="K25" s="206"/>
      <c r="L25" s="207"/>
      <c r="M25" s="230">
        <f>ROUND(SUM(M17,M20,M21,M22),2)</f>
        <v>0</v>
      </c>
      <c r="N25" s="165"/>
      <c r="O25" s="206"/>
      <c r="P25" s="207"/>
      <c r="Q25" s="230">
        <f>ROUND(SUM(Q17,Q20,Q21,Q22),2)</f>
        <v>0</v>
      </c>
    </row>
    <row r="26" spans="1:17" x14ac:dyDescent="0.25">
      <c r="A26" s="193"/>
      <c r="B26" s="262" t="s">
        <v>137</v>
      </c>
      <c r="C26" s="210"/>
      <c r="D26" s="211"/>
      <c r="E26" s="230">
        <f>ROUND(E23,2)</f>
        <v>0</v>
      </c>
      <c r="F26" s="165"/>
      <c r="G26" s="206"/>
      <c r="H26" s="207"/>
      <c r="I26" s="230">
        <f>ROUND(I23,2)</f>
        <v>0</v>
      </c>
      <c r="J26" s="165"/>
      <c r="K26" s="206"/>
      <c r="L26" s="207"/>
      <c r="M26" s="230">
        <f>ROUND(M23,2)</f>
        <v>0</v>
      </c>
      <c r="N26" s="165"/>
      <c r="O26" s="206"/>
      <c r="P26" s="207"/>
      <c r="Q26" s="230">
        <f>ROUND(Q23,2)</f>
        <v>0</v>
      </c>
    </row>
    <row r="27" spans="1:17" x14ac:dyDescent="0.25">
      <c r="A27" s="193"/>
      <c r="B27" s="262" t="s">
        <v>136</v>
      </c>
      <c r="C27" s="210"/>
      <c r="D27" s="211"/>
      <c r="E27" s="245">
        <f>ROUND(E24,2)</f>
        <v>0</v>
      </c>
      <c r="F27" s="170"/>
      <c r="G27" s="206"/>
      <c r="H27" s="207"/>
      <c r="I27" s="245">
        <f>ROUND(I24,2)</f>
        <v>0</v>
      </c>
      <c r="J27" s="170"/>
      <c r="K27" s="206"/>
      <c r="L27" s="207"/>
      <c r="M27" s="245">
        <f>ROUND(M24,2)</f>
        <v>0</v>
      </c>
      <c r="N27" s="170"/>
      <c r="O27" s="206"/>
      <c r="P27" s="207"/>
      <c r="Q27" s="245">
        <f>ROUND(Q24,2)</f>
        <v>0</v>
      </c>
    </row>
    <row r="28" spans="1:17" ht="16.5" thickBot="1" x14ac:dyDescent="0.3">
      <c r="A28" s="193"/>
      <c r="B28" s="263" t="s">
        <v>138</v>
      </c>
      <c r="C28" s="212"/>
      <c r="D28" s="213"/>
      <c r="E28" s="246">
        <f>ROUND(SUM(E25:E27),2)</f>
        <v>0</v>
      </c>
      <c r="F28" s="171"/>
      <c r="G28" s="208"/>
      <c r="H28" s="209"/>
      <c r="I28" s="246">
        <f>ROUND(SUM(I25:I27),2)</f>
        <v>0</v>
      </c>
      <c r="J28" s="171"/>
      <c r="K28" s="208"/>
      <c r="L28" s="209"/>
      <c r="M28" s="246">
        <f>ROUND(SUM(M25:M27),2)</f>
        <v>0</v>
      </c>
      <c r="N28" s="171"/>
      <c r="O28" s="208"/>
      <c r="P28" s="209"/>
      <c r="Q28" s="246">
        <f>ROUND(SUM(Q25:Q27),2)</f>
        <v>0</v>
      </c>
    </row>
    <row r="29" spans="1:17" ht="16.5" thickBot="1" x14ac:dyDescent="0.3">
      <c r="A29" s="193"/>
      <c r="B29" s="172"/>
      <c r="C29" s="173"/>
      <c r="D29" s="173"/>
      <c r="E29" s="173"/>
      <c r="F29" s="165"/>
      <c r="G29" s="173"/>
      <c r="H29" s="173"/>
      <c r="I29" s="173"/>
      <c r="J29" s="165"/>
      <c r="K29" s="173"/>
      <c r="L29" s="173"/>
      <c r="M29" s="173"/>
      <c r="N29" s="165"/>
      <c r="O29" s="173"/>
      <c r="P29" s="173"/>
      <c r="Q29" s="173"/>
    </row>
    <row r="30" spans="1:17" ht="16.5" customHeight="1" thickBot="1" x14ac:dyDescent="0.3">
      <c r="A30" s="193"/>
      <c r="B30" s="620" t="str">
        <f>B13</f>
        <v>CLIN 0001 (CPIF)                                                    TASK 1.11 SUPPORT EQUIPMENT</v>
      </c>
      <c r="C30" s="594" t="s">
        <v>145</v>
      </c>
      <c r="D30" s="595"/>
      <c r="E30" s="596"/>
      <c r="F30" s="175"/>
      <c r="G30" s="594" t="s">
        <v>145</v>
      </c>
      <c r="H30" s="595"/>
      <c r="I30" s="596"/>
      <c r="J30" s="175"/>
      <c r="K30" s="594" t="s">
        <v>145</v>
      </c>
      <c r="L30" s="595"/>
      <c r="M30" s="596"/>
      <c r="N30" s="175"/>
      <c r="O30" s="594" t="s">
        <v>145</v>
      </c>
      <c r="P30" s="595"/>
      <c r="Q30" s="596"/>
    </row>
    <row r="31" spans="1:17" ht="32.25" customHeight="1" thickBot="1" x14ac:dyDescent="0.3">
      <c r="A31" s="193"/>
      <c r="B31" s="621"/>
      <c r="C31" s="617" t="str">
        <f>C14</f>
        <v>CLIN 0001 - Basic Period (Year 1)</v>
      </c>
      <c r="D31" s="618"/>
      <c r="E31" s="619"/>
      <c r="F31" s="176"/>
      <c r="G31" s="617" t="str">
        <f>G14</f>
        <v>CLIN 0001 - Basic Period (Year 2)</v>
      </c>
      <c r="H31" s="618"/>
      <c r="I31" s="619"/>
      <c r="J31" s="176"/>
      <c r="K31" s="617" t="str">
        <f>K14</f>
        <v>CLIN 0001 - Basic Period (Year 3)</v>
      </c>
      <c r="L31" s="618"/>
      <c r="M31" s="619"/>
      <c r="N31" s="176"/>
      <c r="O31" s="617" t="str">
        <f>O14</f>
        <v>CLIN 0001 - Basic Period (Year 4)</v>
      </c>
      <c r="P31" s="618"/>
      <c r="Q31" s="619"/>
    </row>
    <row r="32" spans="1:17" x14ac:dyDescent="0.25">
      <c r="A32" s="193"/>
      <c r="B32" s="247"/>
      <c r="C32" s="153" t="s">
        <v>399</v>
      </c>
      <c r="D32" s="154" t="s">
        <v>396</v>
      </c>
      <c r="E32" s="155" t="s">
        <v>152</v>
      </c>
      <c r="F32" s="166"/>
      <c r="G32" s="153" t="s">
        <v>399</v>
      </c>
      <c r="H32" s="154" t="s">
        <v>396</v>
      </c>
      <c r="I32" s="155" t="s">
        <v>152</v>
      </c>
      <c r="J32" s="166"/>
      <c r="K32" s="153" t="s">
        <v>399</v>
      </c>
      <c r="L32" s="154" t="s">
        <v>396</v>
      </c>
      <c r="M32" s="155" t="s">
        <v>152</v>
      </c>
      <c r="N32" s="166"/>
      <c r="O32" s="153" t="s">
        <v>399</v>
      </c>
      <c r="P32" s="154" t="s">
        <v>396</v>
      </c>
      <c r="Q32" s="155" t="s">
        <v>152</v>
      </c>
    </row>
    <row r="33" spans="1:17" ht="51.75" x14ac:dyDescent="0.25">
      <c r="A33" s="193"/>
      <c r="B33" s="300" t="s">
        <v>612</v>
      </c>
      <c r="C33" s="231"/>
      <c r="D33" s="232"/>
      <c r="E33" s="400">
        <f>'PRIME CPIF TOTAL MATERIAL'!E21</f>
        <v>0</v>
      </c>
      <c r="F33" s="165"/>
      <c r="G33" s="231"/>
      <c r="H33" s="232"/>
      <c r="I33" s="400">
        <f>'PRIME CPIF TOTAL MATERIAL'!G21</f>
        <v>0</v>
      </c>
      <c r="J33" s="165"/>
      <c r="K33" s="231"/>
      <c r="L33" s="232"/>
      <c r="M33" s="400">
        <f>'PRIME CPIF TOTAL MATERIAL'!I21</f>
        <v>0</v>
      </c>
      <c r="N33" s="165"/>
      <c r="O33" s="231"/>
      <c r="P33" s="232"/>
      <c r="Q33" s="400">
        <f>'PRIME CPIF TOTAL MATERIAL'!K21</f>
        <v>0</v>
      </c>
    </row>
    <row r="34" spans="1:17" ht="67.5" customHeight="1" x14ac:dyDescent="0.25">
      <c r="A34" s="193"/>
      <c r="B34" s="344" t="s">
        <v>389</v>
      </c>
      <c r="C34" s="405"/>
      <c r="D34" s="406"/>
      <c r="E34" s="400"/>
      <c r="F34" s="165"/>
      <c r="G34" s="405"/>
      <c r="H34" s="406"/>
      <c r="I34" s="400"/>
      <c r="J34" s="165"/>
      <c r="K34" s="405"/>
      <c r="L34" s="406"/>
      <c r="M34" s="400"/>
      <c r="N34" s="165"/>
      <c r="O34" s="405"/>
      <c r="P34" s="406"/>
      <c r="Q34" s="400"/>
    </row>
    <row r="35" spans="1:17" x14ac:dyDescent="0.25">
      <c r="A35" s="193"/>
      <c r="B35" s="167" t="str">
        <f>'PRIME CPIF RATES (ALL)'!B52</f>
        <v>Indirect Category: [Material Overhead]</v>
      </c>
      <c r="C35" s="215">
        <f>+E33</f>
        <v>0</v>
      </c>
      <c r="D35" s="243">
        <f>'PRIME CPIF RATES (ALL)'!C52</f>
        <v>0</v>
      </c>
      <c r="E35" s="168">
        <f>ROUND(C35*D35,2)</f>
        <v>0</v>
      </c>
      <c r="F35" s="178"/>
      <c r="G35" s="215">
        <f>+I33</f>
        <v>0</v>
      </c>
      <c r="H35" s="243">
        <f>'PRIME CPIF RATES (ALL)'!D52</f>
        <v>0</v>
      </c>
      <c r="I35" s="168">
        <f>ROUND(G35*H35,2)</f>
        <v>0</v>
      </c>
      <c r="J35" s="178"/>
      <c r="K35" s="215">
        <f>+M33</f>
        <v>0</v>
      </c>
      <c r="L35" s="243">
        <f>'PRIME CPIF RATES (ALL)'!E52</f>
        <v>0</v>
      </c>
      <c r="M35" s="168">
        <f>ROUND(K35*L35,2)</f>
        <v>0</v>
      </c>
      <c r="N35" s="178"/>
      <c r="O35" s="215">
        <f>+Q33</f>
        <v>0</v>
      </c>
      <c r="P35" s="243">
        <f>'PRIME CPIF RATES (ALL)'!F52</f>
        <v>0</v>
      </c>
      <c r="Q35" s="168">
        <f>ROUND(O35*P35,2)</f>
        <v>0</v>
      </c>
    </row>
    <row r="36" spans="1:17" x14ac:dyDescent="0.25">
      <c r="A36" s="193"/>
      <c r="B36" s="167" t="str">
        <f>'PRIME CPIF RATES (ALL)'!B53</f>
        <v>Indirect Category: [G&amp;A]</v>
      </c>
      <c r="C36" s="215">
        <f>+C35+E35</f>
        <v>0</v>
      </c>
      <c r="D36" s="243">
        <f>'PRIME CPIF RATES (ALL)'!C53</f>
        <v>0</v>
      </c>
      <c r="E36" s="168">
        <f>ROUND(C36*D36,2)</f>
        <v>0</v>
      </c>
      <c r="F36" s="178"/>
      <c r="G36" s="215">
        <f>+G35+I35</f>
        <v>0</v>
      </c>
      <c r="H36" s="243">
        <f>'PRIME CPIF RATES (ALL)'!D53</f>
        <v>0</v>
      </c>
      <c r="I36" s="168">
        <f>ROUND(G36*H36,2)</f>
        <v>0</v>
      </c>
      <c r="J36" s="178"/>
      <c r="K36" s="215">
        <f>+K35+M35</f>
        <v>0</v>
      </c>
      <c r="L36" s="243">
        <f>'PRIME CPIF RATES (ALL)'!E53</f>
        <v>0</v>
      </c>
      <c r="M36" s="168">
        <f>ROUND(K36*L36,2)</f>
        <v>0</v>
      </c>
      <c r="N36" s="178"/>
      <c r="O36" s="215">
        <f>+O35+Q35</f>
        <v>0</v>
      </c>
      <c r="P36" s="243">
        <f>'PRIME CPIF RATES (ALL)'!F53</f>
        <v>0</v>
      </c>
      <c r="Q36" s="168">
        <f>ROUND(O36*P36,2)</f>
        <v>0</v>
      </c>
    </row>
    <row r="37" spans="1:17" x14ac:dyDescent="0.25">
      <c r="A37" s="193"/>
      <c r="B37" s="167" t="str">
        <f>'PRIME CPIF RATES (ALL)'!B54</f>
        <v>Indirect Category: [FCCOM]</v>
      </c>
      <c r="C37" s="215">
        <f>C36+E36</f>
        <v>0</v>
      </c>
      <c r="D37" s="243">
        <f>'PRIME CPIF RATES (ALL)'!C54</f>
        <v>0</v>
      </c>
      <c r="E37" s="168">
        <f>ROUND(C37*D37,2)</f>
        <v>0</v>
      </c>
      <c r="F37" s="165"/>
      <c r="G37" s="215">
        <f>G36+I36</f>
        <v>0</v>
      </c>
      <c r="H37" s="243">
        <f>'PRIME CPIF RATES (ALL)'!D54</f>
        <v>0</v>
      </c>
      <c r="I37" s="168">
        <f>ROUND(G37*H37,2)</f>
        <v>0</v>
      </c>
      <c r="J37" s="165"/>
      <c r="K37" s="215">
        <f>K36+M36</f>
        <v>0</v>
      </c>
      <c r="L37" s="243">
        <f>'PRIME CPIF RATES (ALL)'!E54</f>
        <v>0</v>
      </c>
      <c r="M37" s="168">
        <f>ROUND(K37*L37,2)</f>
        <v>0</v>
      </c>
      <c r="N37" s="165"/>
      <c r="O37" s="215">
        <f>O36+Q36</f>
        <v>0</v>
      </c>
      <c r="P37" s="243">
        <f>'PRIME CPIF RATES (ALL)'!F54</f>
        <v>0</v>
      </c>
      <c r="Q37" s="168">
        <f>ROUND(O37*P37,2)</f>
        <v>0</v>
      </c>
    </row>
    <row r="38" spans="1:17" x14ac:dyDescent="0.25">
      <c r="A38" s="193"/>
      <c r="B38" s="167" t="str">
        <f>'PRIME CPIF RATES (ALL)'!B55</f>
        <v>Indirect Category: [Target Fee]</v>
      </c>
      <c r="C38" s="215">
        <f>+C36+E36</f>
        <v>0</v>
      </c>
      <c r="D38" s="243">
        <f>'PRIME CPIF RATES (ALL)'!C55</f>
        <v>0</v>
      </c>
      <c r="E38" s="168">
        <f>ROUND(C38*D38,2)</f>
        <v>0</v>
      </c>
      <c r="F38" s="165"/>
      <c r="G38" s="215">
        <f>+G36+I36</f>
        <v>0</v>
      </c>
      <c r="H38" s="243">
        <f>'PRIME CPIF RATES (ALL)'!D55</f>
        <v>0</v>
      </c>
      <c r="I38" s="168">
        <f>ROUND(G38*H38,2)</f>
        <v>0</v>
      </c>
      <c r="J38" s="165"/>
      <c r="K38" s="215">
        <f>+K36+M36</f>
        <v>0</v>
      </c>
      <c r="L38" s="243">
        <f>'PRIME CPIF RATES (ALL)'!E55</f>
        <v>0</v>
      </c>
      <c r="M38" s="168">
        <f>ROUND(K38*L38,2)</f>
        <v>0</v>
      </c>
      <c r="N38" s="165"/>
      <c r="O38" s="215">
        <f>+O36+Q36</f>
        <v>0</v>
      </c>
      <c r="P38" s="243">
        <f>'PRIME CPIF RATES (ALL)'!F55</f>
        <v>0</v>
      </c>
      <c r="Q38" s="168">
        <f>ROUND(O38*P38,2)</f>
        <v>0</v>
      </c>
    </row>
    <row r="39" spans="1:17" x14ac:dyDescent="0.25">
      <c r="A39" s="193"/>
      <c r="B39" s="241" t="s">
        <v>259</v>
      </c>
      <c r="C39" s="233"/>
      <c r="D39" s="234"/>
      <c r="E39" s="168">
        <f>ROUND(SUM(E33:E36),2)</f>
        <v>0</v>
      </c>
      <c r="F39" s="165"/>
      <c r="G39" s="233"/>
      <c r="H39" s="234"/>
      <c r="I39" s="168">
        <f>ROUND(SUM(I33:I36),2)</f>
        <v>0</v>
      </c>
      <c r="J39" s="165"/>
      <c r="K39" s="233"/>
      <c r="L39" s="234"/>
      <c r="M39" s="168">
        <f>ROUND(SUM(M33:M36),2)</f>
        <v>0</v>
      </c>
      <c r="N39" s="165"/>
      <c r="O39" s="233"/>
      <c r="P39" s="234"/>
      <c r="Q39" s="168">
        <f>ROUND(SUM(Q33:Q36),2)</f>
        <v>0</v>
      </c>
    </row>
    <row r="40" spans="1:17" x14ac:dyDescent="0.25">
      <c r="A40" s="193"/>
      <c r="B40" s="241" t="s">
        <v>137</v>
      </c>
      <c r="C40" s="231"/>
      <c r="D40" s="235"/>
      <c r="E40" s="168">
        <f>ROUND(E37,2)</f>
        <v>0</v>
      </c>
      <c r="F40" s="165"/>
      <c r="G40" s="231"/>
      <c r="H40" s="235"/>
      <c r="I40" s="168">
        <f>ROUND(I37,2)</f>
        <v>0</v>
      </c>
      <c r="J40" s="165"/>
      <c r="K40" s="231"/>
      <c r="L40" s="235"/>
      <c r="M40" s="168">
        <f>ROUND(M37,2)</f>
        <v>0</v>
      </c>
      <c r="N40" s="165"/>
      <c r="O40" s="231"/>
      <c r="P40" s="235"/>
      <c r="Q40" s="168">
        <f>ROUND(Q37,2)</f>
        <v>0</v>
      </c>
    </row>
    <row r="41" spans="1:17" x14ac:dyDescent="0.2">
      <c r="B41" s="241" t="s">
        <v>136</v>
      </c>
      <c r="C41" s="231"/>
      <c r="D41" s="235"/>
      <c r="E41" s="182">
        <f>ROUND(E38,2)</f>
        <v>0</v>
      </c>
      <c r="F41" s="183"/>
      <c r="G41" s="231"/>
      <c r="H41" s="235"/>
      <c r="I41" s="182">
        <f>ROUND(I38,2)</f>
        <v>0</v>
      </c>
      <c r="J41" s="183"/>
      <c r="K41" s="231"/>
      <c r="L41" s="235"/>
      <c r="M41" s="182">
        <f>ROUND(M38,2)</f>
        <v>0</v>
      </c>
      <c r="N41" s="183"/>
      <c r="O41" s="231"/>
      <c r="P41" s="235"/>
      <c r="Q41" s="182">
        <f>ROUND(Q38,2)</f>
        <v>0</v>
      </c>
    </row>
    <row r="42" spans="1:17" ht="16.5" thickBot="1" x14ac:dyDescent="0.25">
      <c r="B42" s="242" t="s">
        <v>243</v>
      </c>
      <c r="C42" s="236"/>
      <c r="D42" s="237"/>
      <c r="E42" s="160">
        <f>SUM(E39:E41)</f>
        <v>0</v>
      </c>
      <c r="F42" s="161"/>
      <c r="G42" s="236"/>
      <c r="H42" s="237"/>
      <c r="I42" s="160">
        <f>SUM(I39:I41)</f>
        <v>0</v>
      </c>
      <c r="J42" s="161"/>
      <c r="K42" s="236"/>
      <c r="L42" s="237"/>
      <c r="M42" s="160">
        <f>SUM(M39:M41)</f>
        <v>0</v>
      </c>
      <c r="N42" s="161"/>
      <c r="O42" s="236"/>
      <c r="P42" s="237"/>
      <c r="Q42" s="160">
        <f>SUM(Q39:Q41)</f>
        <v>0</v>
      </c>
    </row>
    <row r="43" spans="1:17" ht="16.5" thickBot="1" x14ac:dyDescent="0.25">
      <c r="B43" s="172"/>
      <c r="F43" s="187"/>
      <c r="J43" s="187"/>
      <c r="N43" s="187"/>
    </row>
    <row r="44" spans="1:17" ht="16.5" thickBot="1" x14ac:dyDescent="0.3">
      <c r="B44" s="620" t="str">
        <f>B13</f>
        <v>CLIN 0001 (CPIF)                                                    TASK 1.11 SUPPORT EQUIPMENT</v>
      </c>
      <c r="C44" s="594" t="s">
        <v>318</v>
      </c>
      <c r="D44" s="595"/>
      <c r="E44" s="596"/>
      <c r="F44" s="175"/>
      <c r="G44" s="594" t="s">
        <v>318</v>
      </c>
      <c r="H44" s="595"/>
      <c r="I44" s="596"/>
      <c r="J44" s="175"/>
      <c r="K44" s="594" t="s">
        <v>318</v>
      </c>
      <c r="L44" s="595"/>
      <c r="M44" s="596"/>
      <c r="N44" s="175"/>
      <c r="O44" s="594" t="s">
        <v>318</v>
      </c>
      <c r="P44" s="595"/>
      <c r="Q44" s="596"/>
    </row>
    <row r="45" spans="1:17" ht="27.75" customHeight="1" thickBot="1" x14ac:dyDescent="0.3">
      <c r="B45" s="621"/>
      <c r="C45" s="617" t="str">
        <f>C31</f>
        <v>CLIN 0001 - Basic Period (Year 1)</v>
      </c>
      <c r="D45" s="618"/>
      <c r="E45" s="619"/>
      <c r="F45" s="176"/>
      <c r="G45" s="617" t="str">
        <f>G31</f>
        <v>CLIN 0001 - Basic Period (Year 2)</v>
      </c>
      <c r="H45" s="618"/>
      <c r="I45" s="619"/>
      <c r="J45" s="176"/>
      <c r="K45" s="617" t="str">
        <f>K31</f>
        <v>CLIN 0001 - Basic Period (Year 3)</v>
      </c>
      <c r="L45" s="618"/>
      <c r="M45" s="619"/>
      <c r="N45" s="176"/>
      <c r="O45" s="617" t="str">
        <f>O31</f>
        <v>CLIN 0001 - Basic Period (Year 4)</v>
      </c>
      <c r="P45" s="618"/>
      <c r="Q45" s="619"/>
    </row>
    <row r="46" spans="1:17" x14ac:dyDescent="0.25">
      <c r="B46" s="248"/>
      <c r="C46" s="153" t="s">
        <v>399</v>
      </c>
      <c r="D46" s="154" t="s">
        <v>396</v>
      </c>
      <c r="E46" s="155" t="s">
        <v>397</v>
      </c>
      <c r="F46" s="166"/>
      <c r="G46" s="153" t="s">
        <v>399</v>
      </c>
      <c r="H46" s="154" t="s">
        <v>396</v>
      </c>
      <c r="I46" s="155" t="s">
        <v>397</v>
      </c>
      <c r="J46" s="166"/>
      <c r="K46" s="153" t="s">
        <v>399</v>
      </c>
      <c r="L46" s="154" t="s">
        <v>396</v>
      </c>
      <c r="M46" s="155" t="s">
        <v>397</v>
      </c>
      <c r="N46" s="166"/>
      <c r="O46" s="153" t="s">
        <v>399</v>
      </c>
      <c r="P46" s="154" t="s">
        <v>396</v>
      </c>
      <c r="Q46" s="155" t="s">
        <v>397</v>
      </c>
    </row>
    <row r="47" spans="1:17" ht="25.5" x14ac:dyDescent="0.2">
      <c r="B47" s="300" t="s">
        <v>560</v>
      </c>
      <c r="C47" s="285"/>
      <c r="D47" s="285"/>
      <c r="E47" s="345">
        <f>'PRIME CPIF TOTAL SUB'!E21</f>
        <v>0</v>
      </c>
      <c r="F47" s="288"/>
      <c r="G47" s="231"/>
      <c r="H47" s="285"/>
      <c r="I47" s="345">
        <f>'PRIME CPIF TOTAL SUB'!G21</f>
        <v>0</v>
      </c>
      <c r="J47" s="288"/>
      <c r="K47" s="231"/>
      <c r="L47" s="285"/>
      <c r="M47" s="345">
        <f>'PRIME CPIF TOTAL SUB'!I21</f>
        <v>0</v>
      </c>
      <c r="N47" s="165"/>
      <c r="O47" s="231"/>
      <c r="P47" s="285"/>
      <c r="Q47" s="345">
        <f>'PRIME CPIF TOTAL SUB'!K21</f>
        <v>0</v>
      </c>
    </row>
    <row r="48" spans="1:17" ht="76.5" x14ac:dyDescent="0.2">
      <c r="B48" s="344" t="s">
        <v>613</v>
      </c>
      <c r="C48" s="624" t="s">
        <v>5</v>
      </c>
      <c r="D48" s="625"/>
      <c r="E48" s="626"/>
      <c r="F48" s="178"/>
      <c r="G48" s="627"/>
      <c r="H48" s="625"/>
      <c r="I48" s="626"/>
      <c r="J48" s="178"/>
      <c r="K48" s="627"/>
      <c r="L48" s="625"/>
      <c r="M48" s="626"/>
      <c r="N48" s="178"/>
      <c r="O48" s="627"/>
      <c r="P48" s="625"/>
      <c r="Q48" s="626"/>
    </row>
    <row r="49" spans="1:17" x14ac:dyDescent="0.2">
      <c r="B49" s="287" t="str">
        <f>'PRIME CPIF RATES (ALL)'!B44</f>
        <v>Indirect Category: [Overhead]</v>
      </c>
      <c r="C49" s="286">
        <f>E47</f>
        <v>0</v>
      </c>
      <c r="D49" s="243">
        <f>'PRIME CPIF RATES (ALL)'!C44</f>
        <v>0</v>
      </c>
      <c r="E49" s="168">
        <f>ROUND(C49*D49,2)</f>
        <v>0</v>
      </c>
      <c r="F49" s="178"/>
      <c r="G49" s="215">
        <f>I47</f>
        <v>0</v>
      </c>
      <c r="H49" s="243">
        <f>'PRIME CPIF RATES (ALL)'!D44</f>
        <v>0</v>
      </c>
      <c r="I49" s="168">
        <f>ROUND(G49*H49,2)</f>
        <v>0</v>
      </c>
      <c r="J49" s="178"/>
      <c r="K49" s="215">
        <f>M47</f>
        <v>0</v>
      </c>
      <c r="L49" s="243">
        <f>'PRIME CPIF RATES (ALL)'!E44</f>
        <v>0</v>
      </c>
      <c r="M49" s="168">
        <f>ROUND(K49*L49,2)</f>
        <v>0</v>
      </c>
      <c r="N49" s="178"/>
      <c r="O49" s="215">
        <f>Q47</f>
        <v>0</v>
      </c>
      <c r="P49" s="243">
        <f>'PRIME CPIF RATES (ALL)'!F44</f>
        <v>0</v>
      </c>
      <c r="Q49" s="168">
        <f>ROUND(O49*P49,2)</f>
        <v>0</v>
      </c>
    </row>
    <row r="50" spans="1:17" x14ac:dyDescent="0.2">
      <c r="B50" s="287" t="str">
        <f>'PRIME CPIF RATES (ALL)'!B45</f>
        <v>Indirect Category: [G&amp;A]</v>
      </c>
      <c r="C50" s="286">
        <f>C49+E49</f>
        <v>0</v>
      </c>
      <c r="D50" s="243">
        <f>'PRIME CPIF RATES (ALL)'!C45</f>
        <v>0</v>
      </c>
      <c r="E50" s="168">
        <f>ROUND(C50*D50,2)</f>
        <v>0</v>
      </c>
      <c r="F50" s="288"/>
      <c r="G50" s="286">
        <f>G49+I49</f>
        <v>0</v>
      </c>
      <c r="H50" s="243">
        <f>'PRIME CPIF RATES (ALL)'!D45</f>
        <v>0</v>
      </c>
      <c r="I50" s="168">
        <f>ROUND(G50*H50,2)</f>
        <v>0</v>
      </c>
      <c r="J50" s="288"/>
      <c r="K50" s="286">
        <f>K49+M49</f>
        <v>0</v>
      </c>
      <c r="L50" s="243">
        <f>'PRIME CPIF RATES (ALL)'!E45</f>
        <v>0</v>
      </c>
      <c r="M50" s="168">
        <f>ROUND(K50*L50,2)</f>
        <v>0</v>
      </c>
      <c r="N50" s="165"/>
      <c r="O50" s="286">
        <f>O49+Q49</f>
        <v>0</v>
      </c>
      <c r="P50" s="243">
        <f>'PRIME CPIF RATES (ALL)'!F45</f>
        <v>0</v>
      </c>
      <c r="Q50" s="168">
        <f>ROUND(O50*P50,2)</f>
        <v>0</v>
      </c>
    </row>
    <row r="51" spans="1:17" x14ac:dyDescent="0.2">
      <c r="B51" s="351" t="str">
        <f>'PRIME CPIF RATES (ALL)'!B46</f>
        <v>Indirect Category: [FCCOM]</v>
      </c>
      <c r="C51" s="215">
        <f>C50+E50</f>
        <v>0</v>
      </c>
      <c r="D51" s="243">
        <f>'PRIME CPIF RATES (ALL)'!C46</f>
        <v>0</v>
      </c>
      <c r="E51" s="353">
        <f>ROUND(C51*D51,2)</f>
        <v>0</v>
      </c>
      <c r="F51" s="288"/>
      <c r="G51" s="215">
        <f>G50+I50</f>
        <v>0</v>
      </c>
      <c r="H51" s="243">
        <f>'PRIME CPIF RATES (ALL)'!D46</f>
        <v>0</v>
      </c>
      <c r="I51" s="353">
        <f>ROUND(G51*H51,2)</f>
        <v>0</v>
      </c>
      <c r="J51" s="288"/>
      <c r="K51" s="215">
        <f>K50+M50</f>
        <v>0</v>
      </c>
      <c r="L51" s="243">
        <f>'PRIME CPIF RATES (ALL)'!E46</f>
        <v>0</v>
      </c>
      <c r="M51" s="353">
        <f>ROUND(K51*L51,2)</f>
        <v>0</v>
      </c>
      <c r="N51" s="165"/>
      <c r="O51" s="215">
        <f>O50+Q50</f>
        <v>0</v>
      </c>
      <c r="P51" s="243">
        <f>'PRIME CPIF RATES (ALL)'!F46</f>
        <v>0</v>
      </c>
      <c r="Q51" s="353">
        <f>ROUND(O51*P51,2)</f>
        <v>0</v>
      </c>
    </row>
    <row r="52" spans="1:17" x14ac:dyDescent="0.2">
      <c r="B52" s="167" t="str">
        <f>'PRIME CPIF RATES (ALL)'!B47</f>
        <v>Indirect Category: [Target Fee]</v>
      </c>
      <c r="C52" s="214">
        <f>C50+E50</f>
        <v>0</v>
      </c>
      <c r="D52" s="354">
        <f>'PRIME CPIF RATES (ALL)'!C47</f>
        <v>0</v>
      </c>
      <c r="E52" s="353">
        <f>ROUND(C52*D52,2)</f>
        <v>0</v>
      </c>
      <c r="F52" s="288"/>
      <c r="G52" s="214">
        <f>G50+I50</f>
        <v>0</v>
      </c>
      <c r="H52" s="354">
        <f>'PRIME CPIF RATES (ALL)'!D47</f>
        <v>0</v>
      </c>
      <c r="I52" s="353">
        <f>ROUND(G52*H52,2)</f>
        <v>0</v>
      </c>
      <c r="J52" s="288"/>
      <c r="K52" s="214">
        <f>K50+M50</f>
        <v>0</v>
      </c>
      <c r="L52" s="354">
        <f>'PRIME CPIF RATES (ALL)'!E47</f>
        <v>0</v>
      </c>
      <c r="M52" s="353">
        <f>ROUND(K52*L52,2)</f>
        <v>0</v>
      </c>
      <c r="N52" s="165"/>
      <c r="O52" s="214">
        <f>O50+Q50</f>
        <v>0</v>
      </c>
      <c r="P52" s="354">
        <f>'PRIME CPIF RATES (ALL)'!F47</f>
        <v>0</v>
      </c>
      <c r="Q52" s="353">
        <f>ROUND(O52*P52,2)</f>
        <v>0</v>
      </c>
    </row>
    <row r="53" spans="1:17" x14ac:dyDescent="0.2">
      <c r="B53" s="241" t="s">
        <v>320</v>
      </c>
      <c r="C53" s="233"/>
      <c r="D53" s="234"/>
      <c r="E53" s="168">
        <f>ROUND(E47+E49+E50,2)</f>
        <v>0</v>
      </c>
      <c r="F53" s="288"/>
      <c r="G53" s="233"/>
      <c r="H53" s="234"/>
      <c r="I53" s="168">
        <f>ROUND(I47+I49+I50,2)</f>
        <v>0</v>
      </c>
      <c r="J53" s="288"/>
      <c r="K53" s="233"/>
      <c r="L53" s="234"/>
      <c r="M53" s="168">
        <f>ROUND(M47+M49+M50,2)</f>
        <v>0</v>
      </c>
      <c r="N53" s="165"/>
      <c r="O53" s="233"/>
      <c r="P53" s="234"/>
      <c r="Q53" s="168">
        <f>ROUND(Q47+Q49+Q50,2)</f>
        <v>0</v>
      </c>
    </row>
    <row r="54" spans="1:17" x14ac:dyDescent="0.2">
      <c r="B54" s="241" t="s">
        <v>298</v>
      </c>
      <c r="C54" s="231"/>
      <c r="D54" s="235"/>
      <c r="E54" s="168">
        <f>ROUND(E51,2)</f>
        <v>0</v>
      </c>
      <c r="F54" s="288"/>
      <c r="G54" s="231"/>
      <c r="H54" s="235"/>
      <c r="I54" s="168">
        <f>ROUND(I51,2)</f>
        <v>0</v>
      </c>
      <c r="J54" s="288"/>
      <c r="K54" s="231"/>
      <c r="L54" s="235"/>
      <c r="M54" s="168">
        <f>ROUND(M51,2)</f>
        <v>0</v>
      </c>
      <c r="N54" s="165"/>
      <c r="O54" s="231"/>
      <c r="P54" s="235"/>
      <c r="Q54" s="168">
        <f>ROUND(Q51,2)</f>
        <v>0</v>
      </c>
    </row>
    <row r="55" spans="1:17" x14ac:dyDescent="0.2">
      <c r="B55" s="241" t="s">
        <v>136</v>
      </c>
      <c r="C55" s="231"/>
      <c r="D55" s="235"/>
      <c r="E55" s="182">
        <f>ROUND(E52,2)</f>
        <v>0</v>
      </c>
      <c r="F55" s="183"/>
      <c r="G55" s="231"/>
      <c r="H55" s="235"/>
      <c r="I55" s="182">
        <f>ROUND(I52,2)</f>
        <v>0</v>
      </c>
      <c r="J55" s="183"/>
      <c r="K55" s="231"/>
      <c r="L55" s="235"/>
      <c r="M55" s="182">
        <f>ROUND(M52,2)</f>
        <v>0</v>
      </c>
      <c r="N55" s="183"/>
      <c r="O55" s="231"/>
      <c r="P55" s="235"/>
      <c r="Q55" s="182">
        <f>ROUND(Q52,2)</f>
        <v>0</v>
      </c>
    </row>
    <row r="56" spans="1:17" ht="16.5" thickBot="1" x14ac:dyDescent="0.25">
      <c r="B56" s="242" t="s">
        <v>321</v>
      </c>
      <c r="C56" s="236"/>
      <c r="D56" s="237"/>
      <c r="E56" s="160">
        <f>ROUND(SUM(E53:E55),2)</f>
        <v>0</v>
      </c>
      <c r="F56" s="161"/>
      <c r="G56" s="236"/>
      <c r="H56" s="237"/>
      <c r="I56" s="160">
        <f>ROUND(SUM(I53:I55),2)</f>
        <v>0</v>
      </c>
      <c r="J56" s="161"/>
      <c r="K56" s="236"/>
      <c r="L56" s="237"/>
      <c r="M56" s="160">
        <f>ROUND(SUM(M53:M55),2)</f>
        <v>0</v>
      </c>
      <c r="N56" s="161"/>
      <c r="O56" s="236"/>
      <c r="P56" s="237"/>
      <c r="Q56" s="160">
        <f>ROUND(SUM(Q53:Q55),2)</f>
        <v>0</v>
      </c>
    </row>
    <row r="57" spans="1:17" ht="16.5" thickBot="1" x14ac:dyDescent="0.25">
      <c r="B57" s="172"/>
      <c r="F57" s="187"/>
      <c r="J57" s="187"/>
      <c r="N57" s="187"/>
    </row>
    <row r="58" spans="1:17" ht="16.5" customHeight="1" thickBot="1" x14ac:dyDescent="0.3">
      <c r="A58" s="193"/>
      <c r="B58" s="620" t="str">
        <f>B30</f>
        <v>CLIN 0001 (CPIF)                                                    TASK 1.11 SUPPORT EQUIPMENT</v>
      </c>
      <c r="C58" s="594" t="s">
        <v>146</v>
      </c>
      <c r="D58" s="595"/>
      <c r="E58" s="596"/>
      <c r="F58" s="175"/>
      <c r="G58" s="594" t="s">
        <v>147</v>
      </c>
      <c r="H58" s="595"/>
      <c r="I58" s="596"/>
      <c r="J58" s="175"/>
      <c r="K58" s="594" t="s">
        <v>147</v>
      </c>
      <c r="L58" s="595"/>
      <c r="M58" s="596"/>
      <c r="N58" s="175"/>
      <c r="O58" s="594" t="s">
        <v>147</v>
      </c>
      <c r="P58" s="595"/>
      <c r="Q58" s="596"/>
    </row>
    <row r="59" spans="1:17" ht="33.75" customHeight="1" thickBot="1" x14ac:dyDescent="0.3">
      <c r="A59" s="193"/>
      <c r="B59" s="621"/>
      <c r="C59" s="617" t="str">
        <f>C31</f>
        <v>CLIN 0001 - Basic Period (Year 1)</v>
      </c>
      <c r="D59" s="618"/>
      <c r="E59" s="619"/>
      <c r="F59" s="176"/>
      <c r="G59" s="617" t="str">
        <f>G31</f>
        <v>CLIN 0001 - Basic Period (Year 2)</v>
      </c>
      <c r="H59" s="618"/>
      <c r="I59" s="619"/>
      <c r="J59" s="176"/>
      <c r="K59" s="617" t="str">
        <f>K31</f>
        <v>CLIN 0001 - Basic Period (Year 3)</v>
      </c>
      <c r="L59" s="618"/>
      <c r="M59" s="619"/>
      <c r="N59" s="176"/>
      <c r="O59" s="617" t="str">
        <f>O31</f>
        <v>CLIN 0001 - Basic Period (Year 4)</v>
      </c>
      <c r="P59" s="618"/>
      <c r="Q59" s="619"/>
    </row>
    <row r="60" spans="1:17" x14ac:dyDescent="0.25">
      <c r="A60" s="193"/>
      <c r="B60" s="248"/>
      <c r="C60" s="153" t="s">
        <v>399</v>
      </c>
      <c r="D60" s="154" t="s">
        <v>396</v>
      </c>
      <c r="E60" s="155" t="s">
        <v>153</v>
      </c>
      <c r="F60" s="166"/>
      <c r="G60" s="153" t="s">
        <v>399</v>
      </c>
      <c r="H60" s="154" t="s">
        <v>396</v>
      </c>
      <c r="I60" s="155" t="s">
        <v>153</v>
      </c>
      <c r="J60" s="166"/>
      <c r="K60" s="153" t="s">
        <v>399</v>
      </c>
      <c r="L60" s="154" t="s">
        <v>396</v>
      </c>
      <c r="M60" s="155" t="s">
        <v>153</v>
      </c>
      <c r="N60" s="166"/>
      <c r="O60" s="153" t="s">
        <v>399</v>
      </c>
      <c r="P60" s="154" t="s">
        <v>396</v>
      </c>
      <c r="Q60" s="155" t="s">
        <v>153</v>
      </c>
    </row>
    <row r="61" spans="1:17" ht="26.25" x14ac:dyDescent="0.25">
      <c r="A61" s="193"/>
      <c r="B61" s="300" t="s">
        <v>561</v>
      </c>
      <c r="C61" s="231"/>
      <c r="D61" s="232"/>
      <c r="E61" s="345">
        <f>'PRIME CPIF TOTAL ODC'!E21</f>
        <v>0</v>
      </c>
      <c r="F61" s="165"/>
      <c r="G61" s="231"/>
      <c r="H61" s="232"/>
      <c r="I61" s="345">
        <f>'PRIME CPIF TOTAL ODC'!G21</f>
        <v>0</v>
      </c>
      <c r="J61" s="165"/>
      <c r="K61" s="231"/>
      <c r="L61" s="232"/>
      <c r="M61" s="400">
        <f>'PRIME CPIF TOTAL ODC'!I21</f>
        <v>0</v>
      </c>
      <c r="N61" s="165"/>
      <c r="O61" s="231"/>
      <c r="P61" s="232"/>
      <c r="Q61" s="400">
        <f>'PRIME CPIF TOTAL ODC'!K21</f>
        <v>0</v>
      </c>
    </row>
    <row r="62" spans="1:17" ht="66" customHeight="1" x14ac:dyDescent="0.25">
      <c r="A62" s="193"/>
      <c r="B62" s="490" t="s">
        <v>614</v>
      </c>
      <c r="C62" s="404"/>
      <c r="D62" s="404"/>
      <c r="E62" s="403"/>
      <c r="F62" s="288"/>
      <c r="G62" s="405"/>
      <c r="H62" s="404"/>
      <c r="I62" s="403"/>
      <c r="J62" s="288"/>
      <c r="K62" s="405"/>
      <c r="L62" s="404"/>
      <c r="M62" s="400"/>
      <c r="N62" s="165"/>
      <c r="O62" s="405"/>
      <c r="P62" s="404"/>
      <c r="Q62" s="400"/>
    </row>
    <row r="63" spans="1:17" x14ac:dyDescent="0.25">
      <c r="A63" s="193"/>
      <c r="B63" s="167" t="s">
        <v>125</v>
      </c>
      <c r="C63" s="215">
        <f>+E61</f>
        <v>0</v>
      </c>
      <c r="D63" s="243">
        <f>'PRIME CPIF RATES (ALL)'!C60</f>
        <v>0</v>
      </c>
      <c r="E63" s="168">
        <f>ROUND(C63*D63,2)</f>
        <v>0</v>
      </c>
      <c r="F63" s="178"/>
      <c r="G63" s="215">
        <f>+I61</f>
        <v>0</v>
      </c>
      <c r="H63" s="243">
        <f>'PRIME CPIF RATES (ALL)'!D60</f>
        <v>0</v>
      </c>
      <c r="I63" s="168">
        <f>ROUND(G63*H63,2)</f>
        <v>0</v>
      </c>
      <c r="J63" s="178"/>
      <c r="K63" s="215">
        <f>+M61</f>
        <v>0</v>
      </c>
      <c r="L63" s="243">
        <f>'PRIME CPIF RATES (ALL)'!E60</f>
        <v>0</v>
      </c>
      <c r="M63" s="168">
        <f>ROUND(K63*L63,2)</f>
        <v>0</v>
      </c>
      <c r="N63" s="178"/>
      <c r="O63" s="215">
        <f>+Q61</f>
        <v>0</v>
      </c>
      <c r="P63" s="243">
        <f>'PRIME CPIF RATES (ALL)'!F60</f>
        <v>0</v>
      </c>
      <c r="Q63" s="168">
        <f>ROUND(O63*P63,2)</f>
        <v>0</v>
      </c>
    </row>
    <row r="64" spans="1:17" x14ac:dyDescent="0.25">
      <c r="A64" s="193"/>
      <c r="B64" s="167" t="s">
        <v>126</v>
      </c>
      <c r="C64" s="215">
        <f>+C63+E63</f>
        <v>0</v>
      </c>
      <c r="D64" s="243">
        <f>'PRIME CPIF RATES (ALL)'!C61</f>
        <v>0</v>
      </c>
      <c r="E64" s="168">
        <f>ROUND(C64*D64,2)</f>
        <v>0</v>
      </c>
      <c r="F64" s="178"/>
      <c r="G64" s="215">
        <f>+G63+I63</f>
        <v>0</v>
      </c>
      <c r="H64" s="243">
        <f>'PRIME CPIF RATES (ALL)'!D61</f>
        <v>0</v>
      </c>
      <c r="I64" s="168">
        <f>ROUND(G64*H64,2)</f>
        <v>0</v>
      </c>
      <c r="J64" s="178"/>
      <c r="K64" s="215">
        <f>+K63+M63</f>
        <v>0</v>
      </c>
      <c r="L64" s="243">
        <f>'PRIME CPIF RATES (ALL)'!E61</f>
        <v>0</v>
      </c>
      <c r="M64" s="168">
        <f>ROUND(K64*L64,2)</f>
        <v>0</v>
      </c>
      <c r="N64" s="178"/>
      <c r="O64" s="215">
        <f>+O63+Q63</f>
        <v>0</v>
      </c>
      <c r="P64" s="243">
        <f>'PRIME CPIF RATES (ALL)'!F61</f>
        <v>0</v>
      </c>
      <c r="Q64" s="168">
        <f>ROUND(O64*P64,2)</f>
        <v>0</v>
      </c>
    </row>
    <row r="65" spans="1:17" x14ac:dyDescent="0.25">
      <c r="A65" s="193"/>
      <c r="B65" s="167" t="s">
        <v>566</v>
      </c>
      <c r="C65" s="215">
        <f>C64+E64</f>
        <v>0</v>
      </c>
      <c r="D65" s="243">
        <f>'PRIME CPIF RATES (ALL)'!C62</f>
        <v>0</v>
      </c>
      <c r="E65" s="168">
        <f>ROUND(C65*D65,2)</f>
        <v>0</v>
      </c>
      <c r="F65" s="165"/>
      <c r="G65" s="215">
        <f>G64+I64</f>
        <v>0</v>
      </c>
      <c r="H65" s="243">
        <f>'PRIME CPIF RATES (ALL)'!D62</f>
        <v>0</v>
      </c>
      <c r="I65" s="168">
        <f>ROUND(G65*H65,2)</f>
        <v>0</v>
      </c>
      <c r="J65" s="165"/>
      <c r="K65" s="215">
        <f>K64+M64</f>
        <v>0</v>
      </c>
      <c r="L65" s="243">
        <f>'PRIME CPIF RATES (ALL)'!E62</f>
        <v>0</v>
      </c>
      <c r="M65" s="168">
        <f>ROUND(K65*L65,2)</f>
        <v>0</v>
      </c>
      <c r="N65" s="165"/>
      <c r="O65" s="215">
        <f>O64+Q64</f>
        <v>0</v>
      </c>
      <c r="P65" s="243">
        <f>'PRIME CPIF RATES (ALL)'!F62</f>
        <v>0</v>
      </c>
      <c r="Q65" s="168">
        <f>ROUND(O65*P65,2)</f>
        <v>0</v>
      </c>
    </row>
    <row r="66" spans="1:17" x14ac:dyDescent="0.25">
      <c r="A66" s="193"/>
      <c r="B66" s="167" t="s">
        <v>127</v>
      </c>
      <c r="C66" s="215">
        <f>+C64+E64</f>
        <v>0</v>
      </c>
      <c r="D66" s="354">
        <f>'PRIME CPIF RATES (ALL)'!C63</f>
        <v>0</v>
      </c>
      <c r="E66" s="168">
        <f>ROUND(C66*D66,2)</f>
        <v>0</v>
      </c>
      <c r="F66" s="165"/>
      <c r="G66" s="215">
        <f>+G64+I64</f>
        <v>0</v>
      </c>
      <c r="H66" s="354">
        <f>'PRIME CPIF RATES (ALL)'!D63</f>
        <v>0</v>
      </c>
      <c r="I66" s="168">
        <f>ROUND(G66*H66,2)</f>
        <v>0</v>
      </c>
      <c r="J66" s="165"/>
      <c r="K66" s="215">
        <f>+K64+M64</f>
        <v>0</v>
      </c>
      <c r="L66" s="354">
        <f>'PRIME CPIF RATES (ALL)'!E63</f>
        <v>0</v>
      </c>
      <c r="M66" s="168">
        <f>ROUND(K66*L66,2)</f>
        <v>0</v>
      </c>
      <c r="N66" s="165"/>
      <c r="O66" s="215">
        <f>+O64+Q64</f>
        <v>0</v>
      </c>
      <c r="P66" s="354">
        <f>'PRIME CPIF RATES (ALL)'!F63</f>
        <v>0</v>
      </c>
      <c r="Q66" s="168">
        <f>ROUND(O66*P66,2)</f>
        <v>0</v>
      </c>
    </row>
    <row r="67" spans="1:17" x14ac:dyDescent="0.25">
      <c r="A67" s="193"/>
      <c r="B67" s="241" t="s">
        <v>260</v>
      </c>
      <c r="C67" s="233"/>
      <c r="D67" s="234"/>
      <c r="E67" s="168">
        <f>ROUND(SUM(E61:E64),2)</f>
        <v>0</v>
      </c>
      <c r="F67" s="165"/>
      <c r="G67" s="233"/>
      <c r="H67" s="234"/>
      <c r="I67" s="168">
        <f>ROUND(SUM(I61:I64),2)</f>
        <v>0</v>
      </c>
      <c r="J67" s="165"/>
      <c r="K67" s="233"/>
      <c r="L67" s="234"/>
      <c r="M67" s="168">
        <f>ROUND(SUM(M61:M64),2)</f>
        <v>0</v>
      </c>
      <c r="N67" s="165"/>
      <c r="O67" s="233"/>
      <c r="P67" s="234"/>
      <c r="Q67" s="168">
        <f>ROUND(SUM(Q61:Q64),2)</f>
        <v>0</v>
      </c>
    </row>
    <row r="68" spans="1:17" x14ac:dyDescent="0.25">
      <c r="A68" s="193"/>
      <c r="B68" s="241" t="s">
        <v>137</v>
      </c>
      <c r="C68" s="231"/>
      <c r="D68" s="235"/>
      <c r="E68" s="168">
        <f>ROUND(E65,2)</f>
        <v>0</v>
      </c>
      <c r="F68" s="165"/>
      <c r="G68" s="231"/>
      <c r="H68" s="235"/>
      <c r="I68" s="168">
        <f>ROUND(I65,2)</f>
        <v>0</v>
      </c>
      <c r="J68" s="165"/>
      <c r="K68" s="231"/>
      <c r="L68" s="235"/>
      <c r="M68" s="168">
        <f>ROUND(M65,2)</f>
        <v>0</v>
      </c>
      <c r="N68" s="165"/>
      <c r="O68" s="231"/>
      <c r="P68" s="235"/>
      <c r="Q68" s="168">
        <f>ROUND(Q65,2)</f>
        <v>0</v>
      </c>
    </row>
    <row r="69" spans="1:17" x14ac:dyDescent="0.2">
      <c r="A69" s="186"/>
      <c r="B69" s="241" t="s">
        <v>136</v>
      </c>
      <c r="C69" s="231"/>
      <c r="D69" s="235"/>
      <c r="E69" s="182">
        <f>ROUND(E66,2)</f>
        <v>0</v>
      </c>
      <c r="F69" s="183"/>
      <c r="G69" s="231"/>
      <c r="H69" s="235"/>
      <c r="I69" s="182">
        <f>ROUND(I66,2)</f>
        <v>0</v>
      </c>
      <c r="J69" s="183"/>
      <c r="K69" s="231"/>
      <c r="L69" s="235"/>
      <c r="M69" s="182">
        <f>ROUND(M66,2)</f>
        <v>0</v>
      </c>
      <c r="N69" s="183"/>
      <c r="O69" s="231"/>
      <c r="P69" s="235"/>
      <c r="Q69" s="182">
        <f>ROUND(Q66,2)</f>
        <v>0</v>
      </c>
    </row>
    <row r="70" spans="1:17" ht="16.5" thickBot="1" x14ac:dyDescent="0.25">
      <c r="A70" s="186"/>
      <c r="B70" s="242" t="s">
        <v>244</v>
      </c>
      <c r="C70" s="236"/>
      <c r="D70" s="237"/>
      <c r="E70" s="160">
        <f>ROUND(SUM(E67:E69),2)</f>
        <v>0</v>
      </c>
      <c r="F70" s="161"/>
      <c r="G70" s="236"/>
      <c r="H70" s="237"/>
      <c r="I70" s="160">
        <f>ROUND(SUM(I67:I69),2)</f>
        <v>0</v>
      </c>
      <c r="J70" s="161"/>
      <c r="K70" s="236"/>
      <c r="L70" s="237"/>
      <c r="M70" s="160">
        <f>ROUND(SUM(M67:M69),2)</f>
        <v>0</v>
      </c>
      <c r="N70" s="161"/>
      <c r="O70" s="236"/>
      <c r="P70" s="237"/>
      <c r="Q70" s="160">
        <f>ROUND(SUM(Q67:Q69),2)</f>
        <v>0</v>
      </c>
    </row>
    <row r="71" spans="1:17" ht="16.5" thickBot="1" x14ac:dyDescent="0.25">
      <c r="A71" s="186"/>
      <c r="B71" s="172"/>
      <c r="F71" s="187"/>
      <c r="J71" s="187"/>
      <c r="N71" s="187"/>
    </row>
    <row r="72" spans="1:17" ht="16.5" thickBot="1" x14ac:dyDescent="0.3">
      <c r="A72" s="186"/>
      <c r="B72" s="628" t="str">
        <f>B58</f>
        <v>CLIN 0001 (CPIF)                                                    TASK 1.11 SUPPORT EQUIPMENT</v>
      </c>
      <c r="C72" s="614" t="s">
        <v>319</v>
      </c>
      <c r="D72" s="615"/>
      <c r="E72" s="616"/>
      <c r="F72" s="175"/>
      <c r="G72" s="614" t="s">
        <v>319</v>
      </c>
      <c r="H72" s="615"/>
      <c r="I72" s="616"/>
      <c r="J72" s="175"/>
      <c r="K72" s="614" t="s">
        <v>319</v>
      </c>
      <c r="L72" s="615"/>
      <c r="M72" s="616"/>
      <c r="N72" s="175"/>
      <c r="O72" s="614" t="s">
        <v>319</v>
      </c>
      <c r="P72" s="615"/>
      <c r="Q72" s="616"/>
    </row>
    <row r="73" spans="1:17" ht="33.75" customHeight="1" thickBot="1" x14ac:dyDescent="0.3">
      <c r="A73" s="186"/>
      <c r="B73" s="629"/>
      <c r="C73" s="280"/>
      <c r="D73" s="281"/>
      <c r="E73" s="188" t="s">
        <v>294</v>
      </c>
      <c r="F73" s="189"/>
      <c r="G73" s="280"/>
      <c r="H73" s="281"/>
      <c r="I73" s="188" t="s">
        <v>295</v>
      </c>
      <c r="J73" s="189"/>
      <c r="K73" s="280"/>
      <c r="L73" s="281"/>
      <c r="M73" s="188" t="s">
        <v>297</v>
      </c>
      <c r="N73" s="189"/>
      <c r="O73" s="280"/>
      <c r="P73" s="281"/>
      <c r="Q73" s="188" t="s">
        <v>296</v>
      </c>
    </row>
    <row r="74" spans="1:17" x14ac:dyDescent="0.2">
      <c r="A74" s="186"/>
      <c r="B74" s="167" t="s">
        <v>261</v>
      </c>
      <c r="C74" s="282"/>
      <c r="D74" s="282"/>
      <c r="E74" s="190">
        <f>+ROUND(E25+E39+E53+E67,2)</f>
        <v>0</v>
      </c>
      <c r="F74" s="165"/>
      <c r="G74" s="282"/>
      <c r="H74" s="282"/>
      <c r="I74" s="190">
        <f>+ROUND(I25+I39+I53+I67,2)</f>
        <v>0</v>
      </c>
      <c r="J74" s="165"/>
      <c r="K74" s="282"/>
      <c r="L74" s="282"/>
      <c r="M74" s="190">
        <f>+ROUND(M25+M39+M53+M67,2)</f>
        <v>0</v>
      </c>
      <c r="N74" s="165"/>
      <c r="O74" s="282"/>
      <c r="P74" s="282"/>
      <c r="Q74" s="190">
        <f>+ROUND(Q25+Q39+Q53+Q67,2)</f>
        <v>0</v>
      </c>
    </row>
    <row r="75" spans="1:17" x14ac:dyDescent="0.2">
      <c r="A75" s="186"/>
      <c r="B75" s="167" t="s">
        <v>137</v>
      </c>
      <c r="C75" s="282"/>
      <c r="D75" s="282"/>
      <c r="E75" s="168">
        <f>+ROUND(E26+E40+E54+E68,2)</f>
        <v>0</v>
      </c>
      <c r="F75" s="165"/>
      <c r="G75" s="282"/>
      <c r="H75" s="282"/>
      <c r="I75" s="168">
        <f>+ROUND(I26+I40+I54+I68,2)</f>
        <v>0</v>
      </c>
      <c r="J75" s="165"/>
      <c r="K75" s="282"/>
      <c r="L75" s="282"/>
      <c r="M75" s="168">
        <f>+ROUND(M26+M40+M54+M68,2)</f>
        <v>0</v>
      </c>
      <c r="N75" s="165"/>
      <c r="O75" s="282"/>
      <c r="P75" s="282"/>
      <c r="Q75" s="168">
        <f>+ROUND(Q26+Q40+Q54+Q68,2)</f>
        <v>0</v>
      </c>
    </row>
    <row r="76" spans="1:17" x14ac:dyDescent="0.2">
      <c r="A76" s="186"/>
      <c r="B76" s="167" t="s">
        <v>136</v>
      </c>
      <c r="C76" s="282"/>
      <c r="D76" s="282"/>
      <c r="E76" s="169">
        <f>+ROUND(E27+E41+E55+E69,2)</f>
        <v>0</v>
      </c>
      <c r="F76" s="170"/>
      <c r="G76" s="282"/>
      <c r="H76" s="282"/>
      <c r="I76" s="169">
        <f>+ROUND(I27+I41+I55+I69,2)</f>
        <v>0</v>
      </c>
      <c r="J76" s="170"/>
      <c r="K76" s="282"/>
      <c r="L76" s="282"/>
      <c r="M76" s="169">
        <f>+ROUND(M27+M41+M55+M69,2)</f>
        <v>0</v>
      </c>
      <c r="N76" s="170"/>
      <c r="O76" s="282"/>
      <c r="P76" s="282"/>
      <c r="Q76" s="169">
        <f>+ROUND(Q27+Q41+Q55+Q69,2)</f>
        <v>0</v>
      </c>
    </row>
    <row r="77" spans="1:17" ht="32.25" thickBot="1" x14ac:dyDescent="0.3">
      <c r="A77" s="186"/>
      <c r="B77" s="267" t="s">
        <v>513</v>
      </c>
      <c r="C77" s="283"/>
      <c r="D77" s="283"/>
      <c r="E77" s="266">
        <f>SUM(E74:E76)</f>
        <v>0</v>
      </c>
      <c r="F77" s="171"/>
      <c r="G77" s="283"/>
      <c r="H77" s="283"/>
      <c r="I77" s="266">
        <f>SUM(I74:I76)</f>
        <v>0</v>
      </c>
      <c r="J77" s="171"/>
      <c r="K77" s="283"/>
      <c r="L77" s="283"/>
      <c r="M77" s="266">
        <f>SUM(M74:M76)</f>
        <v>0</v>
      </c>
      <c r="N77" s="171"/>
      <c r="O77" s="283"/>
      <c r="P77" s="283"/>
      <c r="Q77" s="266">
        <f>SUM(Q74:Q76)</f>
        <v>0</v>
      </c>
    </row>
    <row r="78" spans="1:17" ht="16.5" thickBot="1" x14ac:dyDescent="0.3"/>
    <row r="79" spans="1:17" ht="31.5" x14ac:dyDescent="0.25">
      <c r="Q79" s="411" t="s">
        <v>514</v>
      </c>
    </row>
    <row r="80" spans="1:17" ht="16.5" thickBot="1" x14ac:dyDescent="0.3">
      <c r="Q80" s="410">
        <f>E77+I77+M77+Q77</f>
        <v>0</v>
      </c>
    </row>
  </sheetData>
  <mergeCells count="46">
    <mergeCell ref="C48:E48"/>
    <mergeCell ref="G48:I48"/>
    <mergeCell ref="K48:M48"/>
    <mergeCell ref="O48:Q48"/>
    <mergeCell ref="B44:B45"/>
    <mergeCell ref="C44:E44"/>
    <mergeCell ref="G44:I44"/>
    <mergeCell ref="K44:M44"/>
    <mergeCell ref="O44:Q44"/>
    <mergeCell ref="C45:E45"/>
    <mergeCell ref="G45:I45"/>
    <mergeCell ref="K45:M45"/>
    <mergeCell ref="O45:Q45"/>
    <mergeCell ref="O59:Q59"/>
    <mergeCell ref="O72:Q72"/>
    <mergeCell ref="O13:Q13"/>
    <mergeCell ref="O14:Q14"/>
    <mergeCell ref="O30:Q30"/>
    <mergeCell ref="O31:Q31"/>
    <mergeCell ref="O58:Q58"/>
    <mergeCell ref="C14:E14"/>
    <mergeCell ref="G14:I14"/>
    <mergeCell ref="K14:M14"/>
    <mergeCell ref="A3:C3"/>
    <mergeCell ref="B13:B14"/>
    <mergeCell ref="C13:E13"/>
    <mergeCell ref="G13:I13"/>
    <mergeCell ref="K13:M13"/>
    <mergeCell ref="B30:B31"/>
    <mergeCell ref="C30:E30"/>
    <mergeCell ref="G30:I30"/>
    <mergeCell ref="K30:M30"/>
    <mergeCell ref="C31:E31"/>
    <mergeCell ref="G31:I31"/>
    <mergeCell ref="K31:M31"/>
    <mergeCell ref="B58:B59"/>
    <mergeCell ref="C58:E58"/>
    <mergeCell ref="G58:I58"/>
    <mergeCell ref="K58:M58"/>
    <mergeCell ref="B72:B73"/>
    <mergeCell ref="C72:E72"/>
    <mergeCell ref="G72:I72"/>
    <mergeCell ref="K72:M72"/>
    <mergeCell ref="C59:E59"/>
    <mergeCell ref="G59:I59"/>
    <mergeCell ref="K59:M59"/>
  </mergeCells>
  <pageMargins left="0.7" right="0.7" top="0.75" bottom="0.75" header="0.3" footer="0.3"/>
  <pageSetup orientation="portrait" horizontalDpi="1200" verticalDpi="1200"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1F45B0-E584-4EAF-AEA7-1A1B6F231106}">
  <dimension ref="A1:S75"/>
  <sheetViews>
    <sheetView zoomScale="80" zoomScaleNormal="80" workbookViewId="0">
      <pane xSplit="2" ySplit="7" topLeftCell="C8" activePane="bottomRight" state="frozen"/>
      <selection pane="topRight" activeCell="C1" sqref="C1"/>
      <selection pane="bottomLeft" activeCell="A7" sqref="A7"/>
      <selection pane="bottomRight" activeCell="C1" sqref="C1"/>
    </sheetView>
    <sheetView workbookViewId="1"/>
  </sheetViews>
  <sheetFormatPr defaultColWidth="15.85546875" defaultRowHeight="15.75" x14ac:dyDescent="0.25"/>
  <cols>
    <col min="1" max="1" width="3.42578125" style="191" customWidth="1"/>
    <col min="2" max="2" width="49.140625" style="174" customWidth="1"/>
    <col min="3" max="3" width="18.28515625" style="186" bestFit="1" customWidth="1"/>
    <col min="4" max="4" width="12.42578125" style="186" bestFit="1" customWidth="1"/>
    <col min="5" max="5" width="32.140625" style="186" bestFit="1" customWidth="1"/>
    <col min="6" max="6" width="1" style="186" customWidth="1"/>
    <col min="7" max="7" width="14.28515625" style="186" customWidth="1"/>
    <col min="8" max="8" width="14.5703125" style="186" customWidth="1"/>
    <col min="9" max="9" width="33.28515625" style="186" customWidth="1"/>
    <col min="10" max="10" width="1" style="186" customWidth="1"/>
    <col min="11" max="11" width="16.7109375" style="186" customWidth="1"/>
    <col min="12" max="12" width="16.28515625" style="186" customWidth="1"/>
    <col min="13" max="13" width="34" style="186" bestFit="1" customWidth="1"/>
    <col min="14" max="14" width="0.85546875" style="186" customWidth="1"/>
    <col min="15" max="15" width="12.85546875" style="186" bestFit="1" customWidth="1"/>
    <col min="16" max="16" width="13.7109375" style="186" customWidth="1"/>
    <col min="17" max="17" width="33.85546875" style="186" customWidth="1"/>
    <col min="18" max="18" width="5.140625" style="186" customWidth="1"/>
    <col min="19" max="16384" width="15.85546875" style="186"/>
  </cols>
  <sheetData>
    <row r="1" spans="1:17" ht="16.5" thickBot="1" x14ac:dyDescent="0.3">
      <c r="B1" s="126" t="s">
        <v>626</v>
      </c>
      <c r="C1" s="494" t="str">
        <f>'FFP CLINs X007-X021'!B1</f>
        <v>NAME</v>
      </c>
    </row>
    <row r="2" spans="1:17" ht="16.5" thickBot="1" x14ac:dyDescent="0.3"/>
    <row r="3" spans="1:17" ht="52.5" customHeight="1" thickBot="1" x14ac:dyDescent="0.3">
      <c r="A3" s="557" t="s">
        <v>359</v>
      </c>
      <c r="B3" s="558"/>
      <c r="C3" s="559"/>
      <c r="I3" s="251"/>
      <c r="J3" s="251"/>
      <c r="K3" s="251"/>
      <c r="L3" s="251"/>
    </row>
    <row r="4" spans="1:17" x14ac:dyDescent="0.25">
      <c r="I4" s="251"/>
      <c r="J4" s="251"/>
      <c r="K4" s="251"/>
      <c r="L4" s="251"/>
    </row>
    <row r="5" spans="1:17" x14ac:dyDescent="0.2">
      <c r="B5" s="261" t="s">
        <v>130</v>
      </c>
      <c r="C5" s="194"/>
    </row>
    <row r="6" spans="1:17" x14ac:dyDescent="0.25">
      <c r="A6" s="192"/>
      <c r="B6" s="258" t="s">
        <v>163</v>
      </c>
      <c r="C6" s="194"/>
    </row>
    <row r="7" spans="1:17" x14ac:dyDescent="0.25">
      <c r="A7" s="192"/>
      <c r="B7" s="258" t="s">
        <v>615</v>
      </c>
      <c r="C7" s="194"/>
    </row>
    <row r="8" spans="1:17" ht="16.5" thickBot="1" x14ac:dyDescent="0.3"/>
    <row r="9" spans="1:17" ht="16.5" thickBot="1" x14ac:dyDescent="0.3">
      <c r="A9" s="193"/>
      <c r="B9" s="620" t="s">
        <v>329</v>
      </c>
      <c r="C9" s="594" t="s">
        <v>134</v>
      </c>
      <c r="D9" s="595"/>
      <c r="E9" s="596"/>
      <c r="F9" s="151"/>
      <c r="G9" s="594" t="s">
        <v>134</v>
      </c>
      <c r="H9" s="595"/>
      <c r="I9" s="596"/>
      <c r="J9" s="151"/>
      <c r="K9" s="594" t="s">
        <v>134</v>
      </c>
      <c r="L9" s="595"/>
      <c r="M9" s="596"/>
      <c r="N9" s="151"/>
      <c r="O9" s="594" t="s">
        <v>134</v>
      </c>
      <c r="P9" s="595"/>
      <c r="Q9" s="596"/>
    </row>
    <row r="10" spans="1:17" ht="32.25" customHeight="1" thickBot="1" x14ac:dyDescent="0.3">
      <c r="A10" s="193"/>
      <c r="B10" s="621"/>
      <c r="C10" s="617" t="s">
        <v>299</v>
      </c>
      <c r="D10" s="618"/>
      <c r="E10" s="619"/>
      <c r="F10" s="152"/>
      <c r="G10" s="617" t="s">
        <v>300</v>
      </c>
      <c r="H10" s="618"/>
      <c r="I10" s="619"/>
      <c r="J10" s="152"/>
      <c r="K10" s="617" t="s">
        <v>301</v>
      </c>
      <c r="L10" s="618"/>
      <c r="M10" s="619"/>
      <c r="N10" s="152"/>
      <c r="O10" s="617" t="s">
        <v>302</v>
      </c>
      <c r="P10" s="618"/>
      <c r="Q10" s="619"/>
    </row>
    <row r="11" spans="1:17" x14ac:dyDescent="0.25">
      <c r="A11" s="193"/>
      <c r="B11" s="153" t="s">
        <v>110</v>
      </c>
      <c r="C11" s="153" t="s">
        <v>91</v>
      </c>
      <c r="D11" s="154" t="s">
        <v>133</v>
      </c>
      <c r="E11" s="155" t="s">
        <v>139</v>
      </c>
      <c r="F11" s="156"/>
      <c r="G11" s="153" t="s">
        <v>91</v>
      </c>
      <c r="H11" s="154" t="s">
        <v>133</v>
      </c>
      <c r="I11" s="155" t="s">
        <v>139</v>
      </c>
      <c r="J11" s="156"/>
      <c r="K11" s="153" t="s">
        <v>91</v>
      </c>
      <c r="L11" s="154" t="s">
        <v>133</v>
      </c>
      <c r="M11" s="155" t="s">
        <v>139</v>
      </c>
      <c r="N11" s="156"/>
      <c r="O11" s="153" t="s">
        <v>91</v>
      </c>
      <c r="P11" s="154" t="s">
        <v>133</v>
      </c>
      <c r="Q11" s="155" t="s">
        <v>139</v>
      </c>
    </row>
    <row r="12" spans="1:17" ht="16.5" thickBot="1" x14ac:dyDescent="0.3">
      <c r="A12" s="193"/>
      <c r="B12" s="203" t="s">
        <v>5</v>
      </c>
      <c r="C12" s="289"/>
      <c r="D12" s="290"/>
      <c r="E12" s="291"/>
      <c r="F12" s="156"/>
      <c r="G12" s="289"/>
      <c r="H12" s="290"/>
      <c r="I12" s="291"/>
      <c r="J12" s="156"/>
      <c r="K12" s="289"/>
      <c r="L12" s="290"/>
      <c r="M12" s="291"/>
      <c r="N12" s="156"/>
      <c r="O12" s="289"/>
      <c r="P12" s="290"/>
      <c r="Q12" s="291"/>
    </row>
    <row r="13" spans="1:17" ht="16.5" thickBot="1" x14ac:dyDescent="0.3">
      <c r="A13" s="193"/>
      <c r="B13" s="162" t="s">
        <v>151</v>
      </c>
      <c r="C13" s="163">
        <f>'CPIF CLIN 0001-TASK 1.01 INPUTS'!C19+'CPIF CLIN 0001-TASK 1.02 INPUTS'!C17+'CPIF CLIN 0001-TASK 1.03 INPUTS'!C17+'CPIF CLIN 0001 TASK 1.04 INPUTS'!C17+'CPIF CLIN 0001-TASK 1.05 INPUTS'!C17+'CPIF CLIN 0001-TASK 1.06 INPUTS'!C17+'CPIF CLIN 0001-TASK 1.07 INPUTS'!C17+'CPIF CLIN 0001-TASK 1.08 INPUTS'!C17+'CPIF CLIN 0001-TASK 1.09 INPUTS'!C17+'CPIF CLIN 0001-TASK 1.10 INPUTS'!C17+'CPIF CLIN 0001-TASK 1.11 INPUTS'!C17</f>
        <v>0</v>
      </c>
      <c r="D13" s="205"/>
      <c r="E13" s="163">
        <f>'CPIF CLIN 0001-TASK 1.01 INPUTS'!E19+'CPIF CLIN 0001-TASK 1.02 INPUTS'!E17+'CPIF CLIN 0001-TASK 1.03 INPUTS'!E17+'CPIF CLIN 0001 TASK 1.04 INPUTS'!E17+'CPIF CLIN 0001-TASK 1.05 INPUTS'!E17+'CPIF CLIN 0001-TASK 1.06 INPUTS'!E17+'CPIF CLIN 0001-TASK 1.07 INPUTS'!E17+'CPIF CLIN 0001-TASK 1.08 INPUTS'!E17+'CPIF CLIN 0001-TASK 1.09 INPUTS'!E17+'CPIF CLIN 0001-TASK 1.10 INPUTS'!E17+'CPIF CLIN 0001-TASK 1.11 INPUTS'!E17</f>
        <v>0</v>
      </c>
      <c r="F13" s="165"/>
      <c r="G13" s="163">
        <f>'CPIF CLIN 0001-TASK 1.01 INPUTS'!G19+'CPIF CLIN 0001-TASK 1.02 INPUTS'!G17+'CPIF CLIN 0001-TASK 1.03 INPUTS'!G17+'CPIF CLIN 0001 TASK 1.04 INPUTS'!G17+'CPIF CLIN 0001-TASK 1.05 INPUTS'!G17+'CPIF CLIN 0001-TASK 1.06 INPUTS'!G17+'CPIF CLIN 0001-TASK 1.07 INPUTS'!G17+'CPIF CLIN 0001-TASK 1.08 INPUTS'!G17+'CPIF CLIN 0001-TASK 1.09 INPUTS'!G17+'CPIF CLIN 0001-TASK 1.10 INPUTS'!G17+'CPIF CLIN 0001-TASK 1.11 INPUTS'!G17</f>
        <v>0</v>
      </c>
      <c r="H13" s="205"/>
      <c r="I13" s="163">
        <f>'CPIF CLIN 0001-TASK 1.01 INPUTS'!I19+'CPIF CLIN 0001-TASK 1.02 INPUTS'!I17+'CPIF CLIN 0001-TASK 1.03 INPUTS'!I17+'CPIF CLIN 0001 TASK 1.04 INPUTS'!I17+'CPIF CLIN 0001-TASK 1.05 INPUTS'!I17+'CPIF CLIN 0001-TASK 1.06 INPUTS'!I17+'CPIF CLIN 0001-TASK 1.07 INPUTS'!I17+'CPIF CLIN 0001-TASK 1.08 INPUTS'!I17+'CPIF CLIN 0001-TASK 1.09 INPUTS'!I17+'CPIF CLIN 0001-TASK 1.10 INPUTS'!I17+'CPIF CLIN 0001-TASK 1.11 INPUTS'!I17</f>
        <v>0</v>
      </c>
      <c r="J13" s="165"/>
      <c r="K13" s="163">
        <f>'CPIF CLIN 0001-TASK 1.01 INPUTS'!K19+'CPIF CLIN 0001-TASK 1.02 INPUTS'!K17+'CPIF CLIN 0001-TASK 1.03 INPUTS'!K17+'CPIF CLIN 0001 TASK 1.04 INPUTS'!K17+'CPIF CLIN 0001-TASK 1.05 INPUTS'!K17+'CPIF CLIN 0001-TASK 1.06 INPUTS'!K17+'CPIF CLIN 0001-TASK 1.07 INPUTS'!K17+'CPIF CLIN 0001-TASK 1.08 INPUTS'!K17+'CPIF CLIN 0001-TASK 1.09 INPUTS'!K17+'CPIF CLIN 0001-TASK 1.10 INPUTS'!K17+'CPIF CLIN 0001-TASK 1.11 INPUTS'!K17</f>
        <v>0</v>
      </c>
      <c r="L13" s="205"/>
      <c r="M13" s="163">
        <f>'CPIF CLIN 0001-TASK 1.01 INPUTS'!M19+'CPIF CLIN 0001-TASK 1.02 INPUTS'!M17+'CPIF CLIN 0001-TASK 1.03 INPUTS'!M17+'CPIF CLIN 0001 TASK 1.04 INPUTS'!M17+'CPIF CLIN 0001-TASK 1.05 INPUTS'!M17+'CPIF CLIN 0001-TASK 1.06 INPUTS'!M17+'CPIF CLIN 0001-TASK 1.07 INPUTS'!M17+'CPIF CLIN 0001-TASK 1.08 INPUTS'!M17+'CPIF CLIN 0001-TASK 1.09 INPUTS'!M17+'CPIF CLIN 0001-TASK 1.10 INPUTS'!M17+'CPIF CLIN 0001-TASK 1.11 INPUTS'!M17</f>
        <v>0</v>
      </c>
      <c r="N13" s="165"/>
      <c r="O13" s="163">
        <f>'CPIF CLIN 0001-TASK 1.01 INPUTS'!O19+'CPIF CLIN 0001-TASK 1.02 INPUTS'!O17+'CPIF CLIN 0001-TASK 1.03 INPUTS'!O17+'CPIF CLIN 0001 TASK 1.04 INPUTS'!O17+'CPIF CLIN 0001-TASK 1.05 INPUTS'!O17+'CPIF CLIN 0001-TASK 1.06 INPUTS'!O17+'CPIF CLIN 0001-TASK 1.07 INPUTS'!O17+'CPIF CLIN 0001-TASK 1.08 INPUTS'!O17+'CPIF CLIN 0001-TASK 1.09 INPUTS'!O17+'CPIF CLIN 0001-TASK 1.10 INPUTS'!O17+'CPIF CLIN 0001-TASK 1.11 INPUTS'!O17</f>
        <v>0</v>
      </c>
      <c r="P13" s="205"/>
      <c r="Q13" s="163">
        <f>'CPIF CLIN 0001-TASK 1.01 INPUTS'!Q19+'CPIF CLIN 0001-TASK 1.02 INPUTS'!Q17+'CPIF CLIN 0001-TASK 1.03 INPUTS'!Q17+'CPIF CLIN 0001 TASK 1.04 INPUTS'!Q17+'CPIF CLIN 0001-TASK 1.05 INPUTS'!Q17+'CPIF CLIN 0001-TASK 1.06 INPUTS'!Q17+'CPIF CLIN 0001-TASK 1.07 INPUTS'!Q17+'CPIF CLIN 0001-TASK 1.08 INPUTS'!Q17+'CPIF CLIN 0001-TASK 1.09 INPUTS'!Q17+'CPIF CLIN 0001-TASK 1.10 INPUTS'!Q17+'CPIF CLIN 0001-TASK 1.11 INPUTS'!Q17</f>
        <v>0</v>
      </c>
    </row>
    <row r="14" spans="1:17" x14ac:dyDescent="0.25">
      <c r="A14" s="193"/>
      <c r="B14" s="204"/>
      <c r="C14" s="153" t="s">
        <v>399</v>
      </c>
      <c r="D14" s="154" t="s">
        <v>396</v>
      </c>
      <c r="E14" s="155" t="s">
        <v>398</v>
      </c>
      <c r="F14" s="166"/>
      <c r="G14" s="153" t="s">
        <v>399</v>
      </c>
      <c r="H14" s="154" t="s">
        <v>396</v>
      </c>
      <c r="I14" s="155" t="s">
        <v>398</v>
      </c>
      <c r="J14" s="166"/>
      <c r="K14" s="153" t="s">
        <v>399</v>
      </c>
      <c r="L14" s="154" t="s">
        <v>396</v>
      </c>
      <c r="M14" s="155" t="s">
        <v>398</v>
      </c>
      <c r="N14" s="166"/>
      <c r="O14" s="153" t="s">
        <v>399</v>
      </c>
      <c r="P14" s="154" t="s">
        <v>396</v>
      </c>
      <c r="Q14" s="155" t="s">
        <v>398</v>
      </c>
    </row>
    <row r="15" spans="1:17" x14ac:dyDescent="0.25">
      <c r="A15" s="193"/>
      <c r="B15" s="203" t="s">
        <v>5</v>
      </c>
      <c r="C15" s="289"/>
      <c r="D15" s="290"/>
      <c r="E15" s="291"/>
      <c r="F15" s="202"/>
      <c r="G15" s="289"/>
      <c r="H15" s="290"/>
      <c r="I15" s="291"/>
      <c r="J15" s="202"/>
      <c r="K15" s="289"/>
      <c r="L15" s="290"/>
      <c r="M15" s="291"/>
      <c r="N15" s="202"/>
      <c r="O15" s="289"/>
      <c r="P15" s="290"/>
      <c r="Q15" s="291"/>
    </row>
    <row r="16" spans="1:17" x14ac:dyDescent="0.25">
      <c r="A16" s="193"/>
      <c r="B16" s="167" t="str">
        <f>'PRIME CPIF RATES (ALL)'!B35</f>
        <v>Indirect Labor Category:  [Labor Fringe]</v>
      </c>
      <c r="C16" s="215"/>
      <c r="D16" s="243"/>
      <c r="E16" s="168">
        <f>'CPIF CLIN 0001-TASK 1.01 INPUTS'!E22+'CPIF CLIN 0001-TASK 1.02 INPUTS'!E20+'CPIF CLIN 0001-TASK 1.03 INPUTS'!E20+'CPIF CLIN 0001 TASK 1.04 INPUTS'!E20+'CPIF CLIN 0001-TASK 1.05 INPUTS'!E20+'CPIF CLIN 0001-TASK 1.06 INPUTS'!E20+'CPIF CLIN 0001-TASK 1.07 INPUTS'!E20+'CPIF CLIN 0001-TASK 1.08 INPUTS'!E20+'CPIF CLIN 0001-TASK 1.09 INPUTS'!E20+'CPIF CLIN 0001-TASK 1.10 INPUTS'!E20+'CPIF CLIN 0001-TASK 1.11 INPUTS'!E20</f>
        <v>0</v>
      </c>
      <c r="F16" s="165"/>
      <c r="G16" s="215"/>
      <c r="H16" s="243"/>
      <c r="I16" s="168">
        <f>'CPIF CLIN 0001-TASK 1.01 INPUTS'!I22+'CPIF CLIN 0001-TASK 1.02 INPUTS'!I20+'CPIF CLIN 0001-TASK 1.03 INPUTS'!I20+'CPIF CLIN 0001 TASK 1.04 INPUTS'!I20+'CPIF CLIN 0001-TASK 1.05 INPUTS'!I20+'CPIF CLIN 0001-TASK 1.06 INPUTS'!I20+'CPIF CLIN 0001-TASK 1.07 INPUTS'!I20+'CPIF CLIN 0001-TASK 1.08 INPUTS'!I20+'CPIF CLIN 0001-TASK 1.09 INPUTS'!I20+'CPIF CLIN 0001-TASK 1.10 INPUTS'!I20+'CPIF CLIN 0001-TASK 1.11 INPUTS'!I20</f>
        <v>0</v>
      </c>
      <c r="J16" s="165"/>
      <c r="K16" s="215"/>
      <c r="L16" s="243"/>
      <c r="M16" s="168">
        <f>'CPIF CLIN 0001-TASK 1.01 INPUTS'!M22+'CPIF CLIN 0001-TASK 1.02 INPUTS'!M20+'CPIF CLIN 0001-TASK 1.03 INPUTS'!M20+'CPIF CLIN 0001 TASK 1.04 INPUTS'!M20+'CPIF CLIN 0001-TASK 1.05 INPUTS'!M20+'CPIF CLIN 0001-TASK 1.06 INPUTS'!M20+'CPIF CLIN 0001-TASK 1.07 INPUTS'!M20+'CPIF CLIN 0001-TASK 1.08 INPUTS'!M20+'CPIF CLIN 0001-TASK 1.09 INPUTS'!M20+'CPIF CLIN 0001-TASK 1.10 INPUTS'!M20+'CPIF CLIN 0001-TASK 1.11 INPUTS'!M20</f>
        <v>0</v>
      </c>
      <c r="N16" s="165"/>
      <c r="O16" s="215"/>
      <c r="P16" s="243"/>
      <c r="Q16" s="168">
        <f>'CPIF CLIN 0001-TASK 1.01 INPUTS'!Q22+'CPIF CLIN 0001-TASK 1.02 INPUTS'!Q20+'CPIF CLIN 0001-TASK 1.03 INPUTS'!Q20+'CPIF CLIN 0001 TASK 1.04 INPUTS'!Q20+'CPIF CLIN 0001-TASK 1.05 INPUTS'!Q20+'CPIF CLIN 0001-TASK 1.06 INPUTS'!Q20+'CPIF CLIN 0001-TASK 1.07 INPUTS'!Q20+'CPIF CLIN 0001-TASK 1.08 INPUTS'!Q20+'CPIF CLIN 0001-TASK 1.09 INPUTS'!Q20+'CPIF CLIN 0001-TASK 1.10 INPUTS'!Q20+'CPIF CLIN 0001-TASK 1.11 INPUTS'!Q20</f>
        <v>0</v>
      </c>
    </row>
    <row r="17" spans="1:17" x14ac:dyDescent="0.25">
      <c r="A17" s="193"/>
      <c r="B17" s="167" t="str">
        <f>'PRIME CPIF RATES (ALL)'!B36</f>
        <v>Indirect Labor Category: [Labor Overhead]</v>
      </c>
      <c r="C17" s="215"/>
      <c r="D17" s="243"/>
      <c r="E17" s="168">
        <f>'CPIF CLIN 0001-TASK 1.01 INPUTS'!E23+'CPIF CLIN 0001-TASK 1.02 INPUTS'!E21+'CPIF CLIN 0001-TASK 1.03 INPUTS'!E21+'CPIF CLIN 0001 TASK 1.04 INPUTS'!E21+'CPIF CLIN 0001-TASK 1.05 INPUTS'!E21+'CPIF CLIN 0001-TASK 1.06 INPUTS'!E21+'CPIF CLIN 0001-TASK 1.07 INPUTS'!E21+'CPIF CLIN 0001-TASK 1.08 INPUTS'!E21+'CPIF CLIN 0001-TASK 1.09 INPUTS'!E21+'CPIF CLIN 0001-TASK 1.10 INPUTS'!E21+'CPIF CLIN 0001-TASK 1.11 INPUTS'!E21</f>
        <v>0</v>
      </c>
      <c r="F17" s="165"/>
      <c r="G17" s="215"/>
      <c r="H17" s="243"/>
      <c r="I17" s="168">
        <f>'CPIF CLIN 0001-TASK 1.01 INPUTS'!I23+'CPIF CLIN 0001-TASK 1.02 INPUTS'!I21+'CPIF CLIN 0001-TASK 1.03 INPUTS'!I21+'CPIF CLIN 0001 TASK 1.04 INPUTS'!I21+'CPIF CLIN 0001-TASK 1.05 INPUTS'!I21+'CPIF CLIN 0001-TASK 1.06 INPUTS'!I21+'CPIF CLIN 0001-TASK 1.07 INPUTS'!I21+'CPIF CLIN 0001-TASK 1.08 INPUTS'!I21+'CPIF CLIN 0001-TASK 1.09 INPUTS'!I21+'CPIF CLIN 0001-TASK 1.10 INPUTS'!I21+'CPIF CLIN 0001-TASK 1.11 INPUTS'!I21</f>
        <v>0</v>
      </c>
      <c r="J17" s="165"/>
      <c r="K17" s="215"/>
      <c r="L17" s="243"/>
      <c r="M17" s="168">
        <f>'CPIF CLIN 0001-TASK 1.01 INPUTS'!M23+'CPIF CLIN 0001-TASK 1.02 INPUTS'!M21+'CPIF CLIN 0001-TASK 1.03 INPUTS'!M21+'CPIF CLIN 0001 TASK 1.04 INPUTS'!M21+'CPIF CLIN 0001-TASK 1.05 INPUTS'!M21+'CPIF CLIN 0001-TASK 1.06 INPUTS'!M21+'CPIF CLIN 0001-TASK 1.07 INPUTS'!M21+'CPIF CLIN 0001-TASK 1.08 INPUTS'!M21+'CPIF CLIN 0001-TASK 1.09 INPUTS'!M21+'CPIF CLIN 0001-TASK 1.10 INPUTS'!M21+'CPIF CLIN 0001-TASK 1.11 INPUTS'!M21</f>
        <v>0</v>
      </c>
      <c r="N17" s="165"/>
      <c r="O17" s="215"/>
      <c r="P17" s="243"/>
      <c r="Q17" s="168">
        <f>'CPIF CLIN 0001-TASK 1.01 INPUTS'!Q23+'CPIF CLIN 0001-TASK 1.02 INPUTS'!Q21+'CPIF CLIN 0001-TASK 1.03 INPUTS'!Q21+'CPIF CLIN 0001 TASK 1.04 INPUTS'!Q21+'CPIF CLIN 0001-TASK 1.05 INPUTS'!Q21+'CPIF CLIN 0001-TASK 1.06 INPUTS'!Q21+'CPIF CLIN 0001-TASK 1.07 INPUTS'!Q21+'CPIF CLIN 0001-TASK 1.08 INPUTS'!Q21+'CPIF CLIN 0001-TASK 1.09 INPUTS'!Q21+'CPIF CLIN 0001-TASK 1.10 INPUTS'!Q21+'CPIF CLIN 0001-TASK 1.11 INPUTS'!Q21</f>
        <v>0</v>
      </c>
    </row>
    <row r="18" spans="1:17" x14ac:dyDescent="0.25">
      <c r="A18" s="193"/>
      <c r="B18" s="167" t="str">
        <f>'PRIME CPIF RATES (ALL)'!B37</f>
        <v>Indirect Labor Category: [G&amp;A]</v>
      </c>
      <c r="C18" s="215"/>
      <c r="D18" s="243"/>
      <c r="E18" s="168">
        <f>'CPIF CLIN 0001-TASK 1.01 INPUTS'!E24+'CPIF CLIN 0001-TASK 1.02 INPUTS'!E22+'CPIF CLIN 0001-TASK 1.03 INPUTS'!E22+'CPIF CLIN 0001 TASK 1.04 INPUTS'!E22+'CPIF CLIN 0001-TASK 1.05 INPUTS'!E22+'CPIF CLIN 0001-TASK 1.06 INPUTS'!E22+'CPIF CLIN 0001-TASK 1.07 INPUTS'!E22+'CPIF CLIN 0001-TASK 1.08 INPUTS'!E22+'CPIF CLIN 0001-TASK 1.09 INPUTS'!E22+'CPIF CLIN 0001-TASK 1.10 INPUTS'!E22+'CPIF CLIN 0001-TASK 1.11 INPUTS'!E22</f>
        <v>0</v>
      </c>
      <c r="F18" s="165"/>
      <c r="G18" s="215"/>
      <c r="H18" s="243"/>
      <c r="I18" s="168">
        <f>'CPIF CLIN 0001-TASK 1.01 INPUTS'!I24+'CPIF CLIN 0001-TASK 1.02 INPUTS'!I22+'CPIF CLIN 0001-TASK 1.03 INPUTS'!I22+'CPIF CLIN 0001 TASK 1.04 INPUTS'!I22+'CPIF CLIN 0001-TASK 1.05 INPUTS'!I22+'CPIF CLIN 0001-TASK 1.06 INPUTS'!I22+'CPIF CLIN 0001-TASK 1.07 INPUTS'!I22+'CPIF CLIN 0001-TASK 1.08 INPUTS'!I22+'CPIF CLIN 0001-TASK 1.09 INPUTS'!I22+'CPIF CLIN 0001-TASK 1.10 INPUTS'!I22+'CPIF CLIN 0001-TASK 1.11 INPUTS'!I22</f>
        <v>0</v>
      </c>
      <c r="J18" s="165"/>
      <c r="K18" s="215"/>
      <c r="L18" s="243"/>
      <c r="M18" s="168">
        <f>'CPIF CLIN 0001-TASK 1.01 INPUTS'!M24+'CPIF CLIN 0001-TASK 1.02 INPUTS'!M22+'CPIF CLIN 0001-TASK 1.03 INPUTS'!M22+'CPIF CLIN 0001 TASK 1.04 INPUTS'!M22+'CPIF CLIN 0001-TASK 1.05 INPUTS'!M22+'CPIF CLIN 0001-TASK 1.06 INPUTS'!M22+'CPIF CLIN 0001-TASK 1.07 INPUTS'!M22+'CPIF CLIN 0001-TASK 1.08 INPUTS'!M22+'CPIF CLIN 0001-TASK 1.09 INPUTS'!M22+'CPIF CLIN 0001-TASK 1.10 INPUTS'!M22+'CPIF CLIN 0001-TASK 1.11 INPUTS'!M22</f>
        <v>0</v>
      </c>
      <c r="N18" s="165"/>
      <c r="O18" s="215"/>
      <c r="P18" s="243"/>
      <c r="Q18" s="168">
        <f>'CPIF CLIN 0001-TASK 1.01 INPUTS'!Q24+'CPIF CLIN 0001-TASK 1.02 INPUTS'!Q22+'CPIF CLIN 0001-TASK 1.03 INPUTS'!Q22+'CPIF CLIN 0001 TASK 1.04 INPUTS'!Q22+'CPIF CLIN 0001-TASK 1.05 INPUTS'!Q22+'CPIF CLIN 0001-TASK 1.06 INPUTS'!Q22+'CPIF CLIN 0001-TASK 1.07 INPUTS'!Q22+'CPIF CLIN 0001-TASK 1.08 INPUTS'!Q22+'CPIF CLIN 0001-TASK 1.09 INPUTS'!Q22+'CPIF CLIN 0001-TASK 1.10 INPUTS'!Q22+'CPIF CLIN 0001-TASK 1.11 INPUTS'!Q22</f>
        <v>0</v>
      </c>
    </row>
    <row r="19" spans="1:17" x14ac:dyDescent="0.25">
      <c r="A19" s="193"/>
      <c r="B19" s="167" t="str">
        <f>'PRIME CPIF RATES (ALL)'!B38</f>
        <v>Indirect Labor Category: [FCCOM]</v>
      </c>
      <c r="C19" s="215"/>
      <c r="D19" s="473"/>
      <c r="E19" s="168">
        <f>'CPIF CLIN 0001-TASK 1.01 INPUTS'!E25+'CPIF CLIN 0001-TASK 1.02 INPUTS'!E23+'CPIF CLIN 0001-TASK 1.03 INPUTS'!E23+'CPIF CLIN 0001 TASK 1.04 INPUTS'!E23+'CPIF CLIN 0001-TASK 1.05 INPUTS'!E23+'CPIF CLIN 0001-TASK 1.06 INPUTS'!E23+'CPIF CLIN 0001-TASK 1.07 INPUTS'!E23+'CPIF CLIN 0001-TASK 1.08 INPUTS'!E23+'CPIF CLIN 0001-TASK 1.09 INPUTS'!E23+'CPIF CLIN 0001-TASK 1.10 INPUTS'!E23+'CPIF CLIN 0001-TASK 1.11 INPUTS'!E23</f>
        <v>0</v>
      </c>
      <c r="F19" s="165"/>
      <c r="G19" s="215"/>
      <c r="H19" s="473"/>
      <c r="I19" s="168">
        <f>'CPIF CLIN 0001-TASK 1.01 INPUTS'!I25+'CPIF CLIN 0001-TASK 1.02 INPUTS'!I23+'CPIF CLIN 0001-TASK 1.03 INPUTS'!I23+'CPIF CLIN 0001 TASK 1.04 INPUTS'!I23+'CPIF CLIN 0001-TASK 1.05 INPUTS'!I23+'CPIF CLIN 0001-TASK 1.06 INPUTS'!I23+'CPIF CLIN 0001-TASK 1.07 INPUTS'!I23+'CPIF CLIN 0001-TASK 1.08 INPUTS'!I23+'CPIF CLIN 0001-TASK 1.09 INPUTS'!I23+'CPIF CLIN 0001-TASK 1.10 INPUTS'!I23+'CPIF CLIN 0001-TASK 1.11 INPUTS'!I23</f>
        <v>0</v>
      </c>
      <c r="J19" s="165"/>
      <c r="K19" s="215"/>
      <c r="L19" s="473"/>
      <c r="M19" s="168">
        <f>'CPIF CLIN 0001-TASK 1.01 INPUTS'!M25+'CPIF CLIN 0001-TASK 1.02 INPUTS'!M23+'CPIF CLIN 0001-TASK 1.03 INPUTS'!M23+'CPIF CLIN 0001 TASK 1.04 INPUTS'!M23+'CPIF CLIN 0001-TASK 1.05 INPUTS'!M23+'CPIF CLIN 0001-TASK 1.06 INPUTS'!M23+'CPIF CLIN 0001-TASK 1.07 INPUTS'!M23+'CPIF CLIN 0001-TASK 1.08 INPUTS'!M23+'CPIF CLIN 0001-TASK 1.09 INPUTS'!M23+'CPIF CLIN 0001-TASK 1.10 INPUTS'!M23+'CPIF CLIN 0001-TASK 1.11 INPUTS'!M23</f>
        <v>0</v>
      </c>
      <c r="N19" s="165"/>
      <c r="O19" s="215"/>
      <c r="P19" s="473"/>
      <c r="Q19" s="168">
        <f>'CPIF CLIN 0001-TASK 1.01 INPUTS'!Q25+'CPIF CLIN 0001-TASK 1.02 INPUTS'!Q23+'CPIF CLIN 0001-TASK 1.03 INPUTS'!Q23+'CPIF CLIN 0001 TASK 1.04 INPUTS'!Q23+'CPIF CLIN 0001-TASK 1.05 INPUTS'!Q23+'CPIF CLIN 0001-TASK 1.06 INPUTS'!Q23+'CPIF CLIN 0001-TASK 1.07 INPUTS'!Q23+'CPIF CLIN 0001-TASK 1.08 INPUTS'!Q23+'CPIF CLIN 0001-TASK 1.09 INPUTS'!Q23+'CPIF CLIN 0001-TASK 1.10 INPUTS'!Q23+'CPIF CLIN 0001-TASK 1.11 INPUTS'!Q23</f>
        <v>0</v>
      </c>
    </row>
    <row r="20" spans="1:17" x14ac:dyDescent="0.25">
      <c r="A20" s="193"/>
      <c r="B20" s="167" t="str">
        <f>'PRIME CPIF RATES (ALL)'!B39</f>
        <v>Indirect Labor Category: [Target Fee]</v>
      </c>
      <c r="C20" s="215"/>
      <c r="D20" s="243"/>
      <c r="E20" s="168">
        <f>'CPIF CLIN 0001-TASK 1.01 INPUTS'!E26+'CPIF CLIN 0001-TASK 1.02 INPUTS'!E24+'CPIF CLIN 0001-TASK 1.03 INPUTS'!E24+'CPIF CLIN 0001 TASK 1.04 INPUTS'!E24+'CPIF CLIN 0001-TASK 1.05 INPUTS'!E24+'CPIF CLIN 0001-TASK 1.06 INPUTS'!E24+'CPIF CLIN 0001-TASK 1.07 INPUTS'!E24+'CPIF CLIN 0001-TASK 1.08 INPUTS'!E24+'CPIF CLIN 0001-TASK 1.09 INPUTS'!E24+'CPIF CLIN 0001-TASK 1.10 INPUTS'!E24+'CPIF CLIN 0001-TASK 1.11 INPUTS'!E24</f>
        <v>0</v>
      </c>
      <c r="F20" s="165"/>
      <c r="G20" s="215"/>
      <c r="H20" s="243"/>
      <c r="I20" s="168">
        <f>'CPIF CLIN 0001-TASK 1.01 INPUTS'!I26+'CPIF CLIN 0001-TASK 1.02 INPUTS'!I24+'CPIF CLIN 0001-TASK 1.03 INPUTS'!I24+'CPIF CLIN 0001 TASK 1.04 INPUTS'!I24+'CPIF CLIN 0001-TASK 1.05 INPUTS'!I24+'CPIF CLIN 0001-TASK 1.06 INPUTS'!I24+'CPIF CLIN 0001-TASK 1.07 INPUTS'!I24+'CPIF CLIN 0001-TASK 1.08 INPUTS'!I24+'CPIF CLIN 0001-TASK 1.09 INPUTS'!I24+'CPIF CLIN 0001-TASK 1.10 INPUTS'!I24+'CPIF CLIN 0001-TASK 1.11 INPUTS'!I24</f>
        <v>0</v>
      </c>
      <c r="J20" s="165"/>
      <c r="K20" s="215"/>
      <c r="L20" s="243"/>
      <c r="M20" s="168">
        <f>'CPIF CLIN 0001-TASK 1.01 INPUTS'!M26+'CPIF CLIN 0001-TASK 1.02 INPUTS'!M24+'CPIF CLIN 0001-TASK 1.03 INPUTS'!M24+'CPIF CLIN 0001 TASK 1.04 INPUTS'!M24+'CPIF CLIN 0001-TASK 1.05 INPUTS'!M24+'CPIF CLIN 0001-TASK 1.06 INPUTS'!M24+'CPIF CLIN 0001-TASK 1.07 INPUTS'!M24+'CPIF CLIN 0001-TASK 1.08 INPUTS'!M24+'CPIF CLIN 0001-TASK 1.09 INPUTS'!M24+'CPIF CLIN 0001-TASK 1.10 INPUTS'!M24+'CPIF CLIN 0001-TASK 1.11 INPUTS'!M24</f>
        <v>0</v>
      </c>
      <c r="N20" s="165"/>
      <c r="O20" s="215"/>
      <c r="P20" s="243"/>
      <c r="Q20" s="168">
        <f>'CPIF CLIN 0001-TASK 1.01 INPUTS'!Q26+'CPIF CLIN 0001-TASK 1.02 INPUTS'!Q24+'CPIF CLIN 0001-TASK 1.03 INPUTS'!Q24+'CPIF CLIN 0001 TASK 1.04 INPUTS'!Q24+'CPIF CLIN 0001-TASK 1.05 INPUTS'!Q24+'CPIF CLIN 0001-TASK 1.06 INPUTS'!Q24+'CPIF CLIN 0001-TASK 1.07 INPUTS'!Q24+'CPIF CLIN 0001-TASK 1.08 INPUTS'!Q24+'CPIF CLIN 0001-TASK 1.09 INPUTS'!Q24+'CPIF CLIN 0001-TASK 1.10 INPUTS'!Q24+'CPIF CLIN 0001-TASK 1.11 INPUTS'!Q24</f>
        <v>0</v>
      </c>
    </row>
    <row r="21" spans="1:17" x14ac:dyDescent="0.25">
      <c r="A21" s="193"/>
      <c r="B21" s="262" t="s">
        <v>258</v>
      </c>
      <c r="C21" s="210"/>
      <c r="D21" s="211"/>
      <c r="E21" s="230">
        <f>ROUND(SUM(E13,E16,E17,E18),2)</f>
        <v>0</v>
      </c>
      <c r="F21" s="165"/>
      <c r="G21" s="206"/>
      <c r="H21" s="207"/>
      <c r="I21" s="230">
        <f>ROUND(SUM(I13,I16,I17,I18),2)</f>
        <v>0</v>
      </c>
      <c r="J21" s="165"/>
      <c r="K21" s="206"/>
      <c r="L21" s="207"/>
      <c r="M21" s="230">
        <f>ROUND(SUM(M13,M16,M17,M18),2)</f>
        <v>0</v>
      </c>
      <c r="N21" s="165"/>
      <c r="O21" s="206"/>
      <c r="P21" s="207"/>
      <c r="Q21" s="230">
        <f>ROUND(SUM(Q13,Q16,Q17,Q18),2)</f>
        <v>0</v>
      </c>
    </row>
    <row r="22" spans="1:17" x14ac:dyDescent="0.25">
      <c r="A22" s="193"/>
      <c r="B22" s="262" t="s">
        <v>137</v>
      </c>
      <c r="C22" s="210"/>
      <c r="D22" s="211"/>
      <c r="E22" s="230">
        <f>ROUND(E19,2)</f>
        <v>0</v>
      </c>
      <c r="F22" s="165"/>
      <c r="G22" s="206"/>
      <c r="H22" s="207"/>
      <c r="I22" s="230">
        <f>ROUND(I19,2)</f>
        <v>0</v>
      </c>
      <c r="J22" s="165"/>
      <c r="K22" s="206"/>
      <c r="L22" s="207"/>
      <c r="M22" s="230">
        <f>ROUND(M19,2)</f>
        <v>0</v>
      </c>
      <c r="N22" s="165"/>
      <c r="O22" s="206"/>
      <c r="P22" s="207"/>
      <c r="Q22" s="230">
        <f>ROUND(Q19,2)</f>
        <v>0</v>
      </c>
    </row>
    <row r="23" spans="1:17" x14ac:dyDescent="0.25">
      <c r="A23" s="193"/>
      <c r="B23" s="262" t="s">
        <v>136</v>
      </c>
      <c r="C23" s="210"/>
      <c r="D23" s="211"/>
      <c r="E23" s="245">
        <f>ROUND(E20,2)</f>
        <v>0</v>
      </c>
      <c r="F23" s="170"/>
      <c r="G23" s="206"/>
      <c r="H23" s="207"/>
      <c r="I23" s="245">
        <f>ROUND(I20,2)</f>
        <v>0</v>
      </c>
      <c r="J23" s="170"/>
      <c r="K23" s="206"/>
      <c r="L23" s="207"/>
      <c r="M23" s="245">
        <f>ROUND(M20,2)</f>
        <v>0</v>
      </c>
      <c r="N23" s="170"/>
      <c r="O23" s="206"/>
      <c r="P23" s="207"/>
      <c r="Q23" s="245">
        <f>ROUND(Q20,2)</f>
        <v>0</v>
      </c>
    </row>
    <row r="24" spans="1:17" ht="16.5" thickBot="1" x14ac:dyDescent="0.3">
      <c r="A24" s="193"/>
      <c r="B24" s="263" t="s">
        <v>138</v>
      </c>
      <c r="C24" s="212"/>
      <c r="D24" s="213"/>
      <c r="E24" s="246">
        <f>ROUND(SUM(E21:E23),2)</f>
        <v>0</v>
      </c>
      <c r="F24" s="171"/>
      <c r="G24" s="208"/>
      <c r="H24" s="209"/>
      <c r="I24" s="246">
        <f>ROUND(SUM(I21:I23),2)</f>
        <v>0</v>
      </c>
      <c r="J24" s="171"/>
      <c r="K24" s="208"/>
      <c r="L24" s="209"/>
      <c r="M24" s="246">
        <f>ROUND(SUM(M21:M23),2)</f>
        <v>0</v>
      </c>
      <c r="N24" s="171"/>
      <c r="O24" s="208"/>
      <c r="P24" s="209"/>
      <c r="Q24" s="246">
        <f>ROUND(SUM(Q21:Q23),2)</f>
        <v>0</v>
      </c>
    </row>
    <row r="25" spans="1:17" ht="16.5" thickBot="1" x14ac:dyDescent="0.3">
      <c r="A25" s="193"/>
      <c r="B25" s="172"/>
      <c r="C25" s="173"/>
      <c r="D25" s="173"/>
      <c r="E25" s="476" t="s">
        <v>5</v>
      </c>
      <c r="F25" s="256"/>
      <c r="G25" s="256"/>
      <c r="H25" s="256"/>
      <c r="I25" s="256"/>
      <c r="J25" s="256"/>
      <c r="K25" s="256"/>
      <c r="L25" s="173"/>
      <c r="M25" s="173"/>
      <c r="N25" s="165"/>
      <c r="O25" s="256"/>
      <c r="P25" s="173"/>
      <c r="Q25" s="477" t="s">
        <v>5</v>
      </c>
    </row>
    <row r="26" spans="1:17" ht="16.5" customHeight="1" thickBot="1" x14ac:dyDescent="0.3">
      <c r="A26" s="193"/>
      <c r="B26" s="620" t="str">
        <f>B9</f>
        <v>CLIN 0001 (CPIF)                                                 TOTAL</v>
      </c>
      <c r="C26" s="594" t="s">
        <v>145</v>
      </c>
      <c r="D26" s="595"/>
      <c r="E26" s="596"/>
      <c r="F26" s="175"/>
      <c r="G26" s="594" t="s">
        <v>145</v>
      </c>
      <c r="H26" s="595"/>
      <c r="I26" s="596"/>
      <c r="J26" s="175"/>
      <c r="K26" s="594" t="s">
        <v>145</v>
      </c>
      <c r="L26" s="595"/>
      <c r="M26" s="596"/>
      <c r="N26" s="175"/>
      <c r="O26" s="594" t="s">
        <v>145</v>
      </c>
      <c r="P26" s="595"/>
      <c r="Q26" s="596"/>
    </row>
    <row r="27" spans="1:17" ht="32.25" customHeight="1" thickBot="1" x14ac:dyDescent="0.3">
      <c r="A27" s="193"/>
      <c r="B27" s="621"/>
      <c r="C27" s="617" t="str">
        <f>C10</f>
        <v>CLIN 0001 - Basic Period (Year 1)</v>
      </c>
      <c r="D27" s="618"/>
      <c r="E27" s="619"/>
      <c r="F27" s="176"/>
      <c r="G27" s="617" t="str">
        <f>G10</f>
        <v>CLIN 0001 - Basic Period (Year 2)</v>
      </c>
      <c r="H27" s="618"/>
      <c r="I27" s="619"/>
      <c r="J27" s="176"/>
      <c r="K27" s="617" t="str">
        <f>K10</f>
        <v>CLIN 0001 - Basic Period (Year 3)</v>
      </c>
      <c r="L27" s="618"/>
      <c r="M27" s="619"/>
      <c r="N27" s="176"/>
      <c r="O27" s="617" t="str">
        <f>O10</f>
        <v>CLIN 0001 - Basic Period (Year 4)</v>
      </c>
      <c r="P27" s="618"/>
      <c r="Q27" s="619"/>
    </row>
    <row r="28" spans="1:17" x14ac:dyDescent="0.25">
      <c r="A28" s="193"/>
      <c r="B28" s="247"/>
      <c r="C28" s="153" t="s">
        <v>399</v>
      </c>
      <c r="D28" s="154" t="s">
        <v>396</v>
      </c>
      <c r="E28" s="155" t="s">
        <v>152</v>
      </c>
      <c r="F28" s="166"/>
      <c r="G28" s="153" t="s">
        <v>399</v>
      </c>
      <c r="H28" s="154" t="s">
        <v>396</v>
      </c>
      <c r="I28" s="155" t="s">
        <v>152</v>
      </c>
      <c r="J28" s="166"/>
      <c r="K28" s="153" t="s">
        <v>399</v>
      </c>
      <c r="L28" s="154" t="s">
        <v>396</v>
      </c>
      <c r="M28" s="155" t="s">
        <v>152</v>
      </c>
      <c r="N28" s="166"/>
      <c r="O28" s="153" t="s">
        <v>399</v>
      </c>
      <c r="P28" s="154" t="s">
        <v>396</v>
      </c>
      <c r="Q28" s="155" t="s">
        <v>152</v>
      </c>
    </row>
    <row r="29" spans="1:17" x14ac:dyDescent="0.25">
      <c r="A29" s="193"/>
      <c r="B29" s="274" t="s">
        <v>5</v>
      </c>
      <c r="C29" s="231"/>
      <c r="D29" s="232"/>
      <c r="E29" s="216">
        <f>'CPIF CLIN 0001-TASK 1.01 INPUTS'!E35+'CPIF CLIN 0001-TASK 1.02 INPUTS'!E33+'CPIF CLIN 0001-TASK 1.03 INPUTS'!E33+'CPIF CLIN 0001 TASK 1.04 INPUTS'!E33+'CPIF CLIN 0001-TASK 1.05 INPUTS'!E33+'CPIF CLIN 0001-TASK 1.06 INPUTS'!E33+'CPIF CLIN 0001-TASK 1.07 INPUTS'!E33+'CPIF CLIN 0001-TASK 1.08 INPUTS'!E33+'CPIF CLIN 0001-TASK 1.09 INPUTS'!E33+'CPIF CLIN 0001-TASK 1.10 INPUTS'!E33+'CPIF CLIN 0001-TASK 1.11 INPUTS'!E33</f>
        <v>0</v>
      </c>
      <c r="F29" s="165"/>
      <c r="G29" s="231"/>
      <c r="H29" s="232"/>
      <c r="I29" s="216">
        <f>'CPIF CLIN 0001-TASK 1.01 INPUTS'!I35+'CPIF CLIN 0001-TASK 1.02 INPUTS'!I33+'CPIF CLIN 0001-TASK 1.03 INPUTS'!I33+'CPIF CLIN 0001 TASK 1.04 INPUTS'!I33+'CPIF CLIN 0001-TASK 1.05 INPUTS'!I33+'CPIF CLIN 0001-TASK 1.06 INPUTS'!I33+'CPIF CLIN 0001-TASK 1.07 INPUTS'!I33+'CPIF CLIN 0001-TASK 1.08 INPUTS'!I33+'CPIF CLIN 0001-TASK 1.09 INPUTS'!I33+'CPIF CLIN 0001-TASK 1.10 INPUTS'!I33+'CPIF CLIN 0001-TASK 1.11 INPUTS'!I33</f>
        <v>0</v>
      </c>
      <c r="J29" s="165"/>
      <c r="K29" s="231"/>
      <c r="L29" s="232"/>
      <c r="M29" s="216">
        <f>'CPIF CLIN 0001-TASK 1.01 INPUTS'!M35+'CPIF CLIN 0001-TASK 1.02 INPUTS'!M33+'CPIF CLIN 0001-TASK 1.03 INPUTS'!M33+'CPIF CLIN 0001 TASK 1.04 INPUTS'!M33+'CPIF CLIN 0001-TASK 1.05 INPUTS'!M33+'CPIF CLIN 0001-TASK 1.06 INPUTS'!M33+'CPIF CLIN 0001-TASK 1.07 INPUTS'!M33+'CPIF CLIN 0001-TASK 1.08 INPUTS'!M33+'CPIF CLIN 0001-TASK 1.09 INPUTS'!M33+'CPIF CLIN 0001-TASK 1.10 INPUTS'!M33+'CPIF CLIN 0001-TASK 1.11 INPUTS'!M33</f>
        <v>0</v>
      </c>
      <c r="N29" s="165"/>
      <c r="O29" s="231"/>
      <c r="P29" s="232"/>
      <c r="Q29" s="216">
        <f>'CPIF CLIN 0001-TASK 1.01 INPUTS'!Q35+'CPIF CLIN 0001-TASK 1.02 INPUTS'!Q33+'CPIF CLIN 0001-TASK 1.03 INPUTS'!Q33+'CPIF CLIN 0001 TASK 1.04 INPUTS'!Q33+'CPIF CLIN 0001-TASK 1.05 INPUTS'!Q33+'CPIF CLIN 0001-TASK 1.06 INPUTS'!Q33+'CPIF CLIN 0001-TASK 1.07 INPUTS'!Q33+'CPIF CLIN 0001-TASK 1.08 INPUTS'!Q33+'CPIF CLIN 0001-TASK 1.09 INPUTS'!Q33+'CPIF CLIN 0001-TASK 1.10 INPUTS'!Q33+'CPIF CLIN 0001-TASK 1.11 INPUTS'!Q33</f>
        <v>0</v>
      </c>
    </row>
    <row r="30" spans="1:17" x14ac:dyDescent="0.25">
      <c r="A30" s="193"/>
      <c r="B30" s="167" t="str">
        <f>'PRIME CPIF RATES (ALL)'!B52</f>
        <v>Indirect Category: [Material Overhead]</v>
      </c>
      <c r="C30" s="215"/>
      <c r="D30" s="243"/>
      <c r="E30" s="168">
        <f>'CPIF CLIN 0001-TASK 1.01 INPUTS'!E37+'CPIF CLIN 0001-TASK 1.02 INPUTS'!E35+'CPIF CLIN 0001-TASK 1.03 INPUTS'!E35+'CPIF CLIN 0001 TASK 1.04 INPUTS'!E35+'CPIF CLIN 0001-TASK 1.05 INPUTS'!E35+'CPIF CLIN 0001-TASK 1.06 INPUTS'!E35+'CPIF CLIN 0001-TASK 1.07 INPUTS'!E35+'CPIF CLIN 0001-TASK 1.08 INPUTS'!E35+'CPIF CLIN 0001-TASK 1.09 INPUTS'!E35+'CPIF CLIN 0001-TASK 1.10 INPUTS'!E35+'CPIF CLIN 0001-TASK 1.11 INPUTS'!E35</f>
        <v>0</v>
      </c>
      <c r="F30" s="178"/>
      <c r="G30" s="215"/>
      <c r="H30" s="243"/>
      <c r="I30" s="168">
        <f>'CPIF CLIN 0001-TASK 1.01 INPUTS'!I37+'CPIF CLIN 0001-TASK 1.02 INPUTS'!I35+'CPIF CLIN 0001-TASK 1.03 INPUTS'!I35+'CPIF CLIN 0001 TASK 1.04 INPUTS'!I35+'CPIF CLIN 0001-TASK 1.05 INPUTS'!I35+'CPIF CLIN 0001-TASK 1.06 INPUTS'!I35+'CPIF CLIN 0001-TASK 1.07 INPUTS'!I35+'CPIF CLIN 0001-TASK 1.08 INPUTS'!I35+'CPIF CLIN 0001-TASK 1.09 INPUTS'!I35+'CPIF CLIN 0001-TASK 1.10 INPUTS'!I35+'CPIF CLIN 0001-TASK 1.11 INPUTS'!I35</f>
        <v>0</v>
      </c>
      <c r="J30" s="178"/>
      <c r="K30" s="215"/>
      <c r="L30" s="243"/>
      <c r="M30" s="168">
        <f>'CPIF CLIN 0001-TASK 1.01 INPUTS'!M37+'CPIF CLIN 0001-TASK 1.02 INPUTS'!M35+'CPIF CLIN 0001-TASK 1.03 INPUTS'!M35+'CPIF CLIN 0001 TASK 1.04 INPUTS'!M35+'CPIF CLIN 0001-TASK 1.05 INPUTS'!M35+'CPIF CLIN 0001-TASK 1.06 INPUTS'!M35+'CPIF CLIN 0001-TASK 1.07 INPUTS'!M35+'CPIF CLIN 0001-TASK 1.08 INPUTS'!M35+'CPIF CLIN 0001-TASK 1.09 INPUTS'!M35+'CPIF CLIN 0001-TASK 1.10 INPUTS'!M35+'CPIF CLIN 0001-TASK 1.11 INPUTS'!M35</f>
        <v>0</v>
      </c>
      <c r="N30" s="178"/>
      <c r="O30" s="215"/>
      <c r="P30" s="243"/>
      <c r="Q30" s="168">
        <f>'CPIF CLIN 0001-TASK 1.01 INPUTS'!Q37+'CPIF CLIN 0001-TASK 1.02 INPUTS'!Q35+'CPIF CLIN 0001-TASK 1.03 INPUTS'!Q35+'CPIF CLIN 0001 TASK 1.04 INPUTS'!Q35+'CPIF CLIN 0001-TASK 1.05 INPUTS'!Q35+'CPIF CLIN 0001-TASK 1.06 INPUTS'!Q35+'CPIF CLIN 0001-TASK 1.07 INPUTS'!Q35+'CPIF CLIN 0001-TASK 1.08 INPUTS'!Q35+'CPIF CLIN 0001-TASK 1.09 INPUTS'!Q35+'CPIF CLIN 0001-TASK 1.10 INPUTS'!Q35+'CPIF CLIN 0001-TASK 1.11 INPUTS'!Q35</f>
        <v>0</v>
      </c>
    </row>
    <row r="31" spans="1:17" x14ac:dyDescent="0.25">
      <c r="A31" s="193"/>
      <c r="B31" s="167" t="str">
        <f>'PRIME CPIF RATES (ALL)'!B53</f>
        <v>Indirect Category: [G&amp;A]</v>
      </c>
      <c r="C31" s="215"/>
      <c r="D31" s="243"/>
      <c r="E31" s="168">
        <f>'CPIF CLIN 0001-TASK 1.01 INPUTS'!E38+'CPIF CLIN 0001-TASK 1.02 INPUTS'!E36+'CPIF CLIN 0001-TASK 1.03 INPUTS'!E36+'CPIF CLIN 0001 TASK 1.04 INPUTS'!E36+'CPIF CLIN 0001-TASK 1.05 INPUTS'!E36+'CPIF CLIN 0001-TASK 1.06 INPUTS'!E36+'CPIF CLIN 0001-TASK 1.07 INPUTS'!E36+'CPIF CLIN 0001-TASK 1.08 INPUTS'!E36+'CPIF CLIN 0001-TASK 1.09 INPUTS'!E36+'CPIF CLIN 0001-TASK 1.10 INPUTS'!E36+'CPIF CLIN 0001-TASK 1.11 INPUTS'!E36</f>
        <v>0</v>
      </c>
      <c r="F31" s="178"/>
      <c r="G31" s="215"/>
      <c r="H31" s="243"/>
      <c r="I31" s="168">
        <f>'CPIF CLIN 0001-TASK 1.01 INPUTS'!I38+'CPIF CLIN 0001-TASK 1.02 INPUTS'!I36+'CPIF CLIN 0001-TASK 1.03 INPUTS'!I36+'CPIF CLIN 0001 TASK 1.04 INPUTS'!I36+'CPIF CLIN 0001-TASK 1.05 INPUTS'!I36+'CPIF CLIN 0001-TASK 1.06 INPUTS'!I36+'CPIF CLIN 0001-TASK 1.07 INPUTS'!I36+'CPIF CLIN 0001-TASK 1.08 INPUTS'!I36+'CPIF CLIN 0001-TASK 1.09 INPUTS'!I36+'CPIF CLIN 0001-TASK 1.10 INPUTS'!I36+'CPIF CLIN 0001-TASK 1.11 INPUTS'!I36</f>
        <v>0</v>
      </c>
      <c r="J31" s="178"/>
      <c r="K31" s="215"/>
      <c r="L31" s="243"/>
      <c r="M31" s="168">
        <f>'CPIF CLIN 0001-TASK 1.01 INPUTS'!M38+'CPIF CLIN 0001-TASK 1.02 INPUTS'!M36+'CPIF CLIN 0001-TASK 1.03 INPUTS'!M36+'CPIF CLIN 0001 TASK 1.04 INPUTS'!M36+'CPIF CLIN 0001-TASK 1.05 INPUTS'!M36+'CPIF CLIN 0001-TASK 1.06 INPUTS'!M36+'CPIF CLIN 0001-TASK 1.07 INPUTS'!M36+'CPIF CLIN 0001-TASK 1.08 INPUTS'!M36+'CPIF CLIN 0001-TASK 1.09 INPUTS'!M36+'CPIF CLIN 0001-TASK 1.10 INPUTS'!M36+'CPIF CLIN 0001-TASK 1.11 INPUTS'!M36</f>
        <v>0</v>
      </c>
      <c r="N31" s="178"/>
      <c r="O31" s="215"/>
      <c r="P31" s="243"/>
      <c r="Q31" s="168">
        <f>'CPIF CLIN 0001-TASK 1.01 INPUTS'!Q38+'CPIF CLIN 0001-TASK 1.02 INPUTS'!Q36+'CPIF CLIN 0001-TASK 1.03 INPUTS'!Q36+'CPIF CLIN 0001 TASK 1.04 INPUTS'!Q36+'CPIF CLIN 0001-TASK 1.05 INPUTS'!Q36+'CPIF CLIN 0001-TASK 1.06 INPUTS'!Q36+'CPIF CLIN 0001-TASK 1.07 INPUTS'!Q36+'CPIF CLIN 0001-TASK 1.08 INPUTS'!Q36+'CPIF CLIN 0001-TASK 1.09 INPUTS'!Q36+'CPIF CLIN 0001-TASK 1.10 INPUTS'!Q36+'CPIF CLIN 0001-TASK 1.11 INPUTS'!Q36</f>
        <v>0</v>
      </c>
    </row>
    <row r="32" spans="1:17" x14ac:dyDescent="0.25">
      <c r="A32" s="193"/>
      <c r="B32" s="167" t="str">
        <f>'PRIME CPIF RATES (ALL)'!B54</f>
        <v>Indirect Category: [FCCOM]</v>
      </c>
      <c r="C32" s="215"/>
      <c r="D32" s="244"/>
      <c r="E32" s="168">
        <f>'CPIF CLIN 0001-TASK 1.01 INPUTS'!E39+'CPIF CLIN 0001-TASK 1.02 INPUTS'!E37+'CPIF CLIN 0001-TASK 1.03 INPUTS'!E37+'CPIF CLIN 0001 TASK 1.04 INPUTS'!E37+'CPIF CLIN 0001-TASK 1.05 INPUTS'!E37+'CPIF CLIN 0001-TASK 1.06 INPUTS'!E37+'CPIF CLIN 0001-TASK 1.07 INPUTS'!E37+'CPIF CLIN 0001-TASK 1.08 INPUTS'!E37+'CPIF CLIN 0001-TASK 1.09 INPUTS'!E37+'CPIF CLIN 0001-TASK 1.10 INPUTS'!E37+'CPIF CLIN 0001-TASK 1.11 INPUTS'!E37</f>
        <v>0</v>
      </c>
      <c r="F32" s="165"/>
      <c r="G32" s="215"/>
      <c r="H32" s="244"/>
      <c r="I32" s="168">
        <f>'CPIF CLIN 0001-TASK 1.01 INPUTS'!I39+'CPIF CLIN 0001-TASK 1.02 INPUTS'!I37+'CPIF CLIN 0001-TASK 1.03 INPUTS'!I37+'CPIF CLIN 0001 TASK 1.04 INPUTS'!I37+'CPIF CLIN 0001-TASK 1.05 INPUTS'!I37+'CPIF CLIN 0001-TASK 1.06 INPUTS'!I37+'CPIF CLIN 0001-TASK 1.07 INPUTS'!I37+'CPIF CLIN 0001-TASK 1.08 INPUTS'!I37+'CPIF CLIN 0001-TASK 1.09 INPUTS'!I37+'CPIF CLIN 0001-TASK 1.10 INPUTS'!I37+'CPIF CLIN 0001-TASK 1.11 INPUTS'!I37</f>
        <v>0</v>
      </c>
      <c r="J32" s="165"/>
      <c r="K32" s="215"/>
      <c r="L32" s="244"/>
      <c r="M32" s="168">
        <f>'CPIF CLIN 0001-TASK 1.01 INPUTS'!M39+'CPIF CLIN 0001-TASK 1.02 INPUTS'!M37+'CPIF CLIN 0001-TASK 1.03 INPUTS'!M37+'CPIF CLIN 0001 TASK 1.04 INPUTS'!M37+'CPIF CLIN 0001-TASK 1.05 INPUTS'!M37+'CPIF CLIN 0001-TASK 1.06 INPUTS'!M37+'CPIF CLIN 0001-TASK 1.07 INPUTS'!M37+'CPIF CLIN 0001-TASK 1.08 INPUTS'!M37+'CPIF CLIN 0001-TASK 1.09 INPUTS'!M37+'CPIF CLIN 0001-TASK 1.10 INPUTS'!M37+'CPIF CLIN 0001-TASK 1.11 INPUTS'!M37</f>
        <v>0</v>
      </c>
      <c r="N32" s="165"/>
      <c r="O32" s="215"/>
      <c r="P32" s="244"/>
      <c r="Q32" s="168">
        <f>'CPIF CLIN 0001-TASK 1.01 INPUTS'!Q39+'CPIF CLIN 0001-TASK 1.02 INPUTS'!Q37+'CPIF CLIN 0001-TASK 1.03 INPUTS'!Q37+'CPIF CLIN 0001 TASK 1.04 INPUTS'!Q37+'CPIF CLIN 0001-TASK 1.05 INPUTS'!Q37+'CPIF CLIN 0001-TASK 1.06 INPUTS'!Q37+'CPIF CLIN 0001-TASK 1.07 INPUTS'!Q37+'CPIF CLIN 0001-TASK 1.08 INPUTS'!Q37+'CPIF CLIN 0001-TASK 1.09 INPUTS'!Q37+'CPIF CLIN 0001-TASK 1.10 INPUTS'!Q37+'CPIF CLIN 0001-TASK 1.11 INPUTS'!Q37</f>
        <v>0</v>
      </c>
    </row>
    <row r="33" spans="1:17" x14ac:dyDescent="0.25">
      <c r="A33" s="193"/>
      <c r="B33" s="167" t="str">
        <f>'PRIME CPIF RATES (ALL)'!B55</f>
        <v>Indirect Category: [Target Fee]</v>
      </c>
      <c r="C33" s="215"/>
      <c r="D33" s="243"/>
      <c r="E33" s="168">
        <f>'CPIF CLIN 0001-TASK 1.01 INPUTS'!E40+'CPIF CLIN 0001-TASK 1.02 INPUTS'!E38+'CPIF CLIN 0001-TASK 1.03 INPUTS'!E38+'CPIF CLIN 0001 TASK 1.04 INPUTS'!E38+'CPIF CLIN 0001-TASK 1.05 INPUTS'!E38+'CPIF CLIN 0001-TASK 1.06 INPUTS'!E38+'CPIF CLIN 0001-TASK 1.07 INPUTS'!E38+'CPIF CLIN 0001-TASK 1.08 INPUTS'!E38+'CPIF CLIN 0001-TASK 1.09 INPUTS'!E38+'CPIF CLIN 0001-TASK 1.10 INPUTS'!E38+'CPIF CLIN 0001-TASK 1.11 INPUTS'!E38</f>
        <v>0</v>
      </c>
      <c r="F33" s="165"/>
      <c r="G33" s="215"/>
      <c r="H33" s="243"/>
      <c r="I33" s="168">
        <f>'CPIF CLIN 0001-TASK 1.01 INPUTS'!I40+'CPIF CLIN 0001-TASK 1.02 INPUTS'!I38+'CPIF CLIN 0001-TASK 1.03 INPUTS'!I38+'CPIF CLIN 0001 TASK 1.04 INPUTS'!I38+'CPIF CLIN 0001-TASK 1.05 INPUTS'!I38+'CPIF CLIN 0001-TASK 1.06 INPUTS'!I38+'CPIF CLIN 0001-TASK 1.07 INPUTS'!I38+'CPIF CLIN 0001-TASK 1.08 INPUTS'!I38+'CPIF CLIN 0001-TASK 1.09 INPUTS'!I38+'CPIF CLIN 0001-TASK 1.10 INPUTS'!I38+'CPIF CLIN 0001-TASK 1.11 INPUTS'!I38</f>
        <v>0</v>
      </c>
      <c r="J33" s="165"/>
      <c r="K33" s="215"/>
      <c r="L33" s="243"/>
      <c r="M33" s="168">
        <f>'CPIF CLIN 0001-TASK 1.01 INPUTS'!M40+'CPIF CLIN 0001-TASK 1.02 INPUTS'!M38+'CPIF CLIN 0001-TASK 1.03 INPUTS'!M38+'CPIF CLIN 0001 TASK 1.04 INPUTS'!M38+'CPIF CLIN 0001-TASK 1.05 INPUTS'!M38+'CPIF CLIN 0001-TASK 1.06 INPUTS'!M38+'CPIF CLIN 0001-TASK 1.07 INPUTS'!M38+'CPIF CLIN 0001-TASK 1.08 INPUTS'!M38+'CPIF CLIN 0001-TASK 1.09 INPUTS'!M38+'CPIF CLIN 0001-TASK 1.10 INPUTS'!M38+'CPIF CLIN 0001-TASK 1.11 INPUTS'!M38</f>
        <v>0</v>
      </c>
      <c r="N33" s="165"/>
      <c r="O33" s="215"/>
      <c r="P33" s="243"/>
      <c r="Q33" s="168">
        <f>'CPIF CLIN 0001-TASK 1.01 INPUTS'!Q40+'CPIF CLIN 0001-TASK 1.02 INPUTS'!Q38+'CPIF CLIN 0001-TASK 1.03 INPUTS'!Q38+'CPIF CLIN 0001 TASK 1.04 INPUTS'!Q38+'CPIF CLIN 0001-TASK 1.05 INPUTS'!Q38+'CPIF CLIN 0001-TASK 1.06 INPUTS'!Q38+'CPIF CLIN 0001-TASK 1.07 INPUTS'!Q38+'CPIF CLIN 0001-TASK 1.08 INPUTS'!Q38+'CPIF CLIN 0001-TASK 1.09 INPUTS'!Q38+'CPIF CLIN 0001-TASK 1.10 INPUTS'!Q38+'CPIF CLIN 0001-TASK 1.11 INPUTS'!Q38</f>
        <v>0</v>
      </c>
    </row>
    <row r="34" spans="1:17" x14ac:dyDescent="0.25">
      <c r="A34" s="193"/>
      <c r="B34" s="241" t="s">
        <v>259</v>
      </c>
      <c r="C34" s="233"/>
      <c r="D34" s="234"/>
      <c r="E34" s="168">
        <f>ROUND(SUM(E28:E31),2)</f>
        <v>0</v>
      </c>
      <c r="F34" s="165"/>
      <c r="G34" s="233"/>
      <c r="H34" s="234"/>
      <c r="I34" s="168">
        <f>ROUND(SUM(I28:I31),2)</f>
        <v>0</v>
      </c>
      <c r="J34" s="165"/>
      <c r="K34" s="233"/>
      <c r="L34" s="234"/>
      <c r="M34" s="168">
        <f>ROUND(SUM(M28:M31),2)</f>
        <v>0</v>
      </c>
      <c r="N34" s="165"/>
      <c r="O34" s="233"/>
      <c r="P34" s="234"/>
      <c r="Q34" s="168">
        <f>ROUND(SUM(Q28:Q31),2)</f>
        <v>0</v>
      </c>
    </row>
    <row r="35" spans="1:17" x14ac:dyDescent="0.25">
      <c r="A35" s="193"/>
      <c r="B35" s="241" t="s">
        <v>137</v>
      </c>
      <c r="C35" s="231"/>
      <c r="D35" s="235"/>
      <c r="E35" s="168">
        <f>ROUND(E32,2)</f>
        <v>0</v>
      </c>
      <c r="F35" s="165"/>
      <c r="G35" s="231"/>
      <c r="H35" s="235"/>
      <c r="I35" s="168">
        <f>ROUND(I32,2)</f>
        <v>0</v>
      </c>
      <c r="J35" s="165"/>
      <c r="K35" s="231"/>
      <c r="L35" s="235"/>
      <c r="M35" s="168">
        <f>ROUND(M32,2)</f>
        <v>0</v>
      </c>
      <c r="N35" s="165"/>
      <c r="O35" s="231"/>
      <c r="P35" s="235"/>
      <c r="Q35" s="168">
        <f>ROUND(Q32,2)</f>
        <v>0</v>
      </c>
    </row>
    <row r="36" spans="1:17" x14ac:dyDescent="0.2">
      <c r="B36" s="241" t="s">
        <v>136</v>
      </c>
      <c r="C36" s="231"/>
      <c r="D36" s="235"/>
      <c r="E36" s="182">
        <f>ROUND(E33,2)</f>
        <v>0</v>
      </c>
      <c r="F36" s="183"/>
      <c r="G36" s="231"/>
      <c r="H36" s="235"/>
      <c r="I36" s="182">
        <f>ROUND(I33,2)</f>
        <v>0</v>
      </c>
      <c r="J36" s="183"/>
      <c r="K36" s="231"/>
      <c r="L36" s="235"/>
      <c r="M36" s="182">
        <f>ROUND(M33,2)</f>
        <v>0</v>
      </c>
      <c r="N36" s="183"/>
      <c r="O36" s="231"/>
      <c r="P36" s="235"/>
      <c r="Q36" s="182">
        <f>ROUND(Q33,2)</f>
        <v>0</v>
      </c>
    </row>
    <row r="37" spans="1:17" ht="16.5" thickBot="1" x14ac:dyDescent="0.25">
      <c r="B37" s="242" t="s">
        <v>243</v>
      </c>
      <c r="C37" s="236"/>
      <c r="D37" s="237"/>
      <c r="E37" s="160">
        <f>SUM(E34:E36)</f>
        <v>0</v>
      </c>
      <c r="F37" s="161"/>
      <c r="G37" s="236"/>
      <c r="H37" s="237"/>
      <c r="I37" s="160">
        <f>SUM(I34:I36)</f>
        <v>0</v>
      </c>
      <c r="J37" s="161"/>
      <c r="K37" s="236"/>
      <c r="L37" s="237"/>
      <c r="M37" s="160">
        <f>SUM(M34:M36)</f>
        <v>0</v>
      </c>
      <c r="N37" s="161"/>
      <c r="O37" s="236"/>
      <c r="P37" s="237"/>
      <c r="Q37" s="160">
        <f>SUM(Q34:Q36)</f>
        <v>0</v>
      </c>
    </row>
    <row r="38" spans="1:17" ht="16.5" thickBot="1" x14ac:dyDescent="0.25">
      <c r="B38" s="172"/>
      <c r="D38" s="470" t="s">
        <v>5</v>
      </c>
      <c r="E38" s="478" t="s">
        <v>5</v>
      </c>
      <c r="F38" s="251"/>
      <c r="G38" s="251"/>
      <c r="H38" s="251"/>
      <c r="I38" s="251"/>
      <c r="J38" s="251"/>
      <c r="K38" s="251"/>
      <c r="N38" s="187"/>
      <c r="O38" s="251"/>
      <c r="Q38" s="477" t="s">
        <v>5</v>
      </c>
    </row>
    <row r="39" spans="1:17" ht="16.5" thickBot="1" x14ac:dyDescent="0.3">
      <c r="B39" s="620" t="str">
        <f>B9</f>
        <v>CLIN 0001 (CPIF)                                                 TOTAL</v>
      </c>
      <c r="C39" s="594" t="s">
        <v>318</v>
      </c>
      <c r="D39" s="595"/>
      <c r="E39" s="596"/>
      <c r="F39" s="175"/>
      <c r="G39" s="594" t="s">
        <v>318</v>
      </c>
      <c r="H39" s="595"/>
      <c r="I39" s="596"/>
      <c r="J39" s="175"/>
      <c r="K39" s="594" t="s">
        <v>318</v>
      </c>
      <c r="L39" s="595"/>
      <c r="M39" s="596"/>
      <c r="N39" s="175"/>
      <c r="O39" s="594" t="s">
        <v>318</v>
      </c>
      <c r="P39" s="595"/>
      <c r="Q39" s="596"/>
    </row>
    <row r="40" spans="1:17" ht="27.75" customHeight="1" thickBot="1" x14ac:dyDescent="0.3">
      <c r="B40" s="621"/>
      <c r="C40" s="617" t="str">
        <f>C27</f>
        <v>CLIN 0001 - Basic Period (Year 1)</v>
      </c>
      <c r="D40" s="618"/>
      <c r="E40" s="619"/>
      <c r="F40" s="176"/>
      <c r="G40" s="617" t="str">
        <f>G27</f>
        <v>CLIN 0001 - Basic Period (Year 2)</v>
      </c>
      <c r="H40" s="618"/>
      <c r="I40" s="619"/>
      <c r="J40" s="176"/>
      <c r="K40" s="617" t="str">
        <f>K27</f>
        <v>CLIN 0001 - Basic Period (Year 3)</v>
      </c>
      <c r="L40" s="618"/>
      <c r="M40" s="619"/>
      <c r="N40" s="176"/>
      <c r="O40" s="617" t="str">
        <f>O27</f>
        <v>CLIN 0001 - Basic Period (Year 4)</v>
      </c>
      <c r="P40" s="618"/>
      <c r="Q40" s="619"/>
    </row>
    <row r="41" spans="1:17" x14ac:dyDescent="0.25">
      <c r="B41" s="248"/>
      <c r="C41" s="153" t="s">
        <v>135</v>
      </c>
      <c r="D41" s="154" t="s">
        <v>122</v>
      </c>
      <c r="E41" s="155" t="s">
        <v>397</v>
      </c>
      <c r="F41" s="166"/>
      <c r="G41" s="153" t="s">
        <v>124</v>
      </c>
      <c r="H41" s="154" t="s">
        <v>122</v>
      </c>
      <c r="I41" s="155" t="s">
        <v>397</v>
      </c>
      <c r="J41" s="166"/>
      <c r="K41" s="153" t="s">
        <v>124</v>
      </c>
      <c r="L41" s="154" t="s">
        <v>122</v>
      </c>
      <c r="M41" s="155" t="s">
        <v>397</v>
      </c>
      <c r="N41" s="166"/>
      <c r="O41" s="153" t="s">
        <v>124</v>
      </c>
      <c r="P41" s="154" t="s">
        <v>122</v>
      </c>
      <c r="Q41" s="155" t="s">
        <v>397</v>
      </c>
    </row>
    <row r="42" spans="1:17" x14ac:dyDescent="0.2">
      <c r="B42" s="344" t="s">
        <v>5</v>
      </c>
      <c r="C42" s="285"/>
      <c r="D42" s="285"/>
      <c r="E42" s="345">
        <f>'PRIME CPIF TOTAL SUB'!E22</f>
        <v>0</v>
      </c>
      <c r="F42" s="288"/>
      <c r="G42" s="231"/>
      <c r="H42" s="285"/>
      <c r="I42" s="345">
        <f>'PRIME CPIF TOTAL SUB'!G22</f>
        <v>0</v>
      </c>
      <c r="J42" s="288"/>
      <c r="K42" s="231"/>
      <c r="L42" s="285"/>
      <c r="M42" s="345">
        <f>'PRIME CPIF TOTAL SUB'!I22</f>
        <v>0</v>
      </c>
      <c r="N42" s="165"/>
      <c r="O42" s="231"/>
      <c r="P42" s="285"/>
      <c r="Q42" s="345">
        <f>'PRIME CPIF TOTAL SUB'!K22</f>
        <v>0</v>
      </c>
    </row>
    <row r="43" spans="1:17" x14ac:dyDescent="0.2">
      <c r="B43" s="287" t="s">
        <v>5</v>
      </c>
      <c r="C43" s="624" t="s">
        <v>5</v>
      </c>
      <c r="D43" s="625"/>
      <c r="E43" s="626"/>
      <c r="F43" s="178"/>
      <c r="G43" s="627"/>
      <c r="H43" s="625"/>
      <c r="I43" s="626"/>
      <c r="J43" s="178"/>
      <c r="K43" s="627"/>
      <c r="L43" s="625"/>
      <c r="M43" s="626"/>
      <c r="N43" s="178"/>
      <c r="O43" s="627"/>
      <c r="P43" s="625"/>
      <c r="Q43" s="626"/>
    </row>
    <row r="44" spans="1:17" x14ac:dyDescent="0.2">
      <c r="B44" s="287" t="str">
        <f>'PRIME CPIF RATES (ALL)'!B44</f>
        <v>Indirect Category: [Overhead]</v>
      </c>
      <c r="C44" s="286"/>
      <c r="D44" s="243"/>
      <c r="E44" s="168">
        <f>'CPIF CLIN 0001-TASK 1.01 INPUTS'!E51+'CPIF CLIN 0001-TASK 1.02 INPUTS'!E49+'CPIF CLIN 0001-TASK 1.03 INPUTS'!E49+'CPIF CLIN 0001 TASK 1.04 INPUTS'!E49+'CPIF CLIN 0001-TASK 1.05 INPUTS'!E49+'CPIF CLIN 0001-TASK 1.06 INPUTS'!E49+'CPIF CLIN 0001-TASK 1.07 INPUTS'!E49+'CPIF CLIN 0001-TASK 1.08 INPUTS'!E49+'CPIF CLIN 0001-TASK 1.09 INPUTS'!E49+'CPIF CLIN 0001-TASK 1.10 INPUTS'!E49+'CPIF CLIN 0001-TASK 1.11 INPUTS'!E49</f>
        <v>0</v>
      </c>
      <c r="F44" s="178"/>
      <c r="G44" s="215"/>
      <c r="H44" s="243"/>
      <c r="I44" s="168">
        <f>'CPIF CLIN 0001-TASK 1.01 INPUTS'!I51+'CPIF CLIN 0001-TASK 1.02 INPUTS'!I49+'CPIF CLIN 0001-TASK 1.03 INPUTS'!I49+'CPIF CLIN 0001 TASK 1.04 INPUTS'!I49+'CPIF CLIN 0001-TASK 1.05 INPUTS'!I49+'CPIF CLIN 0001-TASK 1.06 INPUTS'!I49+'CPIF CLIN 0001-TASK 1.07 INPUTS'!I49+'CPIF CLIN 0001-TASK 1.08 INPUTS'!I49+'CPIF CLIN 0001-TASK 1.09 INPUTS'!I49+'CPIF CLIN 0001-TASK 1.10 INPUTS'!I49+'CPIF CLIN 0001-TASK 1.11 INPUTS'!I49</f>
        <v>0</v>
      </c>
      <c r="J44" s="178"/>
      <c r="K44" s="215"/>
      <c r="L44" s="243"/>
      <c r="M44" s="168">
        <f>'CPIF CLIN 0001-TASK 1.01 INPUTS'!M51+'CPIF CLIN 0001-TASK 1.02 INPUTS'!M49+'CPIF CLIN 0001-TASK 1.03 INPUTS'!M49+'CPIF CLIN 0001 TASK 1.04 INPUTS'!M49+'CPIF CLIN 0001-TASK 1.05 INPUTS'!M49+'CPIF CLIN 0001-TASK 1.06 INPUTS'!M49+'CPIF CLIN 0001-TASK 1.07 INPUTS'!M49+'CPIF CLIN 0001-TASK 1.08 INPUTS'!M49+'CPIF CLIN 0001-TASK 1.09 INPUTS'!M49+'CPIF CLIN 0001-TASK 1.10 INPUTS'!M49+'CPIF CLIN 0001-TASK 1.11 INPUTS'!M49</f>
        <v>0</v>
      </c>
      <c r="N44" s="178"/>
      <c r="O44" s="215"/>
      <c r="P44" s="243"/>
      <c r="Q44" s="168">
        <f>'CPIF CLIN 0001-TASK 1.01 INPUTS'!Q51+'CPIF CLIN 0001-TASK 1.02 INPUTS'!Q49+'CPIF CLIN 0001-TASK 1.03 INPUTS'!Q49+'CPIF CLIN 0001 TASK 1.04 INPUTS'!Q49+'CPIF CLIN 0001-TASK 1.05 INPUTS'!Q49+'CPIF CLIN 0001-TASK 1.06 INPUTS'!Q49+'CPIF CLIN 0001-TASK 1.07 INPUTS'!Q49+'CPIF CLIN 0001-TASK 1.08 INPUTS'!Q49+'CPIF CLIN 0001-TASK 1.09 INPUTS'!Q49+'CPIF CLIN 0001-TASK 1.10 INPUTS'!Q49+'CPIF CLIN 0001-TASK 1.11 INPUTS'!Q49</f>
        <v>0</v>
      </c>
    </row>
    <row r="45" spans="1:17" x14ac:dyDescent="0.2">
      <c r="B45" s="287" t="str">
        <f>'PRIME CPIF RATES (ALL)'!B45</f>
        <v>Indirect Category: [G&amp;A]</v>
      </c>
      <c r="C45" s="286"/>
      <c r="D45" s="243"/>
      <c r="E45" s="168">
        <f>'CPIF CLIN 0001-TASK 1.01 INPUTS'!E52+'CPIF CLIN 0001-TASK 1.02 INPUTS'!E50+'CPIF CLIN 0001-TASK 1.03 INPUTS'!E50+'CPIF CLIN 0001 TASK 1.04 INPUTS'!E50+'CPIF CLIN 0001-TASK 1.05 INPUTS'!E50+'CPIF CLIN 0001-TASK 1.06 INPUTS'!E50+'CPIF CLIN 0001-TASK 1.07 INPUTS'!E50+'CPIF CLIN 0001-TASK 1.08 INPUTS'!E50+'CPIF CLIN 0001-TASK 1.09 INPUTS'!E50+'CPIF CLIN 0001-TASK 1.10 INPUTS'!E50+'CPIF CLIN 0001-TASK 1.11 INPUTS'!E50</f>
        <v>0</v>
      </c>
      <c r="F45" s="288"/>
      <c r="G45" s="286"/>
      <c r="H45" s="243"/>
      <c r="I45" s="168">
        <f>'CPIF CLIN 0001-TASK 1.01 INPUTS'!I52+'CPIF CLIN 0001-TASK 1.02 INPUTS'!I50+'CPIF CLIN 0001-TASK 1.03 INPUTS'!I50+'CPIF CLIN 0001 TASK 1.04 INPUTS'!I50+'CPIF CLIN 0001-TASK 1.05 INPUTS'!I50+'CPIF CLIN 0001-TASK 1.06 INPUTS'!I50+'CPIF CLIN 0001-TASK 1.07 INPUTS'!I50+'CPIF CLIN 0001-TASK 1.08 INPUTS'!I50+'CPIF CLIN 0001-TASK 1.09 INPUTS'!I50+'CPIF CLIN 0001-TASK 1.10 INPUTS'!I50+'CPIF CLIN 0001-TASK 1.11 INPUTS'!I50</f>
        <v>0</v>
      </c>
      <c r="J45" s="288"/>
      <c r="K45" s="286"/>
      <c r="L45" s="243"/>
      <c r="M45" s="168">
        <f>'CPIF CLIN 0001-TASK 1.01 INPUTS'!M52+'CPIF CLIN 0001-TASK 1.02 INPUTS'!M50+'CPIF CLIN 0001-TASK 1.03 INPUTS'!M50+'CPIF CLIN 0001 TASK 1.04 INPUTS'!M50+'CPIF CLIN 0001-TASK 1.05 INPUTS'!M50+'CPIF CLIN 0001-TASK 1.06 INPUTS'!M50+'CPIF CLIN 0001-TASK 1.07 INPUTS'!M50+'CPIF CLIN 0001-TASK 1.08 INPUTS'!M50+'CPIF CLIN 0001-TASK 1.09 INPUTS'!M50+'CPIF CLIN 0001-TASK 1.10 INPUTS'!M50+'CPIF CLIN 0001-TASK 1.11 INPUTS'!M50</f>
        <v>0</v>
      </c>
      <c r="N45" s="165"/>
      <c r="O45" s="286"/>
      <c r="P45" s="243"/>
      <c r="Q45" s="168">
        <f>'CPIF CLIN 0001-TASK 1.01 INPUTS'!Q52+'CPIF CLIN 0001-TASK 1.02 INPUTS'!Q50+'CPIF CLIN 0001-TASK 1.03 INPUTS'!Q50+'CPIF CLIN 0001 TASK 1.04 INPUTS'!Q50+'CPIF CLIN 0001-TASK 1.05 INPUTS'!Q50+'CPIF CLIN 0001-TASK 1.06 INPUTS'!Q50+'CPIF CLIN 0001-TASK 1.07 INPUTS'!Q50+'CPIF CLIN 0001-TASK 1.08 INPUTS'!Q50+'CPIF CLIN 0001-TASK 1.09 INPUTS'!Q50+'CPIF CLIN 0001-TASK 1.10 INPUTS'!Q50+'CPIF CLIN 0001-TASK 1.11 INPUTS'!Q50</f>
        <v>0</v>
      </c>
    </row>
    <row r="46" spans="1:17" x14ac:dyDescent="0.2">
      <c r="B46" s="351" t="str">
        <f>'PRIME CPIF RATES (ALL)'!B46</f>
        <v>Indirect Category: [FCCOM]</v>
      </c>
      <c r="C46" s="215"/>
      <c r="D46" s="352"/>
      <c r="E46" s="168">
        <f>'CPIF CLIN 0001-TASK 1.01 INPUTS'!E53+'CPIF CLIN 0001-TASK 1.02 INPUTS'!E51+'CPIF CLIN 0001-TASK 1.03 INPUTS'!E51+'CPIF CLIN 0001 TASK 1.04 INPUTS'!E51+'CPIF CLIN 0001-TASK 1.05 INPUTS'!E51+'CPIF CLIN 0001-TASK 1.06 INPUTS'!E51+'CPIF CLIN 0001-TASK 1.07 INPUTS'!E51+'CPIF CLIN 0001-TASK 1.08 INPUTS'!E51+'CPIF CLIN 0001-TASK 1.09 INPUTS'!E51+'CPIF CLIN 0001-TASK 1.10 INPUTS'!E51+'CPIF CLIN 0001-TASK 1.11 INPUTS'!E51</f>
        <v>0</v>
      </c>
      <c r="F46" s="288"/>
      <c r="G46" s="215"/>
      <c r="H46" s="352"/>
      <c r="I46" s="168">
        <f>'CPIF CLIN 0001-TASK 1.01 INPUTS'!I53+'CPIF CLIN 0001-TASK 1.02 INPUTS'!I51+'CPIF CLIN 0001-TASK 1.03 INPUTS'!I51+'CPIF CLIN 0001 TASK 1.04 INPUTS'!I51+'CPIF CLIN 0001-TASK 1.05 INPUTS'!I51+'CPIF CLIN 0001-TASK 1.06 INPUTS'!I51+'CPIF CLIN 0001-TASK 1.07 INPUTS'!I51+'CPIF CLIN 0001-TASK 1.08 INPUTS'!I51+'CPIF CLIN 0001-TASK 1.09 INPUTS'!I51+'CPIF CLIN 0001-TASK 1.10 INPUTS'!I51+'CPIF CLIN 0001-TASK 1.11 INPUTS'!I51</f>
        <v>0</v>
      </c>
      <c r="J46" s="288"/>
      <c r="K46" s="215"/>
      <c r="L46" s="352"/>
      <c r="M46" s="168">
        <f>'CPIF CLIN 0001-TASK 1.01 INPUTS'!M53+'CPIF CLIN 0001-TASK 1.02 INPUTS'!M51+'CPIF CLIN 0001-TASK 1.03 INPUTS'!M51+'CPIF CLIN 0001 TASK 1.04 INPUTS'!M51+'CPIF CLIN 0001-TASK 1.05 INPUTS'!M51+'CPIF CLIN 0001-TASK 1.06 INPUTS'!M51+'CPIF CLIN 0001-TASK 1.07 INPUTS'!M51+'CPIF CLIN 0001-TASK 1.08 INPUTS'!M51+'CPIF CLIN 0001-TASK 1.09 INPUTS'!M51+'CPIF CLIN 0001-TASK 1.10 INPUTS'!M51+'CPIF CLIN 0001-TASK 1.11 INPUTS'!M51</f>
        <v>0</v>
      </c>
      <c r="N46" s="165"/>
      <c r="O46" s="215"/>
      <c r="P46" s="352"/>
      <c r="Q46" s="168">
        <f>'CPIF CLIN 0001-TASK 1.01 INPUTS'!Q53+'CPIF CLIN 0001-TASK 1.02 INPUTS'!Q51+'CPIF CLIN 0001-TASK 1.03 INPUTS'!Q51+'CPIF CLIN 0001 TASK 1.04 INPUTS'!Q51+'CPIF CLIN 0001-TASK 1.05 INPUTS'!Q51+'CPIF CLIN 0001-TASK 1.06 INPUTS'!Q51+'CPIF CLIN 0001-TASK 1.07 INPUTS'!Q51+'CPIF CLIN 0001-TASK 1.08 INPUTS'!Q51+'CPIF CLIN 0001-TASK 1.09 INPUTS'!Q51+'CPIF CLIN 0001-TASK 1.10 INPUTS'!Q51+'CPIF CLIN 0001-TASK 1.11 INPUTS'!Q51</f>
        <v>0</v>
      </c>
    </row>
    <row r="47" spans="1:17" x14ac:dyDescent="0.2">
      <c r="B47" s="167" t="str">
        <f>'PRIME CPIF RATES (ALL)'!B47</f>
        <v>Indirect Category: [Target Fee]</v>
      </c>
      <c r="C47" s="214"/>
      <c r="D47" s="354"/>
      <c r="E47" s="168">
        <f>'CPIF CLIN 0001-TASK 1.01 INPUTS'!E54+'CPIF CLIN 0001-TASK 1.02 INPUTS'!E52+'CPIF CLIN 0001-TASK 1.03 INPUTS'!E52+'CPIF CLIN 0001 TASK 1.04 INPUTS'!E52+'CPIF CLIN 0001-TASK 1.05 INPUTS'!E52+'CPIF CLIN 0001-TASK 1.06 INPUTS'!E52+'CPIF CLIN 0001-TASK 1.07 INPUTS'!E52+'CPIF CLIN 0001-TASK 1.08 INPUTS'!E52+'CPIF CLIN 0001-TASK 1.09 INPUTS'!E52+'CPIF CLIN 0001-TASK 1.10 INPUTS'!E52+'CPIF CLIN 0001-TASK 1.11 INPUTS'!E52</f>
        <v>0</v>
      </c>
      <c r="F47" s="288"/>
      <c r="G47" s="214"/>
      <c r="H47" s="354"/>
      <c r="I47" s="168">
        <f>'CPIF CLIN 0001-TASK 1.01 INPUTS'!I54+'CPIF CLIN 0001-TASK 1.02 INPUTS'!I52+'CPIF CLIN 0001-TASK 1.03 INPUTS'!I52+'CPIF CLIN 0001 TASK 1.04 INPUTS'!I52+'CPIF CLIN 0001-TASK 1.05 INPUTS'!I52+'CPIF CLIN 0001-TASK 1.06 INPUTS'!I52+'CPIF CLIN 0001-TASK 1.07 INPUTS'!I52+'CPIF CLIN 0001-TASK 1.08 INPUTS'!I52+'CPIF CLIN 0001-TASK 1.09 INPUTS'!I52+'CPIF CLIN 0001-TASK 1.10 INPUTS'!I52+'CPIF CLIN 0001-TASK 1.11 INPUTS'!I52</f>
        <v>0</v>
      </c>
      <c r="J47" s="288"/>
      <c r="K47" s="214"/>
      <c r="L47" s="354"/>
      <c r="M47" s="168">
        <f>'CPIF CLIN 0001-TASK 1.01 INPUTS'!M54+'CPIF CLIN 0001-TASK 1.02 INPUTS'!M52+'CPIF CLIN 0001-TASK 1.03 INPUTS'!M52+'CPIF CLIN 0001 TASK 1.04 INPUTS'!M52+'CPIF CLIN 0001-TASK 1.05 INPUTS'!M52+'CPIF CLIN 0001-TASK 1.06 INPUTS'!M52+'CPIF CLIN 0001-TASK 1.07 INPUTS'!M52+'CPIF CLIN 0001-TASK 1.08 INPUTS'!M52+'CPIF CLIN 0001-TASK 1.09 INPUTS'!M52+'CPIF CLIN 0001-TASK 1.10 INPUTS'!M52+'CPIF CLIN 0001-TASK 1.11 INPUTS'!M52</f>
        <v>0</v>
      </c>
      <c r="N47" s="165"/>
      <c r="O47" s="214"/>
      <c r="P47" s="354"/>
      <c r="Q47" s="168">
        <f>'CPIF CLIN 0001-TASK 1.01 INPUTS'!Q54+'CPIF CLIN 0001-TASK 1.02 INPUTS'!Q52+'CPIF CLIN 0001-TASK 1.03 INPUTS'!Q52+'CPIF CLIN 0001 TASK 1.04 INPUTS'!Q52+'CPIF CLIN 0001-TASK 1.05 INPUTS'!Q52+'CPIF CLIN 0001-TASK 1.06 INPUTS'!Q52+'CPIF CLIN 0001-TASK 1.07 INPUTS'!Q52+'CPIF CLIN 0001-TASK 1.08 INPUTS'!Q52+'CPIF CLIN 0001-TASK 1.09 INPUTS'!Q52+'CPIF CLIN 0001-TASK 1.10 INPUTS'!Q52+'CPIF CLIN 0001-TASK 1.11 INPUTS'!Q52</f>
        <v>0</v>
      </c>
    </row>
    <row r="48" spans="1:17" x14ac:dyDescent="0.2">
      <c r="B48" s="241" t="s">
        <v>320</v>
      </c>
      <c r="C48" s="233"/>
      <c r="D48" s="234"/>
      <c r="E48" s="168">
        <f>ROUND(E42+E44+E45,2)</f>
        <v>0</v>
      </c>
      <c r="F48" s="288"/>
      <c r="G48" s="233"/>
      <c r="H48" s="234"/>
      <c r="I48" s="168">
        <f>ROUND(I42+I44+I45,2)</f>
        <v>0</v>
      </c>
      <c r="J48" s="288"/>
      <c r="K48" s="233"/>
      <c r="L48" s="234"/>
      <c r="M48" s="168">
        <f>ROUND(M42+M44+M45,2)</f>
        <v>0</v>
      </c>
      <c r="N48" s="165"/>
      <c r="O48" s="233"/>
      <c r="P48" s="234"/>
      <c r="Q48" s="168">
        <f>ROUND(Q42+Q44+Q45,2)</f>
        <v>0</v>
      </c>
    </row>
    <row r="49" spans="1:17" x14ac:dyDescent="0.2">
      <c r="B49" s="241" t="s">
        <v>298</v>
      </c>
      <c r="C49" s="231"/>
      <c r="D49" s="235"/>
      <c r="E49" s="168">
        <f>ROUND(E46,2)</f>
        <v>0</v>
      </c>
      <c r="F49" s="288"/>
      <c r="G49" s="231"/>
      <c r="H49" s="235"/>
      <c r="I49" s="168">
        <f>ROUND(I46,2)</f>
        <v>0</v>
      </c>
      <c r="J49" s="288"/>
      <c r="K49" s="231"/>
      <c r="L49" s="235"/>
      <c r="M49" s="168">
        <f>ROUND(M46,2)</f>
        <v>0</v>
      </c>
      <c r="N49" s="165"/>
      <c r="O49" s="231"/>
      <c r="P49" s="235"/>
      <c r="Q49" s="168">
        <f>ROUND(Q46,2)</f>
        <v>0</v>
      </c>
    </row>
    <row r="50" spans="1:17" x14ac:dyDescent="0.2">
      <c r="B50" s="241" t="s">
        <v>136</v>
      </c>
      <c r="C50" s="231"/>
      <c r="D50" s="235"/>
      <c r="E50" s="182">
        <f>ROUND(E47,2)</f>
        <v>0</v>
      </c>
      <c r="F50" s="183"/>
      <c r="G50" s="231"/>
      <c r="H50" s="235"/>
      <c r="I50" s="182">
        <f>ROUND(I47,2)</f>
        <v>0</v>
      </c>
      <c r="J50" s="183"/>
      <c r="K50" s="231"/>
      <c r="L50" s="235"/>
      <c r="M50" s="182">
        <f>ROUND(M47,2)</f>
        <v>0</v>
      </c>
      <c r="N50" s="183"/>
      <c r="O50" s="231"/>
      <c r="P50" s="235"/>
      <c r="Q50" s="182">
        <f>ROUND(Q47,2)</f>
        <v>0</v>
      </c>
    </row>
    <row r="51" spans="1:17" ht="16.5" thickBot="1" x14ac:dyDescent="0.25">
      <c r="B51" s="242" t="s">
        <v>321</v>
      </c>
      <c r="C51" s="236"/>
      <c r="D51" s="237"/>
      <c r="E51" s="160">
        <f>ROUND(SUM(E48:E50),2)</f>
        <v>0</v>
      </c>
      <c r="F51" s="161"/>
      <c r="G51" s="236"/>
      <c r="H51" s="237"/>
      <c r="I51" s="160">
        <f>ROUND(SUM(I48:I50),2)</f>
        <v>0</v>
      </c>
      <c r="J51" s="161"/>
      <c r="K51" s="236"/>
      <c r="L51" s="237"/>
      <c r="M51" s="160">
        <f>ROUND(SUM(M48:M50),2)</f>
        <v>0</v>
      </c>
      <c r="N51" s="161"/>
      <c r="O51" s="236"/>
      <c r="P51" s="237"/>
      <c r="Q51" s="160">
        <f>ROUND(SUM(Q48:Q50),2)</f>
        <v>0</v>
      </c>
    </row>
    <row r="52" spans="1:17" s="259" customFormat="1" ht="16.5" thickBot="1" x14ac:dyDescent="0.25">
      <c r="A52" s="260"/>
      <c r="B52" s="348"/>
      <c r="E52" s="349"/>
      <c r="F52" s="349"/>
      <c r="G52" s="349"/>
      <c r="H52" s="349"/>
      <c r="I52" s="349"/>
      <c r="J52" s="349"/>
      <c r="K52" s="349"/>
      <c r="N52" s="350"/>
      <c r="O52" s="349"/>
    </row>
    <row r="53" spans="1:17" ht="16.5" customHeight="1" thickBot="1" x14ac:dyDescent="0.3">
      <c r="A53" s="193"/>
      <c r="B53" s="620" t="str">
        <f>B26</f>
        <v>CLIN 0001 (CPIF)                                                 TOTAL</v>
      </c>
      <c r="C53" s="594" t="s">
        <v>146</v>
      </c>
      <c r="D53" s="595"/>
      <c r="E53" s="596"/>
      <c r="F53" s="175"/>
      <c r="G53" s="594" t="s">
        <v>147</v>
      </c>
      <c r="H53" s="595"/>
      <c r="I53" s="596"/>
      <c r="J53" s="175"/>
      <c r="K53" s="594" t="s">
        <v>147</v>
      </c>
      <c r="L53" s="595"/>
      <c r="M53" s="596"/>
      <c r="N53" s="175"/>
      <c r="O53" s="594" t="s">
        <v>147</v>
      </c>
      <c r="P53" s="595"/>
      <c r="Q53" s="596"/>
    </row>
    <row r="54" spans="1:17" ht="33.75" customHeight="1" thickBot="1" x14ac:dyDescent="0.3">
      <c r="A54" s="193"/>
      <c r="B54" s="621"/>
      <c r="C54" s="617" t="str">
        <f>C27</f>
        <v>CLIN 0001 - Basic Period (Year 1)</v>
      </c>
      <c r="D54" s="618"/>
      <c r="E54" s="619"/>
      <c r="F54" s="176"/>
      <c r="G54" s="617" t="str">
        <f>G27</f>
        <v>CLIN 0001 - Basic Period (Year 2)</v>
      </c>
      <c r="H54" s="618"/>
      <c r="I54" s="619"/>
      <c r="J54" s="176"/>
      <c r="K54" s="617" t="str">
        <f>K27</f>
        <v>CLIN 0001 - Basic Period (Year 3)</v>
      </c>
      <c r="L54" s="618"/>
      <c r="M54" s="619"/>
      <c r="N54" s="176"/>
      <c r="O54" s="617" t="str">
        <f>O27</f>
        <v>CLIN 0001 - Basic Period (Year 4)</v>
      </c>
      <c r="P54" s="618"/>
      <c r="Q54" s="619"/>
    </row>
    <row r="55" spans="1:17" x14ac:dyDescent="0.25">
      <c r="A55" s="193"/>
      <c r="B55" s="248"/>
      <c r="C55" s="153" t="s">
        <v>399</v>
      </c>
      <c r="D55" s="154" t="s">
        <v>396</v>
      </c>
      <c r="E55" s="155" t="s">
        <v>153</v>
      </c>
      <c r="F55" s="166"/>
      <c r="G55" s="153" t="s">
        <v>399</v>
      </c>
      <c r="H55" s="154" t="s">
        <v>396</v>
      </c>
      <c r="I55" s="155" t="s">
        <v>123</v>
      </c>
      <c r="J55" s="166"/>
      <c r="K55" s="153" t="s">
        <v>399</v>
      </c>
      <c r="L55" s="154" t="s">
        <v>396</v>
      </c>
      <c r="M55" s="155" t="s">
        <v>123</v>
      </c>
      <c r="N55" s="166"/>
      <c r="O55" s="153" t="s">
        <v>399</v>
      </c>
      <c r="P55" s="154" t="s">
        <v>396</v>
      </c>
      <c r="Q55" s="155" t="s">
        <v>123</v>
      </c>
    </row>
    <row r="56" spans="1:17" x14ac:dyDescent="0.25">
      <c r="A56" s="193"/>
      <c r="B56" s="300" t="s">
        <v>5</v>
      </c>
      <c r="C56" s="231"/>
      <c r="D56" s="232"/>
      <c r="E56" s="214">
        <f>'CPIF CLIN 0001-TASK 1.01 INPUTS'!E63+'CPIF CLIN 0001-TASK 1.02 INPUTS'!E61+'CPIF CLIN 0001-TASK 1.03 INPUTS'!E61+'CPIF CLIN 0001 TASK 1.04 INPUTS'!E61+'CPIF CLIN 0001-TASK 1.05 INPUTS'!E61+'CPIF CLIN 0001-TASK 1.06 INPUTS'!E61+'CPIF CLIN 0001-TASK 1.07 INPUTS'!E61+'CPIF CLIN 0001-TASK 1.08 INPUTS'!E61+'CPIF CLIN 0001-TASK 1.09 INPUTS'!E61+'CPIF CLIN 0001-TASK 1.10 INPUTS'!E61+'CPIF CLIN 0001-TASK 1.11 INPUTS'!E61</f>
        <v>0</v>
      </c>
      <c r="F56" s="165"/>
      <c r="G56" s="231"/>
      <c r="H56" s="232"/>
      <c r="I56" s="214">
        <f>'CPIF CLIN 0001-TASK 1.01 INPUTS'!I63+'CPIF CLIN 0001-TASK 1.02 INPUTS'!I61+'CPIF CLIN 0001-TASK 1.03 INPUTS'!I61+'CPIF CLIN 0001 TASK 1.04 INPUTS'!I61+'CPIF CLIN 0001-TASK 1.05 INPUTS'!I61+'CPIF CLIN 0001-TASK 1.06 INPUTS'!I61+'CPIF CLIN 0001-TASK 1.07 INPUTS'!I61+'CPIF CLIN 0001-TASK 1.08 INPUTS'!I61+'CPIF CLIN 0001-TASK 1.09 INPUTS'!I61+'CPIF CLIN 0001-TASK 1.10 INPUTS'!I61+'CPIF CLIN 0001-TASK 1.11 INPUTS'!I61</f>
        <v>0</v>
      </c>
      <c r="J56" s="165"/>
      <c r="K56" s="231"/>
      <c r="L56" s="232"/>
      <c r="M56" s="214">
        <f>'CPIF CLIN 0001-TASK 1.01 INPUTS'!M63+'CPIF CLIN 0001-TASK 1.02 INPUTS'!M61+'CPIF CLIN 0001-TASK 1.03 INPUTS'!M61+'CPIF CLIN 0001 TASK 1.04 INPUTS'!M61+'CPIF CLIN 0001-TASK 1.05 INPUTS'!M61+'CPIF CLIN 0001-TASK 1.06 INPUTS'!M61+'CPIF CLIN 0001-TASK 1.07 INPUTS'!M61+'CPIF CLIN 0001-TASK 1.08 INPUTS'!M61+'CPIF CLIN 0001-TASK 1.09 INPUTS'!M61+'CPIF CLIN 0001-TASK 1.10 INPUTS'!M61+'CPIF CLIN 0001-TASK 1.11 INPUTS'!M61</f>
        <v>0</v>
      </c>
      <c r="N56" s="165"/>
      <c r="O56" s="231"/>
      <c r="P56" s="232"/>
      <c r="Q56" s="214">
        <f>'CPIF CLIN 0001-TASK 1.01 INPUTS'!Q63+'CPIF CLIN 0001-TASK 1.02 INPUTS'!Q61+'CPIF CLIN 0001-TASK 1.03 INPUTS'!Q61+'CPIF CLIN 0001 TASK 1.04 INPUTS'!Q61+'CPIF CLIN 0001-TASK 1.05 INPUTS'!Q61+'CPIF CLIN 0001-TASK 1.06 INPUTS'!Q61+'CPIF CLIN 0001-TASK 1.07 INPUTS'!Q61+'CPIF CLIN 0001-TASK 1.08 INPUTS'!Q61+'CPIF CLIN 0001-TASK 1.09 INPUTS'!Q61+'CPIF CLIN 0001-TASK 1.10 INPUTS'!Q61+'CPIF CLIN 0001-TASK 1.11 INPUTS'!Q61</f>
        <v>0</v>
      </c>
    </row>
    <row r="57" spans="1:17" x14ac:dyDescent="0.25">
      <c r="A57" s="193"/>
      <c r="B57" s="167" t="s">
        <v>125</v>
      </c>
      <c r="C57" s="215"/>
      <c r="D57" s="243"/>
      <c r="E57" s="168">
        <f>'CPIF CLIN 0001-TASK 1.01 INPUTS'!E65+'CPIF CLIN 0001-TASK 1.02 INPUTS'!E63+'CPIF CLIN 0001-TASK 1.03 INPUTS'!E63+'CPIF CLIN 0001 TASK 1.04 INPUTS'!E63+'CPIF CLIN 0001-TASK 1.05 INPUTS'!E63+'CPIF CLIN 0001-TASK 1.06 INPUTS'!E63+'CPIF CLIN 0001-TASK 1.07 INPUTS'!E63+'CPIF CLIN 0001-TASK 1.08 INPUTS'!E63+'CPIF CLIN 0001-TASK 1.09 INPUTS'!E63+'CPIF CLIN 0001-TASK 1.10 INPUTS'!E63+'CPIF CLIN 0001-TASK 1.11 INPUTS'!E63</f>
        <v>0</v>
      </c>
      <c r="F57" s="178"/>
      <c r="G57" s="215"/>
      <c r="H57" s="243"/>
      <c r="I57" s="168">
        <f>'CPIF CLIN 0001-TASK 1.01 INPUTS'!I65+'CPIF CLIN 0001-TASK 1.02 INPUTS'!I63+'CPIF CLIN 0001-TASK 1.03 INPUTS'!I63+'CPIF CLIN 0001 TASK 1.04 INPUTS'!I63+'CPIF CLIN 0001-TASK 1.05 INPUTS'!I63+'CPIF CLIN 0001-TASK 1.06 INPUTS'!I63+'CPIF CLIN 0001-TASK 1.07 INPUTS'!I63+'CPIF CLIN 0001-TASK 1.08 INPUTS'!I63+'CPIF CLIN 0001-TASK 1.09 INPUTS'!I63+'CPIF CLIN 0001-TASK 1.10 INPUTS'!I63+'CPIF CLIN 0001-TASK 1.11 INPUTS'!I63</f>
        <v>0</v>
      </c>
      <c r="J57" s="178"/>
      <c r="K57" s="215"/>
      <c r="L57" s="243"/>
      <c r="M57" s="168">
        <f>'CPIF CLIN 0001-TASK 1.01 INPUTS'!M65+'CPIF CLIN 0001-TASK 1.02 INPUTS'!M63+'CPIF CLIN 0001-TASK 1.03 INPUTS'!M63+'CPIF CLIN 0001 TASK 1.04 INPUTS'!M63+'CPIF CLIN 0001-TASK 1.05 INPUTS'!M63+'CPIF CLIN 0001-TASK 1.06 INPUTS'!M63+'CPIF CLIN 0001-TASK 1.07 INPUTS'!M63+'CPIF CLIN 0001-TASK 1.08 INPUTS'!M63+'CPIF CLIN 0001-TASK 1.09 INPUTS'!M63+'CPIF CLIN 0001-TASK 1.10 INPUTS'!M63+'CPIF CLIN 0001-TASK 1.11 INPUTS'!M63</f>
        <v>0</v>
      </c>
      <c r="N57" s="178"/>
      <c r="O57" s="215"/>
      <c r="P57" s="243"/>
      <c r="Q57" s="168">
        <f>'CPIF CLIN 0001-TASK 1.01 INPUTS'!Q65+'CPIF CLIN 0001-TASK 1.02 INPUTS'!Q63+'CPIF CLIN 0001-TASK 1.03 INPUTS'!Q63+'CPIF CLIN 0001 TASK 1.04 INPUTS'!Q63+'CPIF CLIN 0001-TASK 1.05 INPUTS'!Q63+'CPIF CLIN 0001-TASK 1.06 INPUTS'!Q63+'CPIF CLIN 0001-TASK 1.07 INPUTS'!Q63+'CPIF CLIN 0001-TASK 1.08 INPUTS'!Q63+'CPIF CLIN 0001-TASK 1.09 INPUTS'!Q63+'CPIF CLIN 0001-TASK 1.10 INPUTS'!Q63+'CPIF CLIN 0001-TASK 1.11 INPUTS'!Q63</f>
        <v>0</v>
      </c>
    </row>
    <row r="58" spans="1:17" x14ac:dyDescent="0.25">
      <c r="A58" s="193"/>
      <c r="B58" s="167" t="s">
        <v>126</v>
      </c>
      <c r="C58" s="215"/>
      <c r="D58" s="243"/>
      <c r="E58" s="168">
        <f>'CPIF CLIN 0001-TASK 1.01 INPUTS'!E66+'CPIF CLIN 0001-TASK 1.02 INPUTS'!E64+'CPIF CLIN 0001-TASK 1.03 INPUTS'!E64+'CPIF CLIN 0001 TASK 1.04 INPUTS'!E64+'CPIF CLIN 0001-TASK 1.05 INPUTS'!E64+'CPIF CLIN 0001-TASK 1.06 INPUTS'!E64+'CPIF CLIN 0001-TASK 1.07 INPUTS'!E64+'CPIF CLIN 0001-TASK 1.08 INPUTS'!E64+'CPIF CLIN 0001-TASK 1.09 INPUTS'!E64+'CPIF CLIN 0001-TASK 1.10 INPUTS'!E64+'CPIF CLIN 0001-TASK 1.11 INPUTS'!E64</f>
        <v>0</v>
      </c>
      <c r="F58" s="178"/>
      <c r="G58" s="215"/>
      <c r="H58" s="243"/>
      <c r="I58" s="168">
        <f>'CPIF CLIN 0001-TASK 1.01 INPUTS'!I66+'CPIF CLIN 0001-TASK 1.02 INPUTS'!I64+'CPIF CLIN 0001-TASK 1.03 INPUTS'!I64+'CPIF CLIN 0001 TASK 1.04 INPUTS'!I64+'CPIF CLIN 0001-TASK 1.05 INPUTS'!I64+'CPIF CLIN 0001-TASK 1.06 INPUTS'!I64+'CPIF CLIN 0001-TASK 1.07 INPUTS'!I64+'CPIF CLIN 0001-TASK 1.08 INPUTS'!I64+'CPIF CLIN 0001-TASK 1.09 INPUTS'!I64+'CPIF CLIN 0001-TASK 1.10 INPUTS'!I64+'CPIF CLIN 0001-TASK 1.11 INPUTS'!I64</f>
        <v>0</v>
      </c>
      <c r="J58" s="178"/>
      <c r="K58" s="215"/>
      <c r="L58" s="243"/>
      <c r="M58" s="168">
        <f>'CPIF CLIN 0001-TASK 1.01 INPUTS'!M66+'CPIF CLIN 0001-TASK 1.02 INPUTS'!M64+'CPIF CLIN 0001-TASK 1.03 INPUTS'!M64+'CPIF CLIN 0001 TASK 1.04 INPUTS'!M64+'CPIF CLIN 0001-TASK 1.05 INPUTS'!M64+'CPIF CLIN 0001-TASK 1.06 INPUTS'!M64+'CPIF CLIN 0001-TASK 1.07 INPUTS'!M64+'CPIF CLIN 0001-TASK 1.08 INPUTS'!M64+'CPIF CLIN 0001-TASK 1.09 INPUTS'!M64+'CPIF CLIN 0001-TASK 1.10 INPUTS'!M64+'CPIF CLIN 0001-TASK 1.11 INPUTS'!M64</f>
        <v>0</v>
      </c>
      <c r="N58" s="178"/>
      <c r="O58" s="215"/>
      <c r="P58" s="243"/>
      <c r="Q58" s="168">
        <f>'CPIF CLIN 0001-TASK 1.01 INPUTS'!Q66+'CPIF CLIN 0001-TASK 1.02 INPUTS'!Q64+'CPIF CLIN 0001-TASK 1.03 INPUTS'!Q64+'CPIF CLIN 0001 TASK 1.04 INPUTS'!Q64+'CPIF CLIN 0001-TASK 1.05 INPUTS'!Q64+'CPIF CLIN 0001-TASK 1.06 INPUTS'!Q64+'CPIF CLIN 0001-TASK 1.07 INPUTS'!Q64+'CPIF CLIN 0001-TASK 1.08 INPUTS'!Q64+'CPIF CLIN 0001-TASK 1.09 INPUTS'!Q64+'CPIF CLIN 0001-TASK 1.10 INPUTS'!Q64+'CPIF CLIN 0001-TASK 1.11 INPUTS'!Q64</f>
        <v>0</v>
      </c>
    </row>
    <row r="59" spans="1:17" x14ac:dyDescent="0.25">
      <c r="A59" s="193"/>
      <c r="B59" s="167" t="s">
        <v>566</v>
      </c>
      <c r="C59" s="215"/>
      <c r="D59" s="352"/>
      <c r="E59" s="168">
        <f>'CPIF CLIN 0001-TASK 1.01 INPUTS'!E67+'CPIF CLIN 0001-TASK 1.02 INPUTS'!E65+'CPIF CLIN 0001-TASK 1.03 INPUTS'!E65+'CPIF CLIN 0001 TASK 1.04 INPUTS'!E65+'CPIF CLIN 0001-TASK 1.05 INPUTS'!E65+'CPIF CLIN 0001-TASK 1.06 INPUTS'!E65+'CPIF CLIN 0001-TASK 1.07 INPUTS'!E65+'CPIF CLIN 0001-TASK 1.08 INPUTS'!E65+'CPIF CLIN 0001-TASK 1.09 INPUTS'!E65+'CPIF CLIN 0001-TASK 1.10 INPUTS'!E65+'CPIF CLIN 0001-TASK 1.11 INPUTS'!E65</f>
        <v>0</v>
      </c>
      <c r="F59" s="165"/>
      <c r="G59" s="215"/>
      <c r="H59" s="352"/>
      <c r="I59" s="168">
        <f>'CPIF CLIN 0001-TASK 1.01 INPUTS'!I67+'CPIF CLIN 0001-TASK 1.02 INPUTS'!I65+'CPIF CLIN 0001-TASK 1.03 INPUTS'!I65+'CPIF CLIN 0001 TASK 1.04 INPUTS'!I65+'CPIF CLIN 0001-TASK 1.05 INPUTS'!I65+'CPIF CLIN 0001-TASK 1.06 INPUTS'!I65+'CPIF CLIN 0001-TASK 1.07 INPUTS'!I65+'CPIF CLIN 0001-TASK 1.08 INPUTS'!I65+'CPIF CLIN 0001-TASK 1.09 INPUTS'!I65+'CPIF CLIN 0001-TASK 1.10 INPUTS'!I65+'CPIF CLIN 0001-TASK 1.11 INPUTS'!I65</f>
        <v>0</v>
      </c>
      <c r="J59" s="165"/>
      <c r="K59" s="215"/>
      <c r="L59" s="352"/>
      <c r="M59" s="168">
        <f>'CPIF CLIN 0001-TASK 1.01 INPUTS'!M67+'CPIF CLIN 0001-TASK 1.02 INPUTS'!M65+'CPIF CLIN 0001-TASK 1.03 INPUTS'!M65+'CPIF CLIN 0001 TASK 1.04 INPUTS'!M65+'CPIF CLIN 0001-TASK 1.05 INPUTS'!M65+'CPIF CLIN 0001-TASK 1.06 INPUTS'!M65+'CPIF CLIN 0001-TASK 1.07 INPUTS'!M65+'CPIF CLIN 0001-TASK 1.08 INPUTS'!M65+'CPIF CLIN 0001-TASK 1.09 INPUTS'!M65+'CPIF CLIN 0001-TASK 1.10 INPUTS'!M65+'CPIF CLIN 0001-TASK 1.11 INPUTS'!M65</f>
        <v>0</v>
      </c>
      <c r="N59" s="165"/>
      <c r="O59" s="215"/>
      <c r="P59" s="352"/>
      <c r="Q59" s="168">
        <f>'CPIF CLIN 0001-TASK 1.01 INPUTS'!Q67+'CPIF CLIN 0001-TASK 1.02 INPUTS'!Q65+'CPIF CLIN 0001-TASK 1.03 INPUTS'!Q65+'CPIF CLIN 0001 TASK 1.04 INPUTS'!Q65+'CPIF CLIN 0001-TASK 1.05 INPUTS'!Q65+'CPIF CLIN 0001-TASK 1.06 INPUTS'!Q65+'CPIF CLIN 0001-TASK 1.07 INPUTS'!Q65+'CPIF CLIN 0001-TASK 1.08 INPUTS'!Q65+'CPIF CLIN 0001-TASK 1.09 INPUTS'!Q65+'CPIF CLIN 0001-TASK 1.10 INPUTS'!Q65+'CPIF CLIN 0001-TASK 1.11 INPUTS'!Q65</f>
        <v>0</v>
      </c>
    </row>
    <row r="60" spans="1:17" x14ac:dyDescent="0.25">
      <c r="A60" s="193"/>
      <c r="B60" s="167" t="s">
        <v>127</v>
      </c>
      <c r="C60" s="215"/>
      <c r="D60" s="354"/>
      <c r="E60" s="168">
        <f>'CPIF CLIN 0001-TASK 1.01 INPUTS'!E68+'CPIF CLIN 0001-TASK 1.02 INPUTS'!E66+'CPIF CLIN 0001-TASK 1.03 INPUTS'!E66+'CPIF CLIN 0001 TASK 1.04 INPUTS'!E66+'CPIF CLIN 0001-TASK 1.05 INPUTS'!E66+'CPIF CLIN 0001-TASK 1.06 INPUTS'!E66+'CPIF CLIN 0001-TASK 1.07 INPUTS'!E66+'CPIF CLIN 0001-TASK 1.08 INPUTS'!E66+'CPIF CLIN 0001-TASK 1.09 INPUTS'!E66+'CPIF CLIN 0001-TASK 1.10 INPUTS'!E66+'CPIF CLIN 0001-TASK 1.11 INPUTS'!E66</f>
        <v>0</v>
      </c>
      <c r="F60" s="165"/>
      <c r="G60" s="215"/>
      <c r="H60" s="354"/>
      <c r="I60" s="168">
        <f>'CPIF CLIN 0001-TASK 1.01 INPUTS'!I68+'CPIF CLIN 0001-TASK 1.02 INPUTS'!I66+'CPIF CLIN 0001-TASK 1.03 INPUTS'!I66+'CPIF CLIN 0001 TASK 1.04 INPUTS'!I66+'CPIF CLIN 0001-TASK 1.05 INPUTS'!I66+'CPIF CLIN 0001-TASK 1.06 INPUTS'!I66+'CPIF CLIN 0001-TASK 1.07 INPUTS'!I66+'CPIF CLIN 0001-TASK 1.08 INPUTS'!I66+'CPIF CLIN 0001-TASK 1.09 INPUTS'!I66+'CPIF CLIN 0001-TASK 1.10 INPUTS'!I66+'CPIF CLIN 0001-TASK 1.11 INPUTS'!I66</f>
        <v>0</v>
      </c>
      <c r="J60" s="165"/>
      <c r="K60" s="215"/>
      <c r="L60" s="354"/>
      <c r="M60" s="168">
        <f>'CPIF CLIN 0001-TASK 1.01 INPUTS'!M68+'CPIF CLIN 0001-TASK 1.02 INPUTS'!M66+'CPIF CLIN 0001-TASK 1.03 INPUTS'!M66+'CPIF CLIN 0001 TASK 1.04 INPUTS'!M66+'CPIF CLIN 0001-TASK 1.05 INPUTS'!M66+'CPIF CLIN 0001-TASK 1.06 INPUTS'!M66+'CPIF CLIN 0001-TASK 1.07 INPUTS'!M66+'CPIF CLIN 0001-TASK 1.08 INPUTS'!M66+'CPIF CLIN 0001-TASK 1.09 INPUTS'!M66+'CPIF CLIN 0001-TASK 1.10 INPUTS'!M66+'CPIF CLIN 0001-TASK 1.11 INPUTS'!M66</f>
        <v>0</v>
      </c>
      <c r="N60" s="165"/>
      <c r="O60" s="215"/>
      <c r="P60" s="354"/>
      <c r="Q60" s="168">
        <f>'CPIF CLIN 0001-TASK 1.01 INPUTS'!Q68+'CPIF CLIN 0001-TASK 1.02 INPUTS'!Q66+'CPIF CLIN 0001-TASK 1.03 INPUTS'!Q66+'CPIF CLIN 0001 TASK 1.04 INPUTS'!Q66+'CPIF CLIN 0001-TASK 1.05 INPUTS'!Q66+'CPIF CLIN 0001-TASK 1.06 INPUTS'!Q66+'CPIF CLIN 0001-TASK 1.07 INPUTS'!Q66+'CPIF CLIN 0001-TASK 1.08 INPUTS'!Q66+'CPIF CLIN 0001-TASK 1.09 INPUTS'!Q66+'CPIF CLIN 0001-TASK 1.10 INPUTS'!Q66+'CPIF CLIN 0001-TASK 1.11 INPUTS'!Q66</f>
        <v>0</v>
      </c>
    </row>
    <row r="61" spans="1:17" x14ac:dyDescent="0.25">
      <c r="A61" s="193"/>
      <c r="B61" s="241" t="s">
        <v>260</v>
      </c>
      <c r="C61" s="233"/>
      <c r="D61" s="234"/>
      <c r="E61" s="168">
        <f>ROUND(SUM(E55:E58),2)</f>
        <v>0</v>
      </c>
      <c r="F61" s="165"/>
      <c r="G61" s="233"/>
      <c r="H61" s="234"/>
      <c r="I61" s="168">
        <f>ROUND(SUM(I55:I58),2)</f>
        <v>0</v>
      </c>
      <c r="J61" s="165"/>
      <c r="K61" s="233"/>
      <c r="L61" s="234"/>
      <c r="M61" s="168">
        <f>ROUND(SUM(M55:M58),2)</f>
        <v>0</v>
      </c>
      <c r="N61" s="165"/>
      <c r="O61" s="233"/>
      <c r="P61" s="234"/>
      <c r="Q61" s="168">
        <f>ROUND(SUM(Q55:Q58),2)</f>
        <v>0</v>
      </c>
    </row>
    <row r="62" spans="1:17" x14ac:dyDescent="0.25">
      <c r="A62" s="193"/>
      <c r="B62" s="241" t="s">
        <v>137</v>
      </c>
      <c r="C62" s="231"/>
      <c r="D62" s="235"/>
      <c r="E62" s="168">
        <f>ROUND(E59,2)</f>
        <v>0</v>
      </c>
      <c r="F62" s="165"/>
      <c r="G62" s="231"/>
      <c r="H62" s="235"/>
      <c r="I62" s="168">
        <f>ROUND(I59,2)</f>
        <v>0</v>
      </c>
      <c r="J62" s="165"/>
      <c r="K62" s="231"/>
      <c r="L62" s="235"/>
      <c r="M62" s="168">
        <f>ROUND(M59,2)</f>
        <v>0</v>
      </c>
      <c r="N62" s="165"/>
      <c r="O62" s="231"/>
      <c r="P62" s="235"/>
      <c r="Q62" s="168">
        <f>ROUND(Q59,2)</f>
        <v>0</v>
      </c>
    </row>
    <row r="63" spans="1:17" x14ac:dyDescent="0.2">
      <c r="A63" s="186"/>
      <c r="B63" s="241" t="s">
        <v>136</v>
      </c>
      <c r="C63" s="231"/>
      <c r="D63" s="235"/>
      <c r="E63" s="182">
        <f>ROUND(E60,2)</f>
        <v>0</v>
      </c>
      <c r="F63" s="183"/>
      <c r="G63" s="231"/>
      <c r="H63" s="235"/>
      <c r="I63" s="182">
        <f>ROUND(I60,2)</f>
        <v>0</v>
      </c>
      <c r="J63" s="183"/>
      <c r="K63" s="231"/>
      <c r="L63" s="235"/>
      <c r="M63" s="182">
        <f>ROUND(M60,2)</f>
        <v>0</v>
      </c>
      <c r="N63" s="183"/>
      <c r="O63" s="231"/>
      <c r="P63" s="235"/>
      <c r="Q63" s="182">
        <f>ROUND(Q60,2)</f>
        <v>0</v>
      </c>
    </row>
    <row r="64" spans="1:17" ht="16.5" thickBot="1" x14ac:dyDescent="0.25">
      <c r="A64" s="186"/>
      <c r="B64" s="242" t="s">
        <v>244</v>
      </c>
      <c r="C64" s="236"/>
      <c r="D64" s="237"/>
      <c r="E64" s="160">
        <f>ROUND(SUM(E61:E63),2)</f>
        <v>0</v>
      </c>
      <c r="F64" s="161"/>
      <c r="G64" s="236"/>
      <c r="H64" s="237"/>
      <c r="I64" s="160">
        <f>ROUND(SUM(I61:I63),2)</f>
        <v>0</v>
      </c>
      <c r="J64" s="161"/>
      <c r="K64" s="236"/>
      <c r="L64" s="237"/>
      <c r="M64" s="160">
        <f>ROUND(SUM(M61:M63),2)</f>
        <v>0</v>
      </c>
      <c r="N64" s="161"/>
      <c r="O64" s="236"/>
      <c r="P64" s="237"/>
      <c r="Q64" s="160">
        <f>ROUND(SUM(Q61:Q63),2)</f>
        <v>0</v>
      </c>
    </row>
    <row r="65" spans="1:19" ht="16.5" thickBot="1" x14ac:dyDescent="0.25">
      <c r="A65" s="186"/>
      <c r="B65" s="172"/>
      <c r="E65" s="251"/>
      <c r="F65" s="251"/>
      <c r="G65" s="251"/>
      <c r="H65" s="251"/>
      <c r="I65" s="251"/>
      <c r="J65" s="251"/>
      <c r="K65" s="251"/>
      <c r="L65" s="251"/>
      <c r="N65" s="187"/>
      <c r="O65" s="251"/>
      <c r="P65" s="251"/>
    </row>
    <row r="66" spans="1:19" ht="16.5" thickBot="1" x14ac:dyDescent="0.3">
      <c r="A66" s="186"/>
      <c r="B66" s="628" t="str">
        <f>B53</f>
        <v>CLIN 0001 (CPIF)                                                 TOTAL</v>
      </c>
      <c r="C66" s="614" t="s">
        <v>319</v>
      </c>
      <c r="D66" s="615"/>
      <c r="E66" s="616"/>
      <c r="F66" s="175"/>
      <c r="G66" s="614" t="s">
        <v>319</v>
      </c>
      <c r="H66" s="615"/>
      <c r="I66" s="616"/>
      <c r="J66" s="175"/>
      <c r="K66" s="614" t="s">
        <v>319</v>
      </c>
      <c r="L66" s="615"/>
      <c r="M66" s="616"/>
      <c r="N66" s="175"/>
      <c r="O66" s="614" t="s">
        <v>319</v>
      </c>
      <c r="P66" s="615"/>
      <c r="Q66" s="616"/>
    </row>
    <row r="67" spans="1:19" ht="33.75" customHeight="1" thickBot="1" x14ac:dyDescent="0.3">
      <c r="A67" s="186"/>
      <c r="B67" s="629"/>
      <c r="C67" s="280"/>
      <c r="D67" s="281"/>
      <c r="E67" s="188" t="s">
        <v>294</v>
      </c>
      <c r="F67" s="189"/>
      <c r="G67" s="280"/>
      <c r="H67" s="281"/>
      <c r="I67" s="188" t="s">
        <v>295</v>
      </c>
      <c r="J67" s="189"/>
      <c r="K67" s="280"/>
      <c r="L67" s="281"/>
      <c r="M67" s="188" t="s">
        <v>297</v>
      </c>
      <c r="N67" s="189"/>
      <c r="O67" s="280"/>
      <c r="P67" s="281"/>
      <c r="Q67" s="188" t="s">
        <v>296</v>
      </c>
      <c r="S67" s="480" t="s">
        <v>21</v>
      </c>
    </row>
    <row r="68" spans="1:19" x14ac:dyDescent="0.2">
      <c r="A68" s="186"/>
      <c r="B68" s="167" t="s">
        <v>261</v>
      </c>
      <c r="C68" s="282"/>
      <c r="D68" s="282"/>
      <c r="E68" s="190">
        <f>+ROUND(E21+E34+E48+E61,2)</f>
        <v>0</v>
      </c>
      <c r="F68" s="165"/>
      <c r="G68" s="282"/>
      <c r="H68" s="282"/>
      <c r="I68" s="190">
        <f>+ROUND(I21+I34+I48+I61,2)</f>
        <v>0</v>
      </c>
      <c r="J68" s="165"/>
      <c r="K68" s="282"/>
      <c r="L68" s="282"/>
      <c r="M68" s="190">
        <f>+ROUND(M21+M34+M48+M61,2)</f>
        <v>0</v>
      </c>
      <c r="N68" s="165"/>
      <c r="O68" s="282"/>
      <c r="P68" s="282"/>
      <c r="Q68" s="190">
        <f>+ROUND(Q21+Q34+Q48+Q61,2)</f>
        <v>0</v>
      </c>
      <c r="S68" s="470">
        <f>E68+I68+M68+Q68</f>
        <v>0</v>
      </c>
    </row>
    <row r="69" spans="1:19" x14ac:dyDescent="0.2">
      <c r="A69" s="186"/>
      <c r="B69" s="167" t="s">
        <v>137</v>
      </c>
      <c r="C69" s="282"/>
      <c r="D69" s="282"/>
      <c r="E69" s="168">
        <f>+ROUND(E22+E35+E49+E62,2)</f>
        <v>0</v>
      </c>
      <c r="F69" s="165"/>
      <c r="G69" s="282"/>
      <c r="H69" s="282"/>
      <c r="I69" s="168">
        <f>+ROUND(I22+I35+I49+I62,2)</f>
        <v>0</v>
      </c>
      <c r="J69" s="165"/>
      <c r="K69" s="282"/>
      <c r="L69" s="282"/>
      <c r="M69" s="168">
        <f>+ROUND(M22+M35+M49+M62,2)</f>
        <v>0</v>
      </c>
      <c r="N69" s="165"/>
      <c r="O69" s="282"/>
      <c r="P69" s="282"/>
      <c r="Q69" s="168">
        <f>+ROUND(Q22+Q35+Q49+Q62,2)</f>
        <v>0</v>
      </c>
      <c r="S69" s="470">
        <f t="shared" ref="S69:S71" si="0">E69+I69+M69+Q69</f>
        <v>0</v>
      </c>
    </row>
    <row r="70" spans="1:19" x14ac:dyDescent="0.2">
      <c r="A70" s="186"/>
      <c r="B70" s="167" t="s">
        <v>136</v>
      </c>
      <c r="C70" s="282"/>
      <c r="D70" s="282"/>
      <c r="E70" s="169">
        <f>+ROUND(E23+E36+E50+E63,2)</f>
        <v>0</v>
      </c>
      <c r="F70" s="170"/>
      <c r="G70" s="282"/>
      <c r="H70" s="282"/>
      <c r="I70" s="169">
        <f>+ROUND(I23+I36+I50+I63,2)</f>
        <v>0</v>
      </c>
      <c r="J70" s="170"/>
      <c r="K70" s="282"/>
      <c r="L70" s="282"/>
      <c r="M70" s="169">
        <f>+ROUND(M23+M36+M50+M63,2)</f>
        <v>0</v>
      </c>
      <c r="N70" s="170"/>
      <c r="O70" s="282"/>
      <c r="P70" s="282"/>
      <c r="Q70" s="169">
        <f>+ROUND(Q23+Q36+Q50+Q63,2)</f>
        <v>0</v>
      </c>
      <c r="S70" s="470">
        <f t="shared" si="0"/>
        <v>0</v>
      </c>
    </row>
    <row r="71" spans="1:19" ht="16.5" thickBot="1" x14ac:dyDescent="0.3">
      <c r="A71" s="186"/>
      <c r="B71" s="267" t="s">
        <v>360</v>
      </c>
      <c r="C71" s="283"/>
      <c r="D71" s="283"/>
      <c r="E71" s="266">
        <f>SUM(E68:E70)</f>
        <v>0</v>
      </c>
      <c r="F71" s="171"/>
      <c r="G71" s="283"/>
      <c r="H71" s="283"/>
      <c r="I71" s="266">
        <f>SUM(I68:I70)</f>
        <v>0</v>
      </c>
      <c r="J71" s="171"/>
      <c r="K71" s="283"/>
      <c r="L71" s="283"/>
      <c r="M71" s="266">
        <f>SUM(M68:M70)</f>
        <v>0</v>
      </c>
      <c r="N71" s="171"/>
      <c r="O71" s="283"/>
      <c r="P71" s="283"/>
      <c r="Q71" s="266">
        <f>SUM(Q68:Q70)</f>
        <v>0</v>
      </c>
      <c r="S71" s="479">
        <f t="shared" si="0"/>
        <v>0</v>
      </c>
    </row>
    <row r="72" spans="1:19" ht="16.5" thickBot="1" x14ac:dyDescent="0.3">
      <c r="Q72" s="194" t="s">
        <v>5</v>
      </c>
    </row>
    <row r="73" spans="1:19" ht="111" thickBot="1" x14ac:dyDescent="0.3">
      <c r="E73" s="194"/>
      <c r="I73" s="194"/>
      <c r="M73" s="194"/>
      <c r="P73" s="408" t="s">
        <v>391</v>
      </c>
      <c r="Q73" s="409">
        <f>E71+I71+M71+Q71</f>
        <v>0</v>
      </c>
      <c r="R73" s="194" t="s">
        <v>5</v>
      </c>
    </row>
    <row r="74" spans="1:19" x14ac:dyDescent="0.25">
      <c r="E74" s="470"/>
      <c r="I74" s="470"/>
      <c r="M74" s="470"/>
      <c r="P74" s="407" t="s">
        <v>5</v>
      </c>
      <c r="Q74" s="407"/>
    </row>
    <row r="75" spans="1:19" x14ac:dyDescent="0.25">
      <c r="P75" s="481" t="s">
        <v>22</v>
      </c>
      <c r="Q75" s="482">
        <f>'CPIF CLIN 0001-TASK 1.01 INPUTS'!Q82+'CPIF CLIN 0001-TASK 1.02 INPUTS'!Q80+'CPIF CLIN 0001-TASK 1.03 INPUTS'!Q80+'CPIF CLIN 0001 TASK 1.04 INPUTS'!Q80+'CPIF CLIN 0001-TASK 1.05 INPUTS'!Q80+'CPIF CLIN 0001-TASK 1.06 INPUTS'!Q80+'CPIF CLIN 0001-TASK 1.07 INPUTS'!Q80+'CPIF CLIN 0001-TASK 1.08 INPUTS'!Q80+'CPIF CLIN 0001-TASK 1.09 INPUTS'!Q80+'CPIF CLIN 0001-TASK 1.10 INPUTS'!Q80+'CPIF CLIN 0001-TASK 1.11 INPUTS'!Q80</f>
        <v>0</v>
      </c>
    </row>
  </sheetData>
  <mergeCells count="46">
    <mergeCell ref="C43:E43"/>
    <mergeCell ref="G43:I43"/>
    <mergeCell ref="K43:M43"/>
    <mergeCell ref="O43:Q43"/>
    <mergeCell ref="B39:B40"/>
    <mergeCell ref="C39:E39"/>
    <mergeCell ref="G39:I39"/>
    <mergeCell ref="K39:M39"/>
    <mergeCell ref="C40:E40"/>
    <mergeCell ref="G40:I40"/>
    <mergeCell ref="K40:M40"/>
    <mergeCell ref="O54:Q54"/>
    <mergeCell ref="O66:Q66"/>
    <mergeCell ref="O9:Q9"/>
    <mergeCell ref="O10:Q10"/>
    <mergeCell ref="O26:Q26"/>
    <mergeCell ref="O27:Q27"/>
    <mergeCell ref="O53:Q53"/>
    <mergeCell ref="O39:Q39"/>
    <mergeCell ref="O40:Q40"/>
    <mergeCell ref="C10:E10"/>
    <mergeCell ref="G10:I10"/>
    <mergeCell ref="K10:M10"/>
    <mergeCell ref="A3:C3"/>
    <mergeCell ref="B9:B10"/>
    <mergeCell ref="C9:E9"/>
    <mergeCell ref="G9:I9"/>
    <mergeCell ref="K9:M9"/>
    <mergeCell ref="B26:B27"/>
    <mergeCell ref="C26:E26"/>
    <mergeCell ref="G26:I26"/>
    <mergeCell ref="K26:M26"/>
    <mergeCell ref="C27:E27"/>
    <mergeCell ref="G27:I27"/>
    <mergeCell ref="K27:M27"/>
    <mergeCell ref="B53:B54"/>
    <mergeCell ref="C53:E53"/>
    <mergeCell ref="G53:I53"/>
    <mergeCell ref="K53:M53"/>
    <mergeCell ref="B66:B67"/>
    <mergeCell ref="C66:E66"/>
    <mergeCell ref="G66:I66"/>
    <mergeCell ref="K66:M66"/>
    <mergeCell ref="C54:E54"/>
    <mergeCell ref="G54:I54"/>
    <mergeCell ref="K54:M54"/>
  </mergeCells>
  <pageMargins left="0.7" right="0.7" top="0.75" bottom="0.75" header="0.3" footer="0.3"/>
  <pageSetup orientation="portrait" horizontalDpi="1200" verticalDpi="1200"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7FDE9A-9B55-4F43-8C0E-C5A2ACBB2FE5}">
  <dimension ref="A1:W746"/>
  <sheetViews>
    <sheetView zoomScale="90" zoomScaleNormal="90" workbookViewId="0">
      <pane xSplit="3" topLeftCell="D1" activePane="topRight" state="frozen"/>
      <selection pane="topRight" activeCell="F16" sqref="F16"/>
    </sheetView>
    <sheetView workbookViewId="1"/>
  </sheetViews>
  <sheetFormatPr defaultColWidth="9.140625" defaultRowHeight="15" x14ac:dyDescent="0.25"/>
  <cols>
    <col min="1" max="1" width="20.5703125" style="47" customWidth="1"/>
    <col min="2" max="2" width="23.5703125" style="48" bestFit="1" customWidth="1"/>
    <col min="3" max="3" width="52.28515625" style="48" bestFit="1" customWidth="1"/>
    <col min="4" max="4" width="7.5703125" style="5" customWidth="1"/>
    <col min="5" max="5" width="12.28515625" style="10" customWidth="1"/>
    <col min="6" max="6" width="15.7109375" style="10" customWidth="1"/>
    <col min="7" max="7" width="18.140625" style="10" customWidth="1"/>
    <col min="8" max="8" width="1.5703125" style="5" customWidth="1"/>
    <col min="9" max="9" width="12.28515625" style="10" bestFit="1" customWidth="1"/>
    <col min="10" max="10" width="15.7109375" style="49" customWidth="1"/>
    <col min="11" max="11" width="17" style="50" customWidth="1"/>
    <col min="12" max="12" width="2.28515625" style="5" customWidth="1"/>
    <col min="13" max="13" width="12.28515625" style="10" bestFit="1" customWidth="1"/>
    <col min="14" max="14" width="15.7109375" style="49" customWidth="1"/>
    <col min="15" max="15" width="20.7109375" style="50" customWidth="1"/>
    <col min="16" max="16" width="1.7109375" style="5" customWidth="1"/>
    <col min="17" max="17" width="12.28515625" style="10" customWidth="1"/>
    <col min="18" max="18" width="15.7109375" style="49" customWidth="1"/>
    <col min="19" max="19" width="20.7109375" style="50" customWidth="1"/>
    <col min="20" max="20" width="1.140625" style="30" customWidth="1"/>
    <col min="21" max="21" width="22.7109375" style="10" customWidth="1"/>
    <col min="22" max="22" width="18.28515625" style="51" customWidth="1"/>
    <col min="23" max="23" width="15.7109375" style="10" customWidth="1"/>
    <col min="24" max="16384" width="9.140625" style="10"/>
  </cols>
  <sheetData>
    <row r="1" spans="1:23" ht="15.75" thickBot="1" x14ac:dyDescent="0.3">
      <c r="B1" s="126" t="s">
        <v>626</v>
      </c>
      <c r="C1" s="492" t="str">
        <f>'FFP CLINs X007-X021'!B1</f>
        <v>NAME</v>
      </c>
      <c r="J1" s="32"/>
      <c r="N1" s="32"/>
      <c r="R1" s="32"/>
      <c r="V1" s="30"/>
    </row>
    <row r="2" spans="1:23" x14ac:dyDescent="0.25">
      <c r="A2" s="126"/>
      <c r="B2" s="270"/>
      <c r="C2" s="270"/>
      <c r="J2" s="32"/>
      <c r="N2" s="32"/>
      <c r="R2" s="32"/>
      <c r="V2" s="30"/>
    </row>
    <row r="3" spans="1:23" x14ac:dyDescent="0.25">
      <c r="A3" s="402" t="s">
        <v>425</v>
      </c>
      <c r="B3" s="270"/>
      <c r="C3" s="270"/>
      <c r="J3" s="32"/>
      <c r="N3" s="32"/>
      <c r="R3" s="32"/>
      <c r="V3" s="30"/>
    </row>
    <row r="4" spans="1:23" ht="15.75" thickBot="1" x14ac:dyDescent="0.3">
      <c r="J4" s="32"/>
      <c r="N4" s="32"/>
      <c r="R4" s="32"/>
      <c r="V4" s="30"/>
    </row>
    <row r="5" spans="1:23" ht="48" customHeight="1" thickBot="1" x14ac:dyDescent="0.3">
      <c r="A5" s="557" t="s">
        <v>352</v>
      </c>
      <c r="B5" s="558"/>
      <c r="C5" s="559"/>
      <c r="D5" s="8"/>
      <c r="E5" s="571" t="s">
        <v>291</v>
      </c>
      <c r="F5" s="572"/>
      <c r="G5" s="573"/>
      <c r="H5" s="8"/>
      <c r="I5" s="571" t="s">
        <v>305</v>
      </c>
      <c r="J5" s="572"/>
      <c r="K5" s="573"/>
      <c r="L5" s="8"/>
      <c r="M5" s="571" t="s">
        <v>292</v>
      </c>
      <c r="N5" s="572"/>
      <c r="O5" s="573"/>
      <c r="P5" s="8"/>
      <c r="Q5" s="571" t="s">
        <v>293</v>
      </c>
      <c r="R5" s="572"/>
      <c r="S5" s="573"/>
      <c r="T5" s="6"/>
      <c r="U5" s="8"/>
      <c r="V5" s="9"/>
    </row>
    <row r="6" spans="1:23" ht="45" x14ac:dyDescent="0.25">
      <c r="A6" s="430" t="s">
        <v>444</v>
      </c>
      <c r="B6" s="68" t="s">
        <v>5</v>
      </c>
      <c r="C6" s="69"/>
      <c r="D6" s="98" t="s">
        <v>150</v>
      </c>
      <c r="E6" s="103" t="s">
        <v>254</v>
      </c>
      <c r="F6" s="72" t="s">
        <v>11</v>
      </c>
      <c r="G6" s="322" t="s">
        <v>131</v>
      </c>
      <c r="H6" s="99"/>
      <c r="I6" s="103" t="s">
        <v>254</v>
      </c>
      <c r="J6" s="72" t="s">
        <v>11</v>
      </c>
      <c r="K6" s="322" t="s">
        <v>131</v>
      </c>
      <c r="L6" s="99"/>
      <c r="M6" s="103" t="s">
        <v>254</v>
      </c>
      <c r="N6" s="72" t="s">
        <v>11</v>
      </c>
      <c r="O6" s="383" t="s">
        <v>131</v>
      </c>
      <c r="P6" s="99"/>
      <c r="Q6" s="103" t="s">
        <v>254</v>
      </c>
      <c r="R6" s="72" t="s">
        <v>11</v>
      </c>
      <c r="S6" s="383" t="s">
        <v>131</v>
      </c>
      <c r="T6" s="6"/>
      <c r="U6" s="94" t="s">
        <v>357</v>
      </c>
      <c r="V6" s="10"/>
    </row>
    <row r="7" spans="1:23" ht="15.75" x14ac:dyDescent="0.25">
      <c r="A7" s="371" t="s">
        <v>109</v>
      </c>
      <c r="B7" s="119" t="s">
        <v>27</v>
      </c>
      <c r="C7" s="119" t="s">
        <v>256</v>
      </c>
      <c r="D7" s="99"/>
      <c r="E7" s="103"/>
      <c r="F7" s="72"/>
      <c r="G7" s="322"/>
      <c r="H7" s="99"/>
      <c r="I7" s="103"/>
      <c r="J7" s="72"/>
      <c r="K7" s="322"/>
      <c r="L7" s="99"/>
      <c r="M7" s="103"/>
      <c r="N7" s="72"/>
      <c r="O7" s="322"/>
      <c r="P7" s="99"/>
      <c r="Q7" s="103"/>
      <c r="R7" s="72"/>
      <c r="S7" s="322"/>
      <c r="T7" s="6"/>
      <c r="U7" s="95"/>
      <c r="V7" s="10"/>
    </row>
    <row r="8" spans="1:23" x14ac:dyDescent="0.25">
      <c r="A8" s="122">
        <v>1.01</v>
      </c>
      <c r="B8" s="17"/>
      <c r="C8" s="125" t="s">
        <v>102</v>
      </c>
      <c r="D8" s="320" t="s">
        <v>69</v>
      </c>
      <c r="E8" s="323">
        <v>1</v>
      </c>
      <c r="F8" s="89">
        <f>'CPIF CLIN 0002-TASK 1.01 INPUTS'!E77</f>
        <v>0</v>
      </c>
      <c r="G8" s="106">
        <f>ROUND(E8*F8,2)</f>
        <v>0</v>
      </c>
      <c r="H8" s="320"/>
      <c r="I8" s="323">
        <v>1</v>
      </c>
      <c r="J8" s="89">
        <f>'CPIF CLIN 0002-TASK 1.01 INPUTS'!I77</f>
        <v>0</v>
      </c>
      <c r="K8" s="106">
        <f>ROUND(I8*J8,2)</f>
        <v>0</v>
      </c>
      <c r="L8" s="320"/>
      <c r="M8" s="323">
        <v>1</v>
      </c>
      <c r="N8" s="89">
        <f>'CPIF CLIN 0002-TASK 1.01 INPUTS'!M77</f>
        <v>0</v>
      </c>
      <c r="O8" s="106">
        <f>ROUND(M8*N8,2)</f>
        <v>0</v>
      </c>
      <c r="P8" s="384"/>
      <c r="Q8" s="385">
        <v>1</v>
      </c>
      <c r="R8" s="382">
        <f>'CPIF CLIN 0002-TASK 1.01 INPUTS'!Q77</f>
        <v>0</v>
      </c>
      <c r="S8" s="386">
        <f>ROUND(Q8*R8,2)</f>
        <v>0</v>
      </c>
      <c r="T8" s="6"/>
      <c r="U8" s="19">
        <f>G8+K8+O8+S8</f>
        <v>0</v>
      </c>
      <c r="V8" s="10"/>
    </row>
    <row r="9" spans="1:23" x14ac:dyDescent="0.25">
      <c r="A9" s="121">
        <v>1.02</v>
      </c>
      <c r="B9" s="119"/>
      <c r="C9" s="125" t="s">
        <v>103</v>
      </c>
      <c r="D9" s="321" t="s">
        <v>69</v>
      </c>
      <c r="E9" s="323">
        <v>1</v>
      </c>
      <c r="F9" s="89">
        <f>'CPIF CLIN 0002-TASK 1.02 INPUTS'!E77</f>
        <v>0</v>
      </c>
      <c r="G9" s="106">
        <f>ROUND(E9*F9,2)</f>
        <v>0</v>
      </c>
      <c r="H9" s="320"/>
      <c r="I9" s="323">
        <v>1</v>
      </c>
      <c r="J9" s="89">
        <f>'CPIF CLIN 0002-TASK 1.02 INPUTS'!I77</f>
        <v>0</v>
      </c>
      <c r="K9" s="106">
        <f>ROUND(I9*J9,2)</f>
        <v>0</v>
      </c>
      <c r="L9" s="320"/>
      <c r="M9" s="323">
        <v>1</v>
      </c>
      <c r="N9" s="89">
        <f>'CPIF CLIN 0002-TASK 1.02 INPUTS'!M77</f>
        <v>0</v>
      </c>
      <c r="O9" s="106">
        <f>ROUND(M9*N9,2)</f>
        <v>0</v>
      </c>
      <c r="P9" s="384"/>
      <c r="Q9" s="387">
        <v>1</v>
      </c>
      <c r="R9" s="382">
        <f>'CPIF CLIN 0002-TASK 1.02 INPUTS'!Q77</f>
        <v>0</v>
      </c>
      <c r="S9" s="386">
        <f>ROUND(Q9*R9,2)</f>
        <v>0</v>
      </c>
      <c r="T9" s="6"/>
      <c r="U9" s="19">
        <f t="shared" ref="U9:U10" si="0">G9+K9+O9+S9</f>
        <v>0</v>
      </c>
      <c r="V9" s="10"/>
    </row>
    <row r="10" spans="1:23" ht="15.75" thickBot="1" x14ac:dyDescent="0.3">
      <c r="A10" s="123">
        <v>1.03</v>
      </c>
      <c r="B10" s="65"/>
      <c r="C10" s="125" t="s">
        <v>104</v>
      </c>
      <c r="D10" s="313" t="s">
        <v>69</v>
      </c>
      <c r="E10" s="324">
        <v>1</v>
      </c>
      <c r="F10" s="110">
        <f>'CPIF CLIN 0002-TASK 1.03 INPUTS'!E77</f>
        <v>0</v>
      </c>
      <c r="G10" s="111">
        <f>ROUND(E10*F10,2)</f>
        <v>0</v>
      </c>
      <c r="H10" s="320"/>
      <c r="I10" s="324">
        <v>1</v>
      </c>
      <c r="J10" s="110">
        <f>'CPIF CLIN 0002-TASK 1.03 INPUTS'!I77</f>
        <v>0</v>
      </c>
      <c r="K10" s="111">
        <f>ROUND(I10*J10,2)</f>
        <v>0</v>
      </c>
      <c r="L10" s="320"/>
      <c r="M10" s="324">
        <v>1</v>
      </c>
      <c r="N10" s="110">
        <f>'CPIF CLIN 0002-TASK 1.03 INPUTS'!M77</f>
        <v>0</v>
      </c>
      <c r="O10" s="111">
        <f>ROUND(M10*N10,2)</f>
        <v>0</v>
      </c>
      <c r="P10" s="384"/>
      <c r="Q10" s="388">
        <v>1</v>
      </c>
      <c r="R10" s="389">
        <f>'CPIF CLIN 0002-TASK 1.03 INPUTS'!Q77</f>
        <v>0</v>
      </c>
      <c r="S10" s="386">
        <f>ROUND(Q10*R10,2)</f>
        <v>0</v>
      </c>
      <c r="T10" s="6"/>
      <c r="U10" s="19">
        <f t="shared" si="0"/>
        <v>0</v>
      </c>
      <c r="V10" s="10"/>
    </row>
    <row r="11" spans="1:23" ht="31.5" customHeight="1" thickBot="1" x14ac:dyDescent="0.3">
      <c r="A11" s="7"/>
      <c r="B11" s="21"/>
      <c r="C11" s="11"/>
      <c r="D11" s="22"/>
      <c r="E11" s="20"/>
      <c r="F11" s="327" t="s">
        <v>353</v>
      </c>
      <c r="G11" s="102">
        <f>SUM(G8:G10)</f>
        <v>0</v>
      </c>
      <c r="H11" s="22"/>
      <c r="J11" s="327" t="s">
        <v>354</v>
      </c>
      <c r="K11" s="102">
        <f>SUM(K8:K10)</f>
        <v>0</v>
      </c>
      <c r="L11" s="22"/>
      <c r="M11" s="25"/>
      <c r="N11" s="327" t="s">
        <v>355</v>
      </c>
      <c r="O11" s="102">
        <f>SUM(O8:O10)</f>
        <v>0</v>
      </c>
      <c r="P11" s="22"/>
      <c r="R11" s="327" t="s">
        <v>356</v>
      </c>
      <c r="S11" s="102">
        <f>SUM(S8:S10)</f>
        <v>0</v>
      </c>
      <c r="T11" s="27"/>
      <c r="U11" s="90">
        <f>SUM(U8:U10)</f>
        <v>0</v>
      </c>
      <c r="V11" s="370" t="s">
        <v>357</v>
      </c>
      <c r="W11" s="30"/>
    </row>
    <row r="12" spans="1:23" s="30" customFormat="1" ht="15.75" thickBot="1" x14ac:dyDescent="0.3">
      <c r="A12" s="36"/>
      <c r="B12" s="31"/>
      <c r="C12" s="31"/>
      <c r="D12" s="32"/>
      <c r="H12" s="32"/>
      <c r="J12" s="32"/>
      <c r="K12" s="41"/>
      <c r="L12" s="32"/>
      <c r="N12" s="32"/>
      <c r="O12" s="41"/>
      <c r="P12" s="32"/>
      <c r="R12" s="32"/>
      <c r="S12" s="41"/>
    </row>
    <row r="13" spans="1:23" s="30" customFormat="1" ht="15.75" thickBot="1" x14ac:dyDescent="0.3">
      <c r="B13" s="31"/>
      <c r="C13" s="31"/>
      <c r="D13" s="32"/>
      <c r="H13" s="32"/>
      <c r="J13" s="32"/>
      <c r="K13" s="41"/>
      <c r="L13" s="32"/>
      <c r="N13" s="32"/>
      <c r="O13" s="41"/>
      <c r="P13" s="32"/>
      <c r="R13" s="32"/>
      <c r="S13" s="41"/>
      <c r="U13" s="90">
        <f>G11+K11+O11+S11</f>
        <v>0</v>
      </c>
      <c r="V13" s="91" t="s">
        <v>22</v>
      </c>
    </row>
    <row r="14" spans="1:23" s="30" customFormat="1" x14ac:dyDescent="0.25">
      <c r="A14" s="36"/>
      <c r="B14" s="31"/>
      <c r="C14" s="31"/>
      <c r="D14" s="32"/>
      <c r="H14" s="32"/>
      <c r="J14" s="32"/>
      <c r="K14" s="41"/>
      <c r="L14" s="32"/>
      <c r="N14" s="32"/>
      <c r="O14" s="41"/>
      <c r="P14" s="32"/>
      <c r="R14" s="32"/>
      <c r="S14" s="41"/>
      <c r="U14" s="44">
        <f>U11-U13</f>
        <v>0</v>
      </c>
      <c r="V14" s="45" t="s">
        <v>23</v>
      </c>
    </row>
    <row r="15" spans="1:23" s="30" customFormat="1" x14ac:dyDescent="0.25">
      <c r="A15" s="36"/>
      <c r="B15" s="31"/>
      <c r="C15" s="31"/>
      <c r="D15" s="32"/>
      <c r="H15" s="32"/>
      <c r="J15" s="32"/>
      <c r="K15" s="41"/>
      <c r="L15" s="32"/>
      <c r="N15" s="32"/>
      <c r="O15" s="41"/>
      <c r="P15" s="32"/>
      <c r="R15" s="32"/>
      <c r="S15" s="41"/>
    </row>
    <row r="16" spans="1:23" s="30" customFormat="1" x14ac:dyDescent="0.25">
      <c r="A16" s="36"/>
      <c r="B16" s="31"/>
      <c r="C16" s="31"/>
      <c r="D16" s="32"/>
      <c r="H16" s="32"/>
      <c r="J16" s="32"/>
      <c r="K16" s="41"/>
      <c r="L16" s="32"/>
      <c r="N16" s="32"/>
      <c r="O16" s="41"/>
      <c r="P16" s="32"/>
      <c r="R16" s="32"/>
      <c r="S16" s="41"/>
    </row>
    <row r="17" spans="1:19" s="30" customFormat="1" x14ac:dyDescent="0.25">
      <c r="A17" s="36"/>
      <c r="B17" s="31"/>
      <c r="C17" s="31"/>
      <c r="D17" s="32"/>
      <c r="H17" s="32"/>
      <c r="J17" s="32"/>
      <c r="K17" s="41"/>
      <c r="L17" s="32"/>
      <c r="N17" s="32"/>
      <c r="O17" s="41"/>
      <c r="P17" s="32"/>
      <c r="R17" s="32"/>
      <c r="S17" s="41"/>
    </row>
    <row r="18" spans="1:19" s="30" customFormat="1" x14ac:dyDescent="0.25">
      <c r="A18" s="36"/>
      <c r="B18" s="31"/>
      <c r="C18" s="31"/>
      <c r="D18" s="32"/>
      <c r="H18" s="32"/>
      <c r="J18" s="32"/>
      <c r="K18" s="41"/>
      <c r="L18" s="32"/>
      <c r="N18" s="32"/>
      <c r="O18" s="41"/>
      <c r="P18" s="32"/>
      <c r="R18" s="32"/>
      <c r="S18" s="41"/>
    </row>
    <row r="19" spans="1:19" s="30" customFormat="1" x14ac:dyDescent="0.25">
      <c r="A19" s="36"/>
      <c r="B19" s="31"/>
      <c r="C19" s="31"/>
      <c r="D19" s="32"/>
      <c r="H19" s="32"/>
      <c r="J19" s="32"/>
      <c r="K19" s="41"/>
      <c r="L19" s="32"/>
      <c r="N19" s="32"/>
      <c r="O19" s="41"/>
      <c r="P19" s="32"/>
      <c r="R19" s="32"/>
      <c r="S19" s="41"/>
    </row>
    <row r="20" spans="1:19" s="30" customFormat="1" x14ac:dyDescent="0.25">
      <c r="A20" s="36"/>
      <c r="B20" s="31"/>
      <c r="C20" s="31"/>
      <c r="D20" s="32"/>
      <c r="H20" s="32"/>
      <c r="J20" s="32"/>
      <c r="K20" s="41"/>
      <c r="L20" s="32"/>
      <c r="N20" s="32"/>
      <c r="O20" s="41"/>
      <c r="P20" s="32"/>
      <c r="R20" s="32"/>
      <c r="S20" s="41"/>
    </row>
    <row r="21" spans="1:19" s="30" customFormat="1" x14ac:dyDescent="0.25">
      <c r="A21" s="36"/>
      <c r="B21" s="31"/>
      <c r="C21" s="31"/>
      <c r="D21" s="32"/>
      <c r="H21" s="32"/>
      <c r="J21" s="32"/>
      <c r="K21" s="41"/>
      <c r="L21" s="32"/>
      <c r="N21" s="32"/>
      <c r="O21" s="41"/>
      <c r="P21" s="32"/>
      <c r="R21" s="32"/>
      <c r="S21" s="41"/>
    </row>
    <row r="22" spans="1:19" s="30" customFormat="1" x14ac:dyDescent="0.25">
      <c r="A22" s="36"/>
      <c r="B22" s="31"/>
      <c r="C22" s="31"/>
      <c r="D22" s="32"/>
      <c r="H22" s="32"/>
      <c r="J22" s="32"/>
      <c r="K22" s="41"/>
      <c r="L22" s="32"/>
      <c r="N22" s="32"/>
      <c r="O22" s="41"/>
      <c r="P22" s="32"/>
      <c r="R22" s="32"/>
      <c r="S22" s="41"/>
    </row>
    <row r="23" spans="1:19" s="30" customFormat="1" x14ac:dyDescent="0.25">
      <c r="A23" s="36"/>
      <c r="B23" s="31"/>
      <c r="C23" s="31"/>
      <c r="D23" s="32"/>
      <c r="H23" s="32"/>
      <c r="J23" s="32"/>
      <c r="K23" s="41"/>
      <c r="L23" s="32"/>
      <c r="N23" s="32"/>
      <c r="O23" s="41"/>
      <c r="P23" s="32"/>
      <c r="R23" s="32"/>
      <c r="S23" s="41"/>
    </row>
    <row r="24" spans="1:19" s="30" customFormat="1" x14ac:dyDescent="0.25">
      <c r="A24" s="36"/>
      <c r="B24" s="31"/>
      <c r="C24" s="31"/>
      <c r="D24" s="32"/>
      <c r="H24" s="32"/>
      <c r="J24" s="32"/>
      <c r="K24" s="41"/>
      <c r="L24" s="32"/>
      <c r="N24" s="32"/>
      <c r="O24" s="41"/>
      <c r="P24" s="32"/>
      <c r="R24" s="32"/>
      <c r="S24" s="41"/>
    </row>
    <row r="25" spans="1:19" s="30" customFormat="1" x14ac:dyDescent="0.25">
      <c r="A25" s="36"/>
      <c r="B25" s="31"/>
      <c r="C25" s="31"/>
      <c r="D25" s="32"/>
      <c r="H25" s="32"/>
      <c r="J25" s="32"/>
      <c r="K25" s="41"/>
      <c r="L25" s="32"/>
      <c r="N25" s="32"/>
      <c r="O25" s="41"/>
      <c r="P25" s="32"/>
      <c r="R25" s="32"/>
      <c r="S25" s="41"/>
    </row>
    <row r="26" spans="1:19" s="30" customFormat="1" x14ac:dyDescent="0.25">
      <c r="A26" s="36"/>
      <c r="B26" s="31"/>
      <c r="C26" s="31"/>
      <c r="D26" s="32"/>
      <c r="H26" s="32"/>
      <c r="J26" s="32"/>
      <c r="K26" s="41"/>
      <c r="L26" s="32"/>
      <c r="N26" s="32"/>
      <c r="O26" s="41"/>
      <c r="P26" s="32"/>
      <c r="R26" s="32"/>
      <c r="S26" s="41"/>
    </row>
    <row r="27" spans="1:19" s="30" customFormat="1" x14ac:dyDescent="0.25">
      <c r="A27" s="36"/>
      <c r="B27" s="31"/>
      <c r="C27" s="31"/>
      <c r="D27" s="32"/>
      <c r="H27" s="32"/>
      <c r="J27" s="32"/>
      <c r="K27" s="41"/>
      <c r="L27" s="32"/>
      <c r="N27" s="32"/>
      <c r="O27" s="41"/>
      <c r="P27" s="32"/>
      <c r="R27" s="32"/>
      <c r="S27" s="41"/>
    </row>
    <row r="28" spans="1:19" s="30" customFormat="1" x14ac:dyDescent="0.25">
      <c r="A28" s="36"/>
      <c r="B28" s="31"/>
      <c r="C28" s="31"/>
      <c r="D28" s="32"/>
      <c r="H28" s="32"/>
      <c r="J28" s="32"/>
      <c r="K28" s="41"/>
      <c r="L28" s="32"/>
      <c r="N28" s="32"/>
      <c r="O28" s="41"/>
      <c r="P28" s="32"/>
      <c r="R28" s="32"/>
      <c r="S28" s="41"/>
    </row>
    <row r="29" spans="1:19" s="30" customFormat="1" x14ac:dyDescent="0.25">
      <c r="A29" s="36"/>
      <c r="B29" s="31"/>
      <c r="C29" s="31"/>
      <c r="D29" s="32"/>
      <c r="H29" s="32"/>
      <c r="J29" s="32"/>
      <c r="K29" s="41"/>
      <c r="L29" s="32"/>
      <c r="N29" s="32"/>
      <c r="O29" s="41"/>
      <c r="P29" s="32"/>
      <c r="R29" s="32"/>
      <c r="S29" s="41"/>
    </row>
    <row r="30" spans="1:19" s="30" customFormat="1" x14ac:dyDescent="0.25">
      <c r="A30" s="36"/>
      <c r="B30" s="31"/>
      <c r="C30" s="31"/>
      <c r="D30" s="32"/>
      <c r="H30" s="32"/>
      <c r="J30" s="32"/>
      <c r="K30" s="41"/>
      <c r="L30" s="32"/>
      <c r="N30" s="32"/>
      <c r="O30" s="41"/>
      <c r="P30" s="32"/>
      <c r="R30" s="32"/>
      <c r="S30" s="41"/>
    </row>
    <row r="31" spans="1:19" s="30" customFormat="1" x14ac:dyDescent="0.25">
      <c r="A31" s="36"/>
      <c r="B31" s="31"/>
      <c r="C31" s="31"/>
      <c r="D31" s="32"/>
      <c r="H31" s="32"/>
      <c r="J31" s="32"/>
      <c r="K31" s="41"/>
      <c r="L31" s="32"/>
      <c r="N31" s="32"/>
      <c r="O31" s="41"/>
      <c r="P31" s="32"/>
      <c r="R31" s="32"/>
      <c r="S31" s="41"/>
    </row>
    <row r="32" spans="1:19" s="30" customFormat="1" x14ac:dyDescent="0.25">
      <c r="A32" s="36"/>
      <c r="B32" s="31"/>
      <c r="C32" s="31"/>
      <c r="D32" s="32"/>
      <c r="H32" s="32"/>
      <c r="J32" s="32"/>
      <c r="K32" s="41"/>
      <c r="L32" s="32"/>
      <c r="N32" s="32"/>
      <c r="O32" s="41"/>
      <c r="P32" s="32"/>
      <c r="R32" s="32"/>
      <c r="S32" s="41"/>
    </row>
    <row r="33" spans="1:19" s="30" customFormat="1" x14ac:dyDescent="0.25">
      <c r="A33" s="36"/>
      <c r="B33" s="31"/>
      <c r="C33" s="31"/>
      <c r="D33" s="32"/>
      <c r="H33" s="32"/>
      <c r="J33" s="32"/>
      <c r="K33" s="41"/>
      <c r="L33" s="32"/>
      <c r="N33" s="32"/>
      <c r="O33" s="41"/>
      <c r="P33" s="32"/>
      <c r="R33" s="32"/>
      <c r="S33" s="41"/>
    </row>
    <row r="34" spans="1:19" s="30" customFormat="1" x14ac:dyDescent="0.25">
      <c r="A34" s="36"/>
      <c r="B34" s="31"/>
      <c r="C34" s="31"/>
      <c r="D34" s="32"/>
      <c r="H34" s="32"/>
      <c r="J34" s="32"/>
      <c r="K34" s="41"/>
      <c r="L34" s="32"/>
      <c r="N34" s="32"/>
      <c r="O34" s="41"/>
      <c r="P34" s="32"/>
      <c r="R34" s="32"/>
      <c r="S34" s="41"/>
    </row>
    <row r="35" spans="1:19" s="30" customFormat="1" x14ac:dyDescent="0.25">
      <c r="A35" s="36"/>
      <c r="B35" s="31"/>
      <c r="C35" s="31"/>
      <c r="D35" s="32"/>
      <c r="H35" s="32"/>
      <c r="J35" s="32"/>
      <c r="K35" s="41"/>
      <c r="L35" s="32"/>
      <c r="N35" s="32"/>
      <c r="O35" s="41"/>
      <c r="P35" s="32"/>
      <c r="R35" s="32"/>
      <c r="S35" s="41"/>
    </row>
    <row r="36" spans="1:19" s="30" customFormat="1" x14ac:dyDescent="0.25">
      <c r="A36" s="36"/>
      <c r="B36" s="31"/>
      <c r="C36" s="31"/>
      <c r="D36" s="32"/>
      <c r="H36" s="32"/>
      <c r="J36" s="32"/>
      <c r="K36" s="41"/>
      <c r="L36" s="32"/>
      <c r="N36" s="32"/>
      <c r="O36" s="41"/>
      <c r="P36" s="32"/>
      <c r="R36" s="32"/>
      <c r="S36" s="41"/>
    </row>
    <row r="37" spans="1:19" s="30" customFormat="1" x14ac:dyDescent="0.25">
      <c r="A37" s="36"/>
      <c r="B37" s="31"/>
      <c r="C37" s="31"/>
      <c r="D37" s="32"/>
      <c r="H37" s="32"/>
      <c r="J37" s="32"/>
      <c r="K37" s="41"/>
      <c r="L37" s="32"/>
      <c r="N37" s="32"/>
      <c r="O37" s="41"/>
      <c r="P37" s="32"/>
      <c r="R37" s="32"/>
      <c r="S37" s="41"/>
    </row>
    <row r="38" spans="1:19" s="30" customFormat="1" x14ac:dyDescent="0.25">
      <c r="A38" s="36"/>
      <c r="B38" s="31"/>
      <c r="C38" s="31"/>
      <c r="D38" s="32"/>
      <c r="H38" s="32"/>
      <c r="J38" s="32"/>
      <c r="K38" s="41"/>
      <c r="L38" s="32"/>
      <c r="N38" s="32"/>
      <c r="O38" s="41"/>
      <c r="P38" s="32"/>
      <c r="R38" s="32"/>
      <c r="S38" s="41"/>
    </row>
    <row r="39" spans="1:19" s="30" customFormat="1" x14ac:dyDescent="0.25">
      <c r="A39" s="36"/>
      <c r="B39" s="31"/>
      <c r="C39" s="31"/>
      <c r="D39" s="32"/>
      <c r="H39" s="32"/>
      <c r="J39" s="32"/>
      <c r="K39" s="41"/>
      <c r="L39" s="32"/>
      <c r="N39" s="32"/>
      <c r="O39" s="41"/>
      <c r="P39" s="32"/>
      <c r="R39" s="32"/>
      <c r="S39" s="41"/>
    </row>
    <row r="40" spans="1:19" s="30" customFormat="1" x14ac:dyDescent="0.25">
      <c r="A40" s="36"/>
      <c r="B40" s="31"/>
      <c r="C40" s="31"/>
      <c r="D40" s="32"/>
      <c r="H40" s="32"/>
      <c r="J40" s="32"/>
      <c r="K40" s="41"/>
      <c r="L40" s="32"/>
      <c r="N40" s="32"/>
      <c r="O40" s="41"/>
      <c r="P40" s="32"/>
      <c r="R40" s="32"/>
      <c r="S40" s="41"/>
    </row>
    <row r="41" spans="1:19" s="30" customFormat="1" x14ac:dyDescent="0.25">
      <c r="A41" s="36"/>
      <c r="B41" s="31"/>
      <c r="C41" s="31"/>
      <c r="D41" s="32"/>
      <c r="H41" s="32"/>
      <c r="J41" s="32"/>
      <c r="K41" s="41"/>
      <c r="L41" s="32"/>
      <c r="N41" s="32"/>
      <c r="O41" s="41"/>
      <c r="P41" s="32"/>
      <c r="R41" s="32"/>
      <c r="S41" s="41"/>
    </row>
    <row r="42" spans="1:19" s="30" customFormat="1" x14ac:dyDescent="0.25">
      <c r="A42" s="36"/>
      <c r="B42" s="31"/>
      <c r="C42" s="31"/>
      <c r="D42" s="32"/>
      <c r="H42" s="32"/>
      <c r="J42" s="32"/>
      <c r="K42" s="41"/>
      <c r="L42" s="32"/>
      <c r="N42" s="32"/>
      <c r="O42" s="41"/>
      <c r="P42" s="32"/>
      <c r="R42" s="32"/>
      <c r="S42" s="41"/>
    </row>
    <row r="43" spans="1:19" s="30" customFormat="1" x14ac:dyDescent="0.25">
      <c r="A43" s="36"/>
      <c r="B43" s="31"/>
      <c r="C43" s="31"/>
      <c r="D43" s="32"/>
      <c r="H43" s="32"/>
      <c r="J43" s="32"/>
      <c r="K43" s="41"/>
      <c r="L43" s="32"/>
      <c r="N43" s="32"/>
      <c r="O43" s="41"/>
      <c r="P43" s="32"/>
      <c r="R43" s="32"/>
      <c r="S43" s="41"/>
    </row>
    <row r="44" spans="1:19" s="30" customFormat="1" x14ac:dyDescent="0.25">
      <c r="A44" s="36"/>
      <c r="B44" s="31"/>
      <c r="C44" s="31"/>
      <c r="D44" s="32"/>
      <c r="H44" s="32"/>
      <c r="J44" s="32"/>
      <c r="K44" s="41"/>
      <c r="L44" s="32"/>
      <c r="N44" s="32"/>
      <c r="O44" s="41"/>
      <c r="P44" s="32"/>
      <c r="R44" s="32"/>
      <c r="S44" s="41"/>
    </row>
    <row r="45" spans="1:19" s="30" customFormat="1" x14ac:dyDescent="0.25">
      <c r="A45" s="36"/>
      <c r="B45" s="31"/>
      <c r="C45" s="31"/>
      <c r="D45" s="32"/>
      <c r="H45" s="32"/>
      <c r="J45" s="32"/>
      <c r="K45" s="41"/>
      <c r="L45" s="32"/>
      <c r="N45" s="32"/>
      <c r="O45" s="41"/>
      <c r="P45" s="32"/>
      <c r="R45" s="32"/>
      <c r="S45" s="41"/>
    </row>
    <row r="46" spans="1:19" s="30" customFormat="1" x14ac:dyDescent="0.25">
      <c r="A46" s="36"/>
      <c r="B46" s="31"/>
      <c r="C46" s="31"/>
      <c r="D46" s="32"/>
      <c r="H46" s="32"/>
      <c r="J46" s="32"/>
      <c r="K46" s="41"/>
      <c r="L46" s="32"/>
      <c r="N46" s="32"/>
      <c r="O46" s="41"/>
      <c r="P46" s="32"/>
      <c r="R46" s="32"/>
      <c r="S46" s="41"/>
    </row>
    <row r="47" spans="1:19" s="30" customFormat="1" x14ac:dyDescent="0.25">
      <c r="A47" s="36"/>
      <c r="B47" s="31"/>
      <c r="C47" s="31"/>
      <c r="D47" s="32"/>
      <c r="H47" s="32"/>
      <c r="J47" s="32"/>
      <c r="K47" s="41"/>
      <c r="L47" s="32"/>
      <c r="N47" s="32"/>
      <c r="O47" s="41"/>
      <c r="P47" s="32"/>
      <c r="R47" s="32"/>
      <c r="S47" s="41"/>
    </row>
    <row r="48" spans="1:19" s="30" customFormat="1" x14ac:dyDescent="0.25">
      <c r="A48" s="36"/>
      <c r="B48" s="31"/>
      <c r="C48" s="31"/>
      <c r="D48" s="32"/>
      <c r="H48" s="32"/>
      <c r="J48" s="32"/>
      <c r="K48" s="41"/>
      <c r="L48" s="32"/>
      <c r="N48" s="32"/>
      <c r="O48" s="41"/>
      <c r="P48" s="32"/>
      <c r="R48" s="32"/>
      <c r="S48" s="41"/>
    </row>
    <row r="49" spans="1:19" s="30" customFormat="1" x14ac:dyDescent="0.25">
      <c r="A49" s="36"/>
      <c r="B49" s="31"/>
      <c r="C49" s="31"/>
      <c r="D49" s="32"/>
      <c r="H49" s="32"/>
      <c r="J49" s="32"/>
      <c r="K49" s="41"/>
      <c r="L49" s="32"/>
      <c r="N49" s="32"/>
      <c r="O49" s="41"/>
      <c r="P49" s="32"/>
      <c r="R49" s="32"/>
      <c r="S49" s="41"/>
    </row>
    <row r="50" spans="1:19" s="30" customFormat="1" x14ac:dyDescent="0.25">
      <c r="A50" s="36"/>
      <c r="B50" s="31"/>
      <c r="C50" s="31"/>
      <c r="D50" s="32"/>
      <c r="H50" s="32"/>
      <c r="J50" s="32"/>
      <c r="K50" s="41"/>
      <c r="L50" s="32"/>
      <c r="N50" s="32"/>
      <c r="O50" s="41"/>
      <c r="P50" s="32"/>
      <c r="R50" s="32"/>
      <c r="S50" s="41"/>
    </row>
    <row r="51" spans="1:19" s="30" customFormat="1" x14ac:dyDescent="0.25">
      <c r="A51" s="36"/>
      <c r="B51" s="31"/>
      <c r="C51" s="31"/>
      <c r="D51" s="32"/>
      <c r="H51" s="32"/>
      <c r="J51" s="32"/>
      <c r="K51" s="41"/>
      <c r="L51" s="32"/>
      <c r="N51" s="32"/>
      <c r="O51" s="41"/>
      <c r="P51" s="32"/>
      <c r="R51" s="32"/>
      <c r="S51" s="41"/>
    </row>
    <row r="52" spans="1:19" s="30" customFormat="1" x14ac:dyDescent="0.25">
      <c r="A52" s="36"/>
      <c r="B52" s="31"/>
      <c r="C52" s="31"/>
      <c r="D52" s="32"/>
      <c r="H52" s="32"/>
      <c r="J52" s="32"/>
      <c r="K52" s="41"/>
      <c r="L52" s="32"/>
      <c r="N52" s="32"/>
      <c r="O52" s="41"/>
      <c r="P52" s="32"/>
      <c r="R52" s="32"/>
      <c r="S52" s="41"/>
    </row>
    <row r="53" spans="1:19" s="30" customFormat="1" x14ac:dyDescent="0.25">
      <c r="A53" s="36"/>
      <c r="B53" s="31"/>
      <c r="C53" s="31"/>
      <c r="D53" s="32"/>
      <c r="H53" s="32"/>
      <c r="J53" s="32"/>
      <c r="K53" s="41"/>
      <c r="L53" s="32"/>
      <c r="N53" s="32"/>
      <c r="O53" s="41"/>
      <c r="P53" s="32"/>
      <c r="R53" s="32"/>
      <c r="S53" s="41"/>
    </row>
    <row r="54" spans="1:19" s="30" customFormat="1" x14ac:dyDescent="0.25">
      <c r="A54" s="36"/>
      <c r="B54" s="31"/>
      <c r="C54" s="31"/>
      <c r="D54" s="32"/>
      <c r="H54" s="32"/>
      <c r="J54" s="32"/>
      <c r="K54" s="41"/>
      <c r="L54" s="32"/>
      <c r="N54" s="32"/>
      <c r="O54" s="41"/>
      <c r="P54" s="32"/>
      <c r="R54" s="32"/>
      <c r="S54" s="41"/>
    </row>
    <row r="55" spans="1:19" s="30" customFormat="1" x14ac:dyDescent="0.25">
      <c r="A55" s="36"/>
      <c r="B55" s="31"/>
      <c r="C55" s="31"/>
      <c r="D55" s="32"/>
      <c r="H55" s="32"/>
      <c r="J55" s="32"/>
      <c r="K55" s="41"/>
      <c r="L55" s="32"/>
      <c r="N55" s="32"/>
      <c r="O55" s="41"/>
      <c r="P55" s="32"/>
      <c r="R55" s="32"/>
      <c r="S55" s="41"/>
    </row>
    <row r="56" spans="1:19" s="30" customFormat="1" x14ac:dyDescent="0.25">
      <c r="A56" s="36"/>
      <c r="B56" s="31"/>
      <c r="C56" s="31"/>
      <c r="D56" s="32"/>
      <c r="H56" s="32"/>
      <c r="J56" s="32"/>
      <c r="K56" s="41"/>
      <c r="L56" s="32"/>
      <c r="N56" s="32"/>
      <c r="O56" s="41"/>
      <c r="P56" s="32"/>
      <c r="R56" s="32"/>
      <c r="S56" s="41"/>
    </row>
    <row r="57" spans="1:19" s="30" customFormat="1" x14ac:dyDescent="0.25">
      <c r="A57" s="36"/>
      <c r="B57" s="31"/>
      <c r="C57" s="31"/>
      <c r="D57" s="32"/>
      <c r="H57" s="32"/>
      <c r="J57" s="32"/>
      <c r="K57" s="41"/>
      <c r="L57" s="32"/>
      <c r="N57" s="32"/>
      <c r="O57" s="41"/>
      <c r="P57" s="32"/>
      <c r="R57" s="32"/>
      <c r="S57" s="41"/>
    </row>
    <row r="58" spans="1:19" s="30" customFormat="1" x14ac:dyDescent="0.25">
      <c r="A58" s="36"/>
      <c r="B58" s="31"/>
      <c r="C58" s="31"/>
      <c r="D58" s="32"/>
      <c r="H58" s="32"/>
      <c r="J58" s="32"/>
      <c r="K58" s="41"/>
      <c r="L58" s="32"/>
      <c r="N58" s="32"/>
      <c r="O58" s="41"/>
      <c r="P58" s="32"/>
      <c r="R58" s="32"/>
      <c r="S58" s="41"/>
    </row>
    <row r="59" spans="1:19" s="30" customFormat="1" x14ac:dyDescent="0.25">
      <c r="A59" s="36"/>
      <c r="B59" s="31"/>
      <c r="C59" s="31"/>
      <c r="D59" s="32"/>
      <c r="H59" s="32"/>
      <c r="J59" s="32"/>
      <c r="K59" s="41"/>
      <c r="L59" s="32"/>
      <c r="N59" s="32"/>
      <c r="O59" s="41"/>
      <c r="P59" s="32"/>
      <c r="R59" s="32"/>
      <c r="S59" s="41"/>
    </row>
    <row r="60" spans="1:19" s="30" customFormat="1" x14ac:dyDescent="0.25">
      <c r="A60" s="36"/>
      <c r="B60" s="31"/>
      <c r="C60" s="31"/>
      <c r="D60" s="32"/>
      <c r="H60" s="32"/>
      <c r="J60" s="32"/>
      <c r="K60" s="41"/>
      <c r="L60" s="32"/>
      <c r="N60" s="32"/>
      <c r="O60" s="41"/>
      <c r="P60" s="32"/>
      <c r="R60" s="32"/>
      <c r="S60" s="41"/>
    </row>
    <row r="61" spans="1:19" s="30" customFormat="1" x14ac:dyDescent="0.25">
      <c r="A61" s="36"/>
      <c r="B61" s="31"/>
      <c r="C61" s="31"/>
      <c r="D61" s="32"/>
      <c r="H61" s="32"/>
      <c r="J61" s="32"/>
      <c r="K61" s="41"/>
      <c r="L61" s="32"/>
      <c r="N61" s="32"/>
      <c r="O61" s="41"/>
      <c r="P61" s="32"/>
      <c r="R61" s="32"/>
      <c r="S61" s="41"/>
    </row>
    <row r="62" spans="1:19" s="30" customFormat="1" x14ac:dyDescent="0.25">
      <c r="A62" s="36"/>
      <c r="B62" s="31"/>
      <c r="C62" s="31"/>
      <c r="D62" s="32"/>
      <c r="H62" s="32"/>
      <c r="J62" s="32"/>
      <c r="K62" s="41"/>
      <c r="L62" s="32"/>
      <c r="N62" s="32"/>
      <c r="O62" s="41"/>
      <c r="P62" s="32"/>
      <c r="R62" s="32"/>
      <c r="S62" s="41"/>
    </row>
    <row r="63" spans="1:19" s="30" customFormat="1" x14ac:dyDescent="0.25">
      <c r="A63" s="36"/>
      <c r="B63" s="31"/>
      <c r="C63" s="31"/>
      <c r="D63" s="32"/>
      <c r="H63" s="32"/>
      <c r="J63" s="32"/>
      <c r="K63" s="41"/>
      <c r="L63" s="32"/>
      <c r="N63" s="32"/>
      <c r="O63" s="41"/>
      <c r="P63" s="32"/>
      <c r="R63" s="32"/>
      <c r="S63" s="41"/>
    </row>
    <row r="64" spans="1:19" s="30" customFormat="1" x14ac:dyDescent="0.25">
      <c r="A64" s="36"/>
      <c r="B64" s="31"/>
      <c r="C64" s="31"/>
      <c r="D64" s="32"/>
      <c r="H64" s="32"/>
      <c r="J64" s="32"/>
      <c r="K64" s="41"/>
      <c r="L64" s="32"/>
      <c r="N64" s="32"/>
      <c r="O64" s="41"/>
      <c r="P64" s="32"/>
      <c r="R64" s="32"/>
      <c r="S64" s="41"/>
    </row>
    <row r="65" spans="1:19" s="30" customFormat="1" x14ac:dyDescent="0.25">
      <c r="A65" s="36"/>
      <c r="B65" s="31"/>
      <c r="C65" s="31"/>
      <c r="D65" s="32"/>
      <c r="H65" s="32"/>
      <c r="J65" s="32"/>
      <c r="K65" s="41"/>
      <c r="L65" s="32"/>
      <c r="N65" s="32"/>
      <c r="O65" s="41"/>
      <c r="P65" s="32"/>
      <c r="R65" s="32"/>
      <c r="S65" s="41"/>
    </row>
    <row r="66" spans="1:19" s="30" customFormat="1" x14ac:dyDescent="0.25">
      <c r="A66" s="36"/>
      <c r="B66" s="31"/>
      <c r="C66" s="31"/>
      <c r="D66" s="32"/>
      <c r="H66" s="32"/>
      <c r="J66" s="32"/>
      <c r="K66" s="41"/>
      <c r="L66" s="32"/>
      <c r="N66" s="32"/>
      <c r="O66" s="41"/>
      <c r="P66" s="32"/>
      <c r="R66" s="32"/>
      <c r="S66" s="41"/>
    </row>
    <row r="67" spans="1:19" s="30" customFormat="1" x14ac:dyDescent="0.25">
      <c r="A67" s="36"/>
      <c r="B67" s="31"/>
      <c r="C67" s="31"/>
      <c r="D67" s="32"/>
      <c r="H67" s="32"/>
      <c r="J67" s="32"/>
      <c r="K67" s="41"/>
      <c r="L67" s="32"/>
      <c r="N67" s="32"/>
      <c r="O67" s="41"/>
      <c r="P67" s="32"/>
      <c r="R67" s="32"/>
      <c r="S67" s="41"/>
    </row>
    <row r="68" spans="1:19" s="30" customFormat="1" x14ac:dyDescent="0.25">
      <c r="A68" s="36"/>
      <c r="B68" s="31"/>
      <c r="C68" s="31"/>
      <c r="D68" s="32"/>
      <c r="H68" s="32"/>
      <c r="J68" s="32"/>
      <c r="K68" s="41"/>
      <c r="L68" s="32"/>
      <c r="N68" s="32"/>
      <c r="O68" s="41"/>
      <c r="P68" s="32"/>
      <c r="R68" s="32"/>
      <c r="S68" s="41"/>
    </row>
    <row r="69" spans="1:19" s="30" customFormat="1" x14ac:dyDescent="0.25">
      <c r="A69" s="36"/>
      <c r="B69" s="31"/>
      <c r="C69" s="31"/>
      <c r="D69" s="32"/>
      <c r="H69" s="32"/>
      <c r="J69" s="32"/>
      <c r="K69" s="41"/>
      <c r="L69" s="32"/>
      <c r="N69" s="32"/>
      <c r="O69" s="41"/>
      <c r="P69" s="32"/>
      <c r="R69" s="32"/>
      <c r="S69" s="41"/>
    </row>
    <row r="70" spans="1:19" s="30" customFormat="1" x14ac:dyDescent="0.25">
      <c r="A70" s="36"/>
      <c r="B70" s="31"/>
      <c r="C70" s="31"/>
      <c r="D70" s="32"/>
      <c r="H70" s="32"/>
      <c r="J70" s="32"/>
      <c r="K70" s="41"/>
      <c r="L70" s="32"/>
      <c r="N70" s="32"/>
      <c r="O70" s="41"/>
      <c r="P70" s="32"/>
      <c r="R70" s="32"/>
      <c r="S70" s="41"/>
    </row>
    <row r="71" spans="1:19" s="30" customFormat="1" x14ac:dyDescent="0.25">
      <c r="A71" s="36"/>
      <c r="B71" s="31"/>
      <c r="C71" s="31"/>
      <c r="D71" s="32"/>
      <c r="H71" s="32"/>
      <c r="J71" s="32"/>
      <c r="K71" s="41"/>
      <c r="L71" s="32"/>
      <c r="N71" s="32"/>
      <c r="O71" s="41"/>
      <c r="P71" s="32"/>
      <c r="R71" s="32"/>
      <c r="S71" s="41"/>
    </row>
    <row r="72" spans="1:19" s="30" customFormat="1" x14ac:dyDescent="0.25">
      <c r="A72" s="36"/>
      <c r="B72" s="31"/>
      <c r="C72" s="31"/>
      <c r="D72" s="32"/>
      <c r="H72" s="32"/>
      <c r="J72" s="32"/>
      <c r="K72" s="41"/>
      <c r="L72" s="32"/>
      <c r="N72" s="32"/>
      <c r="O72" s="41"/>
      <c r="P72" s="32"/>
      <c r="R72" s="32"/>
      <c r="S72" s="41"/>
    </row>
    <row r="73" spans="1:19" s="30" customFormat="1" x14ac:dyDescent="0.25">
      <c r="A73" s="36"/>
      <c r="B73" s="31"/>
      <c r="C73" s="31"/>
      <c r="D73" s="32"/>
      <c r="H73" s="32"/>
      <c r="J73" s="32"/>
      <c r="K73" s="41"/>
      <c r="L73" s="32"/>
      <c r="N73" s="32"/>
      <c r="O73" s="41"/>
      <c r="P73" s="32"/>
      <c r="R73" s="32"/>
      <c r="S73" s="41"/>
    </row>
    <row r="74" spans="1:19" s="30" customFormat="1" x14ac:dyDescent="0.25">
      <c r="A74" s="36"/>
      <c r="B74" s="31"/>
      <c r="C74" s="31"/>
      <c r="D74" s="32"/>
      <c r="H74" s="32"/>
      <c r="J74" s="32"/>
      <c r="K74" s="41"/>
      <c r="L74" s="32"/>
      <c r="N74" s="32"/>
      <c r="O74" s="41"/>
      <c r="P74" s="32"/>
      <c r="R74" s="32"/>
      <c r="S74" s="41"/>
    </row>
    <row r="75" spans="1:19" s="30" customFormat="1" x14ac:dyDescent="0.25">
      <c r="A75" s="36"/>
      <c r="B75" s="31"/>
      <c r="C75" s="31"/>
      <c r="D75" s="32"/>
      <c r="H75" s="32"/>
      <c r="J75" s="32"/>
      <c r="K75" s="41"/>
      <c r="L75" s="32"/>
      <c r="N75" s="32"/>
      <c r="O75" s="41"/>
      <c r="P75" s="32"/>
      <c r="R75" s="32"/>
      <c r="S75" s="41"/>
    </row>
    <row r="76" spans="1:19" s="30" customFormat="1" x14ac:dyDescent="0.25">
      <c r="A76" s="36"/>
      <c r="B76" s="31"/>
      <c r="C76" s="31"/>
      <c r="D76" s="32"/>
      <c r="H76" s="32"/>
      <c r="J76" s="32"/>
      <c r="K76" s="41"/>
      <c r="L76" s="32"/>
      <c r="N76" s="32"/>
      <c r="O76" s="41"/>
      <c r="P76" s="32"/>
      <c r="R76" s="32"/>
      <c r="S76" s="41"/>
    </row>
    <row r="77" spans="1:19" s="30" customFormat="1" x14ac:dyDescent="0.25">
      <c r="A77" s="36"/>
      <c r="B77" s="31"/>
      <c r="C77" s="31"/>
      <c r="D77" s="32"/>
      <c r="H77" s="32"/>
      <c r="J77" s="32"/>
      <c r="K77" s="41"/>
      <c r="L77" s="32"/>
      <c r="N77" s="32"/>
      <c r="O77" s="41"/>
      <c r="P77" s="32"/>
      <c r="R77" s="32"/>
      <c r="S77" s="41"/>
    </row>
    <row r="78" spans="1:19" s="30" customFormat="1" x14ac:dyDescent="0.25">
      <c r="A78" s="36"/>
      <c r="B78" s="31"/>
      <c r="C78" s="31"/>
      <c r="D78" s="32"/>
      <c r="H78" s="32"/>
      <c r="J78" s="32"/>
      <c r="K78" s="41"/>
      <c r="L78" s="32"/>
      <c r="N78" s="32"/>
      <c r="O78" s="41"/>
      <c r="P78" s="32"/>
      <c r="R78" s="32"/>
      <c r="S78" s="41"/>
    </row>
    <row r="79" spans="1:19" s="30" customFormat="1" x14ac:dyDescent="0.25">
      <c r="A79" s="36"/>
      <c r="B79" s="31"/>
      <c r="C79" s="31"/>
      <c r="D79" s="32"/>
      <c r="H79" s="32"/>
      <c r="J79" s="32"/>
      <c r="K79" s="41"/>
      <c r="L79" s="32"/>
      <c r="N79" s="32"/>
      <c r="O79" s="41"/>
      <c r="P79" s="32"/>
      <c r="R79" s="32"/>
      <c r="S79" s="41"/>
    </row>
    <row r="80" spans="1:19" s="30" customFormat="1" x14ac:dyDescent="0.25">
      <c r="A80" s="36"/>
      <c r="B80" s="31"/>
      <c r="C80" s="31"/>
      <c r="D80" s="32"/>
      <c r="H80" s="32"/>
      <c r="J80" s="32"/>
      <c r="K80" s="41"/>
      <c r="L80" s="32"/>
      <c r="N80" s="32"/>
      <c r="O80" s="41"/>
      <c r="P80" s="32"/>
      <c r="R80" s="32"/>
      <c r="S80" s="41"/>
    </row>
    <row r="81" spans="1:19" s="30" customFormat="1" x14ac:dyDescent="0.25">
      <c r="A81" s="36"/>
      <c r="B81" s="31"/>
      <c r="C81" s="31"/>
      <c r="D81" s="32"/>
      <c r="H81" s="32"/>
      <c r="J81" s="32"/>
      <c r="K81" s="41"/>
      <c r="L81" s="32"/>
      <c r="N81" s="32"/>
      <c r="O81" s="41"/>
      <c r="P81" s="32"/>
      <c r="R81" s="32"/>
      <c r="S81" s="41"/>
    </row>
    <row r="82" spans="1:19" s="30" customFormat="1" x14ac:dyDescent="0.25">
      <c r="A82" s="36"/>
      <c r="B82" s="31"/>
      <c r="C82" s="31"/>
      <c r="D82" s="32"/>
      <c r="H82" s="32"/>
      <c r="J82" s="32"/>
      <c r="K82" s="41"/>
      <c r="L82" s="32"/>
      <c r="N82" s="32"/>
      <c r="O82" s="41"/>
      <c r="P82" s="32"/>
      <c r="R82" s="32"/>
      <c r="S82" s="41"/>
    </row>
    <row r="83" spans="1:19" s="30" customFormat="1" x14ac:dyDescent="0.25">
      <c r="A83" s="36"/>
      <c r="B83" s="31"/>
      <c r="C83" s="31"/>
      <c r="D83" s="32"/>
      <c r="H83" s="32"/>
      <c r="J83" s="32"/>
      <c r="K83" s="41"/>
      <c r="L83" s="32"/>
      <c r="N83" s="32"/>
      <c r="O83" s="41"/>
      <c r="P83" s="32"/>
      <c r="R83" s="32"/>
      <c r="S83" s="41"/>
    </row>
    <row r="84" spans="1:19" s="30" customFormat="1" x14ac:dyDescent="0.25">
      <c r="A84" s="36"/>
      <c r="B84" s="31"/>
      <c r="C84" s="31"/>
      <c r="D84" s="32"/>
      <c r="H84" s="32"/>
      <c r="J84" s="32"/>
      <c r="K84" s="41"/>
      <c r="L84" s="32"/>
      <c r="N84" s="32"/>
      <c r="O84" s="41"/>
      <c r="P84" s="32"/>
      <c r="R84" s="32"/>
      <c r="S84" s="41"/>
    </row>
    <row r="85" spans="1:19" s="30" customFormat="1" x14ac:dyDescent="0.25">
      <c r="A85" s="36"/>
      <c r="B85" s="31"/>
      <c r="C85" s="31"/>
      <c r="D85" s="32"/>
      <c r="H85" s="32"/>
      <c r="J85" s="32"/>
      <c r="K85" s="41"/>
      <c r="L85" s="32"/>
      <c r="N85" s="32"/>
      <c r="O85" s="41"/>
      <c r="P85" s="32"/>
      <c r="R85" s="32"/>
      <c r="S85" s="41"/>
    </row>
    <row r="86" spans="1:19" s="30" customFormat="1" x14ac:dyDescent="0.25">
      <c r="A86" s="36"/>
      <c r="B86" s="31"/>
      <c r="C86" s="31"/>
      <c r="D86" s="32"/>
      <c r="H86" s="32"/>
      <c r="J86" s="32"/>
      <c r="K86" s="41"/>
      <c r="L86" s="32"/>
      <c r="N86" s="32"/>
      <c r="O86" s="41"/>
      <c r="P86" s="32"/>
      <c r="R86" s="32"/>
      <c r="S86" s="41"/>
    </row>
    <row r="87" spans="1:19" s="30" customFormat="1" x14ac:dyDescent="0.25">
      <c r="A87" s="36"/>
      <c r="B87" s="31"/>
      <c r="C87" s="31"/>
      <c r="D87" s="32"/>
      <c r="H87" s="32"/>
      <c r="J87" s="32"/>
      <c r="K87" s="41"/>
      <c r="L87" s="32"/>
      <c r="N87" s="32"/>
      <c r="O87" s="41"/>
      <c r="P87" s="32"/>
      <c r="R87" s="32"/>
      <c r="S87" s="41"/>
    </row>
    <row r="88" spans="1:19" s="30" customFormat="1" x14ac:dyDescent="0.25">
      <c r="A88" s="36"/>
      <c r="B88" s="31"/>
      <c r="C88" s="31"/>
      <c r="D88" s="32"/>
      <c r="H88" s="32"/>
      <c r="J88" s="32"/>
      <c r="K88" s="41"/>
      <c r="L88" s="32"/>
      <c r="N88" s="32"/>
      <c r="O88" s="41"/>
      <c r="P88" s="32"/>
      <c r="R88" s="32"/>
      <c r="S88" s="41"/>
    </row>
    <row r="89" spans="1:19" s="30" customFormat="1" x14ac:dyDescent="0.25">
      <c r="A89" s="36"/>
      <c r="B89" s="31"/>
      <c r="C89" s="31"/>
      <c r="D89" s="32"/>
      <c r="H89" s="32"/>
      <c r="J89" s="32"/>
      <c r="K89" s="41"/>
      <c r="L89" s="32"/>
      <c r="N89" s="32"/>
      <c r="O89" s="41"/>
      <c r="P89" s="32"/>
      <c r="R89" s="32"/>
      <c r="S89" s="41"/>
    </row>
    <row r="90" spans="1:19" s="30" customFormat="1" x14ac:dyDescent="0.25">
      <c r="A90" s="36"/>
      <c r="B90" s="31"/>
      <c r="C90" s="31"/>
      <c r="D90" s="32"/>
      <c r="H90" s="32"/>
      <c r="J90" s="32"/>
      <c r="K90" s="41"/>
      <c r="L90" s="32"/>
      <c r="N90" s="32"/>
      <c r="O90" s="41"/>
      <c r="P90" s="32"/>
      <c r="R90" s="32"/>
      <c r="S90" s="41"/>
    </row>
    <row r="91" spans="1:19" s="30" customFormat="1" x14ac:dyDescent="0.25">
      <c r="A91" s="36"/>
      <c r="B91" s="31"/>
      <c r="C91" s="31"/>
      <c r="D91" s="32"/>
      <c r="H91" s="32"/>
      <c r="J91" s="32"/>
      <c r="K91" s="41"/>
      <c r="L91" s="32"/>
      <c r="N91" s="32"/>
      <c r="O91" s="41"/>
      <c r="P91" s="32"/>
      <c r="R91" s="32"/>
      <c r="S91" s="41"/>
    </row>
    <row r="92" spans="1:19" s="30" customFormat="1" x14ac:dyDescent="0.25">
      <c r="A92" s="36"/>
      <c r="B92" s="31"/>
      <c r="C92" s="31"/>
      <c r="D92" s="32"/>
      <c r="H92" s="32"/>
      <c r="J92" s="32"/>
      <c r="K92" s="41"/>
      <c r="L92" s="32"/>
      <c r="N92" s="32"/>
      <c r="O92" s="41"/>
      <c r="P92" s="32"/>
      <c r="R92" s="32"/>
      <c r="S92" s="41"/>
    </row>
    <row r="93" spans="1:19" s="30" customFormat="1" x14ac:dyDescent="0.25">
      <c r="A93" s="36"/>
      <c r="B93" s="31"/>
      <c r="C93" s="31"/>
      <c r="D93" s="32"/>
      <c r="H93" s="32"/>
      <c r="J93" s="32"/>
      <c r="K93" s="41"/>
      <c r="L93" s="32"/>
      <c r="N93" s="32"/>
      <c r="O93" s="41"/>
      <c r="P93" s="32"/>
      <c r="R93" s="32"/>
      <c r="S93" s="41"/>
    </row>
    <row r="94" spans="1:19" s="30" customFormat="1" x14ac:dyDescent="0.25">
      <c r="A94" s="36"/>
      <c r="B94" s="31"/>
      <c r="C94" s="31"/>
      <c r="D94" s="32"/>
      <c r="H94" s="32"/>
      <c r="J94" s="32"/>
      <c r="K94" s="41"/>
      <c r="L94" s="32"/>
      <c r="N94" s="32"/>
      <c r="O94" s="41"/>
      <c r="P94" s="32"/>
      <c r="R94" s="32"/>
      <c r="S94" s="41"/>
    </row>
    <row r="95" spans="1:19" s="30" customFormat="1" x14ac:dyDescent="0.25">
      <c r="A95" s="36"/>
      <c r="B95" s="31"/>
      <c r="C95" s="31"/>
      <c r="D95" s="32"/>
      <c r="H95" s="32"/>
      <c r="J95" s="32"/>
      <c r="K95" s="41"/>
      <c r="L95" s="32"/>
      <c r="N95" s="32"/>
      <c r="O95" s="41"/>
      <c r="P95" s="32"/>
      <c r="R95" s="32"/>
      <c r="S95" s="41"/>
    </row>
    <row r="96" spans="1:19" s="30" customFormat="1" x14ac:dyDescent="0.25">
      <c r="A96" s="36"/>
      <c r="B96" s="31"/>
      <c r="C96" s="31"/>
      <c r="D96" s="32"/>
      <c r="H96" s="32"/>
      <c r="J96" s="32"/>
      <c r="K96" s="41"/>
      <c r="L96" s="32"/>
      <c r="N96" s="32"/>
      <c r="O96" s="41"/>
      <c r="P96" s="32"/>
      <c r="R96" s="32"/>
      <c r="S96" s="41"/>
    </row>
    <row r="97" spans="1:19" s="30" customFormat="1" x14ac:dyDescent="0.25">
      <c r="A97" s="36"/>
      <c r="B97" s="31"/>
      <c r="C97" s="31"/>
      <c r="D97" s="32"/>
      <c r="H97" s="32"/>
      <c r="J97" s="32"/>
      <c r="K97" s="41"/>
      <c r="L97" s="32"/>
      <c r="N97" s="32"/>
      <c r="O97" s="41"/>
      <c r="P97" s="32"/>
      <c r="R97" s="32"/>
      <c r="S97" s="41"/>
    </row>
    <row r="98" spans="1:19" s="30" customFormat="1" x14ac:dyDescent="0.25">
      <c r="A98" s="36"/>
      <c r="B98" s="31"/>
      <c r="C98" s="31"/>
      <c r="D98" s="32"/>
      <c r="H98" s="32"/>
      <c r="J98" s="32"/>
      <c r="K98" s="41"/>
      <c r="L98" s="32"/>
      <c r="N98" s="32"/>
      <c r="O98" s="41"/>
      <c r="P98" s="32"/>
      <c r="R98" s="32"/>
      <c r="S98" s="41"/>
    </row>
    <row r="99" spans="1:19" s="30" customFormat="1" x14ac:dyDescent="0.25">
      <c r="A99" s="36"/>
      <c r="B99" s="31"/>
      <c r="C99" s="31"/>
      <c r="D99" s="32"/>
      <c r="H99" s="32"/>
      <c r="J99" s="32"/>
      <c r="K99" s="41"/>
      <c r="L99" s="32"/>
      <c r="N99" s="32"/>
      <c r="O99" s="41"/>
      <c r="P99" s="32"/>
      <c r="R99" s="32"/>
      <c r="S99" s="41"/>
    </row>
    <row r="100" spans="1:19" s="30" customFormat="1" x14ac:dyDescent="0.25">
      <c r="A100" s="36"/>
      <c r="B100" s="31"/>
      <c r="C100" s="31"/>
      <c r="D100" s="32"/>
      <c r="H100" s="32"/>
      <c r="J100" s="32"/>
      <c r="K100" s="41"/>
      <c r="L100" s="32"/>
      <c r="N100" s="32"/>
      <c r="O100" s="41"/>
      <c r="P100" s="32"/>
      <c r="R100" s="32"/>
      <c r="S100" s="41"/>
    </row>
    <row r="101" spans="1:19" s="30" customFormat="1" x14ac:dyDescent="0.25">
      <c r="A101" s="36"/>
      <c r="B101" s="31"/>
      <c r="C101" s="31"/>
      <c r="D101" s="32"/>
      <c r="H101" s="32"/>
      <c r="J101" s="32"/>
      <c r="K101" s="41"/>
      <c r="L101" s="32"/>
      <c r="N101" s="32"/>
      <c r="O101" s="41"/>
      <c r="P101" s="32"/>
      <c r="R101" s="32"/>
      <c r="S101" s="41"/>
    </row>
    <row r="102" spans="1:19" s="30" customFormat="1" x14ac:dyDescent="0.25">
      <c r="A102" s="36"/>
      <c r="B102" s="31"/>
      <c r="C102" s="31"/>
      <c r="D102" s="32"/>
      <c r="H102" s="32"/>
      <c r="J102" s="32"/>
      <c r="K102" s="41"/>
      <c r="L102" s="32"/>
      <c r="N102" s="32"/>
      <c r="O102" s="41"/>
      <c r="P102" s="32"/>
      <c r="R102" s="32"/>
      <c r="S102" s="41"/>
    </row>
    <row r="103" spans="1:19" s="30" customFormat="1" x14ac:dyDescent="0.25">
      <c r="A103" s="36"/>
      <c r="B103" s="31"/>
      <c r="C103" s="31"/>
      <c r="D103" s="32"/>
      <c r="H103" s="32"/>
      <c r="J103" s="32"/>
      <c r="K103" s="41"/>
      <c r="L103" s="32"/>
      <c r="N103" s="32"/>
      <c r="O103" s="41"/>
      <c r="P103" s="32"/>
      <c r="R103" s="32"/>
      <c r="S103" s="41"/>
    </row>
    <row r="104" spans="1:19" s="30" customFormat="1" x14ac:dyDescent="0.25">
      <c r="A104" s="36"/>
      <c r="B104" s="31"/>
      <c r="C104" s="31"/>
      <c r="D104" s="32"/>
      <c r="H104" s="32"/>
      <c r="J104" s="32"/>
      <c r="K104" s="41"/>
      <c r="L104" s="32"/>
      <c r="N104" s="32"/>
      <c r="O104" s="41"/>
      <c r="P104" s="32"/>
      <c r="R104" s="32"/>
      <c r="S104" s="41"/>
    </row>
    <row r="105" spans="1:19" s="30" customFormat="1" x14ac:dyDescent="0.25">
      <c r="A105" s="36"/>
      <c r="B105" s="31"/>
      <c r="C105" s="31"/>
      <c r="D105" s="32"/>
      <c r="H105" s="32"/>
      <c r="J105" s="32"/>
      <c r="K105" s="41"/>
      <c r="L105" s="32"/>
      <c r="N105" s="32"/>
      <c r="O105" s="41"/>
      <c r="P105" s="32"/>
      <c r="R105" s="32"/>
      <c r="S105" s="41"/>
    </row>
    <row r="106" spans="1:19" s="30" customFormat="1" x14ac:dyDescent="0.25">
      <c r="A106" s="36"/>
      <c r="B106" s="31"/>
      <c r="C106" s="31"/>
      <c r="D106" s="32"/>
      <c r="H106" s="32"/>
      <c r="J106" s="32"/>
      <c r="K106" s="41"/>
      <c r="L106" s="32"/>
      <c r="N106" s="32"/>
      <c r="O106" s="41"/>
      <c r="P106" s="32"/>
      <c r="R106" s="32"/>
      <c r="S106" s="41"/>
    </row>
    <row r="107" spans="1:19" s="30" customFormat="1" x14ac:dyDescent="0.25">
      <c r="A107" s="36"/>
      <c r="B107" s="31"/>
      <c r="C107" s="31"/>
      <c r="D107" s="32"/>
      <c r="H107" s="32"/>
      <c r="J107" s="32"/>
      <c r="K107" s="41"/>
      <c r="L107" s="32"/>
      <c r="N107" s="32"/>
      <c r="O107" s="41"/>
      <c r="P107" s="32"/>
      <c r="R107" s="32"/>
      <c r="S107" s="41"/>
    </row>
    <row r="108" spans="1:19" s="30" customFormat="1" x14ac:dyDescent="0.25">
      <c r="A108" s="36"/>
      <c r="B108" s="31"/>
      <c r="C108" s="31"/>
      <c r="D108" s="32"/>
      <c r="H108" s="32"/>
      <c r="J108" s="32"/>
      <c r="K108" s="41"/>
      <c r="L108" s="32"/>
      <c r="N108" s="32"/>
      <c r="O108" s="41"/>
      <c r="P108" s="32"/>
      <c r="R108" s="32"/>
      <c r="S108" s="41"/>
    </row>
    <row r="109" spans="1:19" s="30" customFormat="1" x14ac:dyDescent="0.25">
      <c r="A109" s="36"/>
      <c r="B109" s="31"/>
      <c r="C109" s="31"/>
      <c r="D109" s="32"/>
      <c r="H109" s="32"/>
      <c r="J109" s="32"/>
      <c r="K109" s="41"/>
      <c r="L109" s="32"/>
      <c r="N109" s="32"/>
      <c r="O109" s="41"/>
      <c r="P109" s="32"/>
      <c r="R109" s="32"/>
      <c r="S109" s="41"/>
    </row>
    <row r="110" spans="1:19" s="30" customFormat="1" x14ac:dyDescent="0.25">
      <c r="A110" s="36"/>
      <c r="B110" s="31"/>
      <c r="C110" s="31"/>
      <c r="D110" s="32"/>
      <c r="H110" s="32"/>
      <c r="J110" s="32"/>
      <c r="K110" s="41"/>
      <c r="L110" s="32"/>
      <c r="N110" s="32"/>
      <c r="O110" s="41"/>
      <c r="P110" s="32"/>
      <c r="R110" s="32"/>
      <c r="S110" s="41"/>
    </row>
    <row r="111" spans="1:19" s="30" customFormat="1" x14ac:dyDescent="0.25">
      <c r="A111" s="36"/>
      <c r="B111" s="31"/>
      <c r="C111" s="31"/>
      <c r="D111" s="32"/>
      <c r="H111" s="32"/>
      <c r="J111" s="32"/>
      <c r="K111" s="41"/>
      <c r="L111" s="32"/>
      <c r="N111" s="32"/>
      <c r="O111" s="41"/>
      <c r="P111" s="32"/>
      <c r="R111" s="32"/>
      <c r="S111" s="41"/>
    </row>
    <row r="112" spans="1:19" s="30" customFormat="1" x14ac:dyDescent="0.25">
      <c r="A112" s="36"/>
      <c r="B112" s="31"/>
      <c r="C112" s="31"/>
      <c r="D112" s="32"/>
      <c r="H112" s="32"/>
      <c r="J112" s="32"/>
      <c r="K112" s="41"/>
      <c r="L112" s="32"/>
      <c r="N112" s="32"/>
      <c r="O112" s="41"/>
      <c r="P112" s="32"/>
      <c r="R112" s="32"/>
      <c r="S112" s="41"/>
    </row>
    <row r="113" spans="1:19" s="30" customFormat="1" x14ac:dyDescent="0.25">
      <c r="A113" s="36"/>
      <c r="B113" s="31"/>
      <c r="C113" s="31"/>
      <c r="D113" s="32"/>
      <c r="H113" s="32"/>
      <c r="J113" s="32"/>
      <c r="K113" s="41"/>
      <c r="L113" s="32"/>
      <c r="N113" s="32"/>
      <c r="O113" s="41"/>
      <c r="P113" s="32"/>
      <c r="R113" s="32"/>
      <c r="S113" s="41"/>
    </row>
    <row r="114" spans="1:19" s="30" customFormat="1" x14ac:dyDescent="0.25">
      <c r="A114" s="36"/>
      <c r="B114" s="31"/>
      <c r="C114" s="31"/>
      <c r="D114" s="32"/>
      <c r="H114" s="32"/>
      <c r="J114" s="32"/>
      <c r="K114" s="41"/>
      <c r="L114" s="32"/>
      <c r="N114" s="32"/>
      <c r="O114" s="41"/>
      <c r="P114" s="32"/>
      <c r="R114" s="32"/>
      <c r="S114" s="41"/>
    </row>
    <row r="115" spans="1:19" s="30" customFormat="1" x14ac:dyDescent="0.25">
      <c r="A115" s="36"/>
      <c r="B115" s="31"/>
      <c r="C115" s="31"/>
      <c r="D115" s="32"/>
      <c r="H115" s="32"/>
      <c r="J115" s="32"/>
      <c r="K115" s="41"/>
      <c r="L115" s="32"/>
      <c r="N115" s="32"/>
      <c r="O115" s="41"/>
      <c r="P115" s="32"/>
      <c r="R115" s="32"/>
      <c r="S115" s="41"/>
    </row>
    <row r="116" spans="1:19" s="30" customFormat="1" x14ac:dyDescent="0.25">
      <c r="A116" s="36"/>
      <c r="B116" s="31"/>
      <c r="C116" s="31"/>
      <c r="D116" s="32"/>
      <c r="H116" s="32"/>
      <c r="J116" s="32"/>
      <c r="K116" s="41"/>
      <c r="L116" s="32"/>
      <c r="N116" s="32"/>
      <c r="O116" s="41"/>
      <c r="P116" s="32"/>
      <c r="R116" s="32"/>
      <c r="S116" s="41"/>
    </row>
    <row r="117" spans="1:19" s="30" customFormat="1" x14ac:dyDescent="0.25">
      <c r="A117" s="36"/>
      <c r="B117" s="31"/>
      <c r="C117" s="31"/>
      <c r="D117" s="32"/>
      <c r="H117" s="32"/>
      <c r="J117" s="32"/>
      <c r="K117" s="41"/>
      <c r="L117" s="32"/>
      <c r="N117" s="32"/>
      <c r="O117" s="41"/>
      <c r="P117" s="32"/>
      <c r="R117" s="32"/>
      <c r="S117" s="41"/>
    </row>
    <row r="118" spans="1:19" s="30" customFormat="1" x14ac:dyDescent="0.25">
      <c r="A118" s="36"/>
      <c r="B118" s="31"/>
      <c r="C118" s="31"/>
      <c r="D118" s="32"/>
      <c r="H118" s="32"/>
      <c r="J118" s="32"/>
      <c r="K118" s="41"/>
      <c r="L118" s="32"/>
      <c r="N118" s="32"/>
      <c r="O118" s="41"/>
      <c r="P118" s="32"/>
      <c r="R118" s="32"/>
      <c r="S118" s="41"/>
    </row>
    <row r="119" spans="1:19" s="30" customFormat="1" x14ac:dyDescent="0.25">
      <c r="A119" s="36"/>
      <c r="B119" s="31"/>
      <c r="C119" s="31"/>
      <c r="D119" s="32"/>
      <c r="H119" s="32"/>
      <c r="J119" s="32"/>
      <c r="K119" s="41"/>
      <c r="L119" s="32"/>
      <c r="N119" s="32"/>
      <c r="O119" s="41"/>
      <c r="P119" s="32"/>
      <c r="R119" s="32"/>
      <c r="S119" s="41"/>
    </row>
    <row r="120" spans="1:19" s="30" customFormat="1" x14ac:dyDescent="0.25">
      <c r="A120" s="36"/>
      <c r="B120" s="31"/>
      <c r="C120" s="31"/>
      <c r="D120" s="32"/>
      <c r="H120" s="32"/>
      <c r="J120" s="32"/>
      <c r="K120" s="41"/>
      <c r="L120" s="32"/>
      <c r="N120" s="32"/>
      <c r="O120" s="41"/>
      <c r="P120" s="32"/>
      <c r="R120" s="32"/>
      <c r="S120" s="41"/>
    </row>
    <row r="121" spans="1:19" s="30" customFormat="1" x14ac:dyDescent="0.25">
      <c r="A121" s="36"/>
      <c r="B121" s="31"/>
      <c r="C121" s="31"/>
      <c r="D121" s="32"/>
      <c r="H121" s="32"/>
      <c r="J121" s="32"/>
      <c r="K121" s="41"/>
      <c r="L121" s="32"/>
      <c r="N121" s="32"/>
      <c r="O121" s="41"/>
      <c r="P121" s="32"/>
      <c r="R121" s="32"/>
      <c r="S121" s="41"/>
    </row>
    <row r="122" spans="1:19" s="30" customFormat="1" x14ac:dyDescent="0.25">
      <c r="A122" s="36"/>
      <c r="B122" s="31"/>
      <c r="C122" s="31"/>
      <c r="D122" s="32"/>
      <c r="H122" s="32"/>
      <c r="J122" s="32"/>
      <c r="K122" s="41"/>
      <c r="L122" s="32"/>
      <c r="N122" s="32"/>
      <c r="O122" s="41"/>
      <c r="P122" s="32"/>
      <c r="R122" s="32"/>
      <c r="S122" s="41"/>
    </row>
    <row r="123" spans="1:19" s="30" customFormat="1" x14ac:dyDescent="0.25">
      <c r="A123" s="36"/>
      <c r="B123" s="31"/>
      <c r="C123" s="31"/>
      <c r="D123" s="32"/>
      <c r="H123" s="32"/>
      <c r="J123" s="32"/>
      <c r="K123" s="41"/>
      <c r="L123" s="32"/>
      <c r="N123" s="32"/>
      <c r="O123" s="41"/>
      <c r="P123" s="32"/>
      <c r="R123" s="32"/>
      <c r="S123" s="41"/>
    </row>
    <row r="124" spans="1:19" s="30" customFormat="1" x14ac:dyDescent="0.25">
      <c r="A124" s="36"/>
      <c r="B124" s="31"/>
      <c r="C124" s="31"/>
      <c r="D124" s="32"/>
      <c r="H124" s="32"/>
      <c r="J124" s="32"/>
      <c r="K124" s="41"/>
      <c r="L124" s="32"/>
      <c r="N124" s="32"/>
      <c r="O124" s="41"/>
      <c r="P124" s="32"/>
      <c r="R124" s="32"/>
      <c r="S124" s="41"/>
    </row>
    <row r="125" spans="1:19" s="30" customFormat="1" x14ac:dyDescent="0.25">
      <c r="A125" s="36"/>
      <c r="B125" s="31"/>
      <c r="C125" s="31"/>
      <c r="D125" s="32"/>
      <c r="H125" s="32"/>
      <c r="J125" s="32"/>
      <c r="K125" s="41"/>
      <c r="L125" s="32"/>
      <c r="N125" s="32"/>
      <c r="O125" s="41"/>
      <c r="P125" s="32"/>
      <c r="R125" s="32"/>
      <c r="S125" s="41"/>
    </row>
    <row r="126" spans="1:19" s="30" customFormat="1" x14ac:dyDescent="0.25">
      <c r="A126" s="36"/>
      <c r="B126" s="31"/>
      <c r="C126" s="31"/>
      <c r="D126" s="32"/>
      <c r="H126" s="32"/>
      <c r="J126" s="32"/>
      <c r="K126" s="41"/>
      <c r="L126" s="32"/>
      <c r="N126" s="32"/>
      <c r="O126" s="41"/>
      <c r="P126" s="32"/>
      <c r="R126" s="32"/>
      <c r="S126" s="41"/>
    </row>
    <row r="127" spans="1:19" s="30" customFormat="1" x14ac:dyDescent="0.25">
      <c r="A127" s="36"/>
      <c r="B127" s="31"/>
      <c r="C127" s="31"/>
      <c r="D127" s="32"/>
      <c r="H127" s="32"/>
      <c r="J127" s="32"/>
      <c r="K127" s="41"/>
      <c r="L127" s="32"/>
      <c r="N127" s="32"/>
      <c r="O127" s="41"/>
      <c r="P127" s="32"/>
      <c r="R127" s="32"/>
      <c r="S127" s="41"/>
    </row>
    <row r="128" spans="1:19" s="30" customFormat="1" x14ac:dyDescent="0.25">
      <c r="A128" s="36"/>
      <c r="B128" s="31"/>
      <c r="C128" s="31"/>
      <c r="D128" s="32"/>
      <c r="H128" s="32"/>
      <c r="J128" s="32"/>
      <c r="K128" s="41"/>
      <c r="L128" s="32"/>
      <c r="N128" s="32"/>
      <c r="O128" s="41"/>
      <c r="P128" s="32"/>
      <c r="R128" s="32"/>
      <c r="S128" s="41"/>
    </row>
    <row r="129" spans="1:19" s="30" customFormat="1" x14ac:dyDescent="0.25">
      <c r="A129" s="36"/>
      <c r="B129" s="31"/>
      <c r="C129" s="31"/>
      <c r="D129" s="32"/>
      <c r="H129" s="32"/>
      <c r="J129" s="32"/>
      <c r="K129" s="41"/>
      <c r="L129" s="32"/>
      <c r="N129" s="32"/>
      <c r="O129" s="41"/>
      <c r="P129" s="32"/>
      <c r="R129" s="32"/>
      <c r="S129" s="41"/>
    </row>
    <row r="130" spans="1:19" s="30" customFormat="1" x14ac:dyDescent="0.25">
      <c r="A130" s="36"/>
      <c r="B130" s="31"/>
      <c r="C130" s="31"/>
      <c r="D130" s="32"/>
      <c r="H130" s="32"/>
      <c r="J130" s="32"/>
      <c r="K130" s="41"/>
      <c r="L130" s="32"/>
      <c r="N130" s="32"/>
      <c r="O130" s="41"/>
      <c r="P130" s="32"/>
      <c r="R130" s="32"/>
      <c r="S130" s="41"/>
    </row>
    <row r="131" spans="1:19" s="30" customFormat="1" x14ac:dyDescent="0.25">
      <c r="A131" s="36"/>
      <c r="B131" s="31"/>
      <c r="C131" s="31"/>
      <c r="D131" s="32"/>
      <c r="H131" s="32"/>
      <c r="J131" s="32"/>
      <c r="K131" s="41"/>
      <c r="L131" s="32"/>
      <c r="N131" s="32"/>
      <c r="O131" s="41"/>
      <c r="P131" s="32"/>
      <c r="R131" s="32"/>
      <c r="S131" s="41"/>
    </row>
    <row r="132" spans="1:19" s="30" customFormat="1" x14ac:dyDescent="0.25">
      <c r="A132" s="36"/>
      <c r="B132" s="31"/>
      <c r="C132" s="31"/>
      <c r="D132" s="32"/>
      <c r="H132" s="32"/>
      <c r="J132" s="32"/>
      <c r="K132" s="41"/>
      <c r="L132" s="32"/>
      <c r="N132" s="32"/>
      <c r="O132" s="41"/>
      <c r="P132" s="32"/>
      <c r="R132" s="32"/>
      <c r="S132" s="41"/>
    </row>
    <row r="133" spans="1:19" s="30" customFormat="1" x14ac:dyDescent="0.25">
      <c r="A133" s="36"/>
      <c r="B133" s="31"/>
      <c r="C133" s="31"/>
      <c r="D133" s="32"/>
      <c r="H133" s="32"/>
      <c r="J133" s="32"/>
      <c r="K133" s="41"/>
      <c r="L133" s="32"/>
      <c r="N133" s="32"/>
      <c r="O133" s="41"/>
      <c r="P133" s="32"/>
      <c r="R133" s="32"/>
      <c r="S133" s="41"/>
    </row>
    <row r="134" spans="1:19" s="30" customFormat="1" x14ac:dyDescent="0.25">
      <c r="A134" s="36"/>
      <c r="B134" s="31"/>
      <c r="C134" s="31"/>
      <c r="D134" s="32"/>
      <c r="H134" s="32"/>
      <c r="J134" s="32"/>
      <c r="K134" s="41"/>
      <c r="L134" s="32"/>
      <c r="N134" s="32"/>
      <c r="O134" s="41"/>
      <c r="P134" s="32"/>
      <c r="R134" s="32"/>
      <c r="S134" s="41"/>
    </row>
    <row r="135" spans="1:19" s="30" customFormat="1" x14ac:dyDescent="0.25">
      <c r="A135" s="36"/>
      <c r="B135" s="31"/>
      <c r="C135" s="31"/>
      <c r="D135" s="32"/>
      <c r="H135" s="32"/>
      <c r="J135" s="32"/>
      <c r="K135" s="41"/>
      <c r="L135" s="32"/>
      <c r="N135" s="32"/>
      <c r="O135" s="41"/>
      <c r="P135" s="32"/>
      <c r="R135" s="32"/>
      <c r="S135" s="41"/>
    </row>
    <row r="136" spans="1:19" s="30" customFormat="1" x14ac:dyDescent="0.25">
      <c r="A136" s="36"/>
      <c r="B136" s="31"/>
      <c r="C136" s="31"/>
      <c r="D136" s="32"/>
      <c r="H136" s="32"/>
      <c r="J136" s="32"/>
      <c r="K136" s="41"/>
      <c r="L136" s="32"/>
      <c r="N136" s="32"/>
      <c r="O136" s="41"/>
      <c r="P136" s="32"/>
      <c r="R136" s="32"/>
      <c r="S136" s="41"/>
    </row>
    <row r="137" spans="1:19" s="30" customFormat="1" x14ac:dyDescent="0.25">
      <c r="A137" s="36"/>
      <c r="B137" s="31"/>
      <c r="C137" s="31"/>
      <c r="D137" s="32"/>
      <c r="H137" s="32"/>
      <c r="J137" s="32"/>
      <c r="K137" s="41"/>
      <c r="L137" s="32"/>
      <c r="N137" s="32"/>
      <c r="O137" s="41"/>
      <c r="P137" s="32"/>
      <c r="R137" s="32"/>
      <c r="S137" s="41"/>
    </row>
    <row r="138" spans="1:19" s="30" customFormat="1" x14ac:dyDescent="0.25">
      <c r="A138" s="36"/>
      <c r="B138" s="31"/>
      <c r="C138" s="31"/>
      <c r="D138" s="32"/>
      <c r="H138" s="32"/>
      <c r="J138" s="32"/>
      <c r="K138" s="41"/>
      <c r="L138" s="32"/>
      <c r="N138" s="32"/>
      <c r="O138" s="41"/>
      <c r="P138" s="32"/>
      <c r="R138" s="32"/>
      <c r="S138" s="41"/>
    </row>
    <row r="139" spans="1:19" s="30" customFormat="1" x14ac:dyDescent="0.25">
      <c r="A139" s="36"/>
      <c r="B139" s="31"/>
      <c r="C139" s="31"/>
      <c r="D139" s="32"/>
      <c r="H139" s="32"/>
      <c r="J139" s="32"/>
      <c r="K139" s="41"/>
      <c r="L139" s="32"/>
      <c r="N139" s="32"/>
      <c r="O139" s="41"/>
      <c r="P139" s="32"/>
      <c r="R139" s="32"/>
      <c r="S139" s="41"/>
    </row>
    <row r="140" spans="1:19" s="30" customFormat="1" x14ac:dyDescent="0.25">
      <c r="A140" s="36"/>
      <c r="B140" s="31"/>
      <c r="C140" s="31"/>
      <c r="D140" s="32"/>
      <c r="H140" s="32"/>
      <c r="J140" s="32"/>
      <c r="K140" s="41"/>
      <c r="L140" s="32"/>
      <c r="N140" s="32"/>
      <c r="O140" s="41"/>
      <c r="P140" s="32"/>
      <c r="R140" s="32"/>
      <c r="S140" s="41"/>
    </row>
    <row r="141" spans="1:19" s="30" customFormat="1" x14ac:dyDescent="0.25">
      <c r="A141" s="36"/>
      <c r="B141" s="31"/>
      <c r="C141" s="31"/>
      <c r="D141" s="32"/>
      <c r="H141" s="32"/>
      <c r="J141" s="32"/>
      <c r="K141" s="41"/>
      <c r="L141" s="32"/>
      <c r="N141" s="32"/>
      <c r="O141" s="41"/>
      <c r="P141" s="32"/>
      <c r="R141" s="32"/>
      <c r="S141" s="41"/>
    </row>
    <row r="142" spans="1:19" s="30" customFormat="1" x14ac:dyDescent="0.25">
      <c r="A142" s="36"/>
      <c r="B142" s="31"/>
      <c r="C142" s="31"/>
      <c r="D142" s="32"/>
      <c r="H142" s="32"/>
      <c r="J142" s="32"/>
      <c r="K142" s="41"/>
      <c r="L142" s="32"/>
      <c r="N142" s="32"/>
      <c r="O142" s="41"/>
      <c r="P142" s="32"/>
      <c r="R142" s="32"/>
      <c r="S142" s="41"/>
    </row>
    <row r="143" spans="1:19" s="30" customFormat="1" x14ac:dyDescent="0.25">
      <c r="A143" s="36"/>
      <c r="B143" s="31"/>
      <c r="C143" s="31"/>
      <c r="D143" s="32"/>
      <c r="H143" s="32"/>
      <c r="J143" s="32"/>
      <c r="K143" s="41"/>
      <c r="L143" s="32"/>
      <c r="N143" s="32"/>
      <c r="O143" s="41"/>
      <c r="P143" s="32"/>
      <c r="R143" s="32"/>
      <c r="S143" s="41"/>
    </row>
    <row r="144" spans="1:19" s="30" customFormat="1" x14ac:dyDescent="0.25">
      <c r="A144" s="36"/>
      <c r="B144" s="31"/>
      <c r="C144" s="31"/>
      <c r="D144" s="32"/>
      <c r="H144" s="32"/>
      <c r="J144" s="32"/>
      <c r="K144" s="41"/>
      <c r="L144" s="32"/>
      <c r="N144" s="32"/>
      <c r="O144" s="41"/>
      <c r="P144" s="32"/>
      <c r="R144" s="32"/>
      <c r="S144" s="41"/>
    </row>
    <row r="145" spans="1:19" s="30" customFormat="1" x14ac:dyDescent="0.25">
      <c r="A145" s="36"/>
      <c r="B145" s="31"/>
      <c r="C145" s="31"/>
      <c r="D145" s="32"/>
      <c r="H145" s="32"/>
      <c r="J145" s="32"/>
      <c r="K145" s="41"/>
      <c r="L145" s="32"/>
      <c r="N145" s="32"/>
      <c r="O145" s="41"/>
      <c r="P145" s="32"/>
      <c r="R145" s="32"/>
      <c r="S145" s="41"/>
    </row>
    <row r="146" spans="1:19" s="30" customFormat="1" x14ac:dyDescent="0.25">
      <c r="A146" s="36"/>
      <c r="B146" s="31"/>
      <c r="C146" s="31"/>
      <c r="D146" s="32"/>
      <c r="H146" s="32"/>
      <c r="J146" s="32"/>
      <c r="K146" s="41"/>
      <c r="L146" s="32"/>
      <c r="N146" s="32"/>
      <c r="O146" s="41"/>
      <c r="P146" s="32"/>
      <c r="R146" s="32"/>
      <c r="S146" s="41"/>
    </row>
    <row r="147" spans="1:19" s="30" customFormat="1" x14ac:dyDescent="0.25">
      <c r="A147" s="36"/>
      <c r="B147" s="31"/>
      <c r="C147" s="31"/>
      <c r="D147" s="32"/>
      <c r="H147" s="32"/>
      <c r="J147" s="32"/>
      <c r="K147" s="41"/>
      <c r="L147" s="32"/>
      <c r="N147" s="32"/>
      <c r="O147" s="41"/>
      <c r="P147" s="32"/>
      <c r="R147" s="32"/>
      <c r="S147" s="41"/>
    </row>
    <row r="148" spans="1:19" s="30" customFormat="1" x14ac:dyDescent="0.25">
      <c r="A148" s="36"/>
      <c r="B148" s="31"/>
      <c r="C148" s="31"/>
      <c r="D148" s="32"/>
      <c r="H148" s="32"/>
      <c r="J148" s="32"/>
      <c r="K148" s="41"/>
      <c r="L148" s="32"/>
      <c r="N148" s="32"/>
      <c r="O148" s="41"/>
      <c r="P148" s="32"/>
      <c r="R148" s="32"/>
      <c r="S148" s="41"/>
    </row>
    <row r="149" spans="1:19" s="30" customFormat="1" x14ac:dyDescent="0.25">
      <c r="A149" s="36"/>
      <c r="B149" s="31"/>
      <c r="C149" s="31"/>
      <c r="D149" s="32"/>
      <c r="H149" s="32"/>
      <c r="J149" s="32"/>
      <c r="K149" s="41"/>
      <c r="L149" s="32"/>
      <c r="N149" s="32"/>
      <c r="O149" s="41"/>
      <c r="P149" s="32"/>
      <c r="R149" s="32"/>
      <c r="S149" s="41"/>
    </row>
    <row r="150" spans="1:19" s="30" customFormat="1" x14ac:dyDescent="0.25">
      <c r="A150" s="36"/>
      <c r="B150" s="31"/>
      <c r="C150" s="31"/>
      <c r="D150" s="32"/>
      <c r="H150" s="32"/>
      <c r="J150" s="32"/>
      <c r="K150" s="41"/>
      <c r="L150" s="32"/>
      <c r="N150" s="32"/>
      <c r="O150" s="41"/>
      <c r="P150" s="32"/>
      <c r="R150" s="32"/>
      <c r="S150" s="41"/>
    </row>
    <row r="151" spans="1:19" s="30" customFormat="1" x14ac:dyDescent="0.25">
      <c r="A151" s="36"/>
      <c r="B151" s="31"/>
      <c r="C151" s="31"/>
      <c r="D151" s="32"/>
      <c r="H151" s="32"/>
      <c r="J151" s="32"/>
      <c r="K151" s="41"/>
      <c r="L151" s="32"/>
      <c r="N151" s="32"/>
      <c r="O151" s="41"/>
      <c r="P151" s="32"/>
      <c r="R151" s="32"/>
      <c r="S151" s="41"/>
    </row>
    <row r="152" spans="1:19" s="30" customFormat="1" x14ac:dyDescent="0.25">
      <c r="A152" s="36"/>
      <c r="B152" s="31"/>
      <c r="C152" s="31"/>
      <c r="D152" s="32"/>
      <c r="H152" s="32"/>
      <c r="J152" s="32"/>
      <c r="K152" s="41"/>
      <c r="L152" s="32"/>
      <c r="N152" s="32"/>
      <c r="O152" s="41"/>
      <c r="P152" s="32"/>
      <c r="R152" s="32"/>
      <c r="S152" s="41"/>
    </row>
    <row r="153" spans="1:19" s="30" customFormat="1" x14ac:dyDescent="0.25">
      <c r="A153" s="36"/>
      <c r="B153" s="31"/>
      <c r="C153" s="31"/>
      <c r="D153" s="32"/>
      <c r="H153" s="32"/>
      <c r="J153" s="32"/>
      <c r="K153" s="41"/>
      <c r="L153" s="32"/>
      <c r="N153" s="32"/>
      <c r="O153" s="41"/>
      <c r="P153" s="32"/>
      <c r="R153" s="32"/>
      <c r="S153" s="41"/>
    </row>
    <row r="154" spans="1:19" s="30" customFormat="1" x14ac:dyDescent="0.25">
      <c r="A154" s="36"/>
      <c r="B154" s="31"/>
      <c r="C154" s="31"/>
      <c r="D154" s="32"/>
      <c r="H154" s="32"/>
      <c r="J154" s="32"/>
      <c r="K154" s="41"/>
      <c r="L154" s="32"/>
      <c r="N154" s="32"/>
      <c r="O154" s="41"/>
      <c r="P154" s="32"/>
      <c r="R154" s="32"/>
      <c r="S154" s="41"/>
    </row>
    <row r="155" spans="1:19" s="30" customFormat="1" x14ac:dyDescent="0.25">
      <c r="A155" s="36"/>
      <c r="B155" s="31"/>
      <c r="C155" s="31"/>
      <c r="D155" s="32"/>
      <c r="H155" s="32"/>
      <c r="J155" s="32"/>
      <c r="K155" s="41"/>
      <c r="L155" s="32"/>
      <c r="N155" s="32"/>
      <c r="O155" s="41"/>
      <c r="P155" s="32"/>
      <c r="R155" s="32"/>
      <c r="S155" s="41"/>
    </row>
    <row r="156" spans="1:19" s="30" customFormat="1" x14ac:dyDescent="0.25">
      <c r="A156" s="36"/>
      <c r="B156" s="31"/>
      <c r="C156" s="31"/>
      <c r="D156" s="32"/>
      <c r="H156" s="32"/>
      <c r="J156" s="32"/>
      <c r="K156" s="41"/>
      <c r="L156" s="32"/>
      <c r="N156" s="32"/>
      <c r="O156" s="41"/>
      <c r="P156" s="32"/>
      <c r="R156" s="32"/>
      <c r="S156" s="41"/>
    </row>
    <row r="157" spans="1:19" s="30" customFormat="1" x14ac:dyDescent="0.25">
      <c r="A157" s="36"/>
      <c r="B157" s="31"/>
      <c r="C157" s="31"/>
      <c r="D157" s="32"/>
      <c r="H157" s="32"/>
      <c r="J157" s="32"/>
      <c r="K157" s="41"/>
      <c r="L157" s="32"/>
      <c r="N157" s="32"/>
      <c r="O157" s="41"/>
      <c r="P157" s="32"/>
      <c r="R157" s="32"/>
      <c r="S157" s="41"/>
    </row>
    <row r="158" spans="1:19" s="30" customFormat="1" x14ac:dyDescent="0.25">
      <c r="A158" s="36"/>
      <c r="B158" s="31"/>
      <c r="C158" s="31"/>
      <c r="D158" s="32"/>
      <c r="H158" s="32"/>
      <c r="J158" s="32"/>
      <c r="K158" s="41"/>
      <c r="L158" s="32"/>
      <c r="N158" s="32"/>
      <c r="O158" s="41"/>
      <c r="P158" s="32"/>
      <c r="R158" s="32"/>
      <c r="S158" s="41"/>
    </row>
    <row r="159" spans="1:19" s="30" customFormat="1" x14ac:dyDescent="0.25">
      <c r="A159" s="36"/>
      <c r="B159" s="31"/>
      <c r="C159" s="31"/>
      <c r="D159" s="32"/>
      <c r="H159" s="32"/>
      <c r="J159" s="32"/>
      <c r="K159" s="41"/>
      <c r="L159" s="32"/>
      <c r="N159" s="32"/>
      <c r="O159" s="41"/>
      <c r="P159" s="32"/>
      <c r="R159" s="32"/>
      <c r="S159" s="41"/>
    </row>
    <row r="160" spans="1:19" s="30" customFormat="1" x14ac:dyDescent="0.25">
      <c r="A160" s="36"/>
      <c r="B160" s="31"/>
      <c r="C160" s="31"/>
      <c r="D160" s="32"/>
      <c r="H160" s="32"/>
      <c r="J160" s="32"/>
      <c r="K160" s="41"/>
      <c r="L160" s="32"/>
      <c r="N160" s="32"/>
      <c r="O160" s="41"/>
      <c r="P160" s="32"/>
      <c r="R160" s="32"/>
      <c r="S160" s="41"/>
    </row>
    <row r="161" spans="1:19" s="30" customFormat="1" x14ac:dyDescent="0.25">
      <c r="A161" s="36"/>
      <c r="B161" s="31"/>
      <c r="C161" s="31"/>
      <c r="D161" s="32"/>
      <c r="H161" s="32"/>
      <c r="J161" s="32"/>
      <c r="K161" s="41"/>
      <c r="L161" s="32"/>
      <c r="N161" s="32"/>
      <c r="O161" s="41"/>
      <c r="P161" s="32"/>
      <c r="R161" s="32"/>
      <c r="S161" s="41"/>
    </row>
    <row r="162" spans="1:19" s="30" customFormat="1" x14ac:dyDescent="0.25">
      <c r="A162" s="36"/>
      <c r="B162" s="31"/>
      <c r="C162" s="31"/>
      <c r="D162" s="32"/>
      <c r="H162" s="32"/>
      <c r="J162" s="32"/>
      <c r="K162" s="41"/>
      <c r="L162" s="32"/>
      <c r="N162" s="32"/>
      <c r="O162" s="41"/>
      <c r="P162" s="32"/>
      <c r="R162" s="32"/>
      <c r="S162" s="41"/>
    </row>
    <row r="163" spans="1:19" s="30" customFormat="1" x14ac:dyDescent="0.25">
      <c r="A163" s="36"/>
      <c r="B163" s="31"/>
      <c r="C163" s="31"/>
      <c r="D163" s="32"/>
      <c r="H163" s="32"/>
      <c r="J163" s="32"/>
      <c r="K163" s="41"/>
      <c r="L163" s="32"/>
      <c r="N163" s="32"/>
      <c r="O163" s="41"/>
      <c r="P163" s="32"/>
      <c r="R163" s="32"/>
      <c r="S163" s="41"/>
    </row>
    <row r="164" spans="1:19" s="30" customFormat="1" x14ac:dyDescent="0.25">
      <c r="A164" s="36"/>
      <c r="B164" s="31"/>
      <c r="C164" s="31"/>
      <c r="D164" s="32"/>
      <c r="H164" s="32"/>
      <c r="J164" s="32"/>
      <c r="K164" s="41"/>
      <c r="L164" s="32"/>
      <c r="N164" s="32"/>
      <c r="O164" s="41"/>
      <c r="P164" s="32"/>
      <c r="R164" s="32"/>
      <c r="S164" s="41"/>
    </row>
    <row r="165" spans="1:19" s="30" customFormat="1" x14ac:dyDescent="0.25">
      <c r="A165" s="36"/>
      <c r="B165" s="31"/>
      <c r="C165" s="31"/>
      <c r="D165" s="32"/>
      <c r="H165" s="32"/>
      <c r="J165" s="32"/>
      <c r="K165" s="41"/>
      <c r="L165" s="32"/>
      <c r="N165" s="32"/>
      <c r="O165" s="41"/>
      <c r="P165" s="32"/>
      <c r="R165" s="32"/>
      <c r="S165" s="41"/>
    </row>
    <row r="166" spans="1:19" s="30" customFormat="1" x14ac:dyDescent="0.25">
      <c r="A166" s="36"/>
      <c r="B166" s="31"/>
      <c r="C166" s="31"/>
      <c r="D166" s="32"/>
      <c r="H166" s="32"/>
      <c r="J166" s="32"/>
      <c r="K166" s="41"/>
      <c r="L166" s="32"/>
      <c r="N166" s="32"/>
      <c r="O166" s="41"/>
      <c r="P166" s="32"/>
      <c r="R166" s="32"/>
      <c r="S166" s="41"/>
    </row>
    <row r="167" spans="1:19" s="30" customFormat="1" x14ac:dyDescent="0.25">
      <c r="A167" s="36"/>
      <c r="B167" s="31"/>
      <c r="C167" s="31"/>
      <c r="D167" s="32"/>
      <c r="H167" s="32"/>
      <c r="J167" s="32"/>
      <c r="K167" s="41"/>
      <c r="L167" s="32"/>
      <c r="N167" s="32"/>
      <c r="O167" s="41"/>
      <c r="P167" s="32"/>
      <c r="R167" s="32"/>
      <c r="S167" s="41"/>
    </row>
    <row r="168" spans="1:19" s="30" customFormat="1" x14ac:dyDescent="0.25">
      <c r="A168" s="36"/>
      <c r="B168" s="31"/>
      <c r="C168" s="31"/>
      <c r="D168" s="32"/>
      <c r="H168" s="32"/>
      <c r="J168" s="32"/>
      <c r="K168" s="41"/>
      <c r="L168" s="32"/>
      <c r="N168" s="32"/>
      <c r="O168" s="41"/>
      <c r="P168" s="32"/>
      <c r="R168" s="32"/>
      <c r="S168" s="41"/>
    </row>
    <row r="169" spans="1:19" s="30" customFormat="1" x14ac:dyDescent="0.25">
      <c r="A169" s="36"/>
      <c r="B169" s="31"/>
      <c r="C169" s="31"/>
      <c r="D169" s="32"/>
      <c r="H169" s="32"/>
      <c r="J169" s="32"/>
      <c r="K169" s="41"/>
      <c r="L169" s="32"/>
      <c r="N169" s="32"/>
      <c r="O169" s="41"/>
      <c r="P169" s="32"/>
      <c r="R169" s="32"/>
      <c r="S169" s="41"/>
    </row>
    <row r="170" spans="1:19" s="30" customFormat="1" x14ac:dyDescent="0.25">
      <c r="A170" s="36"/>
      <c r="B170" s="31"/>
      <c r="C170" s="31"/>
      <c r="D170" s="32"/>
      <c r="H170" s="32"/>
      <c r="J170" s="32"/>
      <c r="K170" s="41"/>
      <c r="L170" s="32"/>
      <c r="N170" s="32"/>
      <c r="O170" s="41"/>
      <c r="P170" s="32"/>
      <c r="R170" s="32"/>
      <c r="S170" s="41"/>
    </row>
    <row r="171" spans="1:19" s="30" customFormat="1" x14ac:dyDescent="0.25">
      <c r="A171" s="36"/>
      <c r="B171" s="31"/>
      <c r="C171" s="31"/>
      <c r="D171" s="32"/>
      <c r="H171" s="32"/>
      <c r="J171" s="32"/>
      <c r="K171" s="41"/>
      <c r="L171" s="32"/>
      <c r="N171" s="32"/>
      <c r="O171" s="41"/>
      <c r="P171" s="32"/>
      <c r="R171" s="32"/>
      <c r="S171" s="41"/>
    </row>
    <row r="172" spans="1:19" s="30" customFormat="1" x14ac:dyDescent="0.25">
      <c r="A172" s="36"/>
      <c r="B172" s="31"/>
      <c r="C172" s="31"/>
      <c r="D172" s="32"/>
      <c r="H172" s="32"/>
      <c r="J172" s="32"/>
      <c r="K172" s="41"/>
      <c r="L172" s="32"/>
      <c r="N172" s="32"/>
      <c r="O172" s="41"/>
      <c r="P172" s="32"/>
      <c r="R172" s="32"/>
      <c r="S172" s="41"/>
    </row>
    <row r="173" spans="1:19" s="30" customFormat="1" x14ac:dyDescent="0.25">
      <c r="A173" s="36"/>
      <c r="B173" s="31"/>
      <c r="C173" s="31"/>
      <c r="D173" s="32"/>
      <c r="H173" s="32"/>
      <c r="J173" s="32"/>
      <c r="K173" s="41"/>
      <c r="L173" s="32"/>
      <c r="N173" s="32"/>
      <c r="O173" s="41"/>
      <c r="P173" s="32"/>
      <c r="R173" s="32"/>
      <c r="S173" s="41"/>
    </row>
    <row r="174" spans="1:19" s="30" customFormat="1" x14ac:dyDescent="0.25">
      <c r="A174" s="36"/>
      <c r="B174" s="31"/>
      <c r="C174" s="31"/>
      <c r="D174" s="32"/>
      <c r="H174" s="32"/>
      <c r="J174" s="32"/>
      <c r="K174" s="41"/>
      <c r="L174" s="32"/>
      <c r="N174" s="32"/>
      <c r="O174" s="41"/>
      <c r="P174" s="32"/>
      <c r="R174" s="32"/>
      <c r="S174" s="41"/>
    </row>
    <row r="175" spans="1:19" s="30" customFormat="1" x14ac:dyDescent="0.25">
      <c r="A175" s="36"/>
      <c r="B175" s="31"/>
      <c r="C175" s="31"/>
      <c r="D175" s="32"/>
      <c r="H175" s="32"/>
      <c r="J175" s="32"/>
      <c r="K175" s="41"/>
      <c r="L175" s="32"/>
      <c r="N175" s="32"/>
      <c r="O175" s="41"/>
      <c r="P175" s="32"/>
      <c r="R175" s="32"/>
      <c r="S175" s="41"/>
    </row>
    <row r="176" spans="1:19" s="30" customFormat="1" x14ac:dyDescent="0.25">
      <c r="A176" s="36"/>
      <c r="B176" s="31"/>
      <c r="C176" s="31"/>
      <c r="D176" s="32"/>
      <c r="H176" s="32"/>
      <c r="J176" s="32"/>
      <c r="K176" s="41"/>
      <c r="L176" s="32"/>
      <c r="N176" s="32"/>
      <c r="O176" s="41"/>
      <c r="P176" s="32"/>
      <c r="R176" s="32"/>
      <c r="S176" s="41"/>
    </row>
    <row r="177" spans="1:19" s="30" customFormat="1" x14ac:dyDescent="0.25">
      <c r="A177" s="36"/>
      <c r="B177" s="31"/>
      <c r="C177" s="31"/>
      <c r="D177" s="32"/>
      <c r="H177" s="32"/>
      <c r="J177" s="32"/>
      <c r="K177" s="41"/>
      <c r="L177" s="32"/>
      <c r="N177" s="32"/>
      <c r="O177" s="41"/>
      <c r="P177" s="32"/>
      <c r="R177" s="32"/>
      <c r="S177" s="41"/>
    </row>
    <row r="178" spans="1:19" s="30" customFormat="1" x14ac:dyDescent="0.25">
      <c r="A178" s="36"/>
      <c r="B178" s="31"/>
      <c r="C178" s="31"/>
      <c r="D178" s="32"/>
      <c r="H178" s="32"/>
      <c r="J178" s="32"/>
      <c r="K178" s="41"/>
      <c r="L178" s="32"/>
      <c r="N178" s="32"/>
      <c r="O178" s="41"/>
      <c r="P178" s="32"/>
      <c r="R178" s="32"/>
      <c r="S178" s="41"/>
    </row>
    <row r="179" spans="1:19" s="30" customFormat="1" x14ac:dyDescent="0.25">
      <c r="A179" s="36"/>
      <c r="B179" s="31"/>
      <c r="C179" s="31"/>
      <c r="D179" s="32"/>
      <c r="H179" s="32"/>
      <c r="J179" s="32"/>
      <c r="K179" s="41"/>
      <c r="L179" s="32"/>
      <c r="N179" s="32"/>
      <c r="O179" s="41"/>
      <c r="P179" s="32"/>
      <c r="R179" s="32"/>
      <c r="S179" s="41"/>
    </row>
    <row r="180" spans="1:19" s="30" customFormat="1" x14ac:dyDescent="0.25">
      <c r="A180" s="36"/>
      <c r="B180" s="31"/>
      <c r="C180" s="31"/>
      <c r="D180" s="32"/>
      <c r="H180" s="32"/>
      <c r="J180" s="32"/>
      <c r="K180" s="41"/>
      <c r="L180" s="32"/>
      <c r="N180" s="32"/>
      <c r="O180" s="41"/>
      <c r="P180" s="32"/>
      <c r="R180" s="32"/>
      <c r="S180" s="41"/>
    </row>
    <row r="181" spans="1:19" s="30" customFormat="1" x14ac:dyDescent="0.25">
      <c r="A181" s="36"/>
      <c r="B181" s="31"/>
      <c r="C181" s="31"/>
      <c r="D181" s="32"/>
      <c r="H181" s="32"/>
      <c r="J181" s="32"/>
      <c r="K181" s="41"/>
      <c r="L181" s="32"/>
      <c r="N181" s="32"/>
      <c r="O181" s="41"/>
      <c r="P181" s="32"/>
      <c r="R181" s="32"/>
      <c r="S181" s="41"/>
    </row>
    <row r="182" spans="1:19" s="30" customFormat="1" x14ac:dyDescent="0.25">
      <c r="A182" s="36"/>
      <c r="B182" s="31"/>
      <c r="C182" s="31"/>
      <c r="D182" s="32"/>
      <c r="H182" s="32"/>
      <c r="J182" s="32"/>
      <c r="K182" s="41"/>
      <c r="L182" s="32"/>
      <c r="N182" s="32"/>
      <c r="O182" s="41"/>
      <c r="P182" s="32"/>
      <c r="R182" s="32"/>
      <c r="S182" s="41"/>
    </row>
    <row r="183" spans="1:19" s="30" customFormat="1" x14ac:dyDescent="0.25">
      <c r="A183" s="36"/>
      <c r="B183" s="31"/>
      <c r="C183" s="31"/>
      <c r="D183" s="32"/>
      <c r="H183" s="32"/>
      <c r="J183" s="32"/>
      <c r="K183" s="41"/>
      <c r="L183" s="32"/>
      <c r="N183" s="32"/>
      <c r="O183" s="41"/>
      <c r="P183" s="32"/>
      <c r="R183" s="32"/>
      <c r="S183" s="41"/>
    </row>
    <row r="184" spans="1:19" s="30" customFormat="1" x14ac:dyDescent="0.25">
      <c r="A184" s="36"/>
      <c r="B184" s="31"/>
      <c r="C184" s="31"/>
      <c r="D184" s="32"/>
      <c r="H184" s="32"/>
      <c r="J184" s="32"/>
      <c r="K184" s="41"/>
      <c r="L184" s="32"/>
      <c r="N184" s="32"/>
      <c r="O184" s="41"/>
      <c r="P184" s="32"/>
      <c r="R184" s="32"/>
      <c r="S184" s="41"/>
    </row>
    <row r="185" spans="1:19" s="30" customFormat="1" x14ac:dyDescent="0.25">
      <c r="A185" s="36"/>
      <c r="B185" s="31"/>
      <c r="C185" s="31"/>
      <c r="D185" s="32"/>
      <c r="H185" s="32"/>
      <c r="J185" s="32"/>
      <c r="K185" s="41"/>
      <c r="L185" s="32"/>
      <c r="N185" s="32"/>
      <c r="O185" s="41"/>
      <c r="P185" s="32"/>
      <c r="R185" s="32"/>
      <c r="S185" s="41"/>
    </row>
    <row r="186" spans="1:19" s="30" customFormat="1" x14ac:dyDescent="0.25">
      <c r="A186" s="36"/>
      <c r="B186" s="31"/>
      <c r="C186" s="31"/>
      <c r="D186" s="32"/>
      <c r="H186" s="32"/>
      <c r="J186" s="32"/>
      <c r="K186" s="41"/>
      <c r="L186" s="32"/>
      <c r="N186" s="32"/>
      <c r="O186" s="41"/>
      <c r="P186" s="32"/>
      <c r="R186" s="32"/>
      <c r="S186" s="41"/>
    </row>
    <row r="187" spans="1:19" s="30" customFormat="1" x14ac:dyDescent="0.25">
      <c r="A187" s="36"/>
      <c r="B187" s="31"/>
      <c r="C187" s="31"/>
      <c r="D187" s="32"/>
      <c r="H187" s="32"/>
      <c r="J187" s="32"/>
      <c r="K187" s="41"/>
      <c r="L187" s="32"/>
      <c r="N187" s="32"/>
      <c r="O187" s="41"/>
      <c r="P187" s="32"/>
      <c r="R187" s="32"/>
      <c r="S187" s="41"/>
    </row>
    <row r="188" spans="1:19" s="30" customFormat="1" x14ac:dyDescent="0.25">
      <c r="A188" s="36"/>
      <c r="B188" s="31"/>
      <c r="C188" s="31"/>
      <c r="D188" s="32"/>
      <c r="H188" s="32"/>
      <c r="J188" s="32"/>
      <c r="K188" s="41"/>
      <c r="L188" s="32"/>
      <c r="N188" s="32"/>
      <c r="O188" s="41"/>
      <c r="P188" s="32"/>
      <c r="R188" s="32"/>
      <c r="S188" s="41"/>
    </row>
    <row r="189" spans="1:19" s="30" customFormat="1" x14ac:dyDescent="0.25">
      <c r="A189" s="36"/>
      <c r="B189" s="31"/>
      <c r="C189" s="31"/>
      <c r="D189" s="32"/>
      <c r="H189" s="32"/>
      <c r="J189" s="32"/>
      <c r="K189" s="41"/>
      <c r="L189" s="32"/>
      <c r="N189" s="32"/>
      <c r="O189" s="41"/>
      <c r="P189" s="32"/>
      <c r="R189" s="32"/>
      <c r="S189" s="41"/>
    </row>
    <row r="190" spans="1:19" s="30" customFormat="1" x14ac:dyDescent="0.25">
      <c r="A190" s="36"/>
      <c r="B190" s="31"/>
      <c r="C190" s="31"/>
      <c r="D190" s="32"/>
      <c r="H190" s="32"/>
      <c r="J190" s="32"/>
      <c r="K190" s="41"/>
      <c r="L190" s="32"/>
      <c r="N190" s="32"/>
      <c r="O190" s="41"/>
      <c r="P190" s="32"/>
      <c r="R190" s="32"/>
      <c r="S190" s="41"/>
    </row>
    <row r="191" spans="1:19" s="30" customFormat="1" x14ac:dyDescent="0.25">
      <c r="A191" s="36"/>
      <c r="B191" s="31"/>
      <c r="C191" s="31"/>
      <c r="D191" s="32"/>
      <c r="H191" s="32"/>
      <c r="J191" s="32"/>
      <c r="K191" s="41"/>
      <c r="L191" s="32"/>
      <c r="N191" s="32"/>
      <c r="O191" s="41"/>
      <c r="P191" s="32"/>
      <c r="R191" s="32"/>
      <c r="S191" s="41"/>
    </row>
    <row r="192" spans="1:19" s="30" customFormat="1" x14ac:dyDescent="0.25">
      <c r="A192" s="36"/>
      <c r="B192" s="31"/>
      <c r="C192" s="31"/>
      <c r="D192" s="32"/>
      <c r="H192" s="32"/>
      <c r="J192" s="32"/>
      <c r="K192" s="41"/>
      <c r="L192" s="32"/>
      <c r="N192" s="32"/>
      <c r="O192" s="41"/>
      <c r="P192" s="32"/>
      <c r="R192" s="32"/>
      <c r="S192" s="41"/>
    </row>
    <row r="193" spans="1:19" s="30" customFormat="1" x14ac:dyDescent="0.25">
      <c r="A193" s="36"/>
      <c r="B193" s="31"/>
      <c r="C193" s="31"/>
      <c r="D193" s="32"/>
      <c r="H193" s="32"/>
      <c r="J193" s="32"/>
      <c r="K193" s="41"/>
      <c r="L193" s="32"/>
      <c r="N193" s="32"/>
      <c r="O193" s="41"/>
      <c r="P193" s="32"/>
      <c r="R193" s="32"/>
      <c r="S193" s="41"/>
    </row>
    <row r="194" spans="1:19" s="30" customFormat="1" x14ac:dyDescent="0.25">
      <c r="A194" s="36"/>
      <c r="B194" s="31"/>
      <c r="C194" s="31"/>
      <c r="D194" s="32"/>
      <c r="H194" s="32"/>
      <c r="J194" s="32"/>
      <c r="K194" s="41"/>
      <c r="L194" s="32"/>
      <c r="N194" s="32"/>
      <c r="O194" s="41"/>
      <c r="P194" s="32"/>
      <c r="R194" s="32"/>
      <c r="S194" s="41"/>
    </row>
    <row r="195" spans="1:19" s="30" customFormat="1" x14ac:dyDescent="0.25">
      <c r="A195" s="36"/>
      <c r="B195" s="31"/>
      <c r="C195" s="31"/>
      <c r="D195" s="32"/>
      <c r="H195" s="32"/>
      <c r="J195" s="32"/>
      <c r="K195" s="41"/>
      <c r="L195" s="32"/>
      <c r="N195" s="32"/>
      <c r="O195" s="41"/>
      <c r="P195" s="32"/>
      <c r="R195" s="32"/>
      <c r="S195" s="41"/>
    </row>
    <row r="196" spans="1:19" s="30" customFormat="1" x14ac:dyDescent="0.25">
      <c r="A196" s="36"/>
      <c r="B196" s="31"/>
      <c r="C196" s="31"/>
      <c r="D196" s="32"/>
      <c r="H196" s="32"/>
      <c r="J196" s="32"/>
      <c r="K196" s="41"/>
      <c r="L196" s="32"/>
      <c r="N196" s="32"/>
      <c r="O196" s="41"/>
      <c r="P196" s="32"/>
      <c r="R196" s="32"/>
      <c r="S196" s="41"/>
    </row>
    <row r="197" spans="1:19" s="30" customFormat="1" x14ac:dyDescent="0.25">
      <c r="A197" s="36"/>
      <c r="B197" s="31"/>
      <c r="C197" s="31"/>
      <c r="D197" s="32"/>
      <c r="H197" s="32"/>
      <c r="J197" s="32"/>
      <c r="K197" s="41"/>
      <c r="L197" s="32"/>
      <c r="N197" s="32"/>
      <c r="O197" s="41"/>
      <c r="P197" s="32"/>
      <c r="R197" s="32"/>
      <c r="S197" s="41"/>
    </row>
    <row r="198" spans="1:19" s="30" customFormat="1" x14ac:dyDescent="0.25">
      <c r="A198" s="36"/>
      <c r="B198" s="31"/>
      <c r="C198" s="31"/>
      <c r="D198" s="32"/>
      <c r="H198" s="32"/>
      <c r="J198" s="32"/>
      <c r="K198" s="41"/>
      <c r="L198" s="32"/>
      <c r="N198" s="32"/>
      <c r="O198" s="41"/>
      <c r="P198" s="32"/>
      <c r="R198" s="32"/>
      <c r="S198" s="41"/>
    </row>
    <row r="199" spans="1:19" s="30" customFormat="1" x14ac:dyDescent="0.25">
      <c r="A199" s="36"/>
      <c r="B199" s="31"/>
      <c r="C199" s="31"/>
      <c r="D199" s="32"/>
      <c r="H199" s="32"/>
      <c r="J199" s="32"/>
      <c r="K199" s="41"/>
      <c r="L199" s="32"/>
      <c r="N199" s="32"/>
      <c r="O199" s="41"/>
      <c r="P199" s="32"/>
      <c r="R199" s="32"/>
      <c r="S199" s="41"/>
    </row>
    <row r="200" spans="1:19" s="30" customFormat="1" x14ac:dyDescent="0.25">
      <c r="A200" s="36"/>
      <c r="B200" s="31"/>
      <c r="C200" s="31"/>
      <c r="D200" s="32"/>
      <c r="H200" s="32"/>
      <c r="J200" s="32"/>
      <c r="K200" s="41"/>
      <c r="L200" s="32"/>
      <c r="N200" s="32"/>
      <c r="O200" s="41"/>
      <c r="P200" s="32"/>
      <c r="R200" s="32"/>
      <c r="S200" s="41"/>
    </row>
    <row r="201" spans="1:19" s="30" customFormat="1" x14ac:dyDescent="0.25">
      <c r="A201" s="36"/>
      <c r="B201" s="31"/>
      <c r="C201" s="31"/>
      <c r="D201" s="32"/>
      <c r="H201" s="32"/>
      <c r="J201" s="32"/>
      <c r="K201" s="41"/>
      <c r="L201" s="32"/>
      <c r="N201" s="32"/>
      <c r="O201" s="41"/>
      <c r="P201" s="32"/>
      <c r="R201" s="32"/>
      <c r="S201" s="41"/>
    </row>
    <row r="202" spans="1:19" s="30" customFormat="1" x14ac:dyDescent="0.25">
      <c r="A202" s="36"/>
      <c r="B202" s="31"/>
      <c r="C202" s="31"/>
      <c r="D202" s="32"/>
      <c r="H202" s="32"/>
      <c r="J202" s="32"/>
      <c r="K202" s="41"/>
      <c r="L202" s="32"/>
      <c r="N202" s="32"/>
      <c r="O202" s="41"/>
      <c r="P202" s="32"/>
      <c r="R202" s="32"/>
      <c r="S202" s="41"/>
    </row>
    <row r="203" spans="1:19" s="30" customFormat="1" x14ac:dyDescent="0.25">
      <c r="A203" s="36"/>
      <c r="B203" s="31"/>
      <c r="C203" s="31"/>
      <c r="D203" s="32"/>
      <c r="H203" s="32"/>
      <c r="J203" s="32"/>
      <c r="K203" s="41"/>
      <c r="L203" s="32"/>
      <c r="N203" s="32"/>
      <c r="O203" s="41"/>
      <c r="P203" s="32"/>
      <c r="R203" s="32"/>
      <c r="S203" s="41"/>
    </row>
    <row r="204" spans="1:19" s="30" customFormat="1" x14ac:dyDescent="0.25">
      <c r="A204" s="36"/>
      <c r="B204" s="31"/>
      <c r="C204" s="31"/>
      <c r="D204" s="32"/>
      <c r="H204" s="32"/>
      <c r="J204" s="32"/>
      <c r="K204" s="41"/>
      <c r="L204" s="32"/>
      <c r="N204" s="32"/>
      <c r="O204" s="41"/>
      <c r="P204" s="32"/>
      <c r="R204" s="32"/>
      <c r="S204" s="41"/>
    </row>
    <row r="205" spans="1:19" s="30" customFormat="1" x14ac:dyDescent="0.25">
      <c r="A205" s="36"/>
      <c r="B205" s="31"/>
      <c r="C205" s="31"/>
      <c r="D205" s="32"/>
      <c r="H205" s="32"/>
      <c r="J205" s="32"/>
      <c r="K205" s="41"/>
      <c r="L205" s="32"/>
      <c r="N205" s="32"/>
      <c r="O205" s="41"/>
      <c r="P205" s="32"/>
      <c r="R205" s="32"/>
      <c r="S205" s="41"/>
    </row>
    <row r="206" spans="1:19" s="30" customFormat="1" x14ac:dyDescent="0.25">
      <c r="A206" s="36"/>
      <c r="B206" s="31"/>
      <c r="C206" s="31"/>
      <c r="D206" s="32"/>
      <c r="H206" s="32"/>
      <c r="J206" s="32"/>
      <c r="K206" s="41"/>
      <c r="L206" s="32"/>
      <c r="N206" s="32"/>
      <c r="O206" s="41"/>
      <c r="P206" s="32"/>
      <c r="R206" s="32"/>
      <c r="S206" s="41"/>
    </row>
    <row r="207" spans="1:19" s="30" customFormat="1" x14ac:dyDescent="0.25">
      <c r="A207" s="36"/>
      <c r="B207" s="31"/>
      <c r="C207" s="31"/>
      <c r="D207" s="32"/>
      <c r="H207" s="32"/>
      <c r="J207" s="32"/>
      <c r="K207" s="41"/>
      <c r="L207" s="32"/>
      <c r="N207" s="32"/>
      <c r="O207" s="41"/>
      <c r="P207" s="32"/>
      <c r="R207" s="32"/>
      <c r="S207" s="41"/>
    </row>
    <row r="208" spans="1:19" s="30" customFormat="1" x14ac:dyDescent="0.25">
      <c r="A208" s="36"/>
      <c r="B208" s="31"/>
      <c r="C208" s="31"/>
      <c r="D208" s="32"/>
      <c r="H208" s="32"/>
      <c r="J208" s="32"/>
      <c r="K208" s="41"/>
      <c r="L208" s="32"/>
      <c r="N208" s="32"/>
      <c r="O208" s="41"/>
      <c r="P208" s="32"/>
      <c r="R208" s="32"/>
      <c r="S208" s="41"/>
    </row>
    <row r="209" spans="1:19" s="30" customFormat="1" x14ac:dyDescent="0.25">
      <c r="A209" s="36"/>
      <c r="B209" s="31"/>
      <c r="C209" s="31"/>
      <c r="D209" s="32"/>
      <c r="H209" s="32"/>
      <c r="J209" s="32"/>
      <c r="K209" s="41"/>
      <c r="L209" s="32"/>
      <c r="N209" s="32"/>
      <c r="O209" s="41"/>
      <c r="P209" s="32"/>
      <c r="R209" s="32"/>
      <c r="S209" s="41"/>
    </row>
    <row r="210" spans="1:19" s="30" customFormat="1" x14ac:dyDescent="0.25">
      <c r="A210" s="36"/>
      <c r="B210" s="31"/>
      <c r="C210" s="31"/>
      <c r="D210" s="32"/>
      <c r="H210" s="32"/>
      <c r="J210" s="32"/>
      <c r="K210" s="41"/>
      <c r="L210" s="32"/>
      <c r="N210" s="32"/>
      <c r="O210" s="41"/>
      <c r="P210" s="32"/>
      <c r="R210" s="32"/>
      <c r="S210" s="41"/>
    </row>
    <row r="211" spans="1:19" s="30" customFormat="1" x14ac:dyDescent="0.25">
      <c r="A211" s="36"/>
      <c r="B211" s="31"/>
      <c r="C211" s="31"/>
      <c r="D211" s="32"/>
      <c r="H211" s="32"/>
      <c r="J211" s="32"/>
      <c r="K211" s="41"/>
      <c r="L211" s="32"/>
      <c r="N211" s="32"/>
      <c r="O211" s="41"/>
      <c r="P211" s="32"/>
      <c r="R211" s="32"/>
      <c r="S211" s="41"/>
    </row>
    <row r="212" spans="1:19" s="30" customFormat="1" x14ac:dyDescent="0.25">
      <c r="A212" s="36"/>
      <c r="B212" s="31"/>
      <c r="C212" s="31"/>
      <c r="D212" s="32"/>
      <c r="H212" s="32"/>
      <c r="J212" s="32"/>
      <c r="K212" s="41"/>
      <c r="L212" s="32"/>
      <c r="N212" s="32"/>
      <c r="O212" s="41"/>
      <c r="P212" s="32"/>
      <c r="R212" s="32"/>
      <c r="S212" s="41"/>
    </row>
    <row r="213" spans="1:19" s="30" customFormat="1" x14ac:dyDescent="0.25">
      <c r="A213" s="36"/>
      <c r="B213" s="31"/>
      <c r="C213" s="31"/>
      <c r="D213" s="32"/>
      <c r="H213" s="32"/>
      <c r="J213" s="32"/>
      <c r="K213" s="41"/>
      <c r="L213" s="32"/>
      <c r="N213" s="32"/>
      <c r="O213" s="41"/>
      <c r="P213" s="32"/>
      <c r="R213" s="32"/>
      <c r="S213" s="41"/>
    </row>
    <row r="214" spans="1:19" s="30" customFormat="1" x14ac:dyDescent="0.25">
      <c r="A214" s="36"/>
      <c r="B214" s="31"/>
      <c r="C214" s="31"/>
      <c r="D214" s="32"/>
      <c r="H214" s="32"/>
      <c r="J214" s="32"/>
      <c r="K214" s="41"/>
      <c r="L214" s="32"/>
      <c r="N214" s="32"/>
      <c r="O214" s="41"/>
      <c r="P214" s="32"/>
      <c r="R214" s="32"/>
      <c r="S214" s="41"/>
    </row>
    <row r="215" spans="1:19" s="30" customFormat="1" x14ac:dyDescent="0.25">
      <c r="A215" s="36"/>
      <c r="B215" s="31"/>
      <c r="C215" s="31"/>
      <c r="D215" s="32"/>
      <c r="H215" s="32"/>
      <c r="J215" s="32"/>
      <c r="K215" s="41"/>
      <c r="L215" s="32"/>
      <c r="N215" s="32"/>
      <c r="O215" s="41"/>
      <c r="P215" s="32"/>
      <c r="R215" s="32"/>
      <c r="S215" s="41"/>
    </row>
    <row r="216" spans="1:19" s="30" customFormat="1" x14ac:dyDescent="0.25">
      <c r="A216" s="36"/>
      <c r="B216" s="31"/>
      <c r="C216" s="31"/>
      <c r="D216" s="32"/>
      <c r="H216" s="32"/>
      <c r="J216" s="32"/>
      <c r="K216" s="41"/>
      <c r="L216" s="32"/>
      <c r="N216" s="32"/>
      <c r="O216" s="41"/>
      <c r="P216" s="32"/>
      <c r="R216" s="32"/>
      <c r="S216" s="41"/>
    </row>
    <row r="217" spans="1:19" s="30" customFormat="1" x14ac:dyDescent="0.25">
      <c r="A217" s="36"/>
      <c r="B217" s="31"/>
      <c r="C217" s="31"/>
      <c r="D217" s="32"/>
      <c r="H217" s="32"/>
      <c r="J217" s="32"/>
      <c r="K217" s="41"/>
      <c r="L217" s="32"/>
      <c r="N217" s="32"/>
      <c r="O217" s="41"/>
      <c r="P217" s="32"/>
      <c r="R217" s="32"/>
      <c r="S217" s="41"/>
    </row>
    <row r="218" spans="1:19" s="30" customFormat="1" x14ac:dyDescent="0.25">
      <c r="A218" s="36"/>
      <c r="B218" s="31"/>
      <c r="C218" s="31"/>
      <c r="D218" s="32"/>
      <c r="H218" s="32"/>
      <c r="J218" s="32"/>
      <c r="K218" s="41"/>
      <c r="L218" s="32"/>
      <c r="N218" s="32"/>
      <c r="O218" s="41"/>
      <c r="P218" s="32"/>
      <c r="R218" s="32"/>
      <c r="S218" s="41"/>
    </row>
    <row r="219" spans="1:19" s="30" customFormat="1" x14ac:dyDescent="0.25">
      <c r="A219" s="36"/>
      <c r="B219" s="31"/>
      <c r="C219" s="31"/>
      <c r="D219" s="32"/>
      <c r="H219" s="32"/>
      <c r="J219" s="32"/>
      <c r="K219" s="41"/>
      <c r="L219" s="32"/>
      <c r="N219" s="32"/>
      <c r="O219" s="41"/>
      <c r="P219" s="32"/>
      <c r="R219" s="32"/>
      <c r="S219" s="41"/>
    </row>
    <row r="220" spans="1:19" s="30" customFormat="1" x14ac:dyDescent="0.25">
      <c r="A220" s="36"/>
      <c r="B220" s="31"/>
      <c r="C220" s="31"/>
      <c r="D220" s="32"/>
      <c r="H220" s="32"/>
      <c r="J220" s="32"/>
      <c r="K220" s="41"/>
      <c r="L220" s="32"/>
      <c r="N220" s="32"/>
      <c r="O220" s="41"/>
      <c r="P220" s="32"/>
      <c r="R220" s="32"/>
      <c r="S220" s="41"/>
    </row>
    <row r="221" spans="1:19" s="30" customFormat="1" x14ac:dyDescent="0.25">
      <c r="A221" s="36"/>
      <c r="B221" s="31"/>
      <c r="C221" s="31"/>
      <c r="D221" s="32"/>
      <c r="H221" s="32"/>
      <c r="J221" s="32"/>
      <c r="K221" s="41"/>
      <c r="L221" s="32"/>
      <c r="N221" s="32"/>
      <c r="O221" s="41"/>
      <c r="P221" s="32"/>
      <c r="R221" s="32"/>
      <c r="S221" s="41"/>
    </row>
    <row r="222" spans="1:19" s="30" customFormat="1" x14ac:dyDescent="0.25">
      <c r="A222" s="36"/>
      <c r="B222" s="31"/>
      <c r="C222" s="31"/>
      <c r="D222" s="32"/>
      <c r="H222" s="32"/>
      <c r="J222" s="32"/>
      <c r="K222" s="41"/>
      <c r="L222" s="32"/>
      <c r="N222" s="32"/>
      <c r="O222" s="41"/>
      <c r="P222" s="32"/>
      <c r="R222" s="32"/>
      <c r="S222" s="41"/>
    </row>
    <row r="223" spans="1:19" s="30" customFormat="1" x14ac:dyDescent="0.25">
      <c r="A223" s="36"/>
      <c r="B223" s="31"/>
      <c r="C223" s="31"/>
      <c r="D223" s="32"/>
      <c r="H223" s="32"/>
      <c r="J223" s="32"/>
      <c r="K223" s="41"/>
      <c r="L223" s="32"/>
      <c r="N223" s="32"/>
      <c r="O223" s="41"/>
      <c r="P223" s="32"/>
      <c r="R223" s="32"/>
      <c r="S223" s="41"/>
    </row>
    <row r="224" spans="1:19" s="30" customFormat="1" x14ac:dyDescent="0.25">
      <c r="A224" s="36"/>
      <c r="B224" s="31"/>
      <c r="C224" s="31"/>
      <c r="D224" s="32"/>
      <c r="H224" s="32"/>
      <c r="J224" s="32"/>
      <c r="K224" s="41"/>
      <c r="L224" s="32"/>
      <c r="N224" s="32"/>
      <c r="O224" s="41"/>
      <c r="P224" s="32"/>
      <c r="R224" s="32"/>
      <c r="S224" s="41"/>
    </row>
    <row r="225" spans="1:19" s="30" customFormat="1" x14ac:dyDescent="0.25">
      <c r="A225" s="36"/>
      <c r="B225" s="31"/>
      <c r="C225" s="31"/>
      <c r="D225" s="32"/>
      <c r="H225" s="32"/>
      <c r="J225" s="32"/>
      <c r="K225" s="41"/>
      <c r="L225" s="32"/>
      <c r="N225" s="32"/>
      <c r="O225" s="41"/>
      <c r="P225" s="32"/>
      <c r="R225" s="32"/>
      <c r="S225" s="41"/>
    </row>
    <row r="226" spans="1:19" s="30" customFormat="1" x14ac:dyDescent="0.25">
      <c r="A226" s="36"/>
      <c r="B226" s="31"/>
      <c r="C226" s="31"/>
      <c r="D226" s="32"/>
      <c r="H226" s="32"/>
      <c r="J226" s="32"/>
      <c r="K226" s="41"/>
      <c r="L226" s="32"/>
      <c r="N226" s="32"/>
      <c r="O226" s="41"/>
      <c r="P226" s="32"/>
      <c r="R226" s="32"/>
      <c r="S226" s="41"/>
    </row>
    <row r="227" spans="1:19" s="30" customFormat="1" x14ac:dyDescent="0.25">
      <c r="A227" s="36"/>
      <c r="B227" s="31"/>
      <c r="C227" s="31"/>
      <c r="D227" s="32"/>
      <c r="H227" s="32"/>
      <c r="J227" s="32"/>
      <c r="K227" s="41"/>
      <c r="L227" s="32"/>
      <c r="N227" s="32"/>
      <c r="O227" s="41"/>
      <c r="P227" s="32"/>
      <c r="R227" s="32"/>
      <c r="S227" s="41"/>
    </row>
    <row r="228" spans="1:19" s="30" customFormat="1" x14ac:dyDescent="0.25">
      <c r="A228" s="36"/>
      <c r="B228" s="31"/>
      <c r="C228" s="31"/>
      <c r="D228" s="32"/>
      <c r="H228" s="32"/>
      <c r="J228" s="32"/>
      <c r="K228" s="41"/>
      <c r="L228" s="32"/>
      <c r="N228" s="32"/>
      <c r="O228" s="41"/>
      <c r="P228" s="32"/>
      <c r="R228" s="32"/>
      <c r="S228" s="41"/>
    </row>
    <row r="229" spans="1:19" s="30" customFormat="1" x14ac:dyDescent="0.25">
      <c r="A229" s="36"/>
      <c r="B229" s="31"/>
      <c r="C229" s="31"/>
      <c r="D229" s="32"/>
      <c r="H229" s="32"/>
      <c r="J229" s="32"/>
      <c r="K229" s="41"/>
      <c r="L229" s="32"/>
      <c r="N229" s="32"/>
      <c r="O229" s="41"/>
      <c r="P229" s="32"/>
      <c r="R229" s="32"/>
      <c r="S229" s="41"/>
    </row>
    <row r="230" spans="1:19" s="30" customFormat="1" x14ac:dyDescent="0.25">
      <c r="A230" s="36"/>
      <c r="B230" s="31"/>
      <c r="C230" s="31"/>
      <c r="D230" s="32"/>
      <c r="H230" s="32"/>
      <c r="J230" s="32"/>
      <c r="K230" s="41"/>
      <c r="L230" s="32"/>
      <c r="N230" s="32"/>
      <c r="O230" s="41"/>
      <c r="P230" s="32"/>
      <c r="R230" s="32"/>
      <c r="S230" s="41"/>
    </row>
    <row r="231" spans="1:19" s="30" customFormat="1" x14ac:dyDescent="0.25">
      <c r="A231" s="36"/>
      <c r="B231" s="31"/>
      <c r="C231" s="31"/>
      <c r="D231" s="32"/>
      <c r="H231" s="32"/>
      <c r="J231" s="32"/>
      <c r="K231" s="41"/>
      <c r="L231" s="32"/>
      <c r="N231" s="32"/>
      <c r="O231" s="41"/>
      <c r="P231" s="32"/>
      <c r="R231" s="32"/>
      <c r="S231" s="41"/>
    </row>
    <row r="232" spans="1:19" s="30" customFormat="1" x14ac:dyDescent="0.25">
      <c r="A232" s="36"/>
      <c r="B232" s="31"/>
      <c r="C232" s="31"/>
      <c r="D232" s="32"/>
      <c r="H232" s="32"/>
      <c r="J232" s="32"/>
      <c r="K232" s="41"/>
      <c r="L232" s="32"/>
      <c r="N232" s="32"/>
      <c r="O232" s="41"/>
      <c r="P232" s="32"/>
      <c r="R232" s="32"/>
      <c r="S232" s="41"/>
    </row>
    <row r="233" spans="1:19" s="30" customFormat="1" x14ac:dyDescent="0.25">
      <c r="A233" s="36"/>
      <c r="B233" s="31"/>
      <c r="C233" s="31"/>
      <c r="D233" s="32"/>
      <c r="H233" s="32"/>
      <c r="J233" s="32"/>
      <c r="K233" s="41"/>
      <c r="L233" s="32"/>
      <c r="N233" s="32"/>
      <c r="O233" s="41"/>
      <c r="P233" s="32"/>
      <c r="R233" s="32"/>
      <c r="S233" s="41"/>
    </row>
    <row r="234" spans="1:19" s="30" customFormat="1" x14ac:dyDescent="0.25">
      <c r="A234" s="36"/>
      <c r="B234" s="31"/>
      <c r="C234" s="31"/>
      <c r="D234" s="32"/>
      <c r="H234" s="32"/>
      <c r="J234" s="32"/>
      <c r="K234" s="41"/>
      <c r="L234" s="32"/>
      <c r="N234" s="32"/>
      <c r="O234" s="41"/>
      <c r="P234" s="32"/>
      <c r="R234" s="32"/>
      <c r="S234" s="41"/>
    </row>
    <row r="235" spans="1:19" s="30" customFormat="1" x14ac:dyDescent="0.25">
      <c r="A235" s="36"/>
      <c r="B235" s="31"/>
      <c r="C235" s="31"/>
      <c r="D235" s="32"/>
      <c r="H235" s="32"/>
      <c r="J235" s="32"/>
      <c r="K235" s="41"/>
      <c r="L235" s="32"/>
      <c r="N235" s="32"/>
      <c r="O235" s="41"/>
      <c r="P235" s="32"/>
      <c r="R235" s="32"/>
      <c r="S235" s="41"/>
    </row>
    <row r="236" spans="1:19" s="30" customFormat="1" x14ac:dyDescent="0.25">
      <c r="A236" s="36"/>
      <c r="B236" s="31"/>
      <c r="C236" s="31"/>
      <c r="D236" s="32"/>
      <c r="H236" s="32"/>
      <c r="J236" s="32"/>
      <c r="K236" s="41"/>
      <c r="L236" s="32"/>
      <c r="N236" s="32"/>
      <c r="O236" s="41"/>
      <c r="P236" s="32"/>
      <c r="R236" s="32"/>
      <c r="S236" s="41"/>
    </row>
    <row r="237" spans="1:19" s="30" customFormat="1" x14ac:dyDescent="0.25">
      <c r="A237" s="36"/>
      <c r="B237" s="31"/>
      <c r="C237" s="31"/>
      <c r="D237" s="32"/>
      <c r="H237" s="32"/>
      <c r="J237" s="32"/>
      <c r="K237" s="41"/>
      <c r="L237" s="32"/>
      <c r="N237" s="32"/>
      <c r="O237" s="41"/>
      <c r="P237" s="32"/>
      <c r="R237" s="32"/>
      <c r="S237" s="41"/>
    </row>
    <row r="238" spans="1:19" s="30" customFormat="1" x14ac:dyDescent="0.25">
      <c r="A238" s="36"/>
      <c r="B238" s="31"/>
      <c r="C238" s="31"/>
      <c r="D238" s="32"/>
      <c r="H238" s="32"/>
      <c r="J238" s="32"/>
      <c r="K238" s="41"/>
      <c r="L238" s="32"/>
      <c r="N238" s="32"/>
      <c r="O238" s="41"/>
      <c r="P238" s="32"/>
      <c r="R238" s="32"/>
      <c r="S238" s="41"/>
    </row>
    <row r="239" spans="1:19" s="30" customFormat="1" x14ac:dyDescent="0.25">
      <c r="A239" s="36"/>
      <c r="B239" s="31"/>
      <c r="C239" s="31"/>
      <c r="D239" s="32"/>
      <c r="H239" s="32"/>
      <c r="J239" s="32"/>
      <c r="K239" s="41"/>
      <c r="L239" s="32"/>
      <c r="N239" s="32"/>
      <c r="O239" s="41"/>
      <c r="P239" s="32"/>
      <c r="R239" s="32"/>
      <c r="S239" s="41"/>
    </row>
    <row r="240" spans="1:19" s="30" customFormat="1" x14ac:dyDescent="0.25">
      <c r="A240" s="36"/>
      <c r="B240" s="31"/>
      <c r="C240" s="31"/>
      <c r="D240" s="32"/>
      <c r="H240" s="32"/>
      <c r="J240" s="32"/>
      <c r="K240" s="41"/>
      <c r="L240" s="32"/>
      <c r="N240" s="32"/>
      <c r="O240" s="41"/>
      <c r="P240" s="32"/>
      <c r="R240" s="32"/>
      <c r="S240" s="41"/>
    </row>
    <row r="241" spans="1:19" s="30" customFormat="1" x14ac:dyDescent="0.25">
      <c r="A241" s="36"/>
      <c r="B241" s="31"/>
      <c r="C241" s="31"/>
      <c r="D241" s="32"/>
      <c r="H241" s="32"/>
      <c r="J241" s="32"/>
      <c r="K241" s="41"/>
      <c r="L241" s="32"/>
      <c r="N241" s="32"/>
      <c r="O241" s="41"/>
      <c r="P241" s="32"/>
      <c r="R241" s="32"/>
      <c r="S241" s="41"/>
    </row>
    <row r="242" spans="1:19" s="30" customFormat="1" x14ac:dyDescent="0.25">
      <c r="A242" s="36"/>
      <c r="B242" s="31"/>
      <c r="C242" s="31"/>
      <c r="D242" s="32"/>
      <c r="H242" s="32"/>
      <c r="J242" s="32"/>
      <c r="K242" s="41"/>
      <c r="L242" s="32"/>
      <c r="N242" s="32"/>
      <c r="O242" s="41"/>
      <c r="P242" s="32"/>
      <c r="R242" s="32"/>
      <c r="S242" s="41"/>
    </row>
    <row r="243" spans="1:19" s="30" customFormat="1" x14ac:dyDescent="0.25">
      <c r="A243" s="36"/>
      <c r="B243" s="31"/>
      <c r="C243" s="31"/>
      <c r="D243" s="32"/>
      <c r="H243" s="32"/>
      <c r="J243" s="32"/>
      <c r="K243" s="41"/>
      <c r="L243" s="32"/>
      <c r="N243" s="32"/>
      <c r="O243" s="41"/>
      <c r="P243" s="32"/>
      <c r="R243" s="32"/>
      <c r="S243" s="41"/>
    </row>
    <row r="244" spans="1:19" s="30" customFormat="1" x14ac:dyDescent="0.25">
      <c r="A244" s="36"/>
      <c r="B244" s="31"/>
      <c r="C244" s="31"/>
      <c r="D244" s="32"/>
      <c r="H244" s="32"/>
      <c r="J244" s="32"/>
      <c r="K244" s="41"/>
      <c r="L244" s="32"/>
      <c r="N244" s="32"/>
      <c r="O244" s="41"/>
      <c r="P244" s="32"/>
      <c r="R244" s="32"/>
      <c r="S244" s="41"/>
    </row>
    <row r="245" spans="1:19" s="30" customFormat="1" x14ac:dyDescent="0.25">
      <c r="A245" s="36"/>
      <c r="B245" s="31"/>
      <c r="C245" s="31"/>
      <c r="D245" s="32"/>
      <c r="H245" s="32"/>
      <c r="J245" s="32"/>
      <c r="K245" s="41"/>
      <c r="L245" s="32"/>
      <c r="N245" s="32"/>
      <c r="O245" s="41"/>
      <c r="P245" s="32"/>
      <c r="R245" s="32"/>
      <c r="S245" s="41"/>
    </row>
    <row r="246" spans="1:19" s="30" customFormat="1" x14ac:dyDescent="0.25">
      <c r="A246" s="36"/>
      <c r="B246" s="31"/>
      <c r="C246" s="31"/>
      <c r="D246" s="32"/>
      <c r="H246" s="32"/>
      <c r="J246" s="32"/>
      <c r="K246" s="41"/>
      <c r="L246" s="32"/>
      <c r="N246" s="32"/>
      <c r="O246" s="41"/>
      <c r="P246" s="32"/>
      <c r="R246" s="32"/>
      <c r="S246" s="41"/>
    </row>
    <row r="247" spans="1:19" s="30" customFormat="1" x14ac:dyDescent="0.25">
      <c r="A247" s="36"/>
      <c r="B247" s="31"/>
      <c r="C247" s="31"/>
      <c r="D247" s="32"/>
      <c r="H247" s="32"/>
      <c r="J247" s="32"/>
      <c r="K247" s="41"/>
      <c r="L247" s="32"/>
      <c r="N247" s="32"/>
      <c r="O247" s="41"/>
      <c r="P247" s="32"/>
      <c r="R247" s="32"/>
      <c r="S247" s="41"/>
    </row>
    <row r="248" spans="1:19" s="30" customFormat="1" x14ac:dyDescent="0.25">
      <c r="A248" s="36"/>
      <c r="B248" s="31"/>
      <c r="C248" s="31"/>
      <c r="D248" s="32"/>
      <c r="H248" s="32"/>
      <c r="J248" s="32"/>
      <c r="K248" s="41"/>
      <c r="L248" s="32"/>
      <c r="N248" s="32"/>
      <c r="O248" s="41"/>
      <c r="P248" s="32"/>
      <c r="R248" s="32"/>
      <c r="S248" s="41"/>
    </row>
    <row r="249" spans="1:19" s="30" customFormat="1" x14ac:dyDescent="0.25">
      <c r="A249" s="36"/>
      <c r="B249" s="31"/>
      <c r="C249" s="31"/>
      <c r="D249" s="32"/>
      <c r="H249" s="32"/>
      <c r="J249" s="32"/>
      <c r="K249" s="41"/>
      <c r="L249" s="32"/>
      <c r="N249" s="32"/>
      <c r="O249" s="41"/>
      <c r="P249" s="32"/>
      <c r="R249" s="32"/>
      <c r="S249" s="41"/>
    </row>
    <row r="250" spans="1:19" s="30" customFormat="1" x14ac:dyDescent="0.25">
      <c r="A250" s="36"/>
      <c r="B250" s="31"/>
      <c r="C250" s="31"/>
      <c r="D250" s="32"/>
      <c r="H250" s="32"/>
      <c r="J250" s="32"/>
      <c r="K250" s="41"/>
      <c r="L250" s="32"/>
      <c r="N250" s="32"/>
      <c r="O250" s="41"/>
      <c r="P250" s="32"/>
      <c r="R250" s="32"/>
      <c r="S250" s="41"/>
    </row>
    <row r="251" spans="1:19" s="30" customFormat="1" x14ac:dyDescent="0.25">
      <c r="A251" s="36"/>
      <c r="B251" s="31"/>
      <c r="C251" s="31"/>
      <c r="D251" s="32"/>
      <c r="H251" s="32"/>
      <c r="J251" s="32"/>
      <c r="K251" s="41"/>
      <c r="L251" s="32"/>
      <c r="N251" s="32"/>
      <c r="O251" s="41"/>
      <c r="P251" s="32"/>
      <c r="R251" s="32"/>
      <c r="S251" s="41"/>
    </row>
    <row r="252" spans="1:19" s="30" customFormat="1" x14ac:dyDescent="0.25">
      <c r="A252" s="36"/>
      <c r="B252" s="31"/>
      <c r="C252" s="31"/>
      <c r="D252" s="32"/>
      <c r="H252" s="32"/>
      <c r="J252" s="32"/>
      <c r="K252" s="41"/>
      <c r="L252" s="32"/>
      <c r="N252" s="32"/>
      <c r="O252" s="41"/>
      <c r="P252" s="32"/>
      <c r="R252" s="32"/>
      <c r="S252" s="41"/>
    </row>
    <row r="253" spans="1:19" s="30" customFormat="1" x14ac:dyDescent="0.25">
      <c r="A253" s="36"/>
      <c r="B253" s="31"/>
      <c r="C253" s="31"/>
      <c r="D253" s="32"/>
      <c r="H253" s="32"/>
      <c r="J253" s="32"/>
      <c r="K253" s="41"/>
      <c r="L253" s="32"/>
      <c r="N253" s="32"/>
      <c r="O253" s="41"/>
      <c r="P253" s="32"/>
      <c r="R253" s="32"/>
      <c r="S253" s="41"/>
    </row>
    <row r="254" spans="1:19" s="30" customFormat="1" x14ac:dyDescent="0.25">
      <c r="A254" s="36"/>
      <c r="B254" s="31"/>
      <c r="C254" s="31"/>
      <c r="D254" s="32"/>
      <c r="H254" s="32"/>
      <c r="J254" s="32"/>
      <c r="K254" s="41"/>
      <c r="L254" s="32"/>
      <c r="N254" s="32"/>
      <c r="O254" s="41"/>
      <c r="P254" s="32"/>
      <c r="R254" s="32"/>
      <c r="S254" s="41"/>
    </row>
    <row r="255" spans="1:19" s="30" customFormat="1" x14ac:dyDescent="0.25">
      <c r="A255" s="36"/>
      <c r="B255" s="31"/>
      <c r="C255" s="31"/>
      <c r="D255" s="32"/>
      <c r="H255" s="32"/>
      <c r="J255" s="32"/>
      <c r="K255" s="41"/>
      <c r="L255" s="32"/>
      <c r="N255" s="32"/>
      <c r="O255" s="41"/>
      <c r="P255" s="32"/>
      <c r="R255" s="32"/>
      <c r="S255" s="41"/>
    </row>
    <row r="256" spans="1:19" s="30" customFormat="1" x14ac:dyDescent="0.25">
      <c r="A256" s="36"/>
      <c r="B256" s="31"/>
      <c r="C256" s="31"/>
      <c r="D256" s="32"/>
      <c r="H256" s="32"/>
      <c r="J256" s="32"/>
      <c r="K256" s="41"/>
      <c r="L256" s="32"/>
      <c r="N256" s="32"/>
      <c r="O256" s="41"/>
      <c r="P256" s="32"/>
      <c r="R256" s="32"/>
      <c r="S256" s="41"/>
    </row>
    <row r="257" spans="1:19" s="30" customFormat="1" x14ac:dyDescent="0.25">
      <c r="A257" s="36"/>
      <c r="B257" s="31"/>
      <c r="C257" s="31"/>
      <c r="D257" s="32"/>
      <c r="H257" s="32"/>
      <c r="J257" s="32"/>
      <c r="K257" s="41"/>
      <c r="L257" s="32"/>
      <c r="N257" s="32"/>
      <c r="O257" s="41"/>
      <c r="P257" s="32"/>
      <c r="R257" s="32"/>
      <c r="S257" s="41"/>
    </row>
    <row r="258" spans="1:19" s="30" customFormat="1" x14ac:dyDescent="0.25">
      <c r="A258" s="36"/>
      <c r="B258" s="31"/>
      <c r="C258" s="31"/>
      <c r="D258" s="32"/>
      <c r="H258" s="32"/>
      <c r="J258" s="32"/>
      <c r="K258" s="41"/>
      <c r="L258" s="32"/>
      <c r="N258" s="32"/>
      <c r="O258" s="41"/>
      <c r="P258" s="32"/>
      <c r="R258" s="32"/>
      <c r="S258" s="41"/>
    </row>
    <row r="259" spans="1:19" s="30" customFormat="1" x14ac:dyDescent="0.25">
      <c r="A259" s="36"/>
      <c r="B259" s="31"/>
      <c r="C259" s="31"/>
      <c r="D259" s="32"/>
      <c r="H259" s="32"/>
      <c r="J259" s="32"/>
      <c r="K259" s="41"/>
      <c r="L259" s="32"/>
      <c r="N259" s="32"/>
      <c r="O259" s="41"/>
      <c r="P259" s="32"/>
      <c r="R259" s="32"/>
      <c r="S259" s="41"/>
    </row>
    <row r="260" spans="1:19" s="30" customFormat="1" x14ac:dyDescent="0.25">
      <c r="A260" s="36"/>
      <c r="B260" s="31"/>
      <c r="C260" s="31"/>
      <c r="D260" s="32"/>
      <c r="H260" s="32"/>
      <c r="J260" s="32"/>
      <c r="K260" s="41"/>
      <c r="L260" s="32"/>
      <c r="N260" s="32"/>
      <c r="O260" s="41"/>
      <c r="P260" s="32"/>
      <c r="R260" s="32"/>
      <c r="S260" s="41"/>
    </row>
    <row r="261" spans="1:19" s="30" customFormat="1" x14ac:dyDescent="0.25">
      <c r="A261" s="36"/>
      <c r="B261" s="31"/>
      <c r="C261" s="31"/>
      <c r="D261" s="32"/>
      <c r="H261" s="32"/>
      <c r="J261" s="32"/>
      <c r="K261" s="41"/>
      <c r="L261" s="32"/>
      <c r="N261" s="32"/>
      <c r="O261" s="41"/>
      <c r="P261" s="32"/>
      <c r="R261" s="32"/>
      <c r="S261" s="41"/>
    </row>
    <row r="262" spans="1:19" s="30" customFormat="1" x14ac:dyDescent="0.25">
      <c r="A262" s="36"/>
      <c r="B262" s="31"/>
      <c r="C262" s="31"/>
      <c r="D262" s="32"/>
      <c r="H262" s="32"/>
      <c r="J262" s="32"/>
      <c r="K262" s="41"/>
      <c r="L262" s="32"/>
      <c r="N262" s="32"/>
      <c r="O262" s="41"/>
      <c r="P262" s="32"/>
      <c r="R262" s="32"/>
      <c r="S262" s="41"/>
    </row>
    <row r="263" spans="1:19" s="30" customFormat="1" x14ac:dyDescent="0.25">
      <c r="A263" s="36"/>
      <c r="B263" s="31"/>
      <c r="C263" s="31"/>
      <c r="D263" s="32"/>
      <c r="H263" s="32"/>
      <c r="J263" s="32"/>
      <c r="K263" s="41"/>
      <c r="L263" s="32"/>
      <c r="N263" s="32"/>
      <c r="O263" s="41"/>
      <c r="P263" s="32"/>
      <c r="R263" s="32"/>
      <c r="S263" s="41"/>
    </row>
    <row r="264" spans="1:19" s="30" customFormat="1" x14ac:dyDescent="0.25">
      <c r="A264" s="36"/>
      <c r="B264" s="31"/>
      <c r="C264" s="31"/>
      <c r="D264" s="32"/>
      <c r="H264" s="32"/>
      <c r="J264" s="32"/>
      <c r="K264" s="41"/>
      <c r="L264" s="32"/>
      <c r="N264" s="32"/>
      <c r="O264" s="41"/>
      <c r="P264" s="32"/>
      <c r="R264" s="32"/>
      <c r="S264" s="41"/>
    </row>
    <row r="265" spans="1:19" s="30" customFormat="1" x14ac:dyDescent="0.25">
      <c r="A265" s="36"/>
      <c r="B265" s="31"/>
      <c r="C265" s="31"/>
      <c r="D265" s="32"/>
      <c r="H265" s="32"/>
      <c r="J265" s="32"/>
      <c r="K265" s="41"/>
      <c r="L265" s="32"/>
      <c r="N265" s="32"/>
      <c r="O265" s="41"/>
      <c r="P265" s="32"/>
      <c r="R265" s="32"/>
      <c r="S265" s="41"/>
    </row>
    <row r="266" spans="1:19" s="30" customFormat="1" x14ac:dyDescent="0.25">
      <c r="A266" s="36"/>
      <c r="B266" s="31"/>
      <c r="C266" s="31"/>
      <c r="D266" s="32"/>
      <c r="H266" s="32"/>
      <c r="J266" s="32"/>
      <c r="K266" s="41"/>
      <c r="L266" s="32"/>
      <c r="N266" s="32"/>
      <c r="O266" s="41"/>
      <c r="P266" s="32"/>
      <c r="R266" s="32"/>
      <c r="S266" s="41"/>
    </row>
    <row r="267" spans="1:19" s="30" customFormat="1" x14ac:dyDescent="0.25">
      <c r="A267" s="36"/>
      <c r="B267" s="31"/>
      <c r="C267" s="31"/>
      <c r="D267" s="32"/>
      <c r="H267" s="32"/>
      <c r="J267" s="32"/>
      <c r="K267" s="41"/>
      <c r="L267" s="32"/>
      <c r="N267" s="32"/>
      <c r="O267" s="41"/>
      <c r="P267" s="32"/>
      <c r="R267" s="32"/>
      <c r="S267" s="41"/>
    </row>
    <row r="268" spans="1:19" s="30" customFormat="1" x14ac:dyDescent="0.25">
      <c r="A268" s="36"/>
      <c r="B268" s="31"/>
      <c r="C268" s="31"/>
      <c r="D268" s="32"/>
      <c r="H268" s="32"/>
      <c r="J268" s="32"/>
      <c r="K268" s="41"/>
      <c r="L268" s="32"/>
      <c r="N268" s="32"/>
      <c r="O268" s="41"/>
      <c r="P268" s="32"/>
      <c r="R268" s="32"/>
      <c r="S268" s="41"/>
    </row>
    <row r="269" spans="1:19" s="30" customFormat="1" x14ac:dyDescent="0.25">
      <c r="A269" s="36"/>
      <c r="B269" s="31"/>
      <c r="C269" s="31"/>
      <c r="D269" s="32"/>
      <c r="H269" s="32"/>
      <c r="J269" s="32"/>
      <c r="K269" s="41"/>
      <c r="L269" s="32"/>
      <c r="N269" s="32"/>
      <c r="O269" s="41"/>
      <c r="P269" s="32"/>
      <c r="R269" s="32"/>
      <c r="S269" s="41"/>
    </row>
    <row r="270" spans="1:19" s="30" customFormat="1" x14ac:dyDescent="0.25">
      <c r="A270" s="36"/>
      <c r="B270" s="31"/>
      <c r="C270" s="31"/>
      <c r="D270" s="32"/>
      <c r="H270" s="32"/>
      <c r="J270" s="32"/>
      <c r="K270" s="41"/>
      <c r="L270" s="32"/>
      <c r="N270" s="32"/>
      <c r="O270" s="41"/>
      <c r="P270" s="32"/>
      <c r="R270" s="32"/>
      <c r="S270" s="41"/>
    </row>
    <row r="271" spans="1:19" s="30" customFormat="1" x14ac:dyDescent="0.25">
      <c r="A271" s="36"/>
      <c r="B271" s="31"/>
      <c r="C271" s="31"/>
      <c r="D271" s="32"/>
      <c r="H271" s="32"/>
      <c r="J271" s="32"/>
      <c r="K271" s="41"/>
      <c r="L271" s="32"/>
      <c r="N271" s="32"/>
      <c r="O271" s="41"/>
      <c r="P271" s="32"/>
      <c r="R271" s="32"/>
      <c r="S271" s="41"/>
    </row>
    <row r="272" spans="1:19" s="30" customFormat="1" x14ac:dyDescent="0.25">
      <c r="A272" s="36"/>
      <c r="B272" s="31"/>
      <c r="C272" s="31"/>
      <c r="D272" s="32"/>
      <c r="H272" s="32"/>
      <c r="J272" s="32"/>
      <c r="K272" s="41"/>
      <c r="L272" s="32"/>
      <c r="N272" s="32"/>
      <c r="O272" s="41"/>
      <c r="P272" s="32"/>
      <c r="R272" s="32"/>
      <c r="S272" s="41"/>
    </row>
    <row r="273" spans="1:19" s="30" customFormat="1" x14ac:dyDescent="0.25">
      <c r="A273" s="36"/>
      <c r="B273" s="31"/>
      <c r="C273" s="31"/>
      <c r="D273" s="32"/>
      <c r="H273" s="32"/>
      <c r="J273" s="32"/>
      <c r="K273" s="41"/>
      <c r="L273" s="32"/>
      <c r="N273" s="32"/>
      <c r="O273" s="41"/>
      <c r="P273" s="32"/>
      <c r="R273" s="32"/>
      <c r="S273" s="41"/>
    </row>
    <row r="274" spans="1:19" s="30" customFormat="1" x14ac:dyDescent="0.25">
      <c r="A274" s="36"/>
      <c r="B274" s="31"/>
      <c r="C274" s="31"/>
      <c r="D274" s="32"/>
      <c r="H274" s="32"/>
      <c r="J274" s="32"/>
      <c r="K274" s="41"/>
      <c r="L274" s="32"/>
      <c r="N274" s="32"/>
      <c r="O274" s="41"/>
      <c r="P274" s="32"/>
      <c r="R274" s="32"/>
      <c r="S274" s="41"/>
    </row>
    <row r="275" spans="1:19" s="30" customFormat="1" x14ac:dyDescent="0.25">
      <c r="A275" s="36"/>
      <c r="B275" s="31"/>
      <c r="C275" s="31"/>
      <c r="D275" s="32"/>
      <c r="H275" s="32"/>
      <c r="J275" s="32"/>
      <c r="K275" s="41"/>
      <c r="L275" s="32"/>
      <c r="N275" s="32"/>
      <c r="O275" s="41"/>
      <c r="P275" s="32"/>
      <c r="R275" s="32"/>
      <c r="S275" s="41"/>
    </row>
    <row r="276" spans="1:19" s="30" customFormat="1" x14ac:dyDescent="0.25">
      <c r="A276" s="36"/>
      <c r="B276" s="31"/>
      <c r="C276" s="31"/>
      <c r="D276" s="32"/>
      <c r="H276" s="32"/>
      <c r="J276" s="32"/>
      <c r="K276" s="41"/>
      <c r="L276" s="32"/>
      <c r="N276" s="32"/>
      <c r="O276" s="41"/>
      <c r="P276" s="32"/>
      <c r="R276" s="32"/>
      <c r="S276" s="41"/>
    </row>
    <row r="277" spans="1:19" s="30" customFormat="1" x14ac:dyDescent="0.25">
      <c r="A277" s="36"/>
      <c r="B277" s="31"/>
      <c r="C277" s="31"/>
      <c r="D277" s="32"/>
      <c r="H277" s="32"/>
      <c r="J277" s="32"/>
      <c r="K277" s="41"/>
      <c r="L277" s="32"/>
      <c r="N277" s="32"/>
      <c r="O277" s="41"/>
      <c r="P277" s="32"/>
      <c r="R277" s="32"/>
      <c r="S277" s="41"/>
    </row>
    <row r="278" spans="1:19" s="30" customFormat="1" x14ac:dyDescent="0.25">
      <c r="A278" s="36"/>
      <c r="B278" s="31"/>
      <c r="C278" s="31"/>
      <c r="D278" s="32"/>
      <c r="H278" s="32"/>
      <c r="J278" s="32"/>
      <c r="K278" s="41"/>
      <c r="L278" s="32"/>
      <c r="N278" s="32"/>
      <c r="O278" s="41"/>
      <c r="P278" s="32"/>
      <c r="R278" s="32"/>
      <c r="S278" s="41"/>
    </row>
    <row r="279" spans="1:19" s="30" customFormat="1" x14ac:dyDescent="0.25">
      <c r="A279" s="36"/>
      <c r="B279" s="31"/>
      <c r="C279" s="31"/>
      <c r="D279" s="32"/>
      <c r="H279" s="32"/>
      <c r="J279" s="32"/>
      <c r="K279" s="41"/>
      <c r="L279" s="32"/>
      <c r="N279" s="32"/>
      <c r="O279" s="41"/>
      <c r="P279" s="32"/>
      <c r="R279" s="32"/>
      <c r="S279" s="41"/>
    </row>
    <row r="280" spans="1:19" s="30" customFormat="1" x14ac:dyDescent="0.25">
      <c r="A280" s="36"/>
      <c r="B280" s="31"/>
      <c r="C280" s="31"/>
      <c r="D280" s="32"/>
      <c r="H280" s="32"/>
      <c r="J280" s="32"/>
      <c r="K280" s="41"/>
      <c r="L280" s="32"/>
      <c r="N280" s="32"/>
      <c r="O280" s="41"/>
      <c r="P280" s="32"/>
      <c r="R280" s="32"/>
      <c r="S280" s="41"/>
    </row>
    <row r="281" spans="1:19" s="30" customFormat="1" x14ac:dyDescent="0.25">
      <c r="A281" s="36"/>
      <c r="B281" s="31"/>
      <c r="C281" s="31"/>
      <c r="D281" s="32"/>
      <c r="H281" s="32"/>
      <c r="J281" s="32"/>
      <c r="K281" s="41"/>
      <c r="L281" s="32"/>
      <c r="N281" s="32"/>
      <c r="O281" s="41"/>
      <c r="P281" s="32"/>
      <c r="R281" s="32"/>
      <c r="S281" s="41"/>
    </row>
    <row r="282" spans="1:19" s="30" customFormat="1" x14ac:dyDescent="0.25">
      <c r="A282" s="36"/>
      <c r="B282" s="31"/>
      <c r="C282" s="31"/>
      <c r="D282" s="32"/>
      <c r="H282" s="32"/>
      <c r="J282" s="32"/>
      <c r="K282" s="41"/>
      <c r="L282" s="32"/>
      <c r="N282" s="32"/>
      <c r="O282" s="41"/>
      <c r="P282" s="32"/>
      <c r="R282" s="32"/>
      <c r="S282" s="41"/>
    </row>
    <row r="283" spans="1:19" s="30" customFormat="1" x14ac:dyDescent="0.25">
      <c r="A283" s="36"/>
      <c r="B283" s="31"/>
      <c r="C283" s="31"/>
      <c r="D283" s="32"/>
      <c r="H283" s="32"/>
      <c r="J283" s="32"/>
      <c r="K283" s="41"/>
      <c r="L283" s="32"/>
      <c r="N283" s="32"/>
      <c r="O283" s="41"/>
      <c r="P283" s="32"/>
      <c r="R283" s="32"/>
      <c r="S283" s="41"/>
    </row>
    <row r="284" spans="1:19" s="30" customFormat="1" x14ac:dyDescent="0.25">
      <c r="A284" s="36"/>
      <c r="B284" s="31"/>
      <c r="C284" s="31"/>
      <c r="D284" s="32"/>
      <c r="H284" s="32"/>
      <c r="J284" s="32"/>
      <c r="K284" s="41"/>
      <c r="L284" s="32"/>
      <c r="N284" s="32"/>
      <c r="O284" s="41"/>
      <c r="P284" s="32"/>
      <c r="R284" s="32"/>
      <c r="S284" s="41"/>
    </row>
    <row r="285" spans="1:19" s="30" customFormat="1" x14ac:dyDescent="0.25">
      <c r="A285" s="36"/>
      <c r="B285" s="31"/>
      <c r="C285" s="31"/>
      <c r="D285" s="32"/>
      <c r="H285" s="32"/>
      <c r="J285" s="32"/>
      <c r="K285" s="41"/>
      <c r="L285" s="32"/>
      <c r="N285" s="32"/>
      <c r="O285" s="41"/>
      <c r="P285" s="32"/>
      <c r="R285" s="32"/>
      <c r="S285" s="41"/>
    </row>
    <row r="286" spans="1:19" s="30" customFormat="1" x14ac:dyDescent="0.25">
      <c r="A286" s="36"/>
      <c r="B286" s="31"/>
      <c r="C286" s="31"/>
      <c r="D286" s="32"/>
      <c r="H286" s="32"/>
      <c r="J286" s="32"/>
      <c r="K286" s="41"/>
      <c r="L286" s="32"/>
      <c r="N286" s="32"/>
      <c r="O286" s="41"/>
      <c r="P286" s="32"/>
      <c r="R286" s="32"/>
      <c r="S286" s="41"/>
    </row>
    <row r="287" spans="1:19" s="30" customFormat="1" x14ac:dyDescent="0.25">
      <c r="A287" s="36"/>
      <c r="B287" s="31"/>
      <c r="C287" s="31"/>
      <c r="D287" s="32"/>
      <c r="H287" s="32"/>
      <c r="J287" s="32"/>
      <c r="K287" s="41"/>
      <c r="L287" s="32"/>
      <c r="N287" s="32"/>
      <c r="O287" s="41"/>
      <c r="P287" s="32"/>
      <c r="R287" s="32"/>
      <c r="S287" s="41"/>
    </row>
    <row r="288" spans="1:19" s="30" customFormat="1" x14ac:dyDescent="0.25">
      <c r="A288" s="36"/>
      <c r="B288" s="31"/>
      <c r="C288" s="31"/>
      <c r="D288" s="32"/>
      <c r="H288" s="32"/>
      <c r="J288" s="32"/>
      <c r="K288" s="41"/>
      <c r="L288" s="32"/>
      <c r="N288" s="32"/>
      <c r="O288" s="41"/>
      <c r="P288" s="32"/>
      <c r="R288" s="32"/>
      <c r="S288" s="41"/>
    </row>
    <row r="289" spans="1:19" s="30" customFormat="1" x14ac:dyDescent="0.25">
      <c r="A289" s="36"/>
      <c r="B289" s="31"/>
      <c r="C289" s="31"/>
      <c r="D289" s="32"/>
      <c r="H289" s="32"/>
      <c r="J289" s="32"/>
      <c r="K289" s="41"/>
      <c r="L289" s="32"/>
      <c r="N289" s="32"/>
      <c r="O289" s="41"/>
      <c r="P289" s="32"/>
      <c r="R289" s="32"/>
      <c r="S289" s="41"/>
    </row>
    <row r="290" spans="1:19" s="30" customFormat="1" x14ac:dyDescent="0.25">
      <c r="A290" s="36"/>
      <c r="B290" s="31"/>
      <c r="C290" s="31"/>
      <c r="D290" s="32"/>
      <c r="H290" s="32"/>
      <c r="J290" s="32"/>
      <c r="K290" s="41"/>
      <c r="L290" s="32"/>
      <c r="N290" s="32"/>
      <c r="O290" s="41"/>
      <c r="P290" s="32"/>
      <c r="R290" s="32"/>
      <c r="S290" s="41"/>
    </row>
    <row r="291" spans="1:19" s="30" customFormat="1" x14ac:dyDescent="0.25">
      <c r="A291" s="36"/>
      <c r="B291" s="31"/>
      <c r="C291" s="31"/>
      <c r="D291" s="32"/>
      <c r="H291" s="32"/>
      <c r="J291" s="32"/>
      <c r="K291" s="41"/>
      <c r="L291" s="32"/>
      <c r="N291" s="32"/>
      <c r="O291" s="41"/>
      <c r="P291" s="32"/>
      <c r="R291" s="32"/>
      <c r="S291" s="41"/>
    </row>
    <row r="292" spans="1:19" s="30" customFormat="1" x14ac:dyDescent="0.25">
      <c r="A292" s="36"/>
      <c r="B292" s="31"/>
      <c r="C292" s="31"/>
      <c r="D292" s="32"/>
      <c r="H292" s="32"/>
      <c r="J292" s="32"/>
      <c r="K292" s="41"/>
      <c r="L292" s="32"/>
      <c r="N292" s="32"/>
      <c r="O292" s="41"/>
      <c r="P292" s="32"/>
      <c r="R292" s="32"/>
      <c r="S292" s="41"/>
    </row>
    <row r="293" spans="1:19" s="30" customFormat="1" x14ac:dyDescent="0.25">
      <c r="A293" s="36"/>
      <c r="B293" s="31"/>
      <c r="C293" s="31"/>
      <c r="D293" s="32"/>
      <c r="H293" s="32"/>
      <c r="J293" s="32"/>
      <c r="K293" s="41"/>
      <c r="L293" s="32"/>
      <c r="N293" s="32"/>
      <c r="O293" s="41"/>
      <c r="P293" s="32"/>
      <c r="R293" s="32"/>
      <c r="S293" s="41"/>
    </row>
    <row r="294" spans="1:19" s="30" customFormat="1" x14ac:dyDescent="0.25">
      <c r="A294" s="36"/>
      <c r="B294" s="31"/>
      <c r="C294" s="31"/>
      <c r="D294" s="32"/>
      <c r="H294" s="32"/>
      <c r="J294" s="32"/>
      <c r="K294" s="41"/>
      <c r="L294" s="32"/>
      <c r="N294" s="32"/>
      <c r="O294" s="41"/>
      <c r="P294" s="32"/>
      <c r="R294" s="32"/>
      <c r="S294" s="41"/>
    </row>
    <row r="295" spans="1:19" s="30" customFormat="1" x14ac:dyDescent="0.25">
      <c r="A295" s="36"/>
      <c r="B295" s="31"/>
      <c r="C295" s="31"/>
      <c r="D295" s="32"/>
      <c r="H295" s="32"/>
      <c r="J295" s="32"/>
      <c r="K295" s="41"/>
      <c r="L295" s="32"/>
      <c r="N295" s="32"/>
      <c r="O295" s="41"/>
      <c r="P295" s="32"/>
      <c r="R295" s="32"/>
      <c r="S295" s="41"/>
    </row>
    <row r="296" spans="1:19" s="30" customFormat="1" x14ac:dyDescent="0.25">
      <c r="A296" s="36"/>
      <c r="B296" s="31"/>
      <c r="C296" s="31"/>
      <c r="D296" s="32"/>
      <c r="H296" s="32"/>
      <c r="J296" s="32"/>
      <c r="K296" s="41"/>
      <c r="L296" s="32"/>
      <c r="N296" s="32"/>
      <c r="O296" s="41"/>
      <c r="P296" s="32"/>
      <c r="R296" s="32"/>
      <c r="S296" s="41"/>
    </row>
    <row r="297" spans="1:19" s="30" customFormat="1" x14ac:dyDescent="0.25">
      <c r="A297" s="36"/>
      <c r="B297" s="31"/>
      <c r="C297" s="31"/>
      <c r="D297" s="32"/>
      <c r="H297" s="32"/>
      <c r="J297" s="32"/>
      <c r="K297" s="41"/>
      <c r="L297" s="32"/>
      <c r="N297" s="32"/>
      <c r="O297" s="41"/>
      <c r="P297" s="32"/>
      <c r="R297" s="32"/>
      <c r="S297" s="41"/>
    </row>
    <row r="298" spans="1:19" s="30" customFormat="1" x14ac:dyDescent="0.25">
      <c r="A298" s="36"/>
      <c r="B298" s="31"/>
      <c r="C298" s="31"/>
      <c r="D298" s="32"/>
      <c r="H298" s="32"/>
      <c r="J298" s="32"/>
      <c r="K298" s="41"/>
      <c r="L298" s="32"/>
      <c r="N298" s="32"/>
      <c r="O298" s="41"/>
      <c r="P298" s="32"/>
      <c r="R298" s="32"/>
      <c r="S298" s="41"/>
    </row>
    <row r="299" spans="1:19" s="30" customFormat="1" x14ac:dyDescent="0.25">
      <c r="A299" s="36"/>
      <c r="B299" s="31"/>
      <c r="C299" s="31"/>
      <c r="D299" s="32"/>
      <c r="H299" s="32"/>
      <c r="J299" s="32"/>
      <c r="K299" s="41"/>
      <c r="L299" s="32"/>
      <c r="N299" s="32"/>
      <c r="O299" s="41"/>
      <c r="P299" s="32"/>
      <c r="R299" s="32"/>
      <c r="S299" s="41"/>
    </row>
    <row r="300" spans="1:19" s="30" customFormat="1" x14ac:dyDescent="0.25">
      <c r="A300" s="36"/>
      <c r="B300" s="31"/>
      <c r="C300" s="31"/>
      <c r="D300" s="32"/>
      <c r="H300" s="32"/>
      <c r="J300" s="32"/>
      <c r="K300" s="41"/>
      <c r="L300" s="32"/>
      <c r="N300" s="32"/>
      <c r="O300" s="41"/>
      <c r="P300" s="32"/>
      <c r="R300" s="32"/>
      <c r="S300" s="41"/>
    </row>
    <row r="301" spans="1:19" s="30" customFormat="1" x14ac:dyDescent="0.25">
      <c r="A301" s="36"/>
      <c r="B301" s="31"/>
      <c r="C301" s="31"/>
      <c r="D301" s="32"/>
      <c r="H301" s="32"/>
      <c r="J301" s="32"/>
      <c r="K301" s="41"/>
      <c r="L301" s="32"/>
      <c r="N301" s="32"/>
      <c r="O301" s="41"/>
      <c r="P301" s="32"/>
      <c r="R301" s="32"/>
      <c r="S301" s="41"/>
    </row>
    <row r="302" spans="1:19" s="30" customFormat="1" x14ac:dyDescent="0.25">
      <c r="A302" s="36"/>
      <c r="B302" s="31"/>
      <c r="C302" s="31"/>
      <c r="D302" s="32"/>
      <c r="H302" s="32"/>
      <c r="J302" s="32"/>
      <c r="K302" s="41"/>
      <c r="L302" s="32"/>
      <c r="N302" s="32"/>
      <c r="O302" s="41"/>
      <c r="P302" s="32"/>
      <c r="R302" s="32"/>
      <c r="S302" s="41"/>
    </row>
    <row r="303" spans="1:19" s="30" customFormat="1" x14ac:dyDescent="0.25">
      <c r="A303" s="36"/>
      <c r="B303" s="31"/>
      <c r="C303" s="31"/>
      <c r="D303" s="32"/>
      <c r="H303" s="32"/>
      <c r="J303" s="32"/>
      <c r="K303" s="41"/>
      <c r="L303" s="32"/>
      <c r="N303" s="32"/>
      <c r="O303" s="41"/>
      <c r="P303" s="32"/>
      <c r="R303" s="32"/>
      <c r="S303" s="41"/>
    </row>
    <row r="304" spans="1:19" s="30" customFormat="1" x14ac:dyDescent="0.25">
      <c r="A304" s="36"/>
      <c r="B304" s="31"/>
      <c r="C304" s="31"/>
      <c r="D304" s="32"/>
      <c r="H304" s="32"/>
      <c r="J304" s="32"/>
      <c r="K304" s="41"/>
      <c r="L304" s="32"/>
      <c r="N304" s="32"/>
      <c r="O304" s="41"/>
      <c r="P304" s="32"/>
      <c r="R304" s="32"/>
      <c r="S304" s="41"/>
    </row>
    <row r="305" spans="1:19" s="30" customFormat="1" x14ac:dyDescent="0.25">
      <c r="A305" s="36"/>
      <c r="B305" s="31"/>
      <c r="C305" s="31"/>
      <c r="D305" s="32"/>
      <c r="H305" s="32"/>
      <c r="J305" s="32"/>
      <c r="K305" s="41"/>
      <c r="L305" s="32"/>
      <c r="N305" s="32"/>
      <c r="O305" s="41"/>
      <c r="P305" s="32"/>
      <c r="R305" s="32"/>
      <c r="S305" s="41"/>
    </row>
    <row r="306" spans="1:19" s="30" customFormat="1" x14ac:dyDescent="0.25">
      <c r="A306" s="36"/>
      <c r="B306" s="31"/>
      <c r="C306" s="31"/>
      <c r="D306" s="32"/>
      <c r="H306" s="32"/>
      <c r="J306" s="32"/>
      <c r="K306" s="41"/>
      <c r="L306" s="32"/>
      <c r="N306" s="32"/>
      <c r="O306" s="41"/>
      <c r="P306" s="32"/>
      <c r="R306" s="32"/>
      <c r="S306" s="41"/>
    </row>
    <row r="307" spans="1:19" s="30" customFormat="1" x14ac:dyDescent="0.25">
      <c r="A307" s="36"/>
      <c r="B307" s="31"/>
      <c r="C307" s="31"/>
      <c r="D307" s="32"/>
      <c r="H307" s="32"/>
      <c r="J307" s="32"/>
      <c r="K307" s="41"/>
      <c r="L307" s="32"/>
      <c r="N307" s="32"/>
      <c r="O307" s="41"/>
      <c r="P307" s="32"/>
      <c r="R307" s="32"/>
      <c r="S307" s="41"/>
    </row>
    <row r="308" spans="1:19" s="30" customFormat="1" x14ac:dyDescent="0.25">
      <c r="A308" s="36"/>
      <c r="B308" s="31"/>
      <c r="C308" s="31"/>
      <c r="D308" s="32"/>
      <c r="H308" s="32"/>
      <c r="J308" s="32"/>
      <c r="K308" s="41"/>
      <c r="L308" s="32"/>
      <c r="N308" s="32"/>
      <c r="O308" s="41"/>
      <c r="P308" s="32"/>
      <c r="R308" s="32"/>
      <c r="S308" s="41"/>
    </row>
    <row r="309" spans="1:19" s="30" customFormat="1" x14ac:dyDescent="0.25">
      <c r="A309" s="36"/>
      <c r="B309" s="31"/>
      <c r="C309" s="31"/>
      <c r="D309" s="32"/>
      <c r="H309" s="32"/>
      <c r="J309" s="32"/>
      <c r="K309" s="41"/>
      <c r="L309" s="32"/>
      <c r="N309" s="32"/>
      <c r="O309" s="41"/>
      <c r="P309" s="32"/>
      <c r="R309" s="32"/>
      <c r="S309" s="41"/>
    </row>
    <row r="310" spans="1:19" s="30" customFormat="1" x14ac:dyDescent="0.25">
      <c r="A310" s="36"/>
      <c r="B310" s="31"/>
      <c r="C310" s="31"/>
      <c r="D310" s="32"/>
      <c r="H310" s="32"/>
      <c r="J310" s="32"/>
      <c r="K310" s="41"/>
      <c r="L310" s="32"/>
      <c r="N310" s="32"/>
      <c r="O310" s="41"/>
      <c r="P310" s="32"/>
      <c r="R310" s="32"/>
      <c r="S310" s="41"/>
    </row>
    <row r="311" spans="1:19" s="30" customFormat="1" x14ac:dyDescent="0.25">
      <c r="A311" s="36"/>
      <c r="B311" s="31"/>
      <c r="C311" s="31"/>
      <c r="D311" s="32"/>
      <c r="H311" s="32"/>
      <c r="J311" s="32"/>
      <c r="K311" s="41"/>
      <c r="L311" s="32"/>
      <c r="N311" s="32"/>
      <c r="O311" s="41"/>
      <c r="P311" s="32"/>
      <c r="R311" s="32"/>
      <c r="S311" s="41"/>
    </row>
    <row r="312" spans="1:19" s="30" customFormat="1" x14ac:dyDescent="0.25">
      <c r="A312" s="36"/>
      <c r="B312" s="31"/>
      <c r="C312" s="31"/>
      <c r="D312" s="32"/>
      <c r="H312" s="32"/>
      <c r="J312" s="32"/>
      <c r="K312" s="41"/>
      <c r="L312" s="32"/>
      <c r="N312" s="32"/>
      <c r="O312" s="41"/>
      <c r="P312" s="32"/>
      <c r="R312" s="32"/>
      <c r="S312" s="41"/>
    </row>
    <row r="313" spans="1:19" s="30" customFormat="1" x14ac:dyDescent="0.25">
      <c r="A313" s="36"/>
      <c r="B313" s="31"/>
      <c r="C313" s="31"/>
      <c r="D313" s="32"/>
      <c r="H313" s="32"/>
      <c r="J313" s="32"/>
      <c r="K313" s="41"/>
      <c r="L313" s="32"/>
      <c r="N313" s="32"/>
      <c r="O313" s="41"/>
      <c r="P313" s="32"/>
      <c r="R313" s="32"/>
      <c r="S313" s="41"/>
    </row>
    <row r="314" spans="1:19" s="30" customFormat="1" x14ac:dyDescent="0.25">
      <c r="A314" s="36"/>
      <c r="B314" s="31"/>
      <c r="C314" s="31"/>
      <c r="D314" s="32"/>
      <c r="H314" s="32"/>
      <c r="J314" s="32"/>
      <c r="K314" s="41"/>
      <c r="L314" s="32"/>
      <c r="N314" s="32"/>
      <c r="O314" s="41"/>
      <c r="P314" s="32"/>
      <c r="R314" s="32"/>
      <c r="S314" s="41"/>
    </row>
    <row r="315" spans="1:19" s="30" customFormat="1" x14ac:dyDescent="0.25">
      <c r="A315" s="36"/>
      <c r="B315" s="31"/>
      <c r="C315" s="31"/>
      <c r="D315" s="32"/>
      <c r="H315" s="32"/>
      <c r="J315" s="32"/>
      <c r="K315" s="41"/>
      <c r="L315" s="32"/>
      <c r="N315" s="32"/>
      <c r="O315" s="41"/>
      <c r="P315" s="32"/>
      <c r="R315" s="32"/>
      <c r="S315" s="41"/>
    </row>
    <row r="316" spans="1:19" s="30" customFormat="1" x14ac:dyDescent="0.25">
      <c r="A316" s="36"/>
      <c r="B316" s="31"/>
      <c r="C316" s="31"/>
      <c r="D316" s="32"/>
      <c r="H316" s="32"/>
      <c r="J316" s="32"/>
      <c r="K316" s="41"/>
      <c r="L316" s="32"/>
      <c r="N316" s="32"/>
      <c r="O316" s="41"/>
      <c r="P316" s="32"/>
      <c r="R316" s="32"/>
      <c r="S316" s="41"/>
    </row>
    <row r="317" spans="1:19" s="30" customFormat="1" x14ac:dyDescent="0.25">
      <c r="A317" s="36"/>
      <c r="B317" s="31"/>
      <c r="C317" s="31"/>
      <c r="D317" s="32"/>
      <c r="H317" s="32"/>
      <c r="J317" s="32"/>
      <c r="K317" s="41"/>
      <c r="L317" s="32"/>
      <c r="N317" s="32"/>
      <c r="O317" s="41"/>
      <c r="P317" s="32"/>
      <c r="R317" s="32"/>
      <c r="S317" s="41"/>
    </row>
    <row r="318" spans="1:19" s="30" customFormat="1" x14ac:dyDescent="0.25">
      <c r="A318" s="36"/>
      <c r="B318" s="31"/>
      <c r="C318" s="31"/>
      <c r="D318" s="32"/>
      <c r="H318" s="32"/>
      <c r="J318" s="32"/>
      <c r="K318" s="41"/>
      <c r="L318" s="32"/>
      <c r="N318" s="32"/>
      <c r="O318" s="41"/>
      <c r="P318" s="32"/>
      <c r="R318" s="32"/>
      <c r="S318" s="41"/>
    </row>
    <row r="319" spans="1:19" s="30" customFormat="1" x14ac:dyDescent="0.25">
      <c r="A319" s="36"/>
      <c r="B319" s="31"/>
      <c r="C319" s="31"/>
      <c r="D319" s="32"/>
      <c r="H319" s="32"/>
      <c r="J319" s="32"/>
      <c r="K319" s="41"/>
      <c r="L319" s="32"/>
      <c r="N319" s="32"/>
      <c r="O319" s="41"/>
      <c r="P319" s="32"/>
      <c r="R319" s="32"/>
      <c r="S319" s="41"/>
    </row>
    <row r="320" spans="1:19" s="30" customFormat="1" x14ac:dyDescent="0.25">
      <c r="A320" s="36"/>
      <c r="B320" s="31"/>
      <c r="C320" s="31"/>
      <c r="D320" s="32"/>
      <c r="H320" s="32"/>
      <c r="J320" s="32"/>
      <c r="K320" s="41"/>
      <c r="L320" s="32"/>
      <c r="N320" s="32"/>
      <c r="O320" s="41"/>
      <c r="P320" s="32"/>
      <c r="R320" s="32"/>
      <c r="S320" s="41"/>
    </row>
    <row r="321" spans="1:19" s="30" customFormat="1" x14ac:dyDescent="0.25">
      <c r="A321" s="36"/>
      <c r="B321" s="31"/>
      <c r="C321" s="31"/>
      <c r="D321" s="32"/>
      <c r="H321" s="32"/>
      <c r="J321" s="32"/>
      <c r="K321" s="41"/>
      <c r="L321" s="32"/>
      <c r="N321" s="32"/>
      <c r="O321" s="41"/>
      <c r="P321" s="32"/>
      <c r="R321" s="32"/>
      <c r="S321" s="41"/>
    </row>
    <row r="322" spans="1:19" s="30" customFormat="1" x14ac:dyDescent="0.25">
      <c r="A322" s="36"/>
      <c r="B322" s="31"/>
      <c r="C322" s="31"/>
      <c r="D322" s="32"/>
      <c r="H322" s="32"/>
      <c r="J322" s="32"/>
      <c r="K322" s="41"/>
      <c r="L322" s="32"/>
      <c r="N322" s="32"/>
      <c r="O322" s="41"/>
      <c r="P322" s="32"/>
      <c r="R322" s="32"/>
      <c r="S322" s="41"/>
    </row>
    <row r="323" spans="1:19" s="30" customFormat="1" x14ac:dyDescent="0.25">
      <c r="A323" s="36"/>
      <c r="B323" s="31"/>
      <c r="C323" s="31"/>
      <c r="D323" s="32"/>
      <c r="H323" s="32"/>
      <c r="J323" s="32"/>
      <c r="K323" s="41"/>
      <c r="L323" s="32"/>
      <c r="N323" s="32"/>
      <c r="O323" s="41"/>
      <c r="P323" s="32"/>
      <c r="R323" s="32"/>
      <c r="S323" s="41"/>
    </row>
    <row r="324" spans="1:19" s="30" customFormat="1" x14ac:dyDescent="0.25">
      <c r="A324" s="36"/>
      <c r="B324" s="31"/>
      <c r="C324" s="31"/>
      <c r="D324" s="32"/>
      <c r="H324" s="32"/>
      <c r="J324" s="32"/>
      <c r="K324" s="41"/>
      <c r="L324" s="32"/>
      <c r="N324" s="32"/>
      <c r="O324" s="41"/>
      <c r="P324" s="32"/>
      <c r="R324" s="32"/>
      <c r="S324" s="41"/>
    </row>
    <row r="325" spans="1:19" s="30" customFormat="1" x14ac:dyDescent="0.25">
      <c r="A325" s="36"/>
      <c r="B325" s="31"/>
      <c r="C325" s="31"/>
      <c r="D325" s="32"/>
      <c r="H325" s="32"/>
      <c r="J325" s="32"/>
      <c r="K325" s="41"/>
      <c r="L325" s="32"/>
      <c r="N325" s="32"/>
      <c r="O325" s="41"/>
      <c r="P325" s="32"/>
      <c r="R325" s="32"/>
      <c r="S325" s="41"/>
    </row>
    <row r="326" spans="1:19" s="30" customFormat="1" x14ac:dyDescent="0.25">
      <c r="A326" s="36"/>
      <c r="B326" s="31"/>
      <c r="C326" s="31"/>
      <c r="D326" s="32"/>
      <c r="H326" s="32"/>
      <c r="J326" s="32"/>
      <c r="K326" s="41"/>
      <c r="L326" s="32"/>
      <c r="N326" s="32"/>
      <c r="O326" s="41"/>
      <c r="P326" s="32"/>
      <c r="R326" s="32"/>
      <c r="S326" s="41"/>
    </row>
    <row r="327" spans="1:19" s="30" customFormat="1" x14ac:dyDescent="0.25">
      <c r="A327" s="36"/>
      <c r="B327" s="31"/>
      <c r="C327" s="31"/>
      <c r="D327" s="32"/>
      <c r="H327" s="32"/>
      <c r="J327" s="32"/>
      <c r="K327" s="41"/>
      <c r="L327" s="32"/>
      <c r="N327" s="32"/>
      <c r="O327" s="41"/>
      <c r="P327" s="32"/>
      <c r="R327" s="32"/>
      <c r="S327" s="41"/>
    </row>
    <row r="328" spans="1:19" s="30" customFormat="1" x14ac:dyDescent="0.25">
      <c r="A328" s="36"/>
      <c r="B328" s="31"/>
      <c r="C328" s="31"/>
      <c r="D328" s="32"/>
      <c r="H328" s="32"/>
      <c r="J328" s="32"/>
      <c r="K328" s="41"/>
      <c r="L328" s="32"/>
      <c r="N328" s="32"/>
      <c r="O328" s="41"/>
      <c r="P328" s="32"/>
      <c r="R328" s="32"/>
      <c r="S328" s="41"/>
    </row>
    <row r="329" spans="1:19" s="30" customFormat="1" x14ac:dyDescent="0.25">
      <c r="A329" s="36"/>
      <c r="B329" s="31"/>
      <c r="C329" s="31"/>
      <c r="D329" s="32"/>
      <c r="H329" s="32"/>
      <c r="J329" s="32"/>
      <c r="K329" s="41"/>
      <c r="L329" s="32"/>
      <c r="N329" s="32"/>
      <c r="O329" s="41"/>
      <c r="P329" s="32"/>
      <c r="R329" s="32"/>
      <c r="S329" s="41"/>
    </row>
    <row r="330" spans="1:19" s="30" customFormat="1" x14ac:dyDescent="0.25">
      <c r="A330" s="36"/>
      <c r="B330" s="31"/>
      <c r="C330" s="31"/>
      <c r="D330" s="32"/>
      <c r="H330" s="32"/>
      <c r="J330" s="32"/>
      <c r="K330" s="41"/>
      <c r="L330" s="32"/>
      <c r="N330" s="32"/>
      <c r="O330" s="41"/>
      <c r="P330" s="32"/>
      <c r="R330" s="32"/>
      <c r="S330" s="41"/>
    </row>
    <row r="331" spans="1:19" s="30" customFormat="1" x14ac:dyDescent="0.25">
      <c r="A331" s="36"/>
      <c r="B331" s="31"/>
      <c r="C331" s="31"/>
      <c r="D331" s="32"/>
      <c r="H331" s="32"/>
      <c r="J331" s="32"/>
      <c r="K331" s="41"/>
      <c r="L331" s="32"/>
      <c r="N331" s="32"/>
      <c r="O331" s="41"/>
      <c r="P331" s="32"/>
      <c r="R331" s="32"/>
      <c r="S331" s="41"/>
    </row>
    <row r="332" spans="1:19" s="30" customFormat="1" x14ac:dyDescent="0.25">
      <c r="A332" s="36"/>
      <c r="B332" s="31"/>
      <c r="C332" s="31"/>
      <c r="D332" s="32"/>
      <c r="H332" s="32"/>
      <c r="J332" s="32"/>
      <c r="K332" s="41"/>
      <c r="L332" s="32"/>
      <c r="N332" s="32"/>
      <c r="O332" s="41"/>
      <c r="P332" s="32"/>
      <c r="R332" s="32"/>
      <c r="S332" s="41"/>
    </row>
    <row r="333" spans="1:19" s="30" customFormat="1" x14ac:dyDescent="0.25">
      <c r="A333" s="36"/>
      <c r="B333" s="31"/>
      <c r="C333" s="31"/>
      <c r="D333" s="32"/>
      <c r="H333" s="32"/>
      <c r="J333" s="32"/>
      <c r="K333" s="41"/>
      <c r="L333" s="32"/>
      <c r="N333" s="32"/>
      <c r="O333" s="41"/>
      <c r="P333" s="32"/>
      <c r="R333" s="32"/>
      <c r="S333" s="41"/>
    </row>
    <row r="334" spans="1:19" s="30" customFormat="1" x14ac:dyDescent="0.25">
      <c r="A334" s="36"/>
      <c r="B334" s="31"/>
      <c r="C334" s="31"/>
      <c r="D334" s="32"/>
      <c r="H334" s="32"/>
      <c r="J334" s="32"/>
      <c r="K334" s="41"/>
      <c r="L334" s="32"/>
      <c r="N334" s="32"/>
      <c r="O334" s="41"/>
      <c r="P334" s="32"/>
      <c r="R334" s="32"/>
      <c r="S334" s="41"/>
    </row>
    <row r="335" spans="1:19" s="30" customFormat="1" x14ac:dyDescent="0.25">
      <c r="A335" s="36"/>
      <c r="B335" s="31"/>
      <c r="C335" s="31"/>
      <c r="D335" s="32"/>
      <c r="H335" s="32"/>
      <c r="J335" s="32"/>
      <c r="K335" s="41"/>
      <c r="L335" s="32"/>
      <c r="N335" s="32"/>
      <c r="O335" s="41"/>
      <c r="P335" s="32"/>
      <c r="R335" s="32"/>
      <c r="S335" s="41"/>
    </row>
    <row r="336" spans="1:19" s="30" customFormat="1" x14ac:dyDescent="0.25">
      <c r="A336" s="36"/>
      <c r="B336" s="31"/>
      <c r="C336" s="31"/>
      <c r="D336" s="32"/>
      <c r="H336" s="32"/>
      <c r="J336" s="32"/>
      <c r="K336" s="41"/>
      <c r="L336" s="32"/>
      <c r="N336" s="32"/>
      <c r="O336" s="41"/>
      <c r="P336" s="32"/>
      <c r="R336" s="32"/>
      <c r="S336" s="41"/>
    </row>
    <row r="337" spans="1:19" s="30" customFormat="1" x14ac:dyDescent="0.25">
      <c r="A337" s="36"/>
      <c r="B337" s="31"/>
      <c r="C337" s="31"/>
      <c r="D337" s="32"/>
      <c r="H337" s="32"/>
      <c r="J337" s="32"/>
      <c r="K337" s="41"/>
      <c r="L337" s="32"/>
      <c r="N337" s="32"/>
      <c r="O337" s="41"/>
      <c r="P337" s="32"/>
      <c r="R337" s="32"/>
      <c r="S337" s="41"/>
    </row>
    <row r="338" spans="1:19" s="30" customFormat="1" x14ac:dyDescent="0.25">
      <c r="A338" s="36"/>
      <c r="B338" s="31"/>
      <c r="C338" s="31"/>
      <c r="D338" s="32"/>
      <c r="H338" s="32"/>
      <c r="J338" s="32"/>
      <c r="K338" s="41"/>
      <c r="L338" s="32"/>
      <c r="N338" s="32"/>
      <c r="O338" s="41"/>
      <c r="P338" s="32"/>
      <c r="R338" s="32"/>
      <c r="S338" s="41"/>
    </row>
    <row r="339" spans="1:19" s="30" customFormat="1" x14ac:dyDescent="0.25">
      <c r="A339" s="36"/>
      <c r="B339" s="31"/>
      <c r="C339" s="31"/>
      <c r="D339" s="32"/>
      <c r="H339" s="32"/>
      <c r="J339" s="32"/>
      <c r="K339" s="41"/>
      <c r="L339" s="32"/>
      <c r="N339" s="32"/>
      <c r="O339" s="41"/>
      <c r="P339" s="32"/>
      <c r="R339" s="32"/>
      <c r="S339" s="41"/>
    </row>
    <row r="340" spans="1:19" s="30" customFormat="1" x14ac:dyDescent="0.25">
      <c r="A340" s="36"/>
      <c r="B340" s="31"/>
      <c r="C340" s="31"/>
      <c r="D340" s="32"/>
      <c r="H340" s="32"/>
      <c r="J340" s="32"/>
      <c r="K340" s="41"/>
      <c r="L340" s="32"/>
      <c r="N340" s="32"/>
      <c r="O340" s="41"/>
      <c r="P340" s="32"/>
      <c r="R340" s="32"/>
      <c r="S340" s="41"/>
    </row>
    <row r="341" spans="1:19" s="30" customFormat="1" x14ac:dyDescent="0.25">
      <c r="A341" s="36"/>
      <c r="B341" s="31"/>
      <c r="C341" s="31"/>
      <c r="D341" s="32"/>
      <c r="H341" s="32"/>
      <c r="J341" s="32"/>
      <c r="K341" s="41"/>
      <c r="L341" s="32"/>
      <c r="N341" s="32"/>
      <c r="O341" s="41"/>
      <c r="P341" s="32"/>
      <c r="R341" s="32"/>
      <c r="S341" s="41"/>
    </row>
    <row r="342" spans="1:19" s="30" customFormat="1" x14ac:dyDescent="0.25">
      <c r="A342" s="36"/>
      <c r="B342" s="31"/>
      <c r="C342" s="31"/>
      <c r="D342" s="32"/>
      <c r="H342" s="32"/>
      <c r="J342" s="32"/>
      <c r="K342" s="41"/>
      <c r="L342" s="32"/>
      <c r="N342" s="32"/>
      <c r="O342" s="41"/>
      <c r="P342" s="32"/>
      <c r="R342" s="32"/>
      <c r="S342" s="41"/>
    </row>
    <row r="343" spans="1:19" s="30" customFormat="1" x14ac:dyDescent="0.25">
      <c r="A343" s="36"/>
      <c r="B343" s="31"/>
      <c r="C343" s="31"/>
      <c r="D343" s="32"/>
      <c r="H343" s="32"/>
      <c r="J343" s="32"/>
      <c r="K343" s="41"/>
      <c r="L343" s="32"/>
      <c r="N343" s="32"/>
      <c r="O343" s="41"/>
      <c r="P343" s="32"/>
      <c r="R343" s="32"/>
      <c r="S343" s="41"/>
    </row>
    <row r="344" spans="1:19" s="30" customFormat="1" x14ac:dyDescent="0.25">
      <c r="A344" s="36"/>
      <c r="B344" s="31"/>
      <c r="C344" s="31"/>
      <c r="D344" s="32"/>
      <c r="H344" s="32"/>
      <c r="J344" s="32"/>
      <c r="K344" s="41"/>
      <c r="L344" s="32"/>
      <c r="N344" s="32"/>
      <c r="O344" s="41"/>
      <c r="P344" s="32"/>
      <c r="R344" s="32"/>
      <c r="S344" s="41"/>
    </row>
    <row r="345" spans="1:19" s="30" customFormat="1" x14ac:dyDescent="0.25">
      <c r="A345" s="36"/>
      <c r="B345" s="31"/>
      <c r="C345" s="31"/>
      <c r="D345" s="32"/>
      <c r="H345" s="32"/>
      <c r="J345" s="32"/>
      <c r="K345" s="41"/>
      <c r="L345" s="32"/>
      <c r="N345" s="32"/>
      <c r="O345" s="41"/>
      <c r="P345" s="32"/>
      <c r="R345" s="32"/>
      <c r="S345" s="41"/>
    </row>
    <row r="346" spans="1:19" s="30" customFormat="1" x14ac:dyDescent="0.25">
      <c r="A346" s="36"/>
      <c r="B346" s="31"/>
      <c r="C346" s="31"/>
      <c r="D346" s="32"/>
      <c r="H346" s="32"/>
      <c r="J346" s="32"/>
      <c r="K346" s="41"/>
      <c r="L346" s="32"/>
      <c r="N346" s="32"/>
      <c r="O346" s="41"/>
      <c r="P346" s="32"/>
      <c r="R346" s="32"/>
      <c r="S346" s="41"/>
    </row>
    <row r="347" spans="1:19" s="30" customFormat="1" x14ac:dyDescent="0.25">
      <c r="A347" s="36"/>
      <c r="B347" s="31"/>
      <c r="C347" s="31"/>
      <c r="D347" s="32"/>
      <c r="H347" s="32"/>
      <c r="J347" s="32"/>
      <c r="K347" s="41"/>
      <c r="L347" s="32"/>
      <c r="N347" s="32"/>
      <c r="O347" s="41"/>
      <c r="P347" s="32"/>
      <c r="R347" s="32"/>
      <c r="S347" s="41"/>
    </row>
    <row r="348" spans="1:19" s="30" customFormat="1" x14ac:dyDescent="0.25">
      <c r="A348" s="36"/>
      <c r="B348" s="31"/>
      <c r="C348" s="31"/>
      <c r="D348" s="32"/>
      <c r="H348" s="32"/>
      <c r="J348" s="32"/>
      <c r="K348" s="41"/>
      <c r="L348" s="32"/>
      <c r="N348" s="32"/>
      <c r="O348" s="41"/>
      <c r="P348" s="32"/>
      <c r="R348" s="32"/>
      <c r="S348" s="41"/>
    </row>
    <row r="349" spans="1:19" s="30" customFormat="1" x14ac:dyDescent="0.25">
      <c r="A349" s="36"/>
      <c r="B349" s="31"/>
      <c r="C349" s="31"/>
      <c r="D349" s="32"/>
      <c r="H349" s="32"/>
      <c r="J349" s="32"/>
      <c r="K349" s="41"/>
      <c r="L349" s="32"/>
      <c r="N349" s="32"/>
      <c r="O349" s="41"/>
      <c r="P349" s="32"/>
      <c r="R349" s="32"/>
      <c r="S349" s="41"/>
    </row>
    <row r="350" spans="1:19" s="30" customFormat="1" x14ac:dyDescent="0.25">
      <c r="A350" s="36"/>
      <c r="B350" s="31"/>
      <c r="C350" s="31"/>
      <c r="D350" s="32"/>
      <c r="H350" s="32"/>
      <c r="J350" s="32"/>
      <c r="K350" s="41"/>
      <c r="L350" s="32"/>
      <c r="N350" s="32"/>
      <c r="O350" s="41"/>
      <c r="P350" s="32"/>
      <c r="R350" s="32"/>
      <c r="S350" s="41"/>
    </row>
    <row r="351" spans="1:19" s="30" customFormat="1" x14ac:dyDescent="0.25">
      <c r="A351" s="36"/>
      <c r="B351" s="31"/>
      <c r="C351" s="31"/>
      <c r="D351" s="32"/>
      <c r="H351" s="32"/>
      <c r="J351" s="32"/>
      <c r="K351" s="41"/>
      <c r="L351" s="32"/>
      <c r="N351" s="32"/>
      <c r="O351" s="41"/>
      <c r="P351" s="32"/>
      <c r="R351" s="32"/>
      <c r="S351" s="41"/>
    </row>
    <row r="352" spans="1:19" s="30" customFormat="1" x14ac:dyDescent="0.25">
      <c r="A352" s="36"/>
      <c r="B352" s="31"/>
      <c r="C352" s="31"/>
      <c r="D352" s="32"/>
      <c r="H352" s="32"/>
      <c r="J352" s="32"/>
      <c r="K352" s="41"/>
      <c r="L352" s="32"/>
      <c r="N352" s="32"/>
      <c r="O352" s="41"/>
      <c r="P352" s="32"/>
      <c r="R352" s="32"/>
      <c r="S352" s="41"/>
    </row>
    <row r="353" spans="1:19" s="30" customFormat="1" x14ac:dyDescent="0.25">
      <c r="A353" s="36"/>
      <c r="B353" s="31"/>
      <c r="C353" s="31"/>
      <c r="D353" s="32"/>
      <c r="H353" s="32"/>
      <c r="J353" s="32"/>
      <c r="K353" s="41"/>
      <c r="L353" s="32"/>
      <c r="N353" s="32"/>
      <c r="O353" s="41"/>
      <c r="P353" s="32"/>
      <c r="R353" s="32"/>
      <c r="S353" s="41"/>
    </row>
    <row r="354" spans="1:19" s="30" customFormat="1" x14ac:dyDescent="0.25">
      <c r="A354" s="36"/>
      <c r="B354" s="31"/>
      <c r="C354" s="31"/>
      <c r="D354" s="32"/>
      <c r="H354" s="32"/>
      <c r="J354" s="32"/>
      <c r="K354" s="41"/>
      <c r="L354" s="32"/>
      <c r="N354" s="32"/>
      <c r="O354" s="41"/>
      <c r="P354" s="32"/>
      <c r="R354" s="32"/>
      <c r="S354" s="41"/>
    </row>
    <row r="355" spans="1:19" s="30" customFormat="1" x14ac:dyDescent="0.25">
      <c r="A355" s="36"/>
      <c r="B355" s="31"/>
      <c r="C355" s="31"/>
      <c r="D355" s="32"/>
      <c r="H355" s="32"/>
      <c r="J355" s="32"/>
      <c r="K355" s="41"/>
      <c r="L355" s="32"/>
      <c r="N355" s="32"/>
      <c r="O355" s="41"/>
      <c r="P355" s="32"/>
      <c r="R355" s="32"/>
      <c r="S355" s="41"/>
    </row>
    <row r="356" spans="1:19" s="30" customFormat="1" x14ac:dyDescent="0.25">
      <c r="A356" s="36"/>
      <c r="B356" s="31"/>
      <c r="C356" s="31"/>
      <c r="D356" s="32"/>
      <c r="H356" s="32"/>
      <c r="J356" s="32"/>
      <c r="K356" s="41"/>
      <c r="L356" s="32"/>
      <c r="N356" s="32"/>
      <c r="O356" s="41"/>
      <c r="P356" s="32"/>
      <c r="R356" s="32"/>
      <c r="S356" s="41"/>
    </row>
    <row r="357" spans="1:19" s="30" customFormat="1" x14ac:dyDescent="0.25">
      <c r="A357" s="36"/>
      <c r="B357" s="31"/>
      <c r="C357" s="31"/>
      <c r="D357" s="32"/>
      <c r="H357" s="32"/>
      <c r="J357" s="32"/>
      <c r="K357" s="41"/>
      <c r="L357" s="32"/>
      <c r="N357" s="32"/>
      <c r="O357" s="41"/>
      <c r="P357" s="32"/>
      <c r="R357" s="32"/>
      <c r="S357" s="41"/>
    </row>
    <row r="358" spans="1:19" s="30" customFormat="1" x14ac:dyDescent="0.25">
      <c r="A358" s="36"/>
      <c r="B358" s="31"/>
      <c r="C358" s="31"/>
      <c r="D358" s="32"/>
      <c r="H358" s="32"/>
      <c r="J358" s="32"/>
      <c r="K358" s="41"/>
      <c r="L358" s="32"/>
      <c r="N358" s="32"/>
      <c r="O358" s="41"/>
      <c r="P358" s="32"/>
      <c r="R358" s="32"/>
      <c r="S358" s="41"/>
    </row>
    <row r="359" spans="1:19" s="30" customFormat="1" x14ac:dyDescent="0.25">
      <c r="A359" s="36"/>
      <c r="B359" s="31"/>
      <c r="C359" s="31"/>
      <c r="D359" s="32"/>
      <c r="H359" s="32"/>
      <c r="J359" s="32"/>
      <c r="K359" s="41"/>
      <c r="L359" s="32"/>
      <c r="N359" s="32"/>
      <c r="O359" s="41"/>
      <c r="P359" s="32"/>
      <c r="R359" s="32"/>
      <c r="S359" s="41"/>
    </row>
    <row r="360" spans="1:19" s="30" customFormat="1" x14ac:dyDescent="0.25">
      <c r="A360" s="36"/>
      <c r="B360" s="31"/>
      <c r="C360" s="31"/>
      <c r="D360" s="32"/>
      <c r="H360" s="32"/>
      <c r="J360" s="32"/>
      <c r="K360" s="41"/>
      <c r="L360" s="32"/>
      <c r="N360" s="32"/>
      <c r="O360" s="41"/>
      <c r="P360" s="32"/>
      <c r="R360" s="32"/>
      <c r="S360" s="41"/>
    </row>
    <row r="361" spans="1:19" s="30" customFormat="1" x14ac:dyDescent="0.25">
      <c r="A361" s="36"/>
      <c r="B361" s="31"/>
      <c r="C361" s="31"/>
      <c r="D361" s="32"/>
      <c r="H361" s="32"/>
      <c r="J361" s="32"/>
      <c r="K361" s="41"/>
      <c r="L361" s="32"/>
      <c r="N361" s="32"/>
      <c r="O361" s="41"/>
      <c r="P361" s="32"/>
      <c r="R361" s="32"/>
      <c r="S361" s="41"/>
    </row>
    <row r="362" spans="1:19" s="30" customFormat="1" x14ac:dyDescent="0.25">
      <c r="A362" s="36"/>
      <c r="B362" s="31"/>
      <c r="C362" s="31"/>
      <c r="D362" s="32"/>
      <c r="H362" s="32"/>
      <c r="J362" s="32"/>
      <c r="K362" s="41"/>
      <c r="L362" s="32"/>
      <c r="N362" s="32"/>
      <c r="O362" s="41"/>
      <c r="P362" s="32"/>
      <c r="R362" s="32"/>
      <c r="S362" s="41"/>
    </row>
    <row r="363" spans="1:19" s="30" customFormat="1" x14ac:dyDescent="0.25">
      <c r="A363" s="36"/>
      <c r="B363" s="31"/>
      <c r="C363" s="31"/>
      <c r="D363" s="32"/>
      <c r="H363" s="32"/>
      <c r="J363" s="32"/>
      <c r="K363" s="41"/>
      <c r="L363" s="32"/>
      <c r="N363" s="32"/>
      <c r="O363" s="41"/>
      <c r="P363" s="32"/>
      <c r="R363" s="32"/>
      <c r="S363" s="41"/>
    </row>
    <row r="364" spans="1:19" s="30" customFormat="1" x14ac:dyDescent="0.25">
      <c r="A364" s="36"/>
      <c r="B364" s="31"/>
      <c r="C364" s="31"/>
      <c r="D364" s="32"/>
      <c r="H364" s="32"/>
      <c r="J364" s="32"/>
      <c r="K364" s="41"/>
      <c r="L364" s="32"/>
      <c r="N364" s="32"/>
      <c r="O364" s="41"/>
      <c r="P364" s="32"/>
      <c r="R364" s="32"/>
      <c r="S364" s="41"/>
    </row>
    <row r="365" spans="1:19" s="30" customFormat="1" x14ac:dyDescent="0.25">
      <c r="A365" s="36"/>
      <c r="B365" s="31"/>
      <c r="C365" s="31"/>
      <c r="D365" s="32"/>
      <c r="H365" s="32"/>
      <c r="J365" s="32"/>
      <c r="K365" s="41"/>
      <c r="L365" s="32"/>
      <c r="N365" s="32"/>
      <c r="O365" s="41"/>
      <c r="P365" s="32"/>
      <c r="R365" s="32"/>
      <c r="S365" s="41"/>
    </row>
    <row r="366" spans="1:19" s="30" customFormat="1" x14ac:dyDescent="0.25">
      <c r="A366" s="36"/>
      <c r="B366" s="31"/>
      <c r="C366" s="31"/>
      <c r="D366" s="32"/>
      <c r="H366" s="32"/>
      <c r="J366" s="32"/>
      <c r="K366" s="41"/>
      <c r="L366" s="32"/>
      <c r="N366" s="32"/>
      <c r="O366" s="41"/>
      <c r="P366" s="32"/>
      <c r="R366" s="32"/>
      <c r="S366" s="41"/>
    </row>
    <row r="367" spans="1:19" s="30" customFormat="1" x14ac:dyDescent="0.25">
      <c r="A367" s="36"/>
      <c r="B367" s="31"/>
      <c r="C367" s="31"/>
      <c r="D367" s="32"/>
      <c r="H367" s="32"/>
      <c r="J367" s="32"/>
      <c r="K367" s="41"/>
      <c r="L367" s="32"/>
      <c r="N367" s="32"/>
      <c r="O367" s="41"/>
      <c r="P367" s="32"/>
      <c r="R367" s="32"/>
      <c r="S367" s="41"/>
    </row>
    <row r="368" spans="1:19" s="30" customFormat="1" x14ac:dyDescent="0.25">
      <c r="A368" s="36"/>
      <c r="B368" s="31"/>
      <c r="C368" s="31"/>
      <c r="D368" s="32"/>
      <c r="H368" s="32"/>
      <c r="J368" s="32"/>
      <c r="K368" s="41"/>
      <c r="L368" s="32"/>
      <c r="N368" s="32"/>
      <c r="O368" s="41"/>
      <c r="P368" s="32"/>
      <c r="R368" s="32"/>
      <c r="S368" s="41"/>
    </row>
    <row r="369" spans="1:19" s="30" customFormat="1" x14ac:dyDescent="0.25">
      <c r="A369" s="36"/>
      <c r="B369" s="31"/>
      <c r="C369" s="31"/>
      <c r="D369" s="32"/>
      <c r="H369" s="32"/>
      <c r="J369" s="32"/>
      <c r="K369" s="41"/>
      <c r="L369" s="32"/>
      <c r="N369" s="32"/>
      <c r="O369" s="41"/>
      <c r="P369" s="32"/>
      <c r="R369" s="32"/>
      <c r="S369" s="41"/>
    </row>
    <row r="370" spans="1:19" s="30" customFormat="1" x14ac:dyDescent="0.25">
      <c r="A370" s="36"/>
      <c r="B370" s="31"/>
      <c r="C370" s="31"/>
      <c r="D370" s="32"/>
      <c r="H370" s="32"/>
      <c r="J370" s="32"/>
      <c r="K370" s="41"/>
      <c r="L370" s="32"/>
      <c r="N370" s="32"/>
      <c r="O370" s="41"/>
      <c r="P370" s="32"/>
      <c r="R370" s="32"/>
      <c r="S370" s="41"/>
    </row>
    <row r="371" spans="1:19" s="30" customFormat="1" x14ac:dyDescent="0.25">
      <c r="A371" s="36"/>
      <c r="B371" s="31"/>
      <c r="C371" s="31"/>
      <c r="D371" s="32"/>
      <c r="H371" s="32"/>
      <c r="J371" s="32"/>
      <c r="K371" s="41"/>
      <c r="L371" s="32"/>
      <c r="N371" s="32"/>
      <c r="O371" s="41"/>
      <c r="P371" s="32"/>
      <c r="R371" s="32"/>
      <c r="S371" s="41"/>
    </row>
    <row r="372" spans="1:19" s="30" customFormat="1" x14ac:dyDescent="0.25">
      <c r="A372" s="36"/>
      <c r="B372" s="31"/>
      <c r="C372" s="31"/>
      <c r="D372" s="32"/>
      <c r="H372" s="32"/>
      <c r="J372" s="32"/>
      <c r="K372" s="41"/>
      <c r="L372" s="32"/>
      <c r="N372" s="32"/>
      <c r="O372" s="41"/>
      <c r="P372" s="32"/>
      <c r="R372" s="32"/>
      <c r="S372" s="41"/>
    </row>
    <row r="373" spans="1:19" s="30" customFormat="1" x14ac:dyDescent="0.25">
      <c r="A373" s="36"/>
      <c r="B373" s="31"/>
      <c r="C373" s="31"/>
      <c r="D373" s="32"/>
      <c r="H373" s="32"/>
      <c r="J373" s="32"/>
      <c r="K373" s="41"/>
      <c r="L373" s="32"/>
      <c r="N373" s="32"/>
      <c r="O373" s="41"/>
      <c r="P373" s="32"/>
      <c r="R373" s="32"/>
      <c r="S373" s="41"/>
    </row>
    <row r="374" spans="1:19" s="30" customFormat="1" x14ac:dyDescent="0.25">
      <c r="A374" s="36"/>
      <c r="B374" s="31"/>
      <c r="C374" s="31"/>
      <c r="D374" s="32"/>
      <c r="H374" s="32"/>
      <c r="J374" s="32"/>
      <c r="K374" s="41"/>
      <c r="L374" s="32"/>
      <c r="N374" s="32"/>
      <c r="O374" s="41"/>
      <c r="P374" s="32"/>
      <c r="R374" s="32"/>
      <c r="S374" s="41"/>
    </row>
    <row r="375" spans="1:19" s="30" customFormat="1" x14ac:dyDescent="0.25">
      <c r="A375" s="36"/>
      <c r="B375" s="31"/>
      <c r="C375" s="31"/>
      <c r="D375" s="32"/>
      <c r="H375" s="32"/>
      <c r="J375" s="32"/>
      <c r="K375" s="41"/>
      <c r="L375" s="32"/>
      <c r="N375" s="32"/>
      <c r="O375" s="41"/>
      <c r="P375" s="32"/>
      <c r="R375" s="32"/>
      <c r="S375" s="41"/>
    </row>
    <row r="376" spans="1:19" s="30" customFormat="1" x14ac:dyDescent="0.25">
      <c r="A376" s="36"/>
      <c r="B376" s="31"/>
      <c r="C376" s="31"/>
      <c r="D376" s="32"/>
      <c r="H376" s="32"/>
      <c r="J376" s="32"/>
      <c r="K376" s="41"/>
      <c r="L376" s="32"/>
      <c r="N376" s="32"/>
      <c r="O376" s="41"/>
      <c r="P376" s="32"/>
      <c r="R376" s="32"/>
      <c r="S376" s="41"/>
    </row>
    <row r="377" spans="1:19" s="30" customFormat="1" x14ac:dyDescent="0.25">
      <c r="A377" s="36"/>
      <c r="B377" s="31"/>
      <c r="C377" s="31"/>
      <c r="D377" s="32"/>
      <c r="H377" s="32"/>
      <c r="J377" s="32"/>
      <c r="K377" s="41"/>
      <c r="L377" s="32"/>
      <c r="N377" s="32"/>
      <c r="O377" s="41"/>
      <c r="P377" s="32"/>
      <c r="R377" s="32"/>
      <c r="S377" s="41"/>
    </row>
    <row r="378" spans="1:19" s="30" customFormat="1" x14ac:dyDescent="0.25">
      <c r="A378" s="36"/>
      <c r="B378" s="31"/>
      <c r="C378" s="31"/>
      <c r="D378" s="32"/>
      <c r="H378" s="32"/>
      <c r="J378" s="32"/>
      <c r="K378" s="41"/>
      <c r="L378" s="32"/>
      <c r="N378" s="32"/>
      <c r="O378" s="41"/>
      <c r="P378" s="32"/>
      <c r="R378" s="32"/>
      <c r="S378" s="41"/>
    </row>
    <row r="379" spans="1:19" s="30" customFormat="1" x14ac:dyDescent="0.25">
      <c r="A379" s="36"/>
      <c r="B379" s="31"/>
      <c r="C379" s="31"/>
      <c r="D379" s="32"/>
      <c r="H379" s="32"/>
      <c r="J379" s="32"/>
      <c r="K379" s="41"/>
      <c r="L379" s="32"/>
      <c r="N379" s="32"/>
      <c r="O379" s="41"/>
      <c r="P379" s="32"/>
      <c r="R379" s="32"/>
      <c r="S379" s="41"/>
    </row>
    <row r="380" spans="1:19" s="30" customFormat="1" x14ac:dyDescent="0.25">
      <c r="A380" s="36"/>
      <c r="B380" s="31"/>
      <c r="C380" s="31"/>
      <c r="D380" s="32"/>
      <c r="H380" s="32"/>
      <c r="J380" s="32"/>
      <c r="K380" s="41"/>
      <c r="L380" s="32"/>
      <c r="N380" s="32"/>
      <c r="O380" s="41"/>
      <c r="P380" s="32"/>
      <c r="R380" s="32"/>
      <c r="S380" s="41"/>
    </row>
    <row r="381" spans="1:19" s="30" customFormat="1" x14ac:dyDescent="0.25">
      <c r="A381" s="36"/>
      <c r="B381" s="31"/>
      <c r="C381" s="31"/>
      <c r="D381" s="32"/>
      <c r="H381" s="32"/>
      <c r="J381" s="32"/>
      <c r="K381" s="41"/>
      <c r="L381" s="32"/>
      <c r="N381" s="32"/>
      <c r="O381" s="41"/>
      <c r="P381" s="32"/>
      <c r="R381" s="32"/>
      <c r="S381" s="41"/>
    </row>
    <row r="382" spans="1:19" s="30" customFormat="1" x14ac:dyDescent="0.25">
      <c r="A382" s="36"/>
      <c r="B382" s="31"/>
      <c r="C382" s="31"/>
      <c r="D382" s="32"/>
      <c r="H382" s="32"/>
      <c r="J382" s="32"/>
      <c r="K382" s="41"/>
      <c r="L382" s="32"/>
      <c r="N382" s="32"/>
      <c r="O382" s="41"/>
      <c r="P382" s="32"/>
      <c r="R382" s="32"/>
      <c r="S382" s="41"/>
    </row>
    <row r="383" spans="1:19" s="30" customFormat="1" x14ac:dyDescent="0.25">
      <c r="A383" s="36"/>
      <c r="B383" s="31"/>
      <c r="C383" s="31"/>
      <c r="D383" s="32"/>
      <c r="H383" s="32"/>
      <c r="J383" s="32"/>
      <c r="K383" s="41"/>
      <c r="L383" s="32"/>
      <c r="N383" s="32"/>
      <c r="O383" s="41"/>
      <c r="P383" s="32"/>
      <c r="R383" s="32"/>
      <c r="S383" s="41"/>
    </row>
    <row r="384" spans="1:19" s="30" customFormat="1" x14ac:dyDescent="0.25">
      <c r="A384" s="36"/>
      <c r="B384" s="31"/>
      <c r="C384" s="31"/>
      <c r="D384" s="32"/>
      <c r="H384" s="32"/>
      <c r="J384" s="32"/>
      <c r="K384" s="41"/>
      <c r="L384" s="32"/>
      <c r="N384" s="32"/>
      <c r="O384" s="41"/>
      <c r="P384" s="32"/>
      <c r="R384" s="32"/>
      <c r="S384" s="41"/>
    </row>
    <row r="385" spans="1:19" s="30" customFormat="1" x14ac:dyDescent="0.25">
      <c r="A385" s="36"/>
      <c r="B385" s="31"/>
      <c r="C385" s="31"/>
      <c r="D385" s="32"/>
      <c r="H385" s="32"/>
      <c r="J385" s="32"/>
      <c r="K385" s="41"/>
      <c r="L385" s="32"/>
      <c r="N385" s="32"/>
      <c r="O385" s="41"/>
      <c r="P385" s="32"/>
      <c r="R385" s="32"/>
      <c r="S385" s="41"/>
    </row>
    <row r="386" spans="1:19" s="30" customFormat="1" x14ac:dyDescent="0.25">
      <c r="A386" s="36"/>
      <c r="B386" s="31"/>
      <c r="C386" s="31"/>
      <c r="D386" s="32"/>
      <c r="H386" s="32"/>
      <c r="J386" s="32"/>
      <c r="K386" s="41"/>
      <c r="L386" s="32"/>
      <c r="N386" s="32"/>
      <c r="O386" s="41"/>
      <c r="P386" s="32"/>
      <c r="R386" s="32"/>
      <c r="S386" s="41"/>
    </row>
    <row r="387" spans="1:19" s="30" customFormat="1" x14ac:dyDescent="0.25">
      <c r="A387" s="36"/>
      <c r="B387" s="31"/>
      <c r="C387" s="31"/>
      <c r="D387" s="32"/>
      <c r="H387" s="32"/>
      <c r="J387" s="32"/>
      <c r="K387" s="41"/>
      <c r="L387" s="32"/>
      <c r="N387" s="32"/>
      <c r="O387" s="41"/>
      <c r="P387" s="32"/>
      <c r="R387" s="32"/>
      <c r="S387" s="41"/>
    </row>
    <row r="388" spans="1:19" s="30" customFormat="1" x14ac:dyDescent="0.25">
      <c r="A388" s="36"/>
      <c r="B388" s="31"/>
      <c r="C388" s="31"/>
      <c r="D388" s="32"/>
      <c r="H388" s="32"/>
      <c r="J388" s="32"/>
      <c r="K388" s="41"/>
      <c r="L388" s="32"/>
      <c r="N388" s="32"/>
      <c r="O388" s="41"/>
      <c r="P388" s="32"/>
      <c r="R388" s="32"/>
      <c r="S388" s="41"/>
    </row>
    <row r="389" spans="1:19" s="30" customFormat="1" x14ac:dyDescent="0.25">
      <c r="A389" s="36"/>
      <c r="B389" s="31"/>
      <c r="C389" s="31"/>
      <c r="D389" s="32"/>
      <c r="H389" s="32"/>
      <c r="J389" s="32"/>
      <c r="K389" s="41"/>
      <c r="L389" s="32"/>
      <c r="N389" s="32"/>
      <c r="O389" s="41"/>
      <c r="P389" s="32"/>
      <c r="R389" s="32"/>
      <c r="S389" s="41"/>
    </row>
    <row r="390" spans="1:19" s="30" customFormat="1" x14ac:dyDescent="0.25">
      <c r="A390" s="36"/>
      <c r="B390" s="31"/>
      <c r="C390" s="31"/>
      <c r="D390" s="32"/>
      <c r="H390" s="32"/>
      <c r="J390" s="32"/>
      <c r="K390" s="41"/>
      <c r="L390" s="32"/>
      <c r="N390" s="32"/>
      <c r="O390" s="41"/>
      <c r="P390" s="32"/>
      <c r="R390" s="32"/>
      <c r="S390" s="41"/>
    </row>
    <row r="391" spans="1:19" s="30" customFormat="1" x14ac:dyDescent="0.25">
      <c r="A391" s="36"/>
      <c r="B391" s="31"/>
      <c r="C391" s="31"/>
      <c r="D391" s="32"/>
      <c r="H391" s="32"/>
      <c r="J391" s="32"/>
      <c r="K391" s="41"/>
      <c r="L391" s="32"/>
      <c r="N391" s="32"/>
      <c r="O391" s="41"/>
      <c r="P391" s="32"/>
      <c r="R391" s="32"/>
      <c r="S391" s="41"/>
    </row>
    <row r="392" spans="1:19" s="30" customFormat="1" x14ac:dyDescent="0.25">
      <c r="A392" s="36"/>
      <c r="B392" s="31"/>
      <c r="C392" s="31"/>
      <c r="D392" s="32"/>
      <c r="H392" s="32"/>
      <c r="J392" s="32"/>
      <c r="K392" s="41"/>
      <c r="L392" s="32"/>
      <c r="N392" s="32"/>
      <c r="O392" s="41"/>
      <c r="P392" s="32"/>
      <c r="R392" s="32"/>
      <c r="S392" s="41"/>
    </row>
    <row r="393" spans="1:19" s="30" customFormat="1" x14ac:dyDescent="0.25">
      <c r="A393" s="36"/>
      <c r="B393" s="31"/>
      <c r="C393" s="31"/>
      <c r="D393" s="32"/>
      <c r="H393" s="32"/>
      <c r="J393" s="32"/>
      <c r="K393" s="41"/>
      <c r="L393" s="32"/>
      <c r="N393" s="32"/>
      <c r="O393" s="41"/>
      <c r="P393" s="32"/>
      <c r="R393" s="32"/>
      <c r="S393" s="41"/>
    </row>
    <row r="394" spans="1:19" s="30" customFormat="1" x14ac:dyDescent="0.25">
      <c r="A394" s="36"/>
      <c r="B394" s="31"/>
      <c r="C394" s="31"/>
      <c r="D394" s="32"/>
      <c r="H394" s="32"/>
      <c r="J394" s="32"/>
      <c r="K394" s="41"/>
      <c r="L394" s="32"/>
      <c r="N394" s="32"/>
      <c r="O394" s="41"/>
      <c r="P394" s="32"/>
      <c r="R394" s="32"/>
      <c r="S394" s="41"/>
    </row>
    <row r="395" spans="1:19" s="30" customFormat="1" x14ac:dyDescent="0.25">
      <c r="A395" s="36"/>
      <c r="B395" s="31"/>
      <c r="C395" s="31"/>
      <c r="D395" s="32"/>
      <c r="H395" s="32"/>
      <c r="J395" s="32"/>
      <c r="K395" s="41"/>
      <c r="L395" s="32"/>
      <c r="N395" s="32"/>
      <c r="O395" s="41"/>
      <c r="P395" s="32"/>
      <c r="R395" s="32"/>
      <c r="S395" s="41"/>
    </row>
    <row r="396" spans="1:19" s="30" customFormat="1" x14ac:dyDescent="0.25">
      <c r="A396" s="36"/>
      <c r="B396" s="31"/>
      <c r="C396" s="31"/>
      <c r="D396" s="32"/>
      <c r="H396" s="32"/>
      <c r="J396" s="32"/>
      <c r="K396" s="41"/>
      <c r="L396" s="32"/>
      <c r="N396" s="32"/>
      <c r="O396" s="41"/>
      <c r="P396" s="32"/>
      <c r="R396" s="32"/>
      <c r="S396" s="41"/>
    </row>
    <row r="397" spans="1:19" s="30" customFormat="1" x14ac:dyDescent="0.25">
      <c r="A397" s="36"/>
      <c r="B397" s="31"/>
      <c r="C397" s="31"/>
      <c r="D397" s="32"/>
      <c r="H397" s="32"/>
      <c r="J397" s="32"/>
      <c r="K397" s="41"/>
      <c r="L397" s="32"/>
      <c r="N397" s="32"/>
      <c r="O397" s="41"/>
      <c r="P397" s="32"/>
      <c r="R397" s="32"/>
      <c r="S397" s="41"/>
    </row>
    <row r="398" spans="1:19" s="30" customFormat="1" x14ac:dyDescent="0.25">
      <c r="A398" s="36"/>
      <c r="B398" s="31"/>
      <c r="C398" s="31"/>
      <c r="D398" s="32"/>
      <c r="H398" s="32"/>
      <c r="J398" s="32"/>
      <c r="K398" s="41"/>
      <c r="L398" s="32"/>
      <c r="N398" s="32"/>
      <c r="O398" s="41"/>
      <c r="P398" s="32"/>
      <c r="R398" s="32"/>
      <c r="S398" s="41"/>
    </row>
    <row r="399" spans="1:19" s="30" customFormat="1" x14ac:dyDescent="0.25">
      <c r="A399" s="36"/>
      <c r="B399" s="31"/>
      <c r="C399" s="31"/>
      <c r="D399" s="32"/>
      <c r="H399" s="32"/>
      <c r="J399" s="32"/>
      <c r="K399" s="41"/>
      <c r="L399" s="32"/>
      <c r="N399" s="32"/>
      <c r="O399" s="41"/>
      <c r="P399" s="32"/>
      <c r="R399" s="32"/>
      <c r="S399" s="41"/>
    </row>
    <row r="400" spans="1:19" s="30" customFormat="1" x14ac:dyDescent="0.25">
      <c r="A400" s="36"/>
      <c r="B400" s="31"/>
      <c r="C400" s="31"/>
      <c r="D400" s="32"/>
      <c r="H400" s="32"/>
      <c r="J400" s="32"/>
      <c r="K400" s="41"/>
      <c r="L400" s="32"/>
      <c r="N400" s="32"/>
      <c r="O400" s="41"/>
      <c r="P400" s="32"/>
      <c r="R400" s="32"/>
      <c r="S400" s="41"/>
    </row>
    <row r="401" spans="1:19" s="30" customFormat="1" x14ac:dyDescent="0.25">
      <c r="A401" s="36"/>
      <c r="B401" s="31"/>
      <c r="C401" s="31"/>
      <c r="D401" s="32"/>
      <c r="H401" s="32"/>
      <c r="J401" s="32"/>
      <c r="K401" s="41"/>
      <c r="L401" s="32"/>
      <c r="N401" s="32"/>
      <c r="O401" s="41"/>
      <c r="P401" s="32"/>
      <c r="R401" s="32"/>
      <c r="S401" s="41"/>
    </row>
    <row r="402" spans="1:19" s="30" customFormat="1" x14ac:dyDescent="0.25">
      <c r="A402" s="36"/>
      <c r="B402" s="31"/>
      <c r="C402" s="31"/>
      <c r="D402" s="32"/>
      <c r="H402" s="32"/>
      <c r="J402" s="32"/>
      <c r="K402" s="41"/>
      <c r="L402" s="32"/>
      <c r="N402" s="32"/>
      <c r="O402" s="41"/>
      <c r="P402" s="32"/>
      <c r="R402" s="32"/>
      <c r="S402" s="41"/>
    </row>
    <row r="403" spans="1:19" s="30" customFormat="1" x14ac:dyDescent="0.25">
      <c r="A403" s="36"/>
      <c r="B403" s="31"/>
      <c r="C403" s="31"/>
      <c r="D403" s="32"/>
      <c r="H403" s="32"/>
      <c r="J403" s="32"/>
      <c r="K403" s="41"/>
      <c r="L403" s="32"/>
      <c r="N403" s="32"/>
      <c r="O403" s="41"/>
      <c r="P403" s="32"/>
      <c r="R403" s="32"/>
      <c r="S403" s="41"/>
    </row>
    <row r="404" spans="1:19" s="30" customFormat="1" x14ac:dyDescent="0.25">
      <c r="A404" s="36"/>
      <c r="B404" s="31"/>
      <c r="C404" s="31"/>
      <c r="D404" s="32"/>
      <c r="H404" s="32"/>
      <c r="J404" s="32"/>
      <c r="K404" s="41"/>
      <c r="L404" s="32"/>
      <c r="N404" s="32"/>
      <c r="O404" s="41"/>
      <c r="P404" s="32"/>
      <c r="R404" s="32"/>
      <c r="S404" s="41"/>
    </row>
    <row r="405" spans="1:19" s="30" customFormat="1" x14ac:dyDescent="0.25">
      <c r="A405" s="36"/>
      <c r="B405" s="31"/>
      <c r="C405" s="31"/>
      <c r="D405" s="32"/>
      <c r="H405" s="32"/>
      <c r="J405" s="32"/>
      <c r="K405" s="41"/>
      <c r="L405" s="32"/>
      <c r="N405" s="32"/>
      <c r="O405" s="41"/>
      <c r="P405" s="32"/>
      <c r="R405" s="32"/>
      <c r="S405" s="41"/>
    </row>
    <row r="406" spans="1:19" s="30" customFormat="1" x14ac:dyDescent="0.25">
      <c r="A406" s="36"/>
      <c r="B406" s="31"/>
      <c r="C406" s="31"/>
      <c r="D406" s="32"/>
      <c r="H406" s="32"/>
      <c r="J406" s="32"/>
      <c r="K406" s="41"/>
      <c r="L406" s="32"/>
      <c r="N406" s="32"/>
      <c r="O406" s="41"/>
      <c r="P406" s="32"/>
      <c r="R406" s="32"/>
      <c r="S406" s="41"/>
    </row>
    <row r="407" spans="1:19" s="30" customFormat="1" x14ac:dyDescent="0.25">
      <c r="A407" s="36"/>
      <c r="B407" s="31"/>
      <c r="C407" s="31"/>
      <c r="D407" s="32"/>
      <c r="H407" s="32"/>
      <c r="J407" s="32"/>
      <c r="K407" s="41"/>
      <c r="L407" s="32"/>
      <c r="N407" s="32"/>
      <c r="O407" s="41"/>
      <c r="P407" s="32"/>
      <c r="R407" s="32"/>
      <c r="S407" s="41"/>
    </row>
    <row r="408" spans="1:19" s="30" customFormat="1" x14ac:dyDescent="0.25">
      <c r="A408" s="36"/>
      <c r="B408" s="31"/>
      <c r="C408" s="31"/>
      <c r="D408" s="32"/>
      <c r="H408" s="32"/>
      <c r="J408" s="32"/>
      <c r="K408" s="41"/>
      <c r="L408" s="32"/>
      <c r="N408" s="32"/>
      <c r="O408" s="41"/>
      <c r="P408" s="32"/>
      <c r="R408" s="32"/>
      <c r="S408" s="41"/>
    </row>
    <row r="409" spans="1:19" s="30" customFormat="1" x14ac:dyDescent="0.25">
      <c r="A409" s="36"/>
      <c r="B409" s="31"/>
      <c r="C409" s="31"/>
      <c r="D409" s="32"/>
      <c r="H409" s="32"/>
      <c r="J409" s="32"/>
      <c r="K409" s="41"/>
      <c r="L409" s="32"/>
      <c r="N409" s="32"/>
      <c r="O409" s="41"/>
      <c r="P409" s="32"/>
      <c r="R409" s="32"/>
      <c r="S409" s="41"/>
    </row>
    <row r="410" spans="1:19" s="30" customFormat="1" x14ac:dyDescent="0.25">
      <c r="A410" s="36"/>
      <c r="B410" s="31"/>
      <c r="C410" s="31"/>
      <c r="D410" s="32"/>
      <c r="H410" s="32"/>
      <c r="J410" s="32"/>
      <c r="K410" s="41"/>
      <c r="L410" s="32"/>
      <c r="N410" s="32"/>
      <c r="O410" s="41"/>
      <c r="P410" s="32"/>
      <c r="R410" s="32"/>
      <c r="S410" s="41"/>
    </row>
    <row r="411" spans="1:19" s="30" customFormat="1" x14ac:dyDescent="0.25">
      <c r="A411" s="36"/>
      <c r="B411" s="31"/>
      <c r="C411" s="31"/>
      <c r="D411" s="32"/>
      <c r="H411" s="32"/>
      <c r="J411" s="32"/>
      <c r="K411" s="41"/>
      <c r="L411" s="32"/>
      <c r="N411" s="32"/>
      <c r="O411" s="41"/>
      <c r="P411" s="32"/>
      <c r="R411" s="32"/>
      <c r="S411" s="41"/>
    </row>
    <row r="412" spans="1:19" s="30" customFormat="1" x14ac:dyDescent="0.25">
      <c r="A412" s="36"/>
      <c r="B412" s="31"/>
      <c r="C412" s="31"/>
      <c r="D412" s="32"/>
      <c r="H412" s="32"/>
      <c r="J412" s="32"/>
      <c r="K412" s="41"/>
      <c r="L412" s="32"/>
      <c r="N412" s="32"/>
      <c r="O412" s="41"/>
      <c r="P412" s="32"/>
      <c r="R412" s="32"/>
      <c r="S412" s="41"/>
    </row>
    <row r="413" spans="1:19" s="30" customFormat="1" x14ac:dyDescent="0.25">
      <c r="A413" s="36"/>
      <c r="B413" s="31"/>
      <c r="C413" s="31"/>
      <c r="D413" s="32"/>
      <c r="H413" s="32"/>
      <c r="J413" s="32"/>
      <c r="K413" s="41"/>
      <c r="L413" s="32"/>
      <c r="N413" s="32"/>
      <c r="O413" s="41"/>
      <c r="P413" s="32"/>
      <c r="R413" s="32"/>
      <c r="S413" s="41"/>
    </row>
    <row r="414" spans="1:19" s="30" customFormat="1" x14ac:dyDescent="0.25">
      <c r="A414" s="36"/>
      <c r="B414" s="31"/>
      <c r="C414" s="31"/>
      <c r="D414" s="32"/>
      <c r="H414" s="32"/>
      <c r="J414" s="32"/>
      <c r="K414" s="41"/>
      <c r="L414" s="32"/>
      <c r="N414" s="32"/>
      <c r="O414" s="41"/>
      <c r="P414" s="32"/>
      <c r="R414" s="32"/>
      <c r="S414" s="41"/>
    </row>
    <row r="415" spans="1:19" s="30" customFormat="1" x14ac:dyDescent="0.25">
      <c r="A415" s="36"/>
      <c r="B415" s="31"/>
      <c r="C415" s="31"/>
      <c r="D415" s="32"/>
      <c r="H415" s="32"/>
      <c r="J415" s="32"/>
      <c r="K415" s="41"/>
      <c r="L415" s="32"/>
      <c r="N415" s="32"/>
      <c r="O415" s="41"/>
      <c r="P415" s="32"/>
      <c r="R415" s="32"/>
      <c r="S415" s="41"/>
    </row>
    <row r="416" spans="1:19" s="30" customFormat="1" x14ac:dyDescent="0.25">
      <c r="A416" s="36"/>
      <c r="B416" s="31"/>
      <c r="C416" s="31"/>
      <c r="D416" s="32"/>
      <c r="H416" s="32"/>
      <c r="J416" s="32"/>
      <c r="K416" s="41"/>
      <c r="L416" s="32"/>
      <c r="N416" s="32"/>
      <c r="O416" s="41"/>
      <c r="P416" s="32"/>
      <c r="R416" s="32"/>
      <c r="S416" s="41"/>
    </row>
    <row r="417" spans="1:19" s="30" customFormat="1" x14ac:dyDescent="0.25">
      <c r="A417" s="36"/>
      <c r="B417" s="31"/>
      <c r="C417" s="31"/>
      <c r="D417" s="32"/>
      <c r="H417" s="32"/>
      <c r="J417" s="32"/>
      <c r="K417" s="41"/>
      <c r="L417" s="32"/>
      <c r="N417" s="32"/>
      <c r="O417" s="41"/>
      <c r="P417" s="32"/>
      <c r="R417" s="32"/>
      <c r="S417" s="41"/>
    </row>
    <row r="418" spans="1:19" s="30" customFormat="1" x14ac:dyDescent="0.25">
      <c r="A418" s="36"/>
      <c r="B418" s="31"/>
      <c r="C418" s="31"/>
      <c r="D418" s="32"/>
      <c r="H418" s="32"/>
      <c r="J418" s="32"/>
      <c r="K418" s="41"/>
      <c r="L418" s="32"/>
      <c r="N418" s="32"/>
      <c r="O418" s="41"/>
      <c r="P418" s="32"/>
      <c r="R418" s="32"/>
      <c r="S418" s="41"/>
    </row>
    <row r="419" spans="1:19" s="30" customFormat="1" x14ac:dyDescent="0.25">
      <c r="A419" s="36"/>
      <c r="B419" s="31"/>
      <c r="C419" s="31"/>
      <c r="D419" s="32"/>
      <c r="H419" s="32"/>
      <c r="J419" s="32"/>
      <c r="K419" s="41"/>
      <c r="L419" s="32"/>
      <c r="N419" s="32"/>
      <c r="O419" s="41"/>
      <c r="P419" s="32"/>
      <c r="R419" s="32"/>
      <c r="S419" s="41"/>
    </row>
    <row r="420" spans="1:19" s="30" customFormat="1" x14ac:dyDescent="0.25">
      <c r="A420" s="36"/>
      <c r="B420" s="31"/>
      <c r="C420" s="31"/>
      <c r="D420" s="32"/>
      <c r="H420" s="32"/>
      <c r="J420" s="32"/>
      <c r="K420" s="41"/>
      <c r="L420" s="32"/>
      <c r="N420" s="32"/>
      <c r="O420" s="41"/>
      <c r="P420" s="32"/>
      <c r="R420" s="32"/>
      <c r="S420" s="41"/>
    </row>
    <row r="421" spans="1:19" s="30" customFormat="1" x14ac:dyDescent="0.25">
      <c r="A421" s="36"/>
      <c r="B421" s="31"/>
      <c r="C421" s="31"/>
      <c r="D421" s="32"/>
      <c r="H421" s="32"/>
      <c r="J421" s="32"/>
      <c r="K421" s="41"/>
      <c r="L421" s="32"/>
      <c r="N421" s="32"/>
      <c r="O421" s="41"/>
      <c r="P421" s="32"/>
      <c r="R421" s="32"/>
      <c r="S421" s="41"/>
    </row>
    <row r="422" spans="1:19" s="30" customFormat="1" x14ac:dyDescent="0.25">
      <c r="A422" s="36"/>
      <c r="B422" s="31"/>
      <c r="C422" s="31"/>
      <c r="D422" s="32"/>
      <c r="H422" s="32"/>
      <c r="J422" s="32"/>
      <c r="K422" s="41"/>
      <c r="L422" s="32"/>
      <c r="N422" s="32"/>
      <c r="O422" s="41"/>
      <c r="P422" s="32"/>
      <c r="R422" s="32"/>
      <c r="S422" s="41"/>
    </row>
    <row r="423" spans="1:19" s="30" customFormat="1" x14ac:dyDescent="0.25">
      <c r="A423" s="36"/>
      <c r="B423" s="31"/>
      <c r="C423" s="31"/>
      <c r="D423" s="32"/>
      <c r="H423" s="32"/>
      <c r="J423" s="32"/>
      <c r="K423" s="41"/>
      <c r="L423" s="32"/>
      <c r="N423" s="32"/>
      <c r="O423" s="41"/>
      <c r="P423" s="32"/>
      <c r="R423" s="32"/>
      <c r="S423" s="41"/>
    </row>
    <row r="424" spans="1:19" s="30" customFormat="1" x14ac:dyDescent="0.25">
      <c r="A424" s="36"/>
      <c r="B424" s="31"/>
      <c r="C424" s="31"/>
      <c r="D424" s="32"/>
      <c r="H424" s="32"/>
      <c r="J424" s="32"/>
      <c r="K424" s="41"/>
      <c r="L424" s="32"/>
      <c r="N424" s="32"/>
      <c r="O424" s="41"/>
      <c r="P424" s="32"/>
      <c r="R424" s="32"/>
      <c r="S424" s="41"/>
    </row>
    <row r="425" spans="1:19" s="30" customFormat="1" x14ac:dyDescent="0.25">
      <c r="A425" s="36"/>
      <c r="B425" s="31"/>
      <c r="C425" s="31"/>
      <c r="D425" s="32"/>
      <c r="H425" s="32"/>
      <c r="J425" s="32"/>
      <c r="K425" s="41"/>
      <c r="L425" s="32"/>
      <c r="N425" s="32"/>
      <c r="O425" s="41"/>
      <c r="P425" s="32"/>
      <c r="R425" s="32"/>
      <c r="S425" s="41"/>
    </row>
    <row r="426" spans="1:19" s="30" customFormat="1" x14ac:dyDescent="0.25">
      <c r="A426" s="36"/>
      <c r="B426" s="31"/>
      <c r="C426" s="31"/>
      <c r="D426" s="32"/>
      <c r="H426" s="32"/>
      <c r="J426" s="32"/>
      <c r="K426" s="41"/>
      <c r="L426" s="32"/>
      <c r="N426" s="32"/>
      <c r="O426" s="41"/>
      <c r="P426" s="32"/>
      <c r="R426" s="32"/>
      <c r="S426" s="41"/>
    </row>
    <row r="427" spans="1:19" s="30" customFormat="1" x14ac:dyDescent="0.25">
      <c r="A427" s="36"/>
      <c r="B427" s="31"/>
      <c r="C427" s="31"/>
      <c r="D427" s="32"/>
      <c r="H427" s="32"/>
      <c r="J427" s="32"/>
      <c r="K427" s="41"/>
      <c r="L427" s="32"/>
      <c r="N427" s="32"/>
      <c r="O427" s="41"/>
      <c r="P427" s="32"/>
      <c r="R427" s="32"/>
      <c r="S427" s="41"/>
    </row>
    <row r="428" spans="1:19" s="30" customFormat="1" x14ac:dyDescent="0.25">
      <c r="A428" s="36"/>
      <c r="B428" s="31"/>
      <c r="C428" s="31"/>
      <c r="D428" s="32"/>
      <c r="H428" s="32"/>
      <c r="J428" s="32"/>
      <c r="K428" s="41"/>
      <c r="L428" s="32"/>
      <c r="N428" s="32"/>
      <c r="O428" s="41"/>
      <c r="P428" s="32"/>
      <c r="R428" s="32"/>
      <c r="S428" s="41"/>
    </row>
    <row r="429" spans="1:19" s="30" customFormat="1" x14ac:dyDescent="0.25">
      <c r="A429" s="36"/>
      <c r="B429" s="31"/>
      <c r="C429" s="31"/>
      <c r="D429" s="32"/>
      <c r="H429" s="32"/>
      <c r="J429" s="32"/>
      <c r="K429" s="41"/>
      <c r="L429" s="32"/>
      <c r="N429" s="32"/>
      <c r="O429" s="41"/>
      <c r="P429" s="32"/>
      <c r="R429" s="32"/>
      <c r="S429" s="41"/>
    </row>
    <row r="430" spans="1:19" s="30" customFormat="1" x14ac:dyDescent="0.25">
      <c r="A430" s="36"/>
      <c r="B430" s="31"/>
      <c r="C430" s="31"/>
      <c r="D430" s="32"/>
      <c r="H430" s="32"/>
      <c r="J430" s="32"/>
      <c r="K430" s="41"/>
      <c r="L430" s="32"/>
      <c r="N430" s="32"/>
      <c r="O430" s="41"/>
      <c r="P430" s="32"/>
      <c r="R430" s="32"/>
      <c r="S430" s="41"/>
    </row>
    <row r="431" spans="1:19" s="30" customFormat="1" x14ac:dyDescent="0.25">
      <c r="A431" s="36"/>
      <c r="B431" s="31"/>
      <c r="C431" s="31"/>
      <c r="D431" s="32"/>
      <c r="H431" s="32"/>
      <c r="J431" s="32"/>
      <c r="K431" s="41"/>
      <c r="L431" s="32"/>
      <c r="N431" s="32"/>
      <c r="O431" s="41"/>
      <c r="P431" s="32"/>
      <c r="R431" s="32"/>
      <c r="S431" s="41"/>
    </row>
    <row r="432" spans="1:19" s="30" customFormat="1" x14ac:dyDescent="0.25">
      <c r="A432" s="36"/>
      <c r="B432" s="31"/>
      <c r="C432" s="31"/>
      <c r="D432" s="32"/>
      <c r="H432" s="32"/>
      <c r="J432" s="32"/>
      <c r="K432" s="41"/>
      <c r="L432" s="32"/>
      <c r="N432" s="32"/>
      <c r="O432" s="41"/>
      <c r="P432" s="32"/>
      <c r="R432" s="32"/>
      <c r="S432" s="41"/>
    </row>
    <row r="433" spans="1:19" s="30" customFormat="1" x14ac:dyDescent="0.25">
      <c r="A433" s="36"/>
      <c r="B433" s="31"/>
      <c r="C433" s="31"/>
      <c r="D433" s="32"/>
      <c r="H433" s="32"/>
      <c r="J433" s="32"/>
      <c r="K433" s="41"/>
      <c r="L433" s="32"/>
      <c r="N433" s="32"/>
      <c r="O433" s="41"/>
      <c r="P433" s="32"/>
      <c r="R433" s="32"/>
      <c r="S433" s="41"/>
    </row>
    <row r="434" spans="1:19" s="30" customFormat="1" x14ac:dyDescent="0.25">
      <c r="A434" s="36"/>
      <c r="B434" s="31"/>
      <c r="C434" s="31"/>
      <c r="D434" s="32"/>
      <c r="H434" s="32"/>
      <c r="J434" s="32"/>
      <c r="K434" s="41"/>
      <c r="L434" s="32"/>
      <c r="N434" s="32"/>
      <c r="O434" s="41"/>
      <c r="P434" s="32"/>
      <c r="R434" s="32"/>
      <c r="S434" s="41"/>
    </row>
    <row r="435" spans="1:19" s="30" customFormat="1" x14ac:dyDescent="0.25">
      <c r="A435" s="36"/>
      <c r="B435" s="31"/>
      <c r="C435" s="31"/>
      <c r="D435" s="32"/>
      <c r="H435" s="32"/>
      <c r="J435" s="32"/>
      <c r="K435" s="41"/>
      <c r="L435" s="32"/>
      <c r="N435" s="32"/>
      <c r="O435" s="41"/>
      <c r="P435" s="32"/>
      <c r="R435" s="32"/>
      <c r="S435" s="41"/>
    </row>
    <row r="436" spans="1:19" s="30" customFormat="1" x14ac:dyDescent="0.25">
      <c r="A436" s="36"/>
      <c r="B436" s="31"/>
      <c r="C436" s="31"/>
      <c r="D436" s="32"/>
      <c r="H436" s="32"/>
      <c r="J436" s="32"/>
      <c r="K436" s="41"/>
      <c r="L436" s="32"/>
      <c r="N436" s="32"/>
      <c r="O436" s="41"/>
      <c r="P436" s="32"/>
      <c r="R436" s="32"/>
      <c r="S436" s="41"/>
    </row>
    <row r="437" spans="1:19" s="30" customFormat="1" x14ac:dyDescent="0.25">
      <c r="A437" s="36"/>
      <c r="B437" s="31"/>
      <c r="C437" s="31"/>
      <c r="D437" s="32"/>
      <c r="H437" s="32"/>
      <c r="J437" s="32"/>
      <c r="K437" s="41"/>
      <c r="L437" s="32"/>
      <c r="N437" s="32"/>
      <c r="O437" s="41"/>
      <c r="P437" s="32"/>
      <c r="R437" s="32"/>
      <c r="S437" s="41"/>
    </row>
    <row r="438" spans="1:19" s="30" customFormat="1" x14ac:dyDescent="0.25">
      <c r="A438" s="36"/>
      <c r="B438" s="31"/>
      <c r="C438" s="31"/>
      <c r="D438" s="32"/>
      <c r="H438" s="32"/>
      <c r="J438" s="32"/>
      <c r="K438" s="41"/>
      <c r="L438" s="32"/>
      <c r="N438" s="32"/>
      <c r="O438" s="41"/>
      <c r="P438" s="32"/>
      <c r="R438" s="32"/>
      <c r="S438" s="41"/>
    </row>
    <row r="439" spans="1:19" s="30" customFormat="1" x14ac:dyDescent="0.25">
      <c r="A439" s="36"/>
      <c r="B439" s="31"/>
      <c r="C439" s="31"/>
      <c r="D439" s="32"/>
      <c r="H439" s="32"/>
      <c r="J439" s="32"/>
      <c r="K439" s="41"/>
      <c r="L439" s="32"/>
      <c r="N439" s="32"/>
      <c r="O439" s="41"/>
      <c r="P439" s="32"/>
      <c r="R439" s="32"/>
      <c r="S439" s="41"/>
    </row>
    <row r="440" spans="1:19" s="30" customFormat="1" x14ac:dyDescent="0.25">
      <c r="A440" s="36"/>
      <c r="B440" s="31"/>
      <c r="C440" s="31"/>
      <c r="D440" s="32"/>
      <c r="H440" s="32"/>
      <c r="J440" s="32"/>
      <c r="K440" s="41"/>
      <c r="L440" s="32"/>
      <c r="N440" s="32"/>
      <c r="O440" s="41"/>
      <c r="P440" s="32"/>
      <c r="R440" s="32"/>
      <c r="S440" s="41"/>
    </row>
    <row r="441" spans="1:19" s="30" customFormat="1" x14ac:dyDescent="0.25">
      <c r="A441" s="36"/>
      <c r="B441" s="31"/>
      <c r="C441" s="31"/>
      <c r="D441" s="32"/>
      <c r="H441" s="32"/>
      <c r="J441" s="32"/>
      <c r="K441" s="41"/>
      <c r="L441" s="32"/>
      <c r="N441" s="32"/>
      <c r="O441" s="41"/>
      <c r="P441" s="32"/>
      <c r="R441" s="32"/>
      <c r="S441" s="41"/>
    </row>
    <row r="442" spans="1:19" s="30" customFormat="1" x14ac:dyDescent="0.25">
      <c r="A442" s="36"/>
      <c r="B442" s="31"/>
      <c r="C442" s="31"/>
      <c r="D442" s="32"/>
      <c r="H442" s="32"/>
      <c r="J442" s="32"/>
      <c r="K442" s="41"/>
      <c r="L442" s="32"/>
      <c r="N442" s="32"/>
      <c r="O442" s="41"/>
      <c r="P442" s="32"/>
      <c r="R442" s="32"/>
      <c r="S442" s="41"/>
    </row>
    <row r="443" spans="1:19" s="30" customFormat="1" x14ac:dyDescent="0.25">
      <c r="A443" s="36"/>
      <c r="B443" s="31"/>
      <c r="C443" s="31"/>
      <c r="D443" s="32"/>
      <c r="H443" s="32"/>
      <c r="J443" s="32"/>
      <c r="K443" s="41"/>
      <c r="L443" s="32"/>
      <c r="N443" s="32"/>
      <c r="O443" s="41"/>
      <c r="P443" s="32"/>
      <c r="R443" s="32"/>
      <c r="S443" s="41"/>
    </row>
    <row r="444" spans="1:19" s="30" customFormat="1" x14ac:dyDescent="0.25">
      <c r="A444" s="36"/>
      <c r="B444" s="31"/>
      <c r="C444" s="31"/>
      <c r="D444" s="32"/>
      <c r="H444" s="32"/>
      <c r="J444" s="32"/>
      <c r="K444" s="41"/>
      <c r="L444" s="32"/>
      <c r="N444" s="32"/>
      <c r="O444" s="41"/>
      <c r="P444" s="32"/>
      <c r="R444" s="32"/>
      <c r="S444" s="41"/>
    </row>
    <row r="445" spans="1:19" s="30" customFormat="1" x14ac:dyDescent="0.25">
      <c r="A445" s="36"/>
      <c r="B445" s="31"/>
      <c r="C445" s="31"/>
      <c r="D445" s="32"/>
      <c r="H445" s="32"/>
      <c r="J445" s="32"/>
      <c r="K445" s="41"/>
      <c r="L445" s="32"/>
      <c r="N445" s="32"/>
      <c r="O445" s="41"/>
      <c r="P445" s="32"/>
      <c r="R445" s="32"/>
      <c r="S445" s="41"/>
    </row>
    <row r="446" spans="1:19" s="30" customFormat="1" x14ac:dyDescent="0.25">
      <c r="A446" s="36"/>
      <c r="B446" s="31"/>
      <c r="C446" s="31"/>
      <c r="D446" s="32"/>
      <c r="H446" s="32"/>
      <c r="J446" s="32"/>
      <c r="K446" s="41"/>
      <c r="L446" s="32"/>
      <c r="N446" s="32"/>
      <c r="O446" s="41"/>
      <c r="P446" s="32"/>
      <c r="R446" s="32"/>
      <c r="S446" s="41"/>
    </row>
    <row r="447" spans="1:19" s="30" customFormat="1" x14ac:dyDescent="0.25">
      <c r="A447" s="36"/>
      <c r="B447" s="31"/>
      <c r="C447" s="31"/>
      <c r="D447" s="32"/>
      <c r="H447" s="32"/>
      <c r="J447" s="32"/>
      <c r="K447" s="41"/>
      <c r="L447" s="32"/>
      <c r="N447" s="32"/>
      <c r="O447" s="41"/>
      <c r="P447" s="32"/>
      <c r="R447" s="32"/>
      <c r="S447" s="41"/>
    </row>
    <row r="448" spans="1:19" s="30" customFormat="1" x14ac:dyDescent="0.25">
      <c r="A448" s="36"/>
      <c r="B448" s="31"/>
      <c r="C448" s="31"/>
      <c r="D448" s="32"/>
      <c r="H448" s="32"/>
      <c r="J448" s="32"/>
      <c r="K448" s="41"/>
      <c r="L448" s="32"/>
      <c r="N448" s="32"/>
      <c r="O448" s="41"/>
      <c r="P448" s="32"/>
      <c r="R448" s="32"/>
      <c r="S448" s="41"/>
    </row>
    <row r="449" spans="1:19" s="30" customFormat="1" x14ac:dyDescent="0.25">
      <c r="A449" s="36"/>
      <c r="B449" s="31"/>
      <c r="C449" s="31"/>
      <c r="D449" s="32"/>
      <c r="H449" s="32"/>
      <c r="J449" s="32"/>
      <c r="K449" s="41"/>
      <c r="L449" s="32"/>
      <c r="N449" s="32"/>
      <c r="O449" s="41"/>
      <c r="P449" s="32"/>
      <c r="R449" s="32"/>
      <c r="S449" s="41"/>
    </row>
    <row r="450" spans="1:19" s="30" customFormat="1" x14ac:dyDescent="0.25">
      <c r="A450" s="36"/>
      <c r="B450" s="31"/>
      <c r="C450" s="31"/>
      <c r="D450" s="32"/>
      <c r="H450" s="32"/>
      <c r="J450" s="32"/>
      <c r="K450" s="41"/>
      <c r="L450" s="32"/>
      <c r="N450" s="32"/>
      <c r="O450" s="41"/>
      <c r="P450" s="32"/>
      <c r="R450" s="32"/>
      <c r="S450" s="41"/>
    </row>
    <row r="451" spans="1:19" s="30" customFormat="1" x14ac:dyDescent="0.25">
      <c r="A451" s="36"/>
      <c r="B451" s="31"/>
      <c r="C451" s="31"/>
      <c r="D451" s="32"/>
      <c r="H451" s="32"/>
      <c r="J451" s="32"/>
      <c r="K451" s="41"/>
      <c r="L451" s="32"/>
      <c r="N451" s="32"/>
      <c r="O451" s="41"/>
      <c r="P451" s="32"/>
      <c r="R451" s="32"/>
      <c r="S451" s="41"/>
    </row>
    <row r="452" spans="1:19" s="30" customFormat="1" x14ac:dyDescent="0.25">
      <c r="A452" s="36"/>
      <c r="B452" s="31"/>
      <c r="C452" s="31"/>
      <c r="D452" s="32"/>
      <c r="H452" s="32"/>
      <c r="J452" s="32"/>
      <c r="K452" s="41"/>
      <c r="L452" s="32"/>
      <c r="N452" s="32"/>
      <c r="O452" s="41"/>
      <c r="P452" s="32"/>
      <c r="R452" s="32"/>
      <c r="S452" s="41"/>
    </row>
    <row r="453" spans="1:19" s="30" customFormat="1" x14ac:dyDescent="0.25">
      <c r="A453" s="36"/>
      <c r="B453" s="31"/>
      <c r="C453" s="31"/>
      <c r="D453" s="32"/>
      <c r="H453" s="32"/>
      <c r="J453" s="32"/>
      <c r="K453" s="41"/>
      <c r="L453" s="32"/>
      <c r="N453" s="32"/>
      <c r="O453" s="41"/>
      <c r="P453" s="32"/>
      <c r="R453" s="32"/>
      <c r="S453" s="41"/>
    </row>
    <row r="454" spans="1:19" s="30" customFormat="1" x14ac:dyDescent="0.25">
      <c r="A454" s="36"/>
      <c r="B454" s="31"/>
      <c r="C454" s="31"/>
      <c r="D454" s="32"/>
      <c r="H454" s="32"/>
      <c r="J454" s="32"/>
      <c r="K454" s="41"/>
      <c r="L454" s="32"/>
      <c r="N454" s="32"/>
      <c r="O454" s="41"/>
      <c r="P454" s="32"/>
      <c r="R454" s="32"/>
      <c r="S454" s="41"/>
    </row>
    <row r="455" spans="1:19" s="30" customFormat="1" x14ac:dyDescent="0.25">
      <c r="A455" s="36"/>
      <c r="B455" s="31"/>
      <c r="C455" s="31"/>
      <c r="D455" s="32"/>
      <c r="H455" s="32"/>
      <c r="J455" s="32"/>
      <c r="K455" s="41"/>
      <c r="L455" s="32"/>
      <c r="N455" s="32"/>
      <c r="O455" s="41"/>
      <c r="P455" s="32"/>
      <c r="R455" s="32"/>
      <c r="S455" s="41"/>
    </row>
    <row r="456" spans="1:19" s="30" customFormat="1" x14ac:dyDescent="0.25">
      <c r="A456" s="36"/>
      <c r="B456" s="31"/>
      <c r="C456" s="31"/>
      <c r="D456" s="32"/>
      <c r="H456" s="32"/>
      <c r="J456" s="32"/>
      <c r="K456" s="41"/>
      <c r="L456" s="32"/>
      <c r="N456" s="32"/>
      <c r="O456" s="41"/>
      <c r="P456" s="32"/>
      <c r="R456" s="32"/>
      <c r="S456" s="41"/>
    </row>
    <row r="457" spans="1:19" s="30" customFormat="1" x14ac:dyDescent="0.25">
      <c r="A457" s="36"/>
      <c r="B457" s="31"/>
      <c r="C457" s="31"/>
      <c r="D457" s="32"/>
      <c r="H457" s="32"/>
      <c r="J457" s="32"/>
      <c r="K457" s="41"/>
      <c r="L457" s="32"/>
      <c r="N457" s="32"/>
      <c r="O457" s="41"/>
      <c r="P457" s="32"/>
      <c r="R457" s="32"/>
      <c r="S457" s="41"/>
    </row>
    <row r="458" spans="1:19" s="30" customFormat="1" x14ac:dyDescent="0.25">
      <c r="A458" s="36"/>
      <c r="B458" s="31"/>
      <c r="C458" s="31"/>
      <c r="D458" s="32"/>
      <c r="H458" s="32"/>
      <c r="J458" s="32"/>
      <c r="K458" s="41"/>
      <c r="L458" s="32"/>
      <c r="N458" s="32"/>
      <c r="O458" s="41"/>
      <c r="P458" s="32"/>
      <c r="R458" s="32"/>
      <c r="S458" s="41"/>
    </row>
    <row r="459" spans="1:19" s="30" customFormat="1" x14ac:dyDescent="0.25">
      <c r="A459" s="36"/>
      <c r="B459" s="31"/>
      <c r="C459" s="31"/>
      <c r="D459" s="32"/>
      <c r="H459" s="32"/>
      <c r="J459" s="32"/>
      <c r="K459" s="41"/>
      <c r="L459" s="32"/>
      <c r="N459" s="32"/>
      <c r="O459" s="41"/>
      <c r="P459" s="32"/>
      <c r="R459" s="32"/>
      <c r="S459" s="41"/>
    </row>
    <row r="460" spans="1:19" s="30" customFormat="1" x14ac:dyDescent="0.25">
      <c r="A460" s="36"/>
      <c r="B460" s="31"/>
      <c r="C460" s="31"/>
      <c r="D460" s="32"/>
      <c r="H460" s="32"/>
      <c r="J460" s="32"/>
      <c r="K460" s="41"/>
      <c r="L460" s="32"/>
      <c r="N460" s="32"/>
      <c r="O460" s="41"/>
      <c r="P460" s="32"/>
      <c r="R460" s="32"/>
      <c r="S460" s="41"/>
    </row>
    <row r="461" spans="1:19" s="30" customFormat="1" x14ac:dyDescent="0.25">
      <c r="A461" s="36"/>
      <c r="B461" s="31"/>
      <c r="C461" s="31"/>
      <c r="D461" s="32"/>
      <c r="H461" s="32"/>
      <c r="J461" s="32"/>
      <c r="K461" s="41"/>
      <c r="L461" s="32"/>
      <c r="N461" s="32"/>
      <c r="O461" s="41"/>
      <c r="P461" s="32"/>
      <c r="R461" s="32"/>
      <c r="S461" s="41"/>
    </row>
    <row r="462" spans="1:19" s="30" customFormat="1" x14ac:dyDescent="0.25">
      <c r="A462" s="36"/>
      <c r="B462" s="31"/>
      <c r="C462" s="31"/>
      <c r="D462" s="32"/>
      <c r="H462" s="32"/>
      <c r="J462" s="32"/>
      <c r="K462" s="41"/>
      <c r="L462" s="32"/>
      <c r="N462" s="32"/>
      <c r="O462" s="41"/>
      <c r="P462" s="32"/>
      <c r="R462" s="32"/>
      <c r="S462" s="41"/>
    </row>
    <row r="463" spans="1:19" s="30" customFormat="1" x14ac:dyDescent="0.25">
      <c r="A463" s="36"/>
      <c r="B463" s="31"/>
      <c r="C463" s="31"/>
      <c r="D463" s="32"/>
      <c r="H463" s="32"/>
      <c r="J463" s="32"/>
      <c r="K463" s="41"/>
      <c r="L463" s="32"/>
      <c r="N463" s="32"/>
      <c r="O463" s="41"/>
      <c r="P463" s="32"/>
      <c r="R463" s="32"/>
      <c r="S463" s="41"/>
    </row>
    <row r="464" spans="1:19" s="30" customFormat="1" x14ac:dyDescent="0.25">
      <c r="A464" s="36"/>
      <c r="B464" s="31"/>
      <c r="C464" s="31"/>
      <c r="D464" s="32"/>
      <c r="H464" s="32"/>
      <c r="J464" s="32"/>
      <c r="K464" s="41"/>
      <c r="L464" s="32"/>
      <c r="N464" s="32"/>
      <c r="O464" s="41"/>
      <c r="P464" s="32"/>
      <c r="R464" s="32"/>
      <c r="S464" s="41"/>
    </row>
    <row r="465" spans="1:19" s="30" customFormat="1" x14ac:dyDescent="0.25">
      <c r="A465" s="36"/>
      <c r="B465" s="31"/>
      <c r="C465" s="31"/>
      <c r="D465" s="32"/>
      <c r="H465" s="32"/>
      <c r="J465" s="32"/>
      <c r="K465" s="41"/>
      <c r="L465" s="32"/>
      <c r="N465" s="32"/>
      <c r="O465" s="41"/>
      <c r="P465" s="32"/>
      <c r="R465" s="32"/>
      <c r="S465" s="41"/>
    </row>
    <row r="466" spans="1:19" s="30" customFormat="1" x14ac:dyDescent="0.25">
      <c r="A466" s="36"/>
      <c r="B466" s="31"/>
      <c r="C466" s="31"/>
      <c r="D466" s="32"/>
      <c r="H466" s="32"/>
      <c r="J466" s="32"/>
      <c r="K466" s="41"/>
      <c r="L466" s="32"/>
      <c r="N466" s="32"/>
      <c r="O466" s="41"/>
      <c r="P466" s="32"/>
      <c r="R466" s="32"/>
      <c r="S466" s="41"/>
    </row>
    <row r="467" spans="1:19" s="30" customFormat="1" x14ac:dyDescent="0.25">
      <c r="A467" s="36"/>
      <c r="B467" s="31"/>
      <c r="C467" s="31"/>
      <c r="D467" s="32"/>
      <c r="H467" s="32"/>
      <c r="J467" s="32"/>
      <c r="K467" s="41"/>
      <c r="L467" s="32"/>
      <c r="N467" s="32"/>
      <c r="O467" s="41"/>
      <c r="P467" s="32"/>
      <c r="R467" s="32"/>
      <c r="S467" s="41"/>
    </row>
    <row r="468" spans="1:19" s="30" customFormat="1" x14ac:dyDescent="0.25">
      <c r="A468" s="36"/>
      <c r="B468" s="31"/>
      <c r="C468" s="31"/>
      <c r="D468" s="32"/>
      <c r="H468" s="32"/>
      <c r="J468" s="32"/>
      <c r="K468" s="41"/>
      <c r="L468" s="32"/>
      <c r="N468" s="32"/>
      <c r="O468" s="41"/>
      <c r="P468" s="32"/>
      <c r="R468" s="32"/>
      <c r="S468" s="41"/>
    </row>
    <row r="469" spans="1:19" s="30" customFormat="1" x14ac:dyDescent="0.25">
      <c r="A469" s="36"/>
      <c r="B469" s="31"/>
      <c r="C469" s="31"/>
      <c r="D469" s="32"/>
      <c r="H469" s="32"/>
      <c r="J469" s="32"/>
      <c r="K469" s="41"/>
      <c r="L469" s="32"/>
      <c r="N469" s="32"/>
      <c r="O469" s="41"/>
      <c r="P469" s="32"/>
      <c r="R469" s="32"/>
      <c r="S469" s="41"/>
    </row>
    <row r="470" spans="1:19" s="30" customFormat="1" x14ac:dyDescent="0.25">
      <c r="A470" s="36"/>
      <c r="B470" s="31"/>
      <c r="C470" s="31"/>
      <c r="D470" s="32"/>
      <c r="H470" s="32"/>
      <c r="J470" s="32"/>
      <c r="K470" s="41"/>
      <c r="L470" s="32"/>
      <c r="N470" s="32"/>
      <c r="O470" s="41"/>
      <c r="P470" s="32"/>
      <c r="R470" s="32"/>
      <c r="S470" s="41"/>
    </row>
    <row r="471" spans="1:19" s="30" customFormat="1" x14ac:dyDescent="0.25">
      <c r="A471" s="36"/>
      <c r="B471" s="31"/>
      <c r="C471" s="31"/>
      <c r="D471" s="32"/>
      <c r="H471" s="32"/>
      <c r="J471" s="32"/>
      <c r="K471" s="41"/>
      <c r="L471" s="32"/>
      <c r="N471" s="32"/>
      <c r="O471" s="41"/>
      <c r="P471" s="32"/>
      <c r="R471" s="32"/>
      <c r="S471" s="41"/>
    </row>
    <row r="472" spans="1:19" s="30" customFormat="1" x14ac:dyDescent="0.25">
      <c r="A472" s="36"/>
      <c r="B472" s="31"/>
      <c r="C472" s="31"/>
      <c r="D472" s="32"/>
      <c r="H472" s="32"/>
      <c r="J472" s="32"/>
      <c r="K472" s="41"/>
      <c r="L472" s="32"/>
      <c r="N472" s="32"/>
      <c r="O472" s="41"/>
      <c r="P472" s="32"/>
      <c r="R472" s="32"/>
      <c r="S472" s="41"/>
    </row>
    <row r="473" spans="1:19" s="30" customFormat="1" x14ac:dyDescent="0.25">
      <c r="A473" s="36"/>
      <c r="B473" s="31"/>
      <c r="C473" s="31"/>
      <c r="D473" s="32"/>
      <c r="H473" s="32"/>
      <c r="J473" s="32"/>
      <c r="K473" s="41"/>
      <c r="L473" s="32"/>
      <c r="N473" s="32"/>
      <c r="O473" s="41"/>
      <c r="P473" s="32"/>
      <c r="R473" s="32"/>
      <c r="S473" s="41"/>
    </row>
    <row r="474" spans="1:19" s="30" customFormat="1" x14ac:dyDescent="0.25">
      <c r="A474" s="36"/>
      <c r="B474" s="31"/>
      <c r="C474" s="31"/>
      <c r="D474" s="32"/>
      <c r="H474" s="32"/>
      <c r="J474" s="32"/>
      <c r="K474" s="41"/>
      <c r="L474" s="32"/>
      <c r="N474" s="32"/>
      <c r="O474" s="41"/>
      <c r="P474" s="32"/>
      <c r="R474" s="32"/>
      <c r="S474" s="41"/>
    </row>
    <row r="475" spans="1:19" s="30" customFormat="1" x14ac:dyDescent="0.25">
      <c r="A475" s="36"/>
      <c r="B475" s="31"/>
      <c r="C475" s="31"/>
      <c r="D475" s="32"/>
      <c r="H475" s="32"/>
      <c r="J475" s="32"/>
      <c r="K475" s="41"/>
      <c r="L475" s="32"/>
      <c r="N475" s="32"/>
      <c r="O475" s="41"/>
      <c r="P475" s="32"/>
      <c r="R475" s="32"/>
      <c r="S475" s="41"/>
    </row>
    <row r="476" spans="1:19" s="30" customFormat="1" x14ac:dyDescent="0.25">
      <c r="A476" s="36"/>
      <c r="B476" s="31"/>
      <c r="C476" s="31"/>
      <c r="D476" s="32"/>
      <c r="H476" s="32"/>
      <c r="J476" s="32"/>
      <c r="K476" s="41"/>
      <c r="L476" s="32"/>
      <c r="N476" s="32"/>
      <c r="O476" s="41"/>
      <c r="P476" s="32"/>
      <c r="R476" s="32"/>
      <c r="S476" s="41"/>
    </row>
    <row r="477" spans="1:19" s="30" customFormat="1" x14ac:dyDescent="0.25">
      <c r="A477" s="36"/>
      <c r="B477" s="31"/>
      <c r="C477" s="31"/>
      <c r="D477" s="32"/>
      <c r="H477" s="32"/>
      <c r="J477" s="32"/>
      <c r="K477" s="41"/>
      <c r="L477" s="32"/>
      <c r="N477" s="32"/>
      <c r="O477" s="41"/>
      <c r="P477" s="32"/>
      <c r="R477" s="32"/>
      <c r="S477" s="41"/>
    </row>
    <row r="478" spans="1:19" s="30" customFormat="1" x14ac:dyDescent="0.25">
      <c r="A478" s="36"/>
      <c r="B478" s="31"/>
      <c r="C478" s="31"/>
      <c r="D478" s="32"/>
      <c r="H478" s="32"/>
      <c r="J478" s="32"/>
      <c r="K478" s="41"/>
      <c r="L478" s="32"/>
      <c r="N478" s="32"/>
      <c r="O478" s="41"/>
      <c r="P478" s="32"/>
      <c r="R478" s="32"/>
      <c r="S478" s="41"/>
    </row>
    <row r="479" spans="1:19" s="30" customFormat="1" x14ac:dyDescent="0.25">
      <c r="A479" s="36"/>
      <c r="B479" s="31"/>
      <c r="C479" s="31"/>
      <c r="D479" s="32"/>
      <c r="H479" s="32"/>
      <c r="J479" s="32"/>
      <c r="K479" s="41"/>
      <c r="L479" s="32"/>
      <c r="N479" s="32"/>
      <c r="O479" s="41"/>
      <c r="P479" s="32"/>
      <c r="R479" s="32"/>
      <c r="S479" s="41"/>
    </row>
    <row r="480" spans="1:19" s="30" customFormat="1" x14ac:dyDescent="0.25">
      <c r="A480" s="36"/>
      <c r="B480" s="31"/>
      <c r="C480" s="31"/>
      <c r="D480" s="32"/>
      <c r="H480" s="32"/>
      <c r="J480" s="32"/>
      <c r="K480" s="41"/>
      <c r="L480" s="32"/>
      <c r="N480" s="32"/>
      <c r="O480" s="41"/>
      <c r="P480" s="32"/>
      <c r="R480" s="32"/>
      <c r="S480" s="41"/>
    </row>
    <row r="481" spans="1:19" s="30" customFormat="1" x14ac:dyDescent="0.25">
      <c r="A481" s="36"/>
      <c r="B481" s="31"/>
      <c r="C481" s="31"/>
      <c r="D481" s="32"/>
      <c r="H481" s="32"/>
      <c r="J481" s="32"/>
      <c r="K481" s="41"/>
      <c r="L481" s="32"/>
      <c r="N481" s="32"/>
      <c r="O481" s="41"/>
      <c r="P481" s="32"/>
      <c r="R481" s="32"/>
      <c r="S481" s="41"/>
    </row>
    <row r="482" spans="1:19" s="30" customFormat="1" x14ac:dyDescent="0.25">
      <c r="A482" s="36"/>
      <c r="B482" s="31"/>
      <c r="C482" s="31"/>
      <c r="D482" s="32"/>
      <c r="H482" s="32"/>
      <c r="J482" s="32"/>
      <c r="K482" s="41"/>
      <c r="L482" s="32"/>
      <c r="N482" s="32"/>
      <c r="O482" s="41"/>
      <c r="P482" s="32"/>
      <c r="R482" s="32"/>
      <c r="S482" s="41"/>
    </row>
    <row r="483" spans="1:19" s="30" customFormat="1" x14ac:dyDescent="0.25">
      <c r="A483" s="36"/>
      <c r="B483" s="31"/>
      <c r="C483" s="31"/>
      <c r="D483" s="32"/>
      <c r="H483" s="32"/>
      <c r="J483" s="32"/>
      <c r="K483" s="41"/>
      <c r="L483" s="32"/>
      <c r="N483" s="32"/>
      <c r="O483" s="41"/>
      <c r="P483" s="32"/>
      <c r="R483" s="32"/>
      <c r="S483" s="41"/>
    </row>
    <row r="484" spans="1:19" s="30" customFormat="1" x14ac:dyDescent="0.25">
      <c r="A484" s="36"/>
      <c r="B484" s="31"/>
      <c r="C484" s="31"/>
      <c r="D484" s="32"/>
      <c r="H484" s="32"/>
      <c r="J484" s="32"/>
      <c r="K484" s="41"/>
      <c r="L484" s="32"/>
      <c r="N484" s="32"/>
      <c r="O484" s="41"/>
      <c r="P484" s="32"/>
      <c r="R484" s="32"/>
      <c r="S484" s="41"/>
    </row>
    <row r="485" spans="1:19" s="30" customFormat="1" x14ac:dyDescent="0.25">
      <c r="A485" s="36"/>
      <c r="B485" s="31"/>
      <c r="C485" s="31"/>
      <c r="D485" s="32"/>
      <c r="H485" s="32"/>
      <c r="J485" s="32"/>
      <c r="K485" s="41"/>
      <c r="L485" s="32"/>
      <c r="N485" s="32"/>
      <c r="O485" s="41"/>
      <c r="P485" s="32"/>
      <c r="R485" s="32"/>
      <c r="S485" s="41"/>
    </row>
    <row r="486" spans="1:19" s="30" customFormat="1" x14ac:dyDescent="0.25">
      <c r="A486" s="36"/>
      <c r="B486" s="31"/>
      <c r="C486" s="31"/>
      <c r="D486" s="32"/>
      <c r="H486" s="32"/>
      <c r="J486" s="32"/>
      <c r="K486" s="41"/>
      <c r="L486" s="32"/>
      <c r="N486" s="32"/>
      <c r="O486" s="41"/>
      <c r="P486" s="32"/>
      <c r="R486" s="32"/>
      <c r="S486" s="41"/>
    </row>
    <row r="487" spans="1:19" s="30" customFormat="1" x14ac:dyDescent="0.25">
      <c r="A487" s="36"/>
      <c r="B487" s="31"/>
      <c r="C487" s="31"/>
      <c r="D487" s="32"/>
      <c r="H487" s="32"/>
      <c r="J487" s="32"/>
      <c r="K487" s="41"/>
      <c r="L487" s="32"/>
      <c r="N487" s="32"/>
      <c r="O487" s="41"/>
      <c r="P487" s="32"/>
      <c r="R487" s="32"/>
      <c r="S487" s="41"/>
    </row>
    <row r="488" spans="1:19" s="30" customFormat="1" x14ac:dyDescent="0.25">
      <c r="A488" s="36"/>
      <c r="B488" s="31"/>
      <c r="C488" s="31"/>
      <c r="D488" s="32"/>
      <c r="H488" s="32"/>
      <c r="J488" s="32"/>
      <c r="K488" s="41"/>
      <c r="L488" s="32"/>
      <c r="N488" s="32"/>
      <c r="O488" s="41"/>
      <c r="P488" s="32"/>
      <c r="R488" s="32"/>
      <c r="S488" s="41"/>
    </row>
    <row r="489" spans="1:19" s="30" customFormat="1" x14ac:dyDescent="0.25">
      <c r="A489" s="36"/>
      <c r="B489" s="31"/>
      <c r="C489" s="31"/>
      <c r="D489" s="32"/>
      <c r="H489" s="32"/>
      <c r="J489" s="32"/>
      <c r="K489" s="41"/>
      <c r="L489" s="32"/>
      <c r="N489" s="32"/>
      <c r="O489" s="41"/>
      <c r="P489" s="32"/>
      <c r="R489" s="32"/>
      <c r="S489" s="41"/>
    </row>
    <row r="490" spans="1:19" s="30" customFormat="1" x14ac:dyDescent="0.25">
      <c r="A490" s="36"/>
      <c r="B490" s="31"/>
      <c r="C490" s="31"/>
      <c r="D490" s="32"/>
      <c r="H490" s="32"/>
      <c r="J490" s="32"/>
      <c r="K490" s="41"/>
      <c r="L490" s="32"/>
      <c r="N490" s="32"/>
      <c r="O490" s="41"/>
      <c r="P490" s="32"/>
      <c r="R490" s="32"/>
      <c r="S490" s="41"/>
    </row>
    <row r="491" spans="1:19" s="30" customFormat="1" x14ac:dyDescent="0.25">
      <c r="A491" s="36"/>
      <c r="B491" s="31"/>
      <c r="C491" s="31"/>
      <c r="D491" s="32"/>
      <c r="H491" s="32"/>
      <c r="J491" s="32"/>
      <c r="K491" s="41"/>
      <c r="L491" s="32"/>
      <c r="N491" s="32"/>
      <c r="O491" s="41"/>
      <c r="P491" s="32"/>
      <c r="R491" s="32"/>
      <c r="S491" s="41"/>
    </row>
    <row r="492" spans="1:19" s="30" customFormat="1" x14ac:dyDescent="0.25">
      <c r="A492" s="36"/>
      <c r="B492" s="31"/>
      <c r="C492" s="31"/>
      <c r="D492" s="32"/>
      <c r="H492" s="32"/>
      <c r="J492" s="32"/>
      <c r="K492" s="41"/>
      <c r="L492" s="32"/>
      <c r="N492" s="32"/>
      <c r="O492" s="41"/>
      <c r="P492" s="32"/>
      <c r="R492" s="32"/>
      <c r="S492" s="41"/>
    </row>
    <row r="493" spans="1:19" s="30" customFormat="1" x14ac:dyDescent="0.25">
      <c r="A493" s="36"/>
      <c r="B493" s="31"/>
      <c r="C493" s="31"/>
      <c r="D493" s="32"/>
      <c r="H493" s="32"/>
      <c r="J493" s="32"/>
      <c r="K493" s="41"/>
      <c r="L493" s="32"/>
      <c r="N493" s="32"/>
      <c r="O493" s="41"/>
      <c r="P493" s="32"/>
      <c r="R493" s="32"/>
      <c r="S493" s="41"/>
    </row>
    <row r="494" spans="1:19" s="30" customFormat="1" x14ac:dyDescent="0.25">
      <c r="A494" s="36"/>
      <c r="B494" s="31"/>
      <c r="C494" s="31"/>
      <c r="D494" s="32"/>
      <c r="H494" s="32"/>
      <c r="J494" s="32"/>
      <c r="K494" s="41"/>
      <c r="L494" s="32"/>
      <c r="N494" s="32"/>
      <c r="O494" s="41"/>
      <c r="P494" s="32"/>
      <c r="R494" s="32"/>
      <c r="S494" s="41"/>
    </row>
    <row r="495" spans="1:19" s="30" customFormat="1" x14ac:dyDescent="0.25">
      <c r="A495" s="36"/>
      <c r="B495" s="31"/>
      <c r="C495" s="31"/>
      <c r="D495" s="32"/>
      <c r="H495" s="32"/>
      <c r="J495" s="32"/>
      <c r="K495" s="41"/>
      <c r="L495" s="32"/>
      <c r="N495" s="32"/>
      <c r="O495" s="41"/>
      <c r="P495" s="32"/>
      <c r="R495" s="32"/>
      <c r="S495" s="41"/>
    </row>
    <row r="496" spans="1:19" s="30" customFormat="1" x14ac:dyDescent="0.25">
      <c r="A496" s="36"/>
      <c r="B496" s="31"/>
      <c r="C496" s="31"/>
      <c r="D496" s="32"/>
      <c r="H496" s="32"/>
      <c r="J496" s="32"/>
      <c r="K496" s="41"/>
      <c r="L496" s="32"/>
      <c r="N496" s="32"/>
      <c r="O496" s="41"/>
      <c r="P496" s="32"/>
      <c r="R496" s="32"/>
      <c r="S496" s="41"/>
    </row>
    <row r="497" spans="1:19" s="30" customFormat="1" x14ac:dyDescent="0.25">
      <c r="A497" s="36"/>
      <c r="B497" s="31"/>
      <c r="C497" s="31"/>
      <c r="D497" s="32"/>
      <c r="H497" s="32"/>
      <c r="J497" s="32"/>
      <c r="K497" s="41"/>
      <c r="L497" s="32"/>
      <c r="N497" s="32"/>
      <c r="O497" s="41"/>
      <c r="P497" s="32"/>
      <c r="R497" s="32"/>
      <c r="S497" s="41"/>
    </row>
    <row r="498" spans="1:19" s="30" customFormat="1" x14ac:dyDescent="0.25">
      <c r="A498" s="36"/>
      <c r="B498" s="31"/>
      <c r="C498" s="31"/>
      <c r="D498" s="32"/>
      <c r="H498" s="32"/>
      <c r="J498" s="32"/>
      <c r="K498" s="41"/>
      <c r="L498" s="32"/>
      <c r="N498" s="32"/>
      <c r="O498" s="41"/>
      <c r="P498" s="32"/>
      <c r="R498" s="32"/>
      <c r="S498" s="41"/>
    </row>
    <row r="499" spans="1:19" s="30" customFormat="1" x14ac:dyDescent="0.25">
      <c r="A499" s="36"/>
      <c r="B499" s="31"/>
      <c r="C499" s="31"/>
      <c r="D499" s="32"/>
      <c r="H499" s="32"/>
      <c r="J499" s="32"/>
      <c r="K499" s="41"/>
      <c r="L499" s="32"/>
      <c r="N499" s="32"/>
      <c r="O499" s="41"/>
      <c r="P499" s="32"/>
      <c r="R499" s="32"/>
      <c r="S499" s="41"/>
    </row>
    <row r="500" spans="1:19" s="30" customFormat="1" x14ac:dyDescent="0.25">
      <c r="A500" s="36"/>
      <c r="B500" s="31"/>
      <c r="C500" s="31"/>
      <c r="D500" s="32"/>
      <c r="H500" s="32"/>
      <c r="J500" s="32"/>
      <c r="K500" s="41"/>
      <c r="L500" s="32"/>
      <c r="N500" s="32"/>
      <c r="O500" s="41"/>
      <c r="P500" s="32"/>
      <c r="R500" s="32"/>
      <c r="S500" s="41"/>
    </row>
    <row r="501" spans="1:19" s="30" customFormat="1" x14ac:dyDescent="0.25">
      <c r="A501" s="36"/>
      <c r="B501" s="31"/>
      <c r="C501" s="31"/>
      <c r="D501" s="32"/>
      <c r="H501" s="32"/>
      <c r="J501" s="32"/>
      <c r="K501" s="41"/>
      <c r="L501" s="32"/>
      <c r="N501" s="32"/>
      <c r="O501" s="41"/>
      <c r="P501" s="32"/>
      <c r="R501" s="32"/>
      <c r="S501" s="41"/>
    </row>
    <row r="502" spans="1:19" s="30" customFormat="1" x14ac:dyDescent="0.25">
      <c r="A502" s="36"/>
      <c r="B502" s="31"/>
      <c r="C502" s="31"/>
      <c r="D502" s="32"/>
      <c r="H502" s="32"/>
      <c r="J502" s="32"/>
      <c r="K502" s="41"/>
      <c r="L502" s="32"/>
      <c r="N502" s="32"/>
      <c r="O502" s="41"/>
      <c r="P502" s="32"/>
      <c r="R502" s="32"/>
      <c r="S502" s="41"/>
    </row>
    <row r="503" spans="1:19" s="30" customFormat="1" x14ac:dyDescent="0.25">
      <c r="A503" s="36"/>
      <c r="B503" s="31"/>
      <c r="C503" s="31"/>
      <c r="D503" s="32"/>
      <c r="H503" s="32"/>
      <c r="J503" s="32"/>
      <c r="K503" s="41"/>
      <c r="L503" s="32"/>
      <c r="N503" s="32"/>
      <c r="O503" s="41"/>
      <c r="P503" s="32"/>
      <c r="R503" s="32"/>
      <c r="S503" s="41"/>
    </row>
    <row r="504" spans="1:19" s="30" customFormat="1" x14ac:dyDescent="0.25">
      <c r="A504" s="36"/>
      <c r="B504" s="31"/>
      <c r="C504" s="31"/>
      <c r="D504" s="32"/>
      <c r="H504" s="32"/>
      <c r="J504" s="32"/>
      <c r="K504" s="41"/>
      <c r="L504" s="32"/>
      <c r="N504" s="32"/>
      <c r="O504" s="41"/>
      <c r="P504" s="32"/>
      <c r="R504" s="32"/>
      <c r="S504" s="41"/>
    </row>
    <row r="505" spans="1:19" s="30" customFormat="1" x14ac:dyDescent="0.25">
      <c r="A505" s="36"/>
      <c r="B505" s="31"/>
      <c r="C505" s="31"/>
      <c r="D505" s="32"/>
      <c r="H505" s="32"/>
      <c r="J505" s="32"/>
      <c r="K505" s="41"/>
      <c r="L505" s="32"/>
      <c r="N505" s="32"/>
      <c r="O505" s="41"/>
      <c r="P505" s="32"/>
      <c r="R505" s="32"/>
      <c r="S505" s="41"/>
    </row>
    <row r="506" spans="1:19" s="30" customFormat="1" x14ac:dyDescent="0.25">
      <c r="A506" s="36"/>
      <c r="B506" s="31"/>
      <c r="C506" s="31"/>
      <c r="D506" s="32"/>
      <c r="H506" s="32"/>
      <c r="J506" s="32"/>
      <c r="K506" s="41"/>
      <c r="L506" s="32"/>
      <c r="N506" s="32"/>
      <c r="O506" s="41"/>
      <c r="P506" s="32"/>
      <c r="R506" s="32"/>
      <c r="S506" s="41"/>
    </row>
    <row r="507" spans="1:19" s="30" customFormat="1" x14ac:dyDescent="0.25">
      <c r="A507" s="36"/>
      <c r="B507" s="31"/>
      <c r="C507" s="31"/>
      <c r="D507" s="32"/>
      <c r="H507" s="32"/>
      <c r="J507" s="32"/>
      <c r="K507" s="41"/>
      <c r="L507" s="32"/>
      <c r="N507" s="32"/>
      <c r="O507" s="41"/>
      <c r="P507" s="32"/>
      <c r="R507" s="32"/>
      <c r="S507" s="41"/>
    </row>
    <row r="508" spans="1:19" s="30" customFormat="1" x14ac:dyDescent="0.25">
      <c r="A508" s="36"/>
      <c r="B508" s="31"/>
      <c r="C508" s="31"/>
      <c r="D508" s="32"/>
      <c r="H508" s="32"/>
      <c r="J508" s="32"/>
      <c r="K508" s="41"/>
      <c r="L508" s="32"/>
      <c r="N508" s="32"/>
      <c r="O508" s="41"/>
      <c r="P508" s="32"/>
      <c r="R508" s="32"/>
      <c r="S508" s="41"/>
    </row>
    <row r="509" spans="1:19" s="30" customFormat="1" x14ac:dyDescent="0.25">
      <c r="A509" s="36"/>
      <c r="B509" s="31"/>
      <c r="C509" s="31"/>
      <c r="D509" s="32"/>
      <c r="H509" s="32"/>
      <c r="J509" s="32"/>
      <c r="K509" s="41"/>
      <c r="L509" s="32"/>
      <c r="N509" s="32"/>
      <c r="O509" s="41"/>
      <c r="P509" s="32"/>
      <c r="R509" s="32"/>
      <c r="S509" s="41"/>
    </row>
    <row r="510" spans="1:19" s="30" customFormat="1" x14ac:dyDescent="0.25">
      <c r="A510" s="36"/>
      <c r="B510" s="31"/>
      <c r="C510" s="31"/>
      <c r="D510" s="32"/>
      <c r="H510" s="32"/>
      <c r="J510" s="32"/>
      <c r="K510" s="41"/>
      <c r="L510" s="32"/>
      <c r="N510" s="32"/>
      <c r="O510" s="41"/>
      <c r="P510" s="32"/>
      <c r="R510" s="32"/>
      <c r="S510" s="41"/>
    </row>
    <row r="511" spans="1:19" s="30" customFormat="1" x14ac:dyDescent="0.25">
      <c r="A511" s="36"/>
      <c r="B511" s="31"/>
      <c r="C511" s="31"/>
      <c r="D511" s="32"/>
      <c r="H511" s="32"/>
      <c r="J511" s="32"/>
      <c r="K511" s="41"/>
      <c r="L511" s="32"/>
      <c r="N511" s="32"/>
      <c r="O511" s="41"/>
      <c r="P511" s="32"/>
      <c r="R511" s="32"/>
      <c r="S511" s="41"/>
    </row>
    <row r="512" spans="1:19" s="30" customFormat="1" x14ac:dyDescent="0.25">
      <c r="A512" s="36"/>
      <c r="B512" s="31"/>
      <c r="C512" s="31"/>
      <c r="D512" s="32"/>
      <c r="H512" s="32"/>
      <c r="J512" s="32"/>
      <c r="K512" s="41"/>
      <c r="L512" s="32"/>
      <c r="N512" s="32"/>
      <c r="O512" s="41"/>
      <c r="P512" s="32"/>
      <c r="R512" s="32"/>
      <c r="S512" s="41"/>
    </row>
    <row r="513" spans="1:19" s="30" customFormat="1" x14ac:dyDescent="0.25">
      <c r="A513" s="36"/>
      <c r="B513" s="31"/>
      <c r="C513" s="31"/>
      <c r="D513" s="32"/>
      <c r="H513" s="32"/>
      <c r="J513" s="32"/>
      <c r="K513" s="41"/>
      <c r="L513" s="32"/>
      <c r="N513" s="32"/>
      <c r="O513" s="41"/>
      <c r="P513" s="32"/>
      <c r="R513" s="32"/>
      <c r="S513" s="41"/>
    </row>
    <row r="514" spans="1:19" s="30" customFormat="1" x14ac:dyDescent="0.25">
      <c r="A514" s="36"/>
      <c r="B514" s="31"/>
      <c r="C514" s="31"/>
      <c r="D514" s="32"/>
      <c r="H514" s="32"/>
      <c r="J514" s="32"/>
      <c r="K514" s="41"/>
      <c r="L514" s="32"/>
      <c r="N514" s="32"/>
      <c r="O514" s="41"/>
      <c r="P514" s="32"/>
      <c r="R514" s="32"/>
      <c r="S514" s="41"/>
    </row>
    <row r="515" spans="1:19" s="30" customFormat="1" x14ac:dyDescent="0.25">
      <c r="A515" s="36"/>
      <c r="B515" s="31"/>
      <c r="C515" s="31"/>
      <c r="D515" s="32"/>
      <c r="H515" s="32"/>
      <c r="J515" s="32"/>
      <c r="K515" s="41"/>
      <c r="L515" s="32"/>
      <c r="N515" s="32"/>
      <c r="O515" s="41"/>
      <c r="P515" s="32"/>
      <c r="R515" s="32"/>
      <c r="S515" s="41"/>
    </row>
    <row r="516" spans="1:19" s="30" customFormat="1" x14ac:dyDescent="0.25">
      <c r="A516" s="36"/>
      <c r="B516" s="31"/>
      <c r="C516" s="31"/>
      <c r="D516" s="32"/>
      <c r="H516" s="32"/>
      <c r="J516" s="32"/>
      <c r="K516" s="41"/>
      <c r="L516" s="32"/>
      <c r="N516" s="32"/>
      <c r="O516" s="41"/>
      <c r="P516" s="32"/>
      <c r="R516" s="32"/>
      <c r="S516" s="41"/>
    </row>
    <row r="517" spans="1:19" s="30" customFormat="1" x14ac:dyDescent="0.25">
      <c r="A517" s="36"/>
      <c r="B517" s="31"/>
      <c r="C517" s="31"/>
      <c r="D517" s="32"/>
      <c r="H517" s="32"/>
      <c r="J517" s="32"/>
      <c r="K517" s="41"/>
      <c r="L517" s="32"/>
      <c r="N517" s="32"/>
      <c r="O517" s="41"/>
      <c r="P517" s="32"/>
      <c r="R517" s="32"/>
      <c r="S517" s="41"/>
    </row>
    <row r="518" spans="1:19" s="30" customFormat="1" x14ac:dyDescent="0.25">
      <c r="A518" s="36"/>
      <c r="B518" s="31"/>
      <c r="C518" s="31"/>
      <c r="D518" s="32"/>
      <c r="H518" s="32"/>
      <c r="J518" s="32"/>
      <c r="K518" s="41"/>
      <c r="L518" s="32"/>
      <c r="N518" s="32"/>
      <c r="O518" s="41"/>
      <c r="P518" s="32"/>
      <c r="R518" s="32"/>
      <c r="S518" s="41"/>
    </row>
    <row r="519" spans="1:19" s="30" customFormat="1" x14ac:dyDescent="0.25">
      <c r="A519" s="36"/>
      <c r="B519" s="31"/>
      <c r="C519" s="31"/>
      <c r="D519" s="32"/>
      <c r="H519" s="32"/>
      <c r="J519" s="32"/>
      <c r="K519" s="41"/>
      <c r="L519" s="32"/>
      <c r="N519" s="32"/>
      <c r="O519" s="41"/>
      <c r="P519" s="32"/>
      <c r="R519" s="32"/>
      <c r="S519" s="41"/>
    </row>
    <row r="520" spans="1:19" s="30" customFormat="1" x14ac:dyDescent="0.25">
      <c r="A520" s="36"/>
      <c r="B520" s="31"/>
      <c r="C520" s="31"/>
      <c r="D520" s="32"/>
      <c r="H520" s="32"/>
      <c r="J520" s="32"/>
      <c r="K520" s="41"/>
      <c r="L520" s="32"/>
      <c r="N520" s="32"/>
      <c r="O520" s="41"/>
      <c r="P520" s="32"/>
      <c r="R520" s="32"/>
      <c r="S520" s="41"/>
    </row>
    <row r="521" spans="1:19" s="30" customFormat="1" x14ac:dyDescent="0.25">
      <c r="A521" s="36"/>
      <c r="B521" s="31"/>
      <c r="C521" s="31"/>
      <c r="D521" s="32"/>
      <c r="H521" s="32"/>
      <c r="J521" s="32"/>
      <c r="K521" s="41"/>
      <c r="L521" s="32"/>
      <c r="N521" s="32"/>
      <c r="O521" s="41"/>
      <c r="P521" s="32"/>
      <c r="R521" s="32"/>
      <c r="S521" s="41"/>
    </row>
    <row r="522" spans="1:19" s="30" customFormat="1" x14ac:dyDescent="0.25">
      <c r="A522" s="36"/>
      <c r="B522" s="31"/>
      <c r="C522" s="31"/>
      <c r="D522" s="32"/>
      <c r="H522" s="32"/>
      <c r="J522" s="32"/>
      <c r="K522" s="41"/>
      <c r="L522" s="32"/>
      <c r="N522" s="32"/>
      <c r="O522" s="41"/>
      <c r="P522" s="32"/>
      <c r="R522" s="32"/>
      <c r="S522" s="41"/>
    </row>
    <row r="523" spans="1:19" s="30" customFormat="1" x14ac:dyDescent="0.25">
      <c r="A523" s="36"/>
      <c r="B523" s="31"/>
      <c r="C523" s="31"/>
      <c r="D523" s="32"/>
      <c r="H523" s="32"/>
      <c r="J523" s="32"/>
      <c r="K523" s="41"/>
      <c r="L523" s="32"/>
      <c r="N523" s="32"/>
      <c r="O523" s="41"/>
      <c r="P523" s="32"/>
      <c r="R523" s="32"/>
      <c r="S523" s="41"/>
    </row>
    <row r="524" spans="1:19" s="30" customFormat="1" x14ac:dyDescent="0.25">
      <c r="A524" s="36"/>
      <c r="B524" s="31"/>
      <c r="C524" s="31"/>
      <c r="D524" s="32"/>
      <c r="H524" s="32"/>
      <c r="J524" s="32"/>
      <c r="K524" s="41"/>
      <c r="L524" s="32"/>
      <c r="N524" s="32"/>
      <c r="O524" s="41"/>
      <c r="P524" s="32"/>
      <c r="R524" s="32"/>
      <c r="S524" s="41"/>
    </row>
    <row r="525" spans="1:19" s="30" customFormat="1" x14ac:dyDescent="0.25">
      <c r="A525" s="36"/>
      <c r="B525" s="31"/>
      <c r="C525" s="31"/>
      <c r="D525" s="32"/>
      <c r="H525" s="32"/>
      <c r="J525" s="32"/>
      <c r="K525" s="41"/>
      <c r="L525" s="32"/>
      <c r="N525" s="32"/>
      <c r="O525" s="41"/>
      <c r="P525" s="32"/>
      <c r="R525" s="32"/>
      <c r="S525" s="41"/>
    </row>
    <row r="526" spans="1:19" s="30" customFormat="1" x14ac:dyDescent="0.25">
      <c r="A526" s="36"/>
      <c r="B526" s="31"/>
      <c r="C526" s="31"/>
      <c r="D526" s="32"/>
      <c r="H526" s="32"/>
      <c r="J526" s="32"/>
      <c r="K526" s="41"/>
      <c r="L526" s="32"/>
      <c r="N526" s="32"/>
      <c r="O526" s="41"/>
      <c r="P526" s="32"/>
      <c r="R526" s="32"/>
      <c r="S526" s="41"/>
    </row>
    <row r="527" spans="1:19" s="30" customFormat="1" x14ac:dyDescent="0.25">
      <c r="A527" s="36"/>
      <c r="B527" s="31"/>
      <c r="C527" s="31"/>
      <c r="D527" s="32"/>
      <c r="H527" s="32"/>
      <c r="J527" s="32"/>
      <c r="K527" s="41"/>
      <c r="L527" s="32"/>
      <c r="N527" s="32"/>
      <c r="O527" s="41"/>
      <c r="P527" s="32"/>
      <c r="R527" s="32"/>
      <c r="S527" s="41"/>
    </row>
    <row r="528" spans="1:19" s="30" customFormat="1" x14ac:dyDescent="0.25">
      <c r="A528" s="36"/>
      <c r="B528" s="31"/>
      <c r="C528" s="31"/>
      <c r="D528" s="32"/>
      <c r="H528" s="32"/>
      <c r="J528" s="32"/>
      <c r="K528" s="41"/>
      <c r="L528" s="32"/>
      <c r="N528" s="32"/>
      <c r="O528" s="41"/>
      <c r="P528" s="32"/>
      <c r="R528" s="32"/>
      <c r="S528" s="41"/>
    </row>
    <row r="529" spans="1:19" s="30" customFormat="1" x14ac:dyDescent="0.25">
      <c r="A529" s="36"/>
      <c r="B529" s="31"/>
      <c r="C529" s="31"/>
      <c r="D529" s="32"/>
      <c r="H529" s="32"/>
      <c r="J529" s="32"/>
      <c r="K529" s="41"/>
      <c r="L529" s="32"/>
      <c r="N529" s="32"/>
      <c r="O529" s="41"/>
      <c r="P529" s="32"/>
      <c r="R529" s="32"/>
      <c r="S529" s="41"/>
    </row>
    <row r="530" spans="1:19" s="30" customFormat="1" x14ac:dyDescent="0.25">
      <c r="A530" s="36"/>
      <c r="B530" s="31"/>
      <c r="C530" s="31"/>
      <c r="D530" s="32"/>
      <c r="H530" s="32"/>
      <c r="J530" s="32"/>
      <c r="K530" s="41"/>
      <c r="L530" s="32"/>
      <c r="N530" s="32"/>
      <c r="O530" s="41"/>
      <c r="P530" s="32"/>
      <c r="R530" s="32"/>
      <c r="S530" s="41"/>
    </row>
    <row r="531" spans="1:19" s="30" customFormat="1" x14ac:dyDescent="0.25">
      <c r="A531" s="36"/>
      <c r="B531" s="31"/>
      <c r="C531" s="31"/>
      <c r="D531" s="32"/>
      <c r="H531" s="32"/>
      <c r="J531" s="32"/>
      <c r="K531" s="41"/>
      <c r="L531" s="32"/>
      <c r="N531" s="32"/>
      <c r="O531" s="41"/>
      <c r="P531" s="32"/>
      <c r="R531" s="32"/>
      <c r="S531" s="41"/>
    </row>
    <row r="532" spans="1:19" s="30" customFormat="1" x14ac:dyDescent="0.25">
      <c r="A532" s="36"/>
      <c r="B532" s="31"/>
      <c r="C532" s="31"/>
      <c r="D532" s="32"/>
      <c r="H532" s="32"/>
      <c r="J532" s="32"/>
      <c r="K532" s="41"/>
      <c r="L532" s="32"/>
      <c r="N532" s="32"/>
      <c r="O532" s="41"/>
      <c r="P532" s="32"/>
      <c r="R532" s="32"/>
      <c r="S532" s="41"/>
    </row>
    <row r="533" spans="1:19" s="30" customFormat="1" x14ac:dyDescent="0.25">
      <c r="A533" s="36"/>
      <c r="B533" s="31"/>
      <c r="C533" s="31"/>
      <c r="D533" s="32"/>
      <c r="H533" s="32"/>
      <c r="J533" s="32"/>
      <c r="K533" s="41"/>
      <c r="L533" s="32"/>
      <c r="N533" s="32"/>
      <c r="O533" s="41"/>
      <c r="P533" s="32"/>
      <c r="R533" s="32"/>
      <c r="S533" s="41"/>
    </row>
    <row r="534" spans="1:19" s="30" customFormat="1" x14ac:dyDescent="0.25">
      <c r="A534" s="36"/>
      <c r="B534" s="31"/>
      <c r="C534" s="31"/>
      <c r="D534" s="32"/>
      <c r="H534" s="32"/>
      <c r="J534" s="32"/>
      <c r="K534" s="41"/>
      <c r="L534" s="32"/>
      <c r="N534" s="32"/>
      <c r="O534" s="41"/>
      <c r="P534" s="32"/>
      <c r="R534" s="32"/>
      <c r="S534" s="41"/>
    </row>
    <row r="535" spans="1:19" s="30" customFormat="1" x14ac:dyDescent="0.25">
      <c r="A535" s="36"/>
      <c r="B535" s="31"/>
      <c r="C535" s="31"/>
      <c r="D535" s="32"/>
      <c r="H535" s="32"/>
      <c r="J535" s="32"/>
      <c r="K535" s="41"/>
      <c r="L535" s="32"/>
      <c r="N535" s="32"/>
      <c r="O535" s="41"/>
      <c r="P535" s="32"/>
      <c r="R535" s="32"/>
      <c r="S535" s="41"/>
    </row>
    <row r="536" spans="1:19" s="30" customFormat="1" x14ac:dyDescent="0.25">
      <c r="A536" s="36"/>
      <c r="B536" s="31"/>
      <c r="C536" s="31"/>
      <c r="D536" s="32"/>
      <c r="H536" s="32"/>
      <c r="J536" s="32"/>
      <c r="K536" s="41"/>
      <c r="L536" s="32"/>
      <c r="N536" s="32"/>
      <c r="O536" s="41"/>
      <c r="P536" s="32"/>
      <c r="R536" s="32"/>
      <c r="S536" s="41"/>
    </row>
    <row r="537" spans="1:19" s="30" customFormat="1" x14ac:dyDescent="0.25">
      <c r="A537" s="36"/>
      <c r="B537" s="31"/>
      <c r="C537" s="31"/>
      <c r="D537" s="32"/>
      <c r="H537" s="32"/>
      <c r="J537" s="32"/>
      <c r="K537" s="41"/>
      <c r="L537" s="32"/>
      <c r="N537" s="32"/>
      <c r="O537" s="41"/>
      <c r="P537" s="32"/>
      <c r="R537" s="32"/>
      <c r="S537" s="41"/>
    </row>
    <row r="538" spans="1:19" s="30" customFormat="1" x14ac:dyDescent="0.25">
      <c r="A538" s="36"/>
      <c r="B538" s="31"/>
      <c r="C538" s="31"/>
      <c r="D538" s="32"/>
      <c r="H538" s="32"/>
      <c r="J538" s="32"/>
      <c r="K538" s="41"/>
      <c r="L538" s="32"/>
      <c r="N538" s="32"/>
      <c r="O538" s="41"/>
      <c r="P538" s="32"/>
      <c r="R538" s="32"/>
      <c r="S538" s="41"/>
    </row>
    <row r="539" spans="1:19" s="30" customFormat="1" x14ac:dyDescent="0.25">
      <c r="A539" s="36"/>
      <c r="B539" s="31"/>
      <c r="C539" s="31"/>
      <c r="D539" s="32"/>
      <c r="H539" s="32"/>
      <c r="J539" s="32"/>
      <c r="K539" s="41"/>
      <c r="L539" s="32"/>
      <c r="N539" s="32"/>
      <c r="O539" s="41"/>
      <c r="P539" s="32"/>
      <c r="R539" s="32"/>
      <c r="S539" s="41"/>
    </row>
    <row r="540" spans="1:19" s="30" customFormat="1" x14ac:dyDescent="0.25">
      <c r="A540" s="36"/>
      <c r="B540" s="31"/>
      <c r="C540" s="31"/>
      <c r="D540" s="32"/>
      <c r="H540" s="32"/>
      <c r="J540" s="32"/>
      <c r="K540" s="41"/>
      <c r="L540" s="32"/>
      <c r="N540" s="32"/>
      <c r="O540" s="41"/>
      <c r="P540" s="32"/>
      <c r="R540" s="32"/>
      <c r="S540" s="41"/>
    </row>
    <row r="541" spans="1:19" s="30" customFormat="1" x14ac:dyDescent="0.25">
      <c r="A541" s="36"/>
      <c r="B541" s="31"/>
      <c r="C541" s="31"/>
      <c r="D541" s="32"/>
      <c r="H541" s="32"/>
      <c r="J541" s="32"/>
      <c r="K541" s="41"/>
      <c r="L541" s="32"/>
      <c r="N541" s="32"/>
      <c r="O541" s="41"/>
      <c r="P541" s="32"/>
      <c r="R541" s="32"/>
      <c r="S541" s="41"/>
    </row>
    <row r="542" spans="1:19" s="30" customFormat="1" x14ac:dyDescent="0.25">
      <c r="A542" s="36"/>
      <c r="B542" s="31"/>
      <c r="C542" s="31"/>
      <c r="D542" s="32"/>
      <c r="H542" s="32"/>
      <c r="J542" s="32"/>
      <c r="K542" s="41"/>
      <c r="L542" s="32"/>
      <c r="N542" s="32"/>
      <c r="O542" s="41"/>
      <c r="P542" s="32"/>
      <c r="R542" s="32"/>
      <c r="S542" s="41"/>
    </row>
    <row r="543" spans="1:19" s="30" customFormat="1" x14ac:dyDescent="0.25">
      <c r="A543" s="36"/>
      <c r="B543" s="31"/>
      <c r="C543" s="31"/>
      <c r="D543" s="32"/>
      <c r="H543" s="32"/>
      <c r="J543" s="32"/>
      <c r="K543" s="41"/>
      <c r="L543" s="32"/>
      <c r="N543" s="32"/>
      <c r="O543" s="41"/>
      <c r="P543" s="32"/>
      <c r="R543" s="32"/>
      <c r="S543" s="41"/>
    </row>
    <row r="544" spans="1:19" s="30" customFormat="1" x14ac:dyDescent="0.25">
      <c r="A544" s="36"/>
      <c r="B544" s="31"/>
      <c r="C544" s="31"/>
      <c r="D544" s="32"/>
      <c r="H544" s="32"/>
      <c r="J544" s="32"/>
      <c r="K544" s="41"/>
      <c r="L544" s="32"/>
      <c r="N544" s="32"/>
      <c r="O544" s="41"/>
      <c r="P544" s="32"/>
      <c r="R544" s="32"/>
      <c r="S544" s="41"/>
    </row>
    <row r="545" spans="1:19" s="30" customFormat="1" x14ac:dyDescent="0.25">
      <c r="A545" s="36"/>
      <c r="B545" s="31"/>
      <c r="C545" s="31"/>
      <c r="D545" s="32"/>
      <c r="H545" s="32"/>
      <c r="J545" s="32"/>
      <c r="K545" s="41"/>
      <c r="L545" s="32"/>
      <c r="N545" s="32"/>
      <c r="O545" s="41"/>
      <c r="P545" s="32"/>
      <c r="R545" s="32"/>
      <c r="S545" s="41"/>
    </row>
    <row r="546" spans="1:19" s="30" customFormat="1" x14ac:dyDescent="0.25">
      <c r="A546" s="36"/>
      <c r="B546" s="31"/>
      <c r="C546" s="31"/>
      <c r="D546" s="32"/>
      <c r="H546" s="32"/>
      <c r="J546" s="32"/>
      <c r="K546" s="41"/>
      <c r="L546" s="32"/>
      <c r="N546" s="32"/>
      <c r="O546" s="41"/>
      <c r="P546" s="32"/>
      <c r="R546" s="32"/>
      <c r="S546" s="41"/>
    </row>
    <row r="547" spans="1:19" s="30" customFormat="1" x14ac:dyDescent="0.25">
      <c r="A547" s="36"/>
      <c r="B547" s="31"/>
      <c r="C547" s="31"/>
      <c r="D547" s="32"/>
      <c r="H547" s="32"/>
      <c r="J547" s="32"/>
      <c r="K547" s="41"/>
      <c r="L547" s="32"/>
      <c r="N547" s="32"/>
      <c r="O547" s="41"/>
      <c r="P547" s="32"/>
      <c r="R547" s="32"/>
      <c r="S547" s="41"/>
    </row>
    <row r="548" spans="1:19" s="30" customFormat="1" x14ac:dyDescent="0.25">
      <c r="A548" s="36"/>
      <c r="B548" s="31"/>
      <c r="C548" s="31"/>
      <c r="D548" s="32"/>
      <c r="H548" s="32"/>
      <c r="J548" s="32"/>
      <c r="K548" s="41"/>
      <c r="L548" s="32"/>
      <c r="N548" s="32"/>
      <c r="O548" s="41"/>
      <c r="P548" s="32"/>
      <c r="R548" s="32"/>
      <c r="S548" s="41"/>
    </row>
    <row r="549" spans="1:19" s="30" customFormat="1" x14ac:dyDescent="0.25">
      <c r="A549" s="36"/>
      <c r="B549" s="31"/>
      <c r="C549" s="31"/>
      <c r="D549" s="32"/>
      <c r="H549" s="32"/>
      <c r="J549" s="32"/>
      <c r="K549" s="41"/>
      <c r="L549" s="32"/>
      <c r="N549" s="32"/>
      <c r="O549" s="41"/>
      <c r="P549" s="32"/>
      <c r="R549" s="32"/>
      <c r="S549" s="41"/>
    </row>
    <row r="550" spans="1:19" s="30" customFormat="1" x14ac:dyDescent="0.25">
      <c r="A550" s="36"/>
      <c r="B550" s="31"/>
      <c r="C550" s="31"/>
      <c r="D550" s="32"/>
      <c r="H550" s="32"/>
      <c r="J550" s="32"/>
      <c r="K550" s="41"/>
      <c r="L550" s="32"/>
      <c r="N550" s="32"/>
      <c r="O550" s="41"/>
      <c r="P550" s="32"/>
      <c r="R550" s="32"/>
      <c r="S550" s="41"/>
    </row>
    <row r="551" spans="1:19" s="30" customFormat="1" x14ac:dyDescent="0.25">
      <c r="A551" s="36"/>
      <c r="B551" s="31"/>
      <c r="C551" s="31"/>
      <c r="D551" s="32"/>
      <c r="H551" s="32"/>
      <c r="J551" s="32"/>
      <c r="K551" s="41"/>
      <c r="L551" s="32"/>
      <c r="N551" s="32"/>
      <c r="O551" s="41"/>
      <c r="P551" s="32"/>
      <c r="R551" s="32"/>
      <c r="S551" s="41"/>
    </row>
    <row r="552" spans="1:19" s="30" customFormat="1" x14ac:dyDescent="0.25">
      <c r="A552" s="36"/>
      <c r="B552" s="31"/>
      <c r="C552" s="31"/>
      <c r="D552" s="32"/>
      <c r="H552" s="32"/>
      <c r="J552" s="32"/>
      <c r="K552" s="41"/>
      <c r="L552" s="32"/>
      <c r="N552" s="32"/>
      <c r="O552" s="41"/>
      <c r="P552" s="32"/>
      <c r="R552" s="32"/>
      <c r="S552" s="41"/>
    </row>
    <row r="553" spans="1:19" s="30" customFormat="1" x14ac:dyDescent="0.25">
      <c r="A553" s="36"/>
      <c r="B553" s="31"/>
      <c r="C553" s="31"/>
      <c r="D553" s="32"/>
      <c r="H553" s="32"/>
      <c r="J553" s="32"/>
      <c r="K553" s="41"/>
      <c r="L553" s="32"/>
      <c r="N553" s="32"/>
      <c r="O553" s="41"/>
      <c r="P553" s="32"/>
      <c r="R553" s="32"/>
      <c r="S553" s="41"/>
    </row>
    <row r="554" spans="1:19" s="30" customFormat="1" x14ac:dyDescent="0.25">
      <c r="A554" s="36"/>
      <c r="B554" s="31"/>
      <c r="C554" s="31"/>
      <c r="D554" s="32"/>
      <c r="H554" s="32"/>
      <c r="J554" s="32"/>
      <c r="K554" s="41"/>
      <c r="L554" s="32"/>
      <c r="N554" s="32"/>
      <c r="O554" s="41"/>
      <c r="P554" s="32"/>
      <c r="R554" s="32"/>
      <c r="S554" s="41"/>
    </row>
    <row r="555" spans="1:19" s="30" customFormat="1" x14ac:dyDescent="0.25">
      <c r="A555" s="36"/>
      <c r="B555" s="31"/>
      <c r="C555" s="31"/>
      <c r="D555" s="32"/>
      <c r="H555" s="32"/>
      <c r="J555" s="32"/>
      <c r="K555" s="41"/>
      <c r="L555" s="32"/>
      <c r="N555" s="32"/>
      <c r="O555" s="41"/>
      <c r="P555" s="32"/>
      <c r="R555" s="32"/>
      <c r="S555" s="41"/>
    </row>
    <row r="556" spans="1:19" s="30" customFormat="1" x14ac:dyDescent="0.25">
      <c r="A556" s="36"/>
      <c r="B556" s="31"/>
      <c r="C556" s="31"/>
      <c r="D556" s="32"/>
      <c r="H556" s="32"/>
      <c r="J556" s="32"/>
      <c r="K556" s="41"/>
      <c r="L556" s="32"/>
      <c r="N556" s="32"/>
      <c r="O556" s="41"/>
      <c r="P556" s="32"/>
      <c r="R556" s="32"/>
      <c r="S556" s="41"/>
    </row>
    <row r="557" spans="1:19" s="30" customFormat="1" x14ac:dyDescent="0.25">
      <c r="A557" s="36"/>
      <c r="B557" s="31"/>
      <c r="C557" s="31"/>
      <c r="D557" s="32"/>
      <c r="H557" s="32"/>
      <c r="J557" s="32"/>
      <c r="K557" s="41"/>
      <c r="L557" s="32"/>
      <c r="N557" s="32"/>
      <c r="O557" s="41"/>
      <c r="P557" s="32"/>
      <c r="R557" s="32"/>
      <c r="S557" s="41"/>
    </row>
    <row r="558" spans="1:19" s="30" customFormat="1" x14ac:dyDescent="0.25">
      <c r="A558" s="36"/>
      <c r="B558" s="31"/>
      <c r="C558" s="31"/>
      <c r="D558" s="32"/>
      <c r="H558" s="32"/>
      <c r="J558" s="32"/>
      <c r="K558" s="41"/>
      <c r="L558" s="32"/>
      <c r="N558" s="32"/>
      <c r="O558" s="41"/>
      <c r="P558" s="32"/>
      <c r="R558" s="32"/>
      <c r="S558" s="41"/>
    </row>
    <row r="559" spans="1:19" s="30" customFormat="1" x14ac:dyDescent="0.25">
      <c r="A559" s="36"/>
      <c r="B559" s="31"/>
      <c r="C559" s="31"/>
      <c r="D559" s="32"/>
      <c r="H559" s="32"/>
      <c r="J559" s="32"/>
      <c r="K559" s="41"/>
      <c r="L559" s="32"/>
      <c r="N559" s="32"/>
      <c r="O559" s="41"/>
      <c r="P559" s="32"/>
      <c r="R559" s="32"/>
      <c r="S559" s="41"/>
    </row>
    <row r="560" spans="1:19" s="30" customFormat="1" x14ac:dyDescent="0.25">
      <c r="A560" s="36"/>
      <c r="B560" s="31"/>
      <c r="C560" s="31"/>
      <c r="D560" s="32"/>
      <c r="H560" s="32"/>
      <c r="J560" s="32"/>
      <c r="K560" s="41"/>
      <c r="L560" s="32"/>
      <c r="N560" s="32"/>
      <c r="O560" s="41"/>
      <c r="P560" s="32"/>
      <c r="R560" s="32"/>
      <c r="S560" s="41"/>
    </row>
    <row r="561" spans="1:19" s="30" customFormat="1" x14ac:dyDescent="0.25">
      <c r="A561" s="36"/>
      <c r="B561" s="31"/>
      <c r="C561" s="31"/>
      <c r="D561" s="32"/>
      <c r="H561" s="32"/>
      <c r="J561" s="32"/>
      <c r="K561" s="41"/>
      <c r="L561" s="32"/>
      <c r="N561" s="32"/>
      <c r="O561" s="41"/>
      <c r="P561" s="32"/>
      <c r="R561" s="32"/>
      <c r="S561" s="41"/>
    </row>
    <row r="562" spans="1:19" s="30" customFormat="1" x14ac:dyDescent="0.25">
      <c r="A562" s="36"/>
      <c r="B562" s="31"/>
      <c r="C562" s="31"/>
      <c r="D562" s="32"/>
      <c r="H562" s="32"/>
      <c r="J562" s="32"/>
      <c r="K562" s="41"/>
      <c r="L562" s="32"/>
      <c r="N562" s="32"/>
      <c r="O562" s="41"/>
      <c r="P562" s="32"/>
      <c r="R562" s="32"/>
      <c r="S562" s="41"/>
    </row>
    <row r="563" spans="1:19" s="30" customFormat="1" x14ac:dyDescent="0.25">
      <c r="A563" s="36"/>
      <c r="B563" s="31"/>
      <c r="C563" s="31"/>
      <c r="D563" s="32"/>
      <c r="H563" s="32"/>
      <c r="J563" s="32"/>
      <c r="K563" s="41"/>
      <c r="L563" s="32"/>
      <c r="N563" s="32"/>
      <c r="O563" s="41"/>
      <c r="P563" s="32"/>
      <c r="R563" s="32"/>
      <c r="S563" s="41"/>
    </row>
    <row r="564" spans="1:19" s="30" customFormat="1" x14ac:dyDescent="0.25">
      <c r="A564" s="36"/>
      <c r="B564" s="31"/>
      <c r="C564" s="31"/>
      <c r="D564" s="32"/>
      <c r="H564" s="32"/>
      <c r="J564" s="32"/>
      <c r="K564" s="41"/>
      <c r="L564" s="32"/>
      <c r="N564" s="32"/>
      <c r="O564" s="41"/>
      <c r="P564" s="32"/>
      <c r="R564" s="32"/>
      <c r="S564" s="41"/>
    </row>
    <row r="565" spans="1:19" s="30" customFormat="1" x14ac:dyDescent="0.25">
      <c r="A565" s="36"/>
      <c r="B565" s="31"/>
      <c r="C565" s="31"/>
      <c r="D565" s="32"/>
      <c r="H565" s="32"/>
      <c r="J565" s="32"/>
      <c r="K565" s="41"/>
      <c r="L565" s="32"/>
      <c r="N565" s="32"/>
      <c r="O565" s="41"/>
      <c r="P565" s="32"/>
      <c r="R565" s="32"/>
      <c r="S565" s="41"/>
    </row>
    <row r="566" spans="1:19" s="30" customFormat="1" x14ac:dyDescent="0.25">
      <c r="A566" s="36"/>
      <c r="B566" s="31"/>
      <c r="C566" s="31"/>
      <c r="D566" s="32"/>
      <c r="H566" s="32"/>
      <c r="J566" s="32"/>
      <c r="K566" s="41"/>
      <c r="L566" s="32"/>
      <c r="N566" s="32"/>
      <c r="O566" s="41"/>
      <c r="P566" s="32"/>
      <c r="R566" s="32"/>
      <c r="S566" s="41"/>
    </row>
    <row r="567" spans="1:19" s="30" customFormat="1" x14ac:dyDescent="0.25">
      <c r="A567" s="36"/>
      <c r="B567" s="31"/>
      <c r="C567" s="31"/>
      <c r="D567" s="32"/>
      <c r="H567" s="32"/>
      <c r="J567" s="32"/>
      <c r="K567" s="41"/>
      <c r="L567" s="32"/>
      <c r="N567" s="32"/>
      <c r="O567" s="41"/>
      <c r="P567" s="32"/>
      <c r="R567" s="32"/>
      <c r="S567" s="41"/>
    </row>
    <row r="568" spans="1:19" s="30" customFormat="1" x14ac:dyDescent="0.25">
      <c r="A568" s="36"/>
      <c r="B568" s="31"/>
      <c r="C568" s="31"/>
      <c r="D568" s="32"/>
      <c r="H568" s="32"/>
      <c r="J568" s="32"/>
      <c r="K568" s="41"/>
      <c r="L568" s="32"/>
      <c r="N568" s="32"/>
      <c r="O568" s="41"/>
      <c r="P568" s="32"/>
      <c r="R568" s="32"/>
      <c r="S568" s="41"/>
    </row>
    <row r="569" spans="1:19" s="30" customFormat="1" x14ac:dyDescent="0.25">
      <c r="A569" s="36"/>
      <c r="B569" s="31"/>
      <c r="C569" s="31"/>
      <c r="D569" s="32"/>
      <c r="H569" s="32"/>
      <c r="J569" s="32"/>
      <c r="K569" s="41"/>
      <c r="L569" s="32"/>
      <c r="N569" s="32"/>
      <c r="O569" s="41"/>
      <c r="P569" s="32"/>
      <c r="R569" s="32"/>
      <c r="S569" s="41"/>
    </row>
    <row r="570" spans="1:19" s="30" customFormat="1" x14ac:dyDescent="0.25">
      <c r="A570" s="36"/>
      <c r="B570" s="31"/>
      <c r="C570" s="31"/>
      <c r="D570" s="32"/>
      <c r="H570" s="32"/>
      <c r="J570" s="32"/>
      <c r="K570" s="41"/>
      <c r="L570" s="32"/>
      <c r="N570" s="32"/>
      <c r="O570" s="41"/>
      <c r="P570" s="32"/>
      <c r="R570" s="32"/>
      <c r="S570" s="41"/>
    </row>
    <row r="571" spans="1:19" s="30" customFormat="1" x14ac:dyDescent="0.25">
      <c r="A571" s="36"/>
      <c r="B571" s="31"/>
      <c r="C571" s="31"/>
      <c r="D571" s="32"/>
      <c r="H571" s="32"/>
      <c r="J571" s="32"/>
      <c r="K571" s="41"/>
      <c r="L571" s="32"/>
      <c r="N571" s="32"/>
      <c r="O571" s="41"/>
      <c r="P571" s="32"/>
      <c r="R571" s="32"/>
      <c r="S571" s="41"/>
    </row>
    <row r="572" spans="1:19" s="30" customFormat="1" x14ac:dyDescent="0.25">
      <c r="A572" s="36"/>
      <c r="B572" s="31"/>
      <c r="C572" s="31"/>
      <c r="D572" s="32"/>
      <c r="H572" s="32"/>
      <c r="J572" s="32"/>
      <c r="K572" s="41"/>
      <c r="L572" s="32"/>
      <c r="N572" s="32"/>
      <c r="O572" s="41"/>
      <c r="P572" s="32"/>
      <c r="R572" s="32"/>
      <c r="S572" s="41"/>
    </row>
    <row r="573" spans="1:19" s="30" customFormat="1" x14ac:dyDescent="0.25">
      <c r="A573" s="36"/>
      <c r="B573" s="31"/>
      <c r="C573" s="31"/>
      <c r="D573" s="32"/>
      <c r="H573" s="32"/>
      <c r="J573" s="32"/>
      <c r="K573" s="41"/>
      <c r="L573" s="32"/>
      <c r="N573" s="32"/>
      <c r="O573" s="41"/>
      <c r="P573" s="32"/>
      <c r="R573" s="32"/>
      <c r="S573" s="41"/>
    </row>
    <row r="574" spans="1:19" s="30" customFormat="1" x14ac:dyDescent="0.25">
      <c r="A574" s="36"/>
      <c r="B574" s="31"/>
      <c r="C574" s="31"/>
      <c r="D574" s="32"/>
      <c r="H574" s="32"/>
      <c r="J574" s="32"/>
      <c r="K574" s="41"/>
      <c r="L574" s="32"/>
      <c r="N574" s="32"/>
      <c r="O574" s="41"/>
      <c r="P574" s="32"/>
      <c r="R574" s="32"/>
      <c r="S574" s="41"/>
    </row>
    <row r="575" spans="1:19" s="30" customFormat="1" x14ac:dyDescent="0.25">
      <c r="A575" s="36"/>
      <c r="B575" s="31"/>
      <c r="C575" s="31"/>
      <c r="D575" s="32"/>
      <c r="H575" s="32"/>
      <c r="J575" s="32"/>
      <c r="K575" s="41"/>
      <c r="L575" s="32"/>
      <c r="N575" s="32"/>
      <c r="O575" s="41"/>
      <c r="P575" s="32"/>
      <c r="R575" s="32"/>
      <c r="S575" s="41"/>
    </row>
    <row r="576" spans="1:19" s="30" customFormat="1" x14ac:dyDescent="0.25">
      <c r="A576" s="36"/>
      <c r="B576" s="31"/>
      <c r="C576" s="31"/>
      <c r="D576" s="32"/>
      <c r="H576" s="32"/>
      <c r="J576" s="32"/>
      <c r="K576" s="41"/>
      <c r="L576" s="32"/>
      <c r="N576" s="32"/>
      <c r="O576" s="41"/>
      <c r="P576" s="32"/>
      <c r="R576" s="32"/>
      <c r="S576" s="41"/>
    </row>
    <row r="577" spans="1:19" s="30" customFormat="1" x14ac:dyDescent="0.25">
      <c r="A577" s="36"/>
      <c r="B577" s="31"/>
      <c r="C577" s="31"/>
      <c r="D577" s="32"/>
      <c r="H577" s="32"/>
      <c r="J577" s="32"/>
      <c r="K577" s="41"/>
      <c r="L577" s="32"/>
      <c r="N577" s="32"/>
      <c r="O577" s="41"/>
      <c r="P577" s="32"/>
      <c r="R577" s="32"/>
      <c r="S577" s="41"/>
    </row>
    <row r="578" spans="1:19" s="30" customFormat="1" x14ac:dyDescent="0.25">
      <c r="A578" s="36"/>
      <c r="B578" s="31"/>
      <c r="C578" s="31"/>
      <c r="D578" s="32"/>
      <c r="H578" s="32"/>
      <c r="J578" s="32"/>
      <c r="K578" s="41"/>
      <c r="L578" s="32"/>
      <c r="N578" s="32"/>
      <c r="O578" s="41"/>
      <c r="P578" s="32"/>
      <c r="R578" s="32"/>
      <c r="S578" s="41"/>
    </row>
    <row r="579" spans="1:19" s="30" customFormat="1" x14ac:dyDescent="0.25">
      <c r="A579" s="36"/>
      <c r="B579" s="31"/>
      <c r="C579" s="31"/>
      <c r="D579" s="32"/>
      <c r="H579" s="32"/>
      <c r="J579" s="32"/>
      <c r="K579" s="41"/>
      <c r="L579" s="32"/>
      <c r="N579" s="32"/>
      <c r="O579" s="41"/>
      <c r="P579" s="32"/>
      <c r="R579" s="32"/>
      <c r="S579" s="41"/>
    </row>
    <row r="580" spans="1:19" s="30" customFormat="1" x14ac:dyDescent="0.25">
      <c r="A580" s="36"/>
      <c r="B580" s="31"/>
      <c r="C580" s="31"/>
      <c r="D580" s="32"/>
      <c r="H580" s="32"/>
      <c r="J580" s="32"/>
      <c r="K580" s="41"/>
      <c r="L580" s="32"/>
      <c r="N580" s="32"/>
      <c r="O580" s="41"/>
      <c r="P580" s="32"/>
      <c r="R580" s="32"/>
      <c r="S580" s="41"/>
    </row>
    <row r="581" spans="1:19" s="30" customFormat="1" x14ac:dyDescent="0.25">
      <c r="A581" s="36"/>
      <c r="B581" s="31"/>
      <c r="C581" s="31"/>
      <c r="D581" s="32"/>
      <c r="H581" s="32"/>
      <c r="J581" s="32"/>
      <c r="K581" s="41"/>
      <c r="L581" s="32"/>
      <c r="N581" s="32"/>
      <c r="O581" s="41"/>
      <c r="P581" s="32"/>
      <c r="R581" s="32"/>
      <c r="S581" s="41"/>
    </row>
    <row r="582" spans="1:19" s="30" customFormat="1" x14ac:dyDescent="0.25">
      <c r="A582" s="36"/>
      <c r="B582" s="31"/>
      <c r="C582" s="31"/>
      <c r="D582" s="32"/>
      <c r="H582" s="32"/>
      <c r="J582" s="32"/>
      <c r="K582" s="41"/>
      <c r="L582" s="32"/>
      <c r="N582" s="32"/>
      <c r="O582" s="41"/>
      <c r="P582" s="32"/>
      <c r="R582" s="32"/>
      <c r="S582" s="41"/>
    </row>
    <row r="583" spans="1:19" s="30" customFormat="1" x14ac:dyDescent="0.25">
      <c r="A583" s="36"/>
      <c r="B583" s="31"/>
      <c r="C583" s="31"/>
      <c r="D583" s="32"/>
      <c r="H583" s="32"/>
      <c r="J583" s="32"/>
      <c r="K583" s="41"/>
      <c r="L583" s="32"/>
      <c r="N583" s="32"/>
      <c r="O583" s="41"/>
      <c r="P583" s="32"/>
      <c r="R583" s="32"/>
      <c r="S583" s="41"/>
    </row>
    <row r="584" spans="1:19" s="30" customFormat="1" x14ac:dyDescent="0.25">
      <c r="A584" s="36"/>
      <c r="B584" s="31"/>
      <c r="C584" s="31"/>
      <c r="D584" s="32"/>
      <c r="H584" s="32"/>
      <c r="J584" s="32"/>
      <c r="K584" s="41"/>
      <c r="L584" s="32"/>
      <c r="N584" s="32"/>
      <c r="O584" s="41"/>
      <c r="P584" s="32"/>
      <c r="R584" s="32"/>
      <c r="S584" s="41"/>
    </row>
    <row r="585" spans="1:19" s="30" customFormat="1" x14ac:dyDescent="0.25">
      <c r="A585" s="36"/>
      <c r="B585" s="31"/>
      <c r="C585" s="31"/>
      <c r="D585" s="32"/>
      <c r="H585" s="32"/>
      <c r="J585" s="32"/>
      <c r="K585" s="41"/>
      <c r="L585" s="32"/>
      <c r="N585" s="32"/>
      <c r="O585" s="41"/>
      <c r="P585" s="32"/>
      <c r="R585" s="32"/>
      <c r="S585" s="41"/>
    </row>
    <row r="586" spans="1:19" s="30" customFormat="1" x14ac:dyDescent="0.25">
      <c r="A586" s="36"/>
      <c r="B586" s="31"/>
      <c r="C586" s="31"/>
      <c r="D586" s="32"/>
      <c r="H586" s="32"/>
      <c r="J586" s="32"/>
      <c r="K586" s="41"/>
      <c r="L586" s="32"/>
      <c r="N586" s="32"/>
      <c r="O586" s="41"/>
      <c r="P586" s="32"/>
      <c r="R586" s="32"/>
      <c r="S586" s="41"/>
    </row>
    <row r="587" spans="1:19" s="30" customFormat="1" x14ac:dyDescent="0.25">
      <c r="A587" s="36"/>
      <c r="B587" s="31"/>
      <c r="C587" s="31"/>
      <c r="D587" s="32"/>
      <c r="H587" s="32"/>
      <c r="J587" s="32"/>
      <c r="K587" s="41"/>
      <c r="L587" s="32"/>
      <c r="N587" s="32"/>
      <c r="O587" s="41"/>
      <c r="P587" s="32"/>
      <c r="R587" s="32"/>
      <c r="S587" s="41"/>
    </row>
    <row r="588" spans="1:19" s="30" customFormat="1" x14ac:dyDescent="0.25">
      <c r="A588" s="36"/>
      <c r="B588" s="31"/>
      <c r="C588" s="31"/>
      <c r="D588" s="32"/>
      <c r="H588" s="32"/>
      <c r="J588" s="32"/>
      <c r="K588" s="41"/>
      <c r="L588" s="32"/>
      <c r="N588" s="32"/>
      <c r="O588" s="41"/>
      <c r="P588" s="32"/>
      <c r="R588" s="32"/>
      <c r="S588" s="41"/>
    </row>
    <row r="589" spans="1:19" s="30" customFormat="1" x14ac:dyDescent="0.25">
      <c r="A589" s="36"/>
      <c r="B589" s="31"/>
      <c r="C589" s="31"/>
      <c r="D589" s="32"/>
      <c r="H589" s="32"/>
      <c r="J589" s="32"/>
      <c r="K589" s="41"/>
      <c r="L589" s="32"/>
      <c r="N589" s="32"/>
      <c r="O589" s="41"/>
      <c r="P589" s="32"/>
      <c r="R589" s="32"/>
      <c r="S589" s="41"/>
    </row>
    <row r="590" spans="1:19" s="30" customFormat="1" x14ac:dyDescent="0.25">
      <c r="A590" s="36"/>
      <c r="B590" s="31"/>
      <c r="C590" s="31"/>
      <c r="D590" s="32"/>
      <c r="H590" s="32"/>
      <c r="J590" s="32"/>
      <c r="K590" s="41"/>
      <c r="L590" s="32"/>
      <c r="N590" s="32"/>
      <c r="O590" s="41"/>
      <c r="P590" s="32"/>
      <c r="R590" s="32"/>
      <c r="S590" s="41"/>
    </row>
    <row r="591" spans="1:19" s="30" customFormat="1" x14ac:dyDescent="0.25">
      <c r="A591" s="36"/>
      <c r="B591" s="31"/>
      <c r="C591" s="31"/>
      <c r="D591" s="32"/>
      <c r="H591" s="32"/>
      <c r="J591" s="32"/>
      <c r="K591" s="41"/>
      <c r="L591" s="32"/>
      <c r="N591" s="32"/>
      <c r="O591" s="41"/>
      <c r="P591" s="32"/>
      <c r="R591" s="32"/>
      <c r="S591" s="41"/>
    </row>
    <row r="592" spans="1:19" s="30" customFormat="1" x14ac:dyDescent="0.25">
      <c r="A592" s="36"/>
      <c r="B592" s="31"/>
      <c r="C592" s="31"/>
      <c r="D592" s="32"/>
      <c r="H592" s="32"/>
      <c r="J592" s="32"/>
      <c r="K592" s="41"/>
      <c r="L592" s="32"/>
      <c r="N592" s="32"/>
      <c r="O592" s="41"/>
      <c r="P592" s="32"/>
      <c r="R592" s="32"/>
      <c r="S592" s="41"/>
    </row>
    <row r="593" spans="1:19" s="30" customFormat="1" x14ac:dyDescent="0.25">
      <c r="A593" s="36"/>
      <c r="B593" s="31"/>
      <c r="C593" s="31"/>
      <c r="D593" s="32"/>
      <c r="H593" s="32"/>
      <c r="J593" s="32"/>
      <c r="K593" s="41"/>
      <c r="L593" s="32"/>
      <c r="N593" s="32"/>
      <c r="O593" s="41"/>
      <c r="P593" s="32"/>
      <c r="R593" s="32"/>
      <c r="S593" s="41"/>
    </row>
    <row r="594" spans="1:19" s="30" customFormat="1" x14ac:dyDescent="0.25">
      <c r="A594" s="36"/>
      <c r="B594" s="31"/>
      <c r="C594" s="31"/>
      <c r="D594" s="32"/>
      <c r="H594" s="32"/>
      <c r="J594" s="32"/>
      <c r="K594" s="41"/>
      <c r="L594" s="32"/>
      <c r="N594" s="32"/>
      <c r="O594" s="41"/>
      <c r="P594" s="32"/>
      <c r="R594" s="32"/>
      <c r="S594" s="41"/>
    </row>
    <row r="595" spans="1:19" s="30" customFormat="1" x14ac:dyDescent="0.25">
      <c r="A595" s="36"/>
      <c r="B595" s="31"/>
      <c r="C595" s="31"/>
      <c r="D595" s="32"/>
      <c r="H595" s="32"/>
      <c r="J595" s="32"/>
      <c r="K595" s="41"/>
      <c r="L595" s="32"/>
      <c r="N595" s="32"/>
      <c r="O595" s="41"/>
      <c r="P595" s="32"/>
      <c r="R595" s="32"/>
      <c r="S595" s="41"/>
    </row>
    <row r="596" spans="1:19" s="30" customFormat="1" x14ac:dyDescent="0.25">
      <c r="A596" s="36"/>
      <c r="B596" s="31"/>
      <c r="C596" s="31"/>
      <c r="D596" s="32"/>
      <c r="H596" s="32"/>
      <c r="J596" s="32"/>
      <c r="K596" s="41"/>
      <c r="L596" s="32"/>
      <c r="N596" s="32"/>
      <c r="O596" s="41"/>
      <c r="P596" s="32"/>
      <c r="R596" s="32"/>
      <c r="S596" s="41"/>
    </row>
    <row r="597" spans="1:19" s="30" customFormat="1" x14ac:dyDescent="0.25">
      <c r="A597" s="36"/>
      <c r="B597" s="31"/>
      <c r="C597" s="31"/>
      <c r="D597" s="32"/>
      <c r="H597" s="32"/>
      <c r="J597" s="32"/>
      <c r="K597" s="41"/>
      <c r="L597" s="32"/>
      <c r="N597" s="32"/>
      <c r="O597" s="41"/>
      <c r="P597" s="32"/>
      <c r="R597" s="32"/>
      <c r="S597" s="41"/>
    </row>
    <row r="598" spans="1:19" s="30" customFormat="1" x14ac:dyDescent="0.25">
      <c r="A598" s="36"/>
      <c r="B598" s="31"/>
      <c r="C598" s="31"/>
      <c r="D598" s="32"/>
      <c r="H598" s="32"/>
      <c r="J598" s="32"/>
      <c r="K598" s="41"/>
      <c r="L598" s="32"/>
      <c r="N598" s="32"/>
      <c r="O598" s="41"/>
      <c r="P598" s="32"/>
      <c r="R598" s="32"/>
      <c r="S598" s="41"/>
    </row>
    <row r="599" spans="1:19" s="30" customFormat="1" x14ac:dyDescent="0.25">
      <c r="A599" s="36"/>
      <c r="B599" s="31"/>
      <c r="C599" s="31"/>
      <c r="D599" s="32"/>
      <c r="H599" s="32"/>
      <c r="J599" s="32"/>
      <c r="K599" s="41"/>
      <c r="L599" s="32"/>
      <c r="N599" s="32"/>
      <c r="O599" s="41"/>
      <c r="P599" s="32"/>
      <c r="R599" s="32"/>
      <c r="S599" s="41"/>
    </row>
    <row r="600" spans="1:19" s="30" customFormat="1" x14ac:dyDescent="0.25">
      <c r="A600" s="36"/>
      <c r="B600" s="31"/>
      <c r="C600" s="31"/>
      <c r="D600" s="32"/>
      <c r="H600" s="32"/>
      <c r="J600" s="32"/>
      <c r="K600" s="41"/>
      <c r="L600" s="32"/>
      <c r="N600" s="32"/>
      <c r="O600" s="41"/>
      <c r="P600" s="32"/>
      <c r="R600" s="32"/>
      <c r="S600" s="41"/>
    </row>
    <row r="601" spans="1:19" s="30" customFormat="1" x14ac:dyDescent="0.25">
      <c r="A601" s="36"/>
      <c r="B601" s="31"/>
      <c r="C601" s="31"/>
      <c r="D601" s="32"/>
      <c r="H601" s="32"/>
      <c r="J601" s="32"/>
      <c r="K601" s="41"/>
      <c r="L601" s="32"/>
      <c r="N601" s="32"/>
      <c r="O601" s="41"/>
      <c r="P601" s="32"/>
      <c r="R601" s="32"/>
      <c r="S601" s="41"/>
    </row>
    <row r="602" spans="1:19" s="30" customFormat="1" x14ac:dyDescent="0.25">
      <c r="A602" s="36"/>
      <c r="B602" s="31"/>
      <c r="C602" s="31"/>
      <c r="D602" s="32"/>
      <c r="H602" s="32"/>
      <c r="J602" s="32"/>
      <c r="K602" s="41"/>
      <c r="L602" s="32"/>
      <c r="N602" s="32"/>
      <c r="O602" s="41"/>
      <c r="P602" s="32"/>
      <c r="R602" s="32"/>
      <c r="S602" s="41"/>
    </row>
    <row r="603" spans="1:19" s="30" customFormat="1" x14ac:dyDescent="0.25">
      <c r="A603" s="36"/>
      <c r="B603" s="31"/>
      <c r="C603" s="31"/>
      <c r="D603" s="32"/>
      <c r="H603" s="32"/>
      <c r="J603" s="32"/>
      <c r="K603" s="41"/>
      <c r="L603" s="32"/>
      <c r="N603" s="32"/>
      <c r="O603" s="41"/>
      <c r="P603" s="32"/>
      <c r="R603" s="32"/>
      <c r="S603" s="41"/>
    </row>
    <row r="604" spans="1:19" s="30" customFormat="1" x14ac:dyDescent="0.25">
      <c r="A604" s="36"/>
      <c r="B604" s="31"/>
      <c r="C604" s="31"/>
      <c r="D604" s="32"/>
      <c r="H604" s="32"/>
      <c r="J604" s="32"/>
      <c r="K604" s="41"/>
      <c r="L604" s="32"/>
      <c r="N604" s="32"/>
      <c r="O604" s="41"/>
      <c r="P604" s="32"/>
      <c r="R604" s="32"/>
      <c r="S604" s="41"/>
    </row>
    <row r="605" spans="1:19" s="30" customFormat="1" x14ac:dyDescent="0.25">
      <c r="A605" s="36"/>
      <c r="B605" s="31"/>
      <c r="C605" s="31"/>
      <c r="D605" s="32"/>
      <c r="H605" s="32"/>
      <c r="J605" s="32"/>
      <c r="K605" s="41"/>
      <c r="L605" s="32"/>
      <c r="N605" s="32"/>
      <c r="O605" s="41"/>
      <c r="P605" s="32"/>
      <c r="R605" s="32"/>
      <c r="S605" s="41"/>
    </row>
    <row r="606" spans="1:19" s="30" customFormat="1" x14ac:dyDescent="0.25">
      <c r="A606" s="36"/>
      <c r="B606" s="31"/>
      <c r="C606" s="31"/>
      <c r="D606" s="32"/>
      <c r="H606" s="32"/>
      <c r="J606" s="32"/>
      <c r="K606" s="41"/>
      <c r="L606" s="32"/>
      <c r="N606" s="32"/>
      <c r="O606" s="41"/>
      <c r="P606" s="32"/>
      <c r="R606" s="32"/>
      <c r="S606" s="41"/>
    </row>
    <row r="607" spans="1:19" s="30" customFormat="1" x14ac:dyDescent="0.25">
      <c r="A607" s="36"/>
      <c r="B607" s="31"/>
      <c r="C607" s="31"/>
      <c r="D607" s="32"/>
      <c r="H607" s="32"/>
      <c r="J607" s="32"/>
      <c r="K607" s="41"/>
      <c r="L607" s="32"/>
      <c r="N607" s="32"/>
      <c r="O607" s="41"/>
      <c r="P607" s="32"/>
      <c r="R607" s="32"/>
      <c r="S607" s="41"/>
    </row>
    <row r="608" spans="1:19" s="30" customFormat="1" x14ac:dyDescent="0.25">
      <c r="A608" s="36"/>
      <c r="B608" s="31"/>
      <c r="C608" s="31"/>
      <c r="D608" s="32"/>
      <c r="H608" s="32"/>
      <c r="J608" s="32"/>
      <c r="K608" s="41"/>
      <c r="L608" s="32"/>
      <c r="N608" s="32"/>
      <c r="O608" s="41"/>
      <c r="P608" s="32"/>
      <c r="R608" s="32"/>
      <c r="S608" s="41"/>
    </row>
    <row r="609" spans="1:19" s="30" customFormat="1" x14ac:dyDescent="0.25">
      <c r="A609" s="36"/>
      <c r="B609" s="31"/>
      <c r="C609" s="31"/>
      <c r="D609" s="32"/>
      <c r="H609" s="32"/>
      <c r="J609" s="32"/>
      <c r="K609" s="41"/>
      <c r="L609" s="32"/>
      <c r="N609" s="32"/>
      <c r="O609" s="41"/>
      <c r="P609" s="32"/>
      <c r="R609" s="32"/>
      <c r="S609" s="41"/>
    </row>
    <row r="610" spans="1:19" s="30" customFormat="1" x14ac:dyDescent="0.25">
      <c r="A610" s="36"/>
      <c r="B610" s="31"/>
      <c r="C610" s="31"/>
      <c r="D610" s="32"/>
      <c r="H610" s="32"/>
      <c r="J610" s="32"/>
      <c r="K610" s="41"/>
      <c r="L610" s="32"/>
      <c r="N610" s="32"/>
      <c r="O610" s="41"/>
      <c r="P610" s="32"/>
      <c r="R610" s="32"/>
      <c r="S610" s="41"/>
    </row>
    <row r="611" spans="1:19" s="30" customFormat="1" x14ac:dyDescent="0.25">
      <c r="A611" s="36"/>
      <c r="B611" s="31"/>
      <c r="C611" s="31"/>
      <c r="D611" s="32"/>
      <c r="H611" s="32"/>
      <c r="J611" s="32"/>
      <c r="K611" s="41"/>
      <c r="L611" s="32"/>
      <c r="N611" s="32"/>
      <c r="O611" s="41"/>
      <c r="P611" s="32"/>
      <c r="R611" s="32"/>
      <c r="S611" s="41"/>
    </row>
    <row r="612" spans="1:19" s="30" customFormat="1" x14ac:dyDescent="0.25">
      <c r="A612" s="36"/>
      <c r="B612" s="31"/>
      <c r="C612" s="31"/>
      <c r="D612" s="32"/>
      <c r="H612" s="32"/>
      <c r="J612" s="32"/>
      <c r="K612" s="41"/>
      <c r="L612" s="32"/>
      <c r="N612" s="32"/>
      <c r="O612" s="41"/>
      <c r="P612" s="32"/>
      <c r="R612" s="32"/>
      <c r="S612" s="41"/>
    </row>
    <row r="613" spans="1:19" s="30" customFormat="1" x14ac:dyDescent="0.25">
      <c r="A613" s="36"/>
      <c r="B613" s="31"/>
      <c r="C613" s="31"/>
      <c r="D613" s="32"/>
      <c r="H613" s="32"/>
      <c r="J613" s="32"/>
      <c r="K613" s="41"/>
      <c r="L613" s="32"/>
      <c r="N613" s="32"/>
      <c r="O613" s="41"/>
      <c r="P613" s="32"/>
      <c r="R613" s="32"/>
      <c r="S613" s="41"/>
    </row>
    <row r="614" spans="1:19" s="30" customFormat="1" x14ac:dyDescent="0.25">
      <c r="A614" s="36"/>
      <c r="B614" s="31"/>
      <c r="C614" s="31"/>
      <c r="D614" s="32"/>
      <c r="H614" s="32"/>
      <c r="J614" s="32"/>
      <c r="K614" s="41"/>
      <c r="L614" s="32"/>
      <c r="N614" s="32"/>
      <c r="O614" s="41"/>
      <c r="P614" s="32"/>
      <c r="R614" s="32"/>
      <c r="S614" s="41"/>
    </row>
    <row r="615" spans="1:19" s="30" customFormat="1" x14ac:dyDescent="0.25">
      <c r="A615" s="36"/>
      <c r="B615" s="31"/>
      <c r="C615" s="31"/>
      <c r="D615" s="32"/>
      <c r="H615" s="32"/>
      <c r="J615" s="32"/>
      <c r="K615" s="41"/>
      <c r="L615" s="32"/>
      <c r="N615" s="32"/>
      <c r="O615" s="41"/>
      <c r="P615" s="32"/>
      <c r="R615" s="32"/>
      <c r="S615" s="41"/>
    </row>
    <row r="616" spans="1:19" s="30" customFormat="1" x14ac:dyDescent="0.25">
      <c r="A616" s="36"/>
      <c r="B616" s="31"/>
      <c r="C616" s="31"/>
      <c r="D616" s="32"/>
      <c r="H616" s="32"/>
      <c r="J616" s="32"/>
      <c r="K616" s="41"/>
      <c r="L616" s="32"/>
      <c r="N616" s="32"/>
      <c r="O616" s="41"/>
      <c r="P616" s="32"/>
      <c r="R616" s="32"/>
      <c r="S616" s="41"/>
    </row>
    <row r="617" spans="1:19" s="30" customFormat="1" x14ac:dyDescent="0.25">
      <c r="A617" s="36"/>
      <c r="B617" s="31"/>
      <c r="C617" s="31"/>
      <c r="D617" s="32"/>
      <c r="H617" s="32"/>
      <c r="J617" s="32"/>
      <c r="K617" s="41"/>
      <c r="L617" s="32"/>
      <c r="N617" s="32"/>
      <c r="O617" s="41"/>
      <c r="P617" s="32"/>
      <c r="R617" s="32"/>
      <c r="S617" s="41"/>
    </row>
    <row r="618" spans="1:19" s="30" customFormat="1" x14ac:dyDescent="0.25">
      <c r="A618" s="36"/>
      <c r="B618" s="31"/>
      <c r="C618" s="31"/>
      <c r="D618" s="32"/>
      <c r="H618" s="32"/>
      <c r="J618" s="32"/>
      <c r="K618" s="41"/>
      <c r="L618" s="32"/>
      <c r="N618" s="32"/>
      <c r="O618" s="41"/>
      <c r="P618" s="32"/>
      <c r="R618" s="32"/>
      <c r="S618" s="41"/>
    </row>
    <row r="619" spans="1:19" s="30" customFormat="1" x14ac:dyDescent="0.25">
      <c r="A619" s="36"/>
      <c r="B619" s="31"/>
      <c r="C619" s="31"/>
      <c r="D619" s="32"/>
      <c r="H619" s="32"/>
      <c r="J619" s="32"/>
      <c r="K619" s="41"/>
      <c r="L619" s="32"/>
      <c r="N619" s="32"/>
      <c r="O619" s="41"/>
      <c r="P619" s="32"/>
      <c r="R619" s="32"/>
      <c r="S619" s="41"/>
    </row>
    <row r="620" spans="1:19" s="30" customFormat="1" x14ac:dyDescent="0.25">
      <c r="A620" s="36"/>
      <c r="B620" s="31"/>
      <c r="C620" s="31"/>
      <c r="D620" s="32"/>
      <c r="H620" s="32"/>
      <c r="J620" s="32"/>
      <c r="K620" s="41"/>
      <c r="L620" s="32"/>
      <c r="N620" s="32"/>
      <c r="O620" s="41"/>
      <c r="P620" s="32"/>
      <c r="R620" s="32"/>
      <c r="S620" s="41"/>
    </row>
    <row r="621" spans="1:19" s="30" customFormat="1" x14ac:dyDescent="0.25">
      <c r="A621" s="36"/>
      <c r="B621" s="31"/>
      <c r="C621" s="31"/>
      <c r="D621" s="32"/>
      <c r="H621" s="32"/>
      <c r="J621" s="32"/>
      <c r="K621" s="41"/>
      <c r="L621" s="32"/>
      <c r="N621" s="32"/>
      <c r="O621" s="41"/>
      <c r="P621" s="32"/>
      <c r="R621" s="32"/>
      <c r="S621" s="41"/>
    </row>
    <row r="622" spans="1:19" s="30" customFormat="1" x14ac:dyDescent="0.25">
      <c r="A622" s="36"/>
      <c r="B622" s="31"/>
      <c r="C622" s="31"/>
      <c r="D622" s="32"/>
      <c r="H622" s="32"/>
      <c r="J622" s="32"/>
      <c r="K622" s="41"/>
      <c r="L622" s="32"/>
      <c r="N622" s="32"/>
      <c r="O622" s="41"/>
      <c r="P622" s="32"/>
      <c r="R622" s="32"/>
      <c r="S622" s="41"/>
    </row>
    <row r="623" spans="1:19" s="30" customFormat="1" x14ac:dyDescent="0.25">
      <c r="A623" s="36"/>
      <c r="B623" s="31"/>
      <c r="C623" s="31"/>
      <c r="D623" s="32"/>
      <c r="H623" s="32"/>
      <c r="J623" s="32"/>
      <c r="K623" s="41"/>
      <c r="L623" s="32"/>
      <c r="N623" s="32"/>
      <c r="O623" s="41"/>
      <c r="P623" s="32"/>
      <c r="R623" s="32"/>
      <c r="S623" s="41"/>
    </row>
    <row r="624" spans="1:19" s="30" customFormat="1" x14ac:dyDescent="0.25">
      <c r="A624" s="36"/>
      <c r="B624" s="31"/>
      <c r="C624" s="31"/>
      <c r="D624" s="32"/>
      <c r="H624" s="32"/>
      <c r="J624" s="32"/>
      <c r="K624" s="41"/>
      <c r="L624" s="32"/>
      <c r="N624" s="32"/>
      <c r="O624" s="41"/>
      <c r="P624" s="32"/>
      <c r="R624" s="32"/>
      <c r="S624" s="41"/>
    </row>
    <row r="625" spans="1:19" s="30" customFormat="1" x14ac:dyDescent="0.25">
      <c r="A625" s="36"/>
      <c r="B625" s="31"/>
      <c r="C625" s="31"/>
      <c r="D625" s="32"/>
      <c r="H625" s="32"/>
      <c r="J625" s="32"/>
      <c r="K625" s="41"/>
      <c r="L625" s="32"/>
      <c r="N625" s="32"/>
      <c r="O625" s="41"/>
      <c r="P625" s="32"/>
      <c r="R625" s="32"/>
      <c r="S625" s="41"/>
    </row>
    <row r="626" spans="1:19" s="30" customFormat="1" x14ac:dyDescent="0.25">
      <c r="A626" s="36"/>
      <c r="B626" s="31"/>
      <c r="C626" s="31"/>
      <c r="D626" s="32"/>
      <c r="H626" s="32"/>
      <c r="J626" s="32"/>
      <c r="K626" s="41"/>
      <c r="L626" s="32"/>
      <c r="N626" s="32"/>
      <c r="O626" s="41"/>
      <c r="P626" s="32"/>
      <c r="R626" s="32"/>
      <c r="S626" s="41"/>
    </row>
    <row r="627" spans="1:19" s="30" customFormat="1" x14ac:dyDescent="0.25">
      <c r="A627" s="36"/>
      <c r="B627" s="31"/>
      <c r="C627" s="31"/>
      <c r="D627" s="32"/>
      <c r="H627" s="32"/>
      <c r="J627" s="32"/>
      <c r="K627" s="41"/>
      <c r="L627" s="32"/>
      <c r="N627" s="32"/>
      <c r="O627" s="41"/>
      <c r="P627" s="32"/>
      <c r="R627" s="32"/>
      <c r="S627" s="41"/>
    </row>
    <row r="628" spans="1:19" s="30" customFormat="1" x14ac:dyDescent="0.25">
      <c r="A628" s="36"/>
      <c r="B628" s="31"/>
      <c r="C628" s="31"/>
      <c r="D628" s="32"/>
      <c r="H628" s="32"/>
      <c r="J628" s="32"/>
      <c r="K628" s="41"/>
      <c r="L628" s="32"/>
      <c r="N628" s="32"/>
      <c r="O628" s="41"/>
      <c r="P628" s="32"/>
      <c r="R628" s="32"/>
      <c r="S628" s="41"/>
    </row>
    <row r="629" spans="1:19" s="30" customFormat="1" x14ac:dyDescent="0.25">
      <c r="A629" s="36"/>
      <c r="B629" s="31"/>
      <c r="C629" s="31"/>
      <c r="D629" s="32"/>
      <c r="H629" s="32"/>
      <c r="J629" s="32"/>
      <c r="K629" s="41"/>
      <c r="L629" s="32"/>
      <c r="N629" s="32"/>
      <c r="O629" s="41"/>
      <c r="P629" s="32"/>
      <c r="R629" s="32"/>
      <c r="S629" s="41"/>
    </row>
    <row r="630" spans="1:19" s="30" customFormat="1" x14ac:dyDescent="0.25">
      <c r="A630" s="36"/>
      <c r="B630" s="31"/>
      <c r="C630" s="31"/>
      <c r="D630" s="32"/>
      <c r="H630" s="32"/>
      <c r="J630" s="32"/>
      <c r="K630" s="41"/>
      <c r="L630" s="32"/>
      <c r="N630" s="32"/>
      <c r="O630" s="41"/>
      <c r="P630" s="32"/>
      <c r="R630" s="32"/>
      <c r="S630" s="41"/>
    </row>
    <row r="631" spans="1:19" s="30" customFormat="1" x14ac:dyDescent="0.25">
      <c r="A631" s="36"/>
      <c r="B631" s="31"/>
      <c r="C631" s="31"/>
      <c r="D631" s="32"/>
      <c r="H631" s="32"/>
      <c r="J631" s="32"/>
      <c r="K631" s="41"/>
      <c r="L631" s="32"/>
      <c r="N631" s="32"/>
      <c r="O631" s="41"/>
      <c r="P631" s="32"/>
      <c r="R631" s="32"/>
      <c r="S631" s="41"/>
    </row>
    <row r="632" spans="1:19" s="30" customFormat="1" x14ac:dyDescent="0.25">
      <c r="A632" s="36"/>
      <c r="B632" s="31"/>
      <c r="C632" s="31"/>
      <c r="D632" s="32"/>
      <c r="H632" s="32"/>
      <c r="J632" s="32"/>
      <c r="K632" s="41"/>
      <c r="L632" s="32"/>
      <c r="N632" s="32"/>
      <c r="O632" s="41"/>
      <c r="P632" s="32"/>
      <c r="R632" s="32"/>
      <c r="S632" s="41"/>
    </row>
    <row r="633" spans="1:19" s="30" customFormat="1" x14ac:dyDescent="0.25">
      <c r="A633" s="36"/>
      <c r="B633" s="31"/>
      <c r="C633" s="31"/>
      <c r="D633" s="32"/>
      <c r="H633" s="32"/>
      <c r="J633" s="32"/>
      <c r="K633" s="41"/>
      <c r="L633" s="32"/>
      <c r="N633" s="32"/>
      <c r="O633" s="41"/>
      <c r="P633" s="32"/>
      <c r="R633" s="32"/>
      <c r="S633" s="41"/>
    </row>
    <row r="634" spans="1:19" s="30" customFormat="1" x14ac:dyDescent="0.25">
      <c r="A634" s="36"/>
      <c r="B634" s="31"/>
      <c r="C634" s="31"/>
      <c r="D634" s="32"/>
      <c r="H634" s="32"/>
      <c r="J634" s="32"/>
      <c r="K634" s="41"/>
      <c r="L634" s="32"/>
      <c r="N634" s="32"/>
      <c r="O634" s="41"/>
      <c r="P634" s="32"/>
      <c r="R634" s="32"/>
      <c r="S634" s="41"/>
    </row>
    <row r="635" spans="1:19" s="30" customFormat="1" x14ac:dyDescent="0.25">
      <c r="A635" s="36"/>
      <c r="B635" s="31"/>
      <c r="C635" s="31"/>
      <c r="D635" s="32"/>
      <c r="H635" s="32"/>
      <c r="J635" s="32"/>
      <c r="K635" s="41"/>
      <c r="L635" s="32"/>
      <c r="N635" s="32"/>
      <c r="O635" s="41"/>
      <c r="P635" s="32"/>
      <c r="R635" s="32"/>
      <c r="S635" s="41"/>
    </row>
    <row r="636" spans="1:19" s="30" customFormat="1" x14ac:dyDescent="0.25">
      <c r="A636" s="36"/>
      <c r="B636" s="31"/>
      <c r="C636" s="31"/>
      <c r="D636" s="32"/>
      <c r="H636" s="32"/>
      <c r="J636" s="32"/>
      <c r="K636" s="41"/>
      <c r="L636" s="32"/>
      <c r="N636" s="32"/>
      <c r="O636" s="41"/>
      <c r="P636" s="32"/>
      <c r="R636" s="32"/>
      <c r="S636" s="41"/>
    </row>
    <row r="637" spans="1:19" s="30" customFormat="1" x14ac:dyDescent="0.25">
      <c r="A637" s="36"/>
      <c r="B637" s="31"/>
      <c r="C637" s="31"/>
      <c r="D637" s="32"/>
      <c r="H637" s="32"/>
      <c r="J637" s="32"/>
      <c r="K637" s="41"/>
      <c r="L637" s="32"/>
      <c r="N637" s="32"/>
      <c r="O637" s="41"/>
      <c r="P637" s="32"/>
      <c r="R637" s="32"/>
      <c r="S637" s="41"/>
    </row>
    <row r="638" spans="1:19" s="30" customFormat="1" x14ac:dyDescent="0.25">
      <c r="A638" s="36"/>
      <c r="B638" s="31"/>
      <c r="C638" s="31"/>
      <c r="D638" s="32"/>
      <c r="H638" s="32"/>
      <c r="J638" s="32"/>
      <c r="K638" s="41"/>
      <c r="L638" s="32"/>
      <c r="N638" s="32"/>
      <c r="O638" s="41"/>
      <c r="P638" s="32"/>
      <c r="R638" s="32"/>
      <c r="S638" s="41"/>
    </row>
    <row r="639" spans="1:19" s="30" customFormat="1" x14ac:dyDescent="0.25">
      <c r="A639" s="36"/>
      <c r="B639" s="31"/>
      <c r="C639" s="31"/>
      <c r="D639" s="32"/>
      <c r="H639" s="32"/>
      <c r="J639" s="32"/>
      <c r="K639" s="41"/>
      <c r="L639" s="32"/>
      <c r="N639" s="32"/>
      <c r="O639" s="41"/>
      <c r="P639" s="32"/>
      <c r="R639" s="32"/>
      <c r="S639" s="41"/>
    </row>
    <row r="640" spans="1:19" s="30" customFormat="1" x14ac:dyDescent="0.25">
      <c r="A640" s="36"/>
      <c r="B640" s="31"/>
      <c r="C640" s="31"/>
      <c r="D640" s="32"/>
      <c r="H640" s="32"/>
      <c r="J640" s="32"/>
      <c r="K640" s="41"/>
      <c r="L640" s="32"/>
      <c r="N640" s="32"/>
      <c r="O640" s="41"/>
      <c r="P640" s="32"/>
      <c r="R640" s="32"/>
      <c r="S640" s="41"/>
    </row>
    <row r="641" spans="1:19" s="30" customFormat="1" x14ac:dyDescent="0.25">
      <c r="A641" s="36"/>
      <c r="B641" s="31"/>
      <c r="C641" s="31"/>
      <c r="D641" s="32"/>
      <c r="H641" s="32"/>
      <c r="J641" s="32"/>
      <c r="K641" s="41"/>
      <c r="L641" s="32"/>
      <c r="N641" s="32"/>
      <c r="O641" s="41"/>
      <c r="P641" s="32"/>
      <c r="R641" s="32"/>
      <c r="S641" s="41"/>
    </row>
    <row r="642" spans="1:19" s="30" customFormat="1" x14ac:dyDescent="0.25">
      <c r="A642" s="36"/>
      <c r="B642" s="31"/>
      <c r="C642" s="31"/>
      <c r="D642" s="32"/>
      <c r="H642" s="32"/>
      <c r="J642" s="32"/>
      <c r="K642" s="41"/>
      <c r="L642" s="32"/>
      <c r="N642" s="32"/>
      <c r="O642" s="41"/>
      <c r="P642" s="32"/>
      <c r="R642" s="32"/>
      <c r="S642" s="41"/>
    </row>
    <row r="643" spans="1:19" s="30" customFormat="1" x14ac:dyDescent="0.25">
      <c r="A643" s="36"/>
      <c r="B643" s="31"/>
      <c r="C643" s="31"/>
      <c r="D643" s="32"/>
      <c r="H643" s="32"/>
      <c r="J643" s="32"/>
      <c r="K643" s="41"/>
      <c r="L643" s="32"/>
      <c r="N643" s="32"/>
      <c r="O643" s="41"/>
      <c r="P643" s="32"/>
      <c r="R643" s="32"/>
      <c r="S643" s="41"/>
    </row>
    <row r="644" spans="1:19" s="30" customFormat="1" x14ac:dyDescent="0.25">
      <c r="A644" s="36"/>
      <c r="B644" s="31"/>
      <c r="C644" s="31"/>
      <c r="D644" s="32"/>
      <c r="H644" s="32"/>
      <c r="J644" s="32"/>
      <c r="K644" s="41"/>
      <c r="L644" s="32"/>
      <c r="N644" s="32"/>
      <c r="O644" s="41"/>
      <c r="P644" s="32"/>
      <c r="R644" s="32"/>
      <c r="S644" s="41"/>
    </row>
    <row r="645" spans="1:19" s="30" customFormat="1" x14ac:dyDescent="0.25">
      <c r="A645" s="36"/>
      <c r="B645" s="31"/>
      <c r="C645" s="31"/>
      <c r="D645" s="32"/>
      <c r="H645" s="32"/>
      <c r="J645" s="32"/>
      <c r="K645" s="41"/>
      <c r="L645" s="32"/>
      <c r="N645" s="32"/>
      <c r="O645" s="41"/>
      <c r="P645" s="32"/>
      <c r="R645" s="32"/>
      <c r="S645" s="41"/>
    </row>
    <row r="646" spans="1:19" s="30" customFormat="1" x14ac:dyDescent="0.25">
      <c r="A646" s="36"/>
      <c r="B646" s="31"/>
      <c r="C646" s="31"/>
      <c r="D646" s="32"/>
      <c r="H646" s="32"/>
      <c r="J646" s="32"/>
      <c r="K646" s="41"/>
      <c r="L646" s="32"/>
      <c r="N646" s="32"/>
      <c r="O646" s="41"/>
      <c r="P646" s="32"/>
      <c r="R646" s="32"/>
      <c r="S646" s="41"/>
    </row>
    <row r="647" spans="1:19" s="30" customFormat="1" x14ac:dyDescent="0.25">
      <c r="A647" s="36"/>
      <c r="B647" s="31"/>
      <c r="C647" s="31"/>
      <c r="D647" s="32"/>
      <c r="H647" s="32"/>
      <c r="J647" s="32"/>
      <c r="K647" s="41"/>
      <c r="L647" s="32"/>
      <c r="N647" s="32"/>
      <c r="O647" s="41"/>
      <c r="P647" s="32"/>
      <c r="R647" s="32"/>
      <c r="S647" s="41"/>
    </row>
    <row r="648" spans="1:19" s="30" customFormat="1" x14ac:dyDescent="0.25">
      <c r="A648" s="36"/>
      <c r="B648" s="31"/>
      <c r="C648" s="31"/>
      <c r="D648" s="32"/>
      <c r="H648" s="32"/>
      <c r="J648" s="32"/>
      <c r="K648" s="41"/>
      <c r="L648" s="32"/>
      <c r="N648" s="32"/>
      <c r="O648" s="41"/>
      <c r="P648" s="32"/>
      <c r="R648" s="32"/>
      <c r="S648" s="41"/>
    </row>
    <row r="649" spans="1:19" s="30" customFormat="1" x14ac:dyDescent="0.25">
      <c r="A649" s="36"/>
      <c r="B649" s="31"/>
      <c r="C649" s="31"/>
      <c r="D649" s="32"/>
      <c r="H649" s="32"/>
      <c r="J649" s="32"/>
      <c r="K649" s="41"/>
      <c r="L649" s="32"/>
      <c r="N649" s="32"/>
      <c r="O649" s="41"/>
      <c r="P649" s="32"/>
      <c r="R649" s="32"/>
      <c r="S649" s="41"/>
    </row>
    <row r="650" spans="1:19" s="30" customFormat="1" x14ac:dyDescent="0.25">
      <c r="A650" s="36"/>
      <c r="B650" s="31"/>
      <c r="C650" s="31"/>
      <c r="D650" s="32"/>
      <c r="H650" s="32"/>
      <c r="J650" s="32"/>
      <c r="K650" s="41"/>
      <c r="L650" s="32"/>
      <c r="N650" s="32"/>
      <c r="O650" s="41"/>
      <c r="P650" s="32"/>
      <c r="R650" s="32"/>
      <c r="S650" s="41"/>
    </row>
    <row r="651" spans="1:19" s="30" customFormat="1" x14ac:dyDescent="0.25">
      <c r="A651" s="36"/>
      <c r="B651" s="31"/>
      <c r="C651" s="31"/>
      <c r="D651" s="32"/>
      <c r="H651" s="32"/>
      <c r="J651" s="32"/>
      <c r="K651" s="41"/>
      <c r="L651" s="32"/>
      <c r="N651" s="32"/>
      <c r="O651" s="41"/>
      <c r="P651" s="32"/>
      <c r="R651" s="32"/>
      <c r="S651" s="41"/>
    </row>
    <row r="652" spans="1:19" s="30" customFormat="1" x14ac:dyDescent="0.25">
      <c r="A652" s="36"/>
      <c r="B652" s="31"/>
      <c r="C652" s="31"/>
      <c r="D652" s="32"/>
      <c r="H652" s="32"/>
      <c r="J652" s="32"/>
      <c r="K652" s="41"/>
      <c r="L652" s="32"/>
      <c r="N652" s="32"/>
      <c r="O652" s="41"/>
      <c r="P652" s="32"/>
      <c r="R652" s="32"/>
      <c r="S652" s="41"/>
    </row>
    <row r="653" spans="1:19" s="30" customFormat="1" x14ac:dyDescent="0.25">
      <c r="A653" s="36"/>
      <c r="B653" s="31"/>
      <c r="C653" s="31"/>
      <c r="D653" s="32"/>
      <c r="H653" s="32"/>
      <c r="J653" s="32"/>
      <c r="K653" s="41"/>
      <c r="L653" s="32"/>
      <c r="N653" s="32"/>
      <c r="O653" s="41"/>
      <c r="P653" s="32"/>
      <c r="R653" s="32"/>
      <c r="S653" s="41"/>
    </row>
    <row r="654" spans="1:19" s="30" customFormat="1" x14ac:dyDescent="0.25">
      <c r="A654" s="36"/>
      <c r="B654" s="31"/>
      <c r="C654" s="31"/>
      <c r="D654" s="32"/>
      <c r="H654" s="32"/>
      <c r="J654" s="32"/>
      <c r="K654" s="41"/>
      <c r="L654" s="32"/>
      <c r="N654" s="32"/>
      <c r="O654" s="41"/>
      <c r="P654" s="32"/>
      <c r="R654" s="32"/>
      <c r="S654" s="41"/>
    </row>
    <row r="655" spans="1:19" s="30" customFormat="1" x14ac:dyDescent="0.25">
      <c r="A655" s="36"/>
      <c r="B655" s="31"/>
      <c r="C655" s="31"/>
      <c r="D655" s="32"/>
      <c r="H655" s="32"/>
      <c r="J655" s="32"/>
      <c r="K655" s="41"/>
      <c r="L655" s="32"/>
      <c r="N655" s="32"/>
      <c r="O655" s="41"/>
      <c r="P655" s="32"/>
      <c r="R655" s="32"/>
      <c r="S655" s="41"/>
    </row>
    <row r="656" spans="1:19" s="30" customFormat="1" x14ac:dyDescent="0.25">
      <c r="A656" s="36"/>
      <c r="B656" s="31"/>
      <c r="C656" s="31"/>
      <c r="D656" s="32"/>
      <c r="H656" s="32"/>
      <c r="J656" s="32"/>
      <c r="K656" s="41"/>
      <c r="L656" s="32"/>
      <c r="N656" s="32"/>
      <c r="O656" s="41"/>
      <c r="P656" s="32"/>
      <c r="R656" s="32"/>
      <c r="S656" s="41"/>
    </row>
    <row r="657" spans="1:19" s="30" customFormat="1" x14ac:dyDescent="0.25">
      <c r="A657" s="36"/>
      <c r="B657" s="31"/>
      <c r="C657" s="31"/>
      <c r="D657" s="32"/>
      <c r="H657" s="32"/>
      <c r="J657" s="32"/>
      <c r="K657" s="41"/>
      <c r="L657" s="32"/>
      <c r="N657" s="32"/>
      <c r="O657" s="41"/>
      <c r="P657" s="32"/>
      <c r="R657" s="32"/>
      <c r="S657" s="41"/>
    </row>
    <row r="658" spans="1:19" s="30" customFormat="1" x14ac:dyDescent="0.25">
      <c r="A658" s="36"/>
      <c r="B658" s="31"/>
      <c r="C658" s="31"/>
      <c r="D658" s="32"/>
      <c r="H658" s="32"/>
      <c r="J658" s="32"/>
      <c r="K658" s="41"/>
      <c r="L658" s="32"/>
      <c r="N658" s="32"/>
      <c r="O658" s="41"/>
      <c r="P658" s="32"/>
      <c r="R658" s="32"/>
      <c r="S658" s="41"/>
    </row>
    <row r="659" spans="1:19" s="30" customFormat="1" x14ac:dyDescent="0.25">
      <c r="A659" s="36"/>
      <c r="B659" s="31"/>
      <c r="C659" s="31"/>
      <c r="D659" s="32"/>
      <c r="H659" s="32"/>
      <c r="J659" s="32"/>
      <c r="K659" s="41"/>
      <c r="L659" s="32"/>
      <c r="N659" s="32"/>
      <c r="O659" s="41"/>
      <c r="P659" s="32"/>
      <c r="R659" s="32"/>
      <c r="S659" s="41"/>
    </row>
    <row r="660" spans="1:19" s="30" customFormat="1" x14ac:dyDescent="0.25">
      <c r="A660" s="36"/>
      <c r="B660" s="31"/>
      <c r="C660" s="31"/>
      <c r="D660" s="32"/>
      <c r="H660" s="32"/>
      <c r="J660" s="32"/>
      <c r="K660" s="41"/>
      <c r="L660" s="32"/>
      <c r="N660" s="32"/>
      <c r="O660" s="41"/>
      <c r="P660" s="32"/>
      <c r="R660" s="32"/>
      <c r="S660" s="41"/>
    </row>
    <row r="661" spans="1:19" s="30" customFormat="1" x14ac:dyDescent="0.25">
      <c r="A661" s="36"/>
      <c r="B661" s="31"/>
      <c r="C661" s="31"/>
      <c r="D661" s="32"/>
      <c r="H661" s="32"/>
      <c r="J661" s="32"/>
      <c r="K661" s="41"/>
      <c r="L661" s="32"/>
      <c r="N661" s="32"/>
      <c r="O661" s="41"/>
      <c r="P661" s="32"/>
      <c r="R661" s="32"/>
      <c r="S661" s="41"/>
    </row>
    <row r="662" spans="1:19" s="30" customFormat="1" x14ac:dyDescent="0.25">
      <c r="A662" s="36"/>
      <c r="B662" s="31"/>
      <c r="C662" s="31"/>
      <c r="D662" s="32"/>
      <c r="H662" s="32"/>
      <c r="J662" s="32"/>
      <c r="K662" s="41"/>
      <c r="L662" s="32"/>
      <c r="N662" s="32"/>
      <c r="O662" s="41"/>
      <c r="P662" s="32"/>
      <c r="R662" s="32"/>
      <c r="S662" s="41"/>
    </row>
    <row r="663" spans="1:19" s="30" customFormat="1" x14ac:dyDescent="0.25">
      <c r="A663" s="36"/>
      <c r="B663" s="31"/>
      <c r="C663" s="31"/>
      <c r="D663" s="32"/>
      <c r="H663" s="32"/>
      <c r="J663" s="32"/>
      <c r="K663" s="41"/>
      <c r="L663" s="32"/>
      <c r="N663" s="32"/>
      <c r="O663" s="41"/>
      <c r="P663" s="32"/>
      <c r="R663" s="32"/>
      <c r="S663" s="41"/>
    </row>
    <row r="664" spans="1:19" s="30" customFormat="1" x14ac:dyDescent="0.25">
      <c r="A664" s="36"/>
      <c r="B664" s="31"/>
      <c r="C664" s="31"/>
      <c r="D664" s="32"/>
      <c r="H664" s="32"/>
      <c r="J664" s="32"/>
      <c r="K664" s="41"/>
      <c r="L664" s="32"/>
      <c r="N664" s="32"/>
      <c r="O664" s="41"/>
      <c r="P664" s="32"/>
      <c r="R664" s="32"/>
      <c r="S664" s="41"/>
    </row>
    <row r="665" spans="1:19" s="30" customFormat="1" x14ac:dyDescent="0.25">
      <c r="A665" s="36"/>
      <c r="B665" s="31"/>
      <c r="C665" s="31"/>
      <c r="D665" s="32"/>
      <c r="H665" s="32"/>
      <c r="J665" s="32"/>
      <c r="K665" s="41"/>
      <c r="L665" s="32"/>
      <c r="N665" s="32"/>
      <c r="O665" s="41"/>
      <c r="P665" s="32"/>
      <c r="R665" s="32"/>
      <c r="S665" s="41"/>
    </row>
    <row r="666" spans="1:19" s="30" customFormat="1" x14ac:dyDescent="0.25">
      <c r="A666" s="36"/>
      <c r="B666" s="31"/>
      <c r="C666" s="31"/>
      <c r="D666" s="32"/>
      <c r="H666" s="32"/>
      <c r="J666" s="32"/>
      <c r="K666" s="41"/>
      <c r="L666" s="32"/>
      <c r="N666" s="32"/>
      <c r="O666" s="41"/>
      <c r="P666" s="32"/>
      <c r="R666" s="32"/>
      <c r="S666" s="41"/>
    </row>
    <row r="667" spans="1:19" s="30" customFormat="1" x14ac:dyDescent="0.25">
      <c r="A667" s="36"/>
      <c r="B667" s="31"/>
      <c r="C667" s="31"/>
      <c r="D667" s="32"/>
      <c r="H667" s="32"/>
      <c r="J667" s="32"/>
      <c r="K667" s="41"/>
      <c r="L667" s="32"/>
      <c r="N667" s="32"/>
      <c r="O667" s="41"/>
      <c r="P667" s="32"/>
      <c r="R667" s="32"/>
      <c r="S667" s="41"/>
    </row>
    <row r="668" spans="1:19" s="30" customFormat="1" x14ac:dyDescent="0.25">
      <c r="A668" s="36"/>
      <c r="B668" s="31"/>
      <c r="C668" s="31"/>
      <c r="D668" s="32"/>
      <c r="H668" s="32"/>
      <c r="J668" s="32"/>
      <c r="K668" s="41"/>
      <c r="L668" s="32"/>
      <c r="N668" s="32"/>
      <c r="O668" s="41"/>
      <c r="P668" s="32"/>
      <c r="R668" s="32"/>
      <c r="S668" s="41"/>
    </row>
    <row r="669" spans="1:19" s="30" customFormat="1" x14ac:dyDescent="0.25">
      <c r="A669" s="36"/>
      <c r="B669" s="31"/>
      <c r="C669" s="31"/>
      <c r="D669" s="32"/>
      <c r="H669" s="32"/>
      <c r="J669" s="32"/>
      <c r="K669" s="41"/>
      <c r="L669" s="32"/>
      <c r="N669" s="32"/>
      <c r="O669" s="41"/>
      <c r="P669" s="32"/>
      <c r="R669" s="32"/>
      <c r="S669" s="41"/>
    </row>
    <row r="670" spans="1:19" s="30" customFormat="1" x14ac:dyDescent="0.25">
      <c r="A670" s="36"/>
      <c r="B670" s="31"/>
      <c r="C670" s="31"/>
      <c r="D670" s="32"/>
      <c r="H670" s="32"/>
      <c r="J670" s="32"/>
      <c r="K670" s="41"/>
      <c r="L670" s="32"/>
      <c r="N670" s="32"/>
      <c r="O670" s="41"/>
      <c r="P670" s="32"/>
      <c r="R670" s="32"/>
      <c r="S670" s="41"/>
    </row>
    <row r="671" spans="1:19" s="30" customFormat="1" x14ac:dyDescent="0.25">
      <c r="A671" s="36"/>
      <c r="B671" s="31"/>
      <c r="C671" s="31"/>
      <c r="D671" s="32"/>
      <c r="H671" s="32"/>
      <c r="J671" s="32"/>
      <c r="K671" s="41"/>
      <c r="L671" s="32"/>
      <c r="N671" s="32"/>
      <c r="O671" s="41"/>
      <c r="P671" s="32"/>
      <c r="R671" s="32"/>
      <c r="S671" s="41"/>
    </row>
    <row r="672" spans="1:19" s="30" customFormat="1" x14ac:dyDescent="0.25">
      <c r="A672" s="36"/>
      <c r="B672" s="31"/>
      <c r="C672" s="31"/>
      <c r="D672" s="32"/>
      <c r="H672" s="32"/>
      <c r="J672" s="32"/>
      <c r="K672" s="41"/>
      <c r="L672" s="32"/>
      <c r="N672" s="32"/>
      <c r="O672" s="41"/>
      <c r="P672" s="32"/>
      <c r="R672" s="32"/>
      <c r="S672" s="41"/>
    </row>
    <row r="673" spans="1:19" s="30" customFormat="1" x14ac:dyDescent="0.25">
      <c r="A673" s="36"/>
      <c r="B673" s="31"/>
      <c r="C673" s="31"/>
      <c r="D673" s="32"/>
      <c r="H673" s="32"/>
      <c r="J673" s="32"/>
      <c r="K673" s="41"/>
      <c r="L673" s="32"/>
      <c r="N673" s="32"/>
      <c r="O673" s="41"/>
      <c r="P673" s="32"/>
      <c r="R673" s="32"/>
      <c r="S673" s="41"/>
    </row>
    <row r="674" spans="1:19" s="30" customFormat="1" x14ac:dyDescent="0.25">
      <c r="A674" s="36"/>
      <c r="B674" s="31"/>
      <c r="C674" s="31"/>
      <c r="D674" s="32"/>
      <c r="H674" s="32"/>
      <c r="J674" s="32"/>
      <c r="K674" s="41"/>
      <c r="L674" s="32"/>
      <c r="N674" s="32"/>
      <c r="O674" s="41"/>
      <c r="P674" s="32"/>
      <c r="R674" s="32"/>
      <c r="S674" s="41"/>
    </row>
    <row r="675" spans="1:19" s="30" customFormat="1" x14ac:dyDescent="0.25">
      <c r="A675" s="36"/>
      <c r="B675" s="31"/>
      <c r="C675" s="31"/>
      <c r="D675" s="32"/>
      <c r="H675" s="32"/>
      <c r="J675" s="32"/>
      <c r="K675" s="41"/>
      <c r="L675" s="32"/>
      <c r="N675" s="32"/>
      <c r="O675" s="41"/>
      <c r="P675" s="32"/>
      <c r="R675" s="32"/>
      <c r="S675" s="41"/>
    </row>
    <row r="676" spans="1:19" s="30" customFormat="1" x14ac:dyDescent="0.25">
      <c r="A676" s="36"/>
      <c r="B676" s="31"/>
      <c r="C676" s="31"/>
      <c r="D676" s="32"/>
      <c r="H676" s="32"/>
      <c r="J676" s="32"/>
      <c r="K676" s="41"/>
      <c r="L676" s="32"/>
      <c r="N676" s="32"/>
      <c r="O676" s="41"/>
      <c r="P676" s="32"/>
      <c r="R676" s="32"/>
      <c r="S676" s="41"/>
    </row>
    <row r="677" spans="1:19" s="30" customFormat="1" x14ac:dyDescent="0.25">
      <c r="A677" s="36"/>
      <c r="B677" s="31"/>
      <c r="C677" s="31"/>
      <c r="D677" s="32"/>
      <c r="H677" s="32"/>
      <c r="J677" s="32"/>
      <c r="K677" s="41"/>
      <c r="L677" s="32"/>
      <c r="N677" s="32"/>
      <c r="O677" s="41"/>
      <c r="P677" s="32"/>
      <c r="R677" s="32"/>
      <c r="S677" s="41"/>
    </row>
    <row r="678" spans="1:19" s="30" customFormat="1" x14ac:dyDescent="0.25">
      <c r="A678" s="36"/>
      <c r="B678" s="31"/>
      <c r="C678" s="31"/>
      <c r="D678" s="32"/>
      <c r="H678" s="32"/>
      <c r="J678" s="32"/>
      <c r="K678" s="41"/>
      <c r="L678" s="32"/>
      <c r="N678" s="32"/>
      <c r="O678" s="41"/>
      <c r="P678" s="32"/>
      <c r="R678" s="32"/>
      <c r="S678" s="41"/>
    </row>
    <row r="679" spans="1:19" s="30" customFormat="1" x14ac:dyDescent="0.25">
      <c r="A679" s="36"/>
      <c r="B679" s="31"/>
      <c r="C679" s="31"/>
      <c r="D679" s="32"/>
      <c r="H679" s="32"/>
      <c r="J679" s="32"/>
      <c r="K679" s="41"/>
      <c r="L679" s="32"/>
      <c r="N679" s="32"/>
      <c r="O679" s="41"/>
      <c r="P679" s="32"/>
      <c r="R679" s="32"/>
      <c r="S679" s="41"/>
    </row>
    <row r="680" spans="1:19" s="30" customFormat="1" x14ac:dyDescent="0.25">
      <c r="A680" s="36"/>
      <c r="B680" s="31"/>
      <c r="C680" s="31"/>
      <c r="D680" s="32"/>
      <c r="H680" s="32"/>
      <c r="J680" s="32"/>
      <c r="K680" s="41"/>
      <c r="L680" s="32"/>
      <c r="N680" s="32"/>
      <c r="O680" s="41"/>
      <c r="P680" s="32"/>
      <c r="R680" s="32"/>
      <c r="S680" s="41"/>
    </row>
    <row r="681" spans="1:19" s="30" customFormat="1" x14ac:dyDescent="0.25">
      <c r="A681" s="36"/>
      <c r="B681" s="31"/>
      <c r="C681" s="31"/>
      <c r="D681" s="32"/>
      <c r="H681" s="32"/>
      <c r="J681" s="32"/>
      <c r="K681" s="41"/>
      <c r="L681" s="32"/>
      <c r="N681" s="32"/>
      <c r="O681" s="41"/>
      <c r="P681" s="32"/>
      <c r="R681" s="32"/>
      <c r="S681" s="41"/>
    </row>
    <row r="682" spans="1:19" s="30" customFormat="1" x14ac:dyDescent="0.25">
      <c r="A682" s="36"/>
      <c r="B682" s="31"/>
      <c r="C682" s="31"/>
      <c r="D682" s="32"/>
      <c r="H682" s="32"/>
      <c r="J682" s="32"/>
      <c r="K682" s="41"/>
      <c r="L682" s="32"/>
      <c r="N682" s="32"/>
      <c r="O682" s="41"/>
      <c r="P682" s="32"/>
      <c r="R682" s="32"/>
      <c r="S682" s="41"/>
    </row>
    <row r="683" spans="1:19" s="30" customFormat="1" x14ac:dyDescent="0.25">
      <c r="A683" s="36"/>
      <c r="B683" s="31"/>
      <c r="C683" s="31"/>
      <c r="D683" s="32"/>
      <c r="H683" s="32"/>
      <c r="J683" s="32"/>
      <c r="K683" s="41"/>
      <c r="L683" s="32"/>
      <c r="N683" s="32"/>
      <c r="O683" s="41"/>
      <c r="P683" s="32"/>
      <c r="R683" s="32"/>
      <c r="S683" s="41"/>
    </row>
    <row r="684" spans="1:19" s="30" customFormat="1" x14ac:dyDescent="0.25">
      <c r="A684" s="36"/>
      <c r="B684" s="31"/>
      <c r="C684" s="31"/>
      <c r="D684" s="32"/>
      <c r="H684" s="32"/>
      <c r="J684" s="32"/>
      <c r="K684" s="41"/>
      <c r="L684" s="32"/>
      <c r="N684" s="32"/>
      <c r="O684" s="41"/>
      <c r="P684" s="32"/>
      <c r="R684" s="32"/>
      <c r="S684" s="41"/>
    </row>
    <row r="685" spans="1:19" s="30" customFormat="1" x14ac:dyDescent="0.25">
      <c r="A685" s="36"/>
      <c r="B685" s="31"/>
      <c r="C685" s="31"/>
      <c r="D685" s="32"/>
      <c r="H685" s="32"/>
      <c r="J685" s="32"/>
      <c r="K685" s="41"/>
      <c r="L685" s="32"/>
      <c r="N685" s="32"/>
      <c r="O685" s="41"/>
      <c r="P685" s="32"/>
      <c r="R685" s="32"/>
      <c r="S685" s="41"/>
    </row>
    <row r="686" spans="1:19" s="30" customFormat="1" x14ac:dyDescent="0.25">
      <c r="A686" s="36"/>
      <c r="B686" s="31"/>
      <c r="C686" s="31"/>
      <c r="D686" s="32"/>
      <c r="H686" s="32"/>
      <c r="J686" s="32"/>
      <c r="K686" s="41"/>
      <c r="L686" s="32"/>
      <c r="N686" s="32"/>
      <c r="O686" s="41"/>
      <c r="P686" s="32"/>
      <c r="R686" s="32"/>
      <c r="S686" s="41"/>
    </row>
    <row r="687" spans="1:19" s="30" customFormat="1" x14ac:dyDescent="0.25">
      <c r="A687" s="36"/>
      <c r="B687" s="31"/>
      <c r="C687" s="31"/>
      <c r="D687" s="32"/>
      <c r="H687" s="32"/>
      <c r="J687" s="32"/>
      <c r="K687" s="41"/>
      <c r="L687" s="32"/>
      <c r="N687" s="32"/>
      <c r="O687" s="41"/>
      <c r="P687" s="32"/>
      <c r="R687" s="32"/>
      <c r="S687" s="41"/>
    </row>
    <row r="688" spans="1:19" s="30" customFormat="1" x14ac:dyDescent="0.25">
      <c r="A688" s="36"/>
      <c r="B688" s="31"/>
      <c r="C688" s="31"/>
      <c r="D688" s="32"/>
      <c r="H688" s="32"/>
      <c r="J688" s="32"/>
      <c r="K688" s="41"/>
      <c r="L688" s="32"/>
      <c r="N688" s="32"/>
      <c r="O688" s="41"/>
      <c r="P688" s="32"/>
      <c r="R688" s="32"/>
      <c r="S688" s="41"/>
    </row>
    <row r="689" spans="1:19" s="30" customFormat="1" x14ac:dyDescent="0.25">
      <c r="A689" s="36"/>
      <c r="B689" s="31"/>
      <c r="C689" s="31"/>
      <c r="D689" s="32"/>
      <c r="H689" s="32"/>
      <c r="J689" s="32"/>
      <c r="K689" s="41"/>
      <c r="L689" s="32"/>
      <c r="N689" s="32"/>
      <c r="O689" s="41"/>
      <c r="P689" s="32"/>
      <c r="R689" s="32"/>
      <c r="S689" s="41"/>
    </row>
    <row r="690" spans="1:19" s="30" customFormat="1" x14ac:dyDescent="0.25">
      <c r="A690" s="36"/>
      <c r="B690" s="31"/>
      <c r="C690" s="31"/>
      <c r="D690" s="32"/>
      <c r="H690" s="32"/>
      <c r="J690" s="32"/>
      <c r="K690" s="41"/>
      <c r="L690" s="32"/>
      <c r="N690" s="32"/>
      <c r="O690" s="41"/>
      <c r="P690" s="32"/>
      <c r="R690" s="32"/>
      <c r="S690" s="41"/>
    </row>
    <row r="691" spans="1:19" s="30" customFormat="1" x14ac:dyDescent="0.25">
      <c r="A691" s="36"/>
      <c r="B691" s="31"/>
      <c r="C691" s="31"/>
      <c r="D691" s="32"/>
      <c r="H691" s="32"/>
      <c r="J691" s="32"/>
      <c r="K691" s="41"/>
      <c r="L691" s="32"/>
      <c r="N691" s="32"/>
      <c r="O691" s="41"/>
      <c r="P691" s="32"/>
      <c r="R691" s="32"/>
      <c r="S691" s="41"/>
    </row>
    <row r="692" spans="1:19" s="30" customFormat="1" x14ac:dyDescent="0.25">
      <c r="A692" s="36"/>
      <c r="B692" s="31"/>
      <c r="C692" s="31"/>
      <c r="D692" s="32"/>
      <c r="H692" s="32"/>
      <c r="J692" s="32"/>
      <c r="K692" s="41"/>
      <c r="L692" s="32"/>
      <c r="N692" s="32"/>
      <c r="O692" s="41"/>
      <c r="P692" s="32"/>
      <c r="R692" s="32"/>
      <c r="S692" s="41"/>
    </row>
    <row r="693" spans="1:19" s="30" customFormat="1" x14ac:dyDescent="0.25">
      <c r="A693" s="36"/>
      <c r="B693" s="31"/>
      <c r="C693" s="31"/>
      <c r="D693" s="32"/>
      <c r="H693" s="32"/>
      <c r="J693" s="32"/>
      <c r="K693" s="41"/>
      <c r="L693" s="32"/>
      <c r="N693" s="32"/>
      <c r="O693" s="41"/>
      <c r="P693" s="32"/>
      <c r="R693" s="32"/>
      <c r="S693" s="41"/>
    </row>
    <row r="694" spans="1:19" s="30" customFormat="1" x14ac:dyDescent="0.25">
      <c r="A694" s="36"/>
      <c r="B694" s="31"/>
      <c r="C694" s="31"/>
      <c r="D694" s="32"/>
      <c r="H694" s="32"/>
      <c r="J694" s="32"/>
      <c r="K694" s="41"/>
      <c r="L694" s="32"/>
      <c r="N694" s="32"/>
      <c r="O694" s="41"/>
      <c r="P694" s="32"/>
      <c r="R694" s="32"/>
      <c r="S694" s="41"/>
    </row>
    <row r="695" spans="1:19" s="30" customFormat="1" x14ac:dyDescent="0.25">
      <c r="A695" s="36"/>
      <c r="B695" s="31"/>
      <c r="C695" s="31"/>
      <c r="D695" s="32"/>
      <c r="H695" s="32"/>
      <c r="J695" s="32"/>
      <c r="K695" s="41"/>
      <c r="L695" s="32"/>
      <c r="N695" s="32"/>
      <c r="O695" s="41"/>
      <c r="P695" s="32"/>
      <c r="R695" s="32"/>
      <c r="S695" s="41"/>
    </row>
    <row r="696" spans="1:19" s="30" customFormat="1" x14ac:dyDescent="0.25">
      <c r="A696" s="36"/>
      <c r="B696" s="31"/>
      <c r="C696" s="31"/>
      <c r="D696" s="32"/>
      <c r="H696" s="32"/>
      <c r="J696" s="32"/>
      <c r="K696" s="41"/>
      <c r="L696" s="32"/>
      <c r="N696" s="32"/>
      <c r="O696" s="41"/>
      <c r="P696" s="32"/>
      <c r="R696" s="32"/>
      <c r="S696" s="41"/>
    </row>
    <row r="697" spans="1:19" s="30" customFormat="1" x14ac:dyDescent="0.25">
      <c r="A697" s="36"/>
      <c r="B697" s="31"/>
      <c r="C697" s="31"/>
      <c r="D697" s="32"/>
      <c r="H697" s="32"/>
      <c r="J697" s="32"/>
      <c r="K697" s="41"/>
      <c r="L697" s="32"/>
      <c r="N697" s="32"/>
      <c r="O697" s="41"/>
      <c r="P697" s="32"/>
      <c r="R697" s="32"/>
      <c r="S697" s="41"/>
    </row>
    <row r="698" spans="1:19" s="30" customFormat="1" x14ac:dyDescent="0.25">
      <c r="A698" s="36"/>
      <c r="B698" s="31"/>
      <c r="C698" s="31"/>
      <c r="D698" s="32"/>
      <c r="H698" s="32"/>
      <c r="J698" s="32"/>
      <c r="K698" s="41"/>
      <c r="L698" s="32"/>
      <c r="N698" s="32"/>
      <c r="O698" s="41"/>
      <c r="P698" s="32"/>
      <c r="R698" s="32"/>
      <c r="S698" s="41"/>
    </row>
    <row r="699" spans="1:19" s="30" customFormat="1" x14ac:dyDescent="0.25">
      <c r="A699" s="36"/>
      <c r="B699" s="31"/>
      <c r="C699" s="31"/>
      <c r="D699" s="32"/>
      <c r="H699" s="32"/>
      <c r="J699" s="32"/>
      <c r="K699" s="41"/>
      <c r="L699" s="32"/>
      <c r="N699" s="32"/>
      <c r="O699" s="41"/>
      <c r="P699" s="32"/>
      <c r="R699" s="32"/>
      <c r="S699" s="41"/>
    </row>
    <row r="700" spans="1:19" s="30" customFormat="1" x14ac:dyDescent="0.25">
      <c r="A700" s="36"/>
      <c r="B700" s="31"/>
      <c r="C700" s="31"/>
      <c r="D700" s="32"/>
      <c r="H700" s="32"/>
      <c r="J700" s="32"/>
      <c r="K700" s="41"/>
      <c r="L700" s="32"/>
      <c r="N700" s="32"/>
      <c r="O700" s="41"/>
      <c r="P700" s="32"/>
      <c r="R700" s="32"/>
      <c r="S700" s="41"/>
    </row>
    <row r="701" spans="1:19" s="30" customFormat="1" x14ac:dyDescent="0.25">
      <c r="A701" s="36"/>
      <c r="B701" s="31"/>
      <c r="C701" s="31"/>
      <c r="D701" s="32"/>
      <c r="H701" s="32"/>
      <c r="J701" s="32"/>
      <c r="K701" s="41"/>
      <c r="L701" s="32"/>
      <c r="N701" s="32"/>
      <c r="O701" s="41"/>
      <c r="P701" s="32"/>
      <c r="R701" s="32"/>
      <c r="S701" s="41"/>
    </row>
    <row r="702" spans="1:19" s="30" customFormat="1" x14ac:dyDescent="0.25">
      <c r="A702" s="36"/>
      <c r="B702" s="31"/>
      <c r="C702" s="31"/>
      <c r="D702" s="32"/>
      <c r="H702" s="32"/>
      <c r="J702" s="32"/>
      <c r="K702" s="41"/>
      <c r="L702" s="32"/>
      <c r="N702" s="32"/>
      <c r="O702" s="41"/>
      <c r="P702" s="32"/>
      <c r="R702" s="32"/>
      <c r="S702" s="41"/>
    </row>
    <row r="703" spans="1:19" s="30" customFormat="1" x14ac:dyDescent="0.25">
      <c r="A703" s="36"/>
      <c r="B703" s="31"/>
      <c r="C703" s="31"/>
      <c r="D703" s="32"/>
      <c r="H703" s="32"/>
      <c r="J703" s="32"/>
      <c r="K703" s="41"/>
      <c r="L703" s="32"/>
      <c r="N703" s="32"/>
      <c r="O703" s="41"/>
      <c r="P703" s="32"/>
      <c r="R703" s="32"/>
      <c r="S703" s="41"/>
    </row>
    <row r="704" spans="1:19" s="30" customFormat="1" x14ac:dyDescent="0.25">
      <c r="A704" s="36"/>
      <c r="B704" s="31"/>
      <c r="C704" s="31"/>
      <c r="D704" s="32"/>
      <c r="H704" s="32"/>
      <c r="J704" s="32"/>
      <c r="K704" s="41"/>
      <c r="L704" s="32"/>
      <c r="N704" s="32"/>
      <c r="O704" s="41"/>
      <c r="P704" s="32"/>
      <c r="R704" s="32"/>
      <c r="S704" s="41"/>
    </row>
    <row r="705" spans="1:19" s="30" customFormat="1" x14ac:dyDescent="0.25">
      <c r="A705" s="36"/>
      <c r="B705" s="31"/>
      <c r="C705" s="31"/>
      <c r="D705" s="32"/>
      <c r="H705" s="32"/>
      <c r="J705" s="32"/>
      <c r="K705" s="41"/>
      <c r="L705" s="32"/>
      <c r="N705" s="32"/>
      <c r="O705" s="41"/>
      <c r="P705" s="32"/>
      <c r="R705" s="32"/>
      <c r="S705" s="41"/>
    </row>
    <row r="706" spans="1:19" s="30" customFormat="1" x14ac:dyDescent="0.25">
      <c r="A706" s="36"/>
      <c r="B706" s="31"/>
      <c r="C706" s="31"/>
      <c r="D706" s="32"/>
      <c r="H706" s="32"/>
      <c r="J706" s="32"/>
      <c r="K706" s="41"/>
      <c r="L706" s="32"/>
      <c r="N706" s="32"/>
      <c r="O706" s="41"/>
      <c r="P706" s="32"/>
      <c r="R706" s="32"/>
      <c r="S706" s="41"/>
    </row>
    <row r="707" spans="1:19" s="30" customFormat="1" x14ac:dyDescent="0.25">
      <c r="A707" s="36"/>
      <c r="B707" s="31"/>
      <c r="C707" s="31"/>
      <c r="D707" s="32"/>
      <c r="H707" s="32"/>
      <c r="J707" s="32"/>
      <c r="K707" s="41"/>
      <c r="L707" s="32"/>
      <c r="N707" s="32"/>
      <c r="O707" s="41"/>
      <c r="P707" s="32"/>
      <c r="R707" s="32"/>
      <c r="S707" s="41"/>
    </row>
    <row r="708" spans="1:19" s="30" customFormat="1" x14ac:dyDescent="0.25">
      <c r="A708" s="36"/>
      <c r="B708" s="31"/>
      <c r="C708" s="31"/>
      <c r="D708" s="32"/>
      <c r="H708" s="32"/>
      <c r="J708" s="32"/>
      <c r="K708" s="41"/>
      <c r="L708" s="32"/>
      <c r="N708" s="32"/>
      <c r="O708" s="41"/>
      <c r="P708" s="32"/>
      <c r="R708" s="32"/>
      <c r="S708" s="41"/>
    </row>
    <row r="709" spans="1:19" s="30" customFormat="1" x14ac:dyDescent="0.25">
      <c r="A709" s="36"/>
      <c r="B709" s="31"/>
      <c r="C709" s="31"/>
      <c r="D709" s="32"/>
      <c r="H709" s="32"/>
      <c r="J709" s="32"/>
      <c r="K709" s="41"/>
      <c r="L709" s="32"/>
      <c r="N709" s="32"/>
      <c r="O709" s="41"/>
      <c r="P709" s="32"/>
      <c r="R709" s="32"/>
      <c r="S709" s="41"/>
    </row>
    <row r="710" spans="1:19" s="30" customFormat="1" x14ac:dyDescent="0.25">
      <c r="A710" s="36"/>
      <c r="B710" s="31"/>
      <c r="C710" s="31"/>
      <c r="D710" s="32"/>
      <c r="H710" s="32"/>
      <c r="J710" s="32"/>
      <c r="K710" s="41"/>
      <c r="L710" s="32"/>
      <c r="N710" s="32"/>
      <c r="O710" s="41"/>
      <c r="P710" s="32"/>
      <c r="R710" s="32"/>
      <c r="S710" s="41"/>
    </row>
    <row r="711" spans="1:19" s="30" customFormat="1" x14ac:dyDescent="0.25">
      <c r="A711" s="36"/>
      <c r="B711" s="31"/>
      <c r="C711" s="31"/>
      <c r="D711" s="32"/>
      <c r="H711" s="32"/>
      <c r="J711" s="32"/>
      <c r="K711" s="41"/>
      <c r="L711" s="32"/>
      <c r="N711" s="32"/>
      <c r="O711" s="41"/>
      <c r="P711" s="32"/>
      <c r="R711" s="32"/>
      <c r="S711" s="41"/>
    </row>
    <row r="712" spans="1:19" s="30" customFormat="1" x14ac:dyDescent="0.25">
      <c r="A712" s="36"/>
      <c r="B712" s="31"/>
      <c r="C712" s="31"/>
      <c r="D712" s="32"/>
      <c r="H712" s="32"/>
      <c r="J712" s="32"/>
      <c r="K712" s="41"/>
      <c r="L712" s="32"/>
      <c r="N712" s="32"/>
      <c r="O712" s="41"/>
      <c r="P712" s="32"/>
      <c r="R712" s="32"/>
      <c r="S712" s="41"/>
    </row>
    <row r="713" spans="1:19" s="30" customFormat="1" x14ac:dyDescent="0.25">
      <c r="A713" s="36"/>
      <c r="B713" s="31"/>
      <c r="C713" s="31"/>
      <c r="D713" s="32"/>
      <c r="H713" s="32"/>
      <c r="J713" s="32"/>
      <c r="K713" s="41"/>
      <c r="L713" s="32"/>
      <c r="N713" s="32"/>
      <c r="O713" s="41"/>
      <c r="P713" s="32"/>
      <c r="R713" s="32"/>
      <c r="S713" s="41"/>
    </row>
    <row r="714" spans="1:19" s="30" customFormat="1" x14ac:dyDescent="0.25">
      <c r="A714" s="36"/>
      <c r="B714" s="31"/>
      <c r="C714" s="31"/>
      <c r="D714" s="32"/>
      <c r="H714" s="32"/>
      <c r="J714" s="32"/>
      <c r="K714" s="41"/>
      <c r="L714" s="32"/>
      <c r="N714" s="32"/>
      <c r="O714" s="41"/>
      <c r="P714" s="32"/>
      <c r="R714" s="32"/>
      <c r="S714" s="41"/>
    </row>
    <row r="715" spans="1:19" s="30" customFormat="1" x14ac:dyDescent="0.25">
      <c r="A715" s="36"/>
      <c r="B715" s="31"/>
      <c r="C715" s="31"/>
      <c r="D715" s="32"/>
      <c r="H715" s="32"/>
      <c r="J715" s="32"/>
      <c r="K715" s="41"/>
      <c r="L715" s="32"/>
      <c r="N715" s="32"/>
      <c r="O715" s="41"/>
      <c r="P715" s="32"/>
      <c r="R715" s="32"/>
      <c r="S715" s="41"/>
    </row>
    <row r="716" spans="1:19" s="30" customFormat="1" x14ac:dyDescent="0.25">
      <c r="A716" s="36"/>
      <c r="B716" s="31"/>
      <c r="C716" s="31"/>
      <c r="D716" s="32"/>
      <c r="H716" s="32"/>
      <c r="J716" s="32"/>
      <c r="K716" s="41"/>
      <c r="L716" s="32"/>
      <c r="N716" s="32"/>
      <c r="O716" s="41"/>
      <c r="P716" s="32"/>
      <c r="R716" s="32"/>
      <c r="S716" s="41"/>
    </row>
    <row r="717" spans="1:19" s="30" customFormat="1" x14ac:dyDescent="0.25">
      <c r="A717" s="36"/>
      <c r="B717" s="31"/>
      <c r="C717" s="31"/>
      <c r="D717" s="32"/>
      <c r="H717" s="32"/>
      <c r="J717" s="32"/>
      <c r="K717" s="41"/>
      <c r="L717" s="32"/>
      <c r="N717" s="32"/>
      <c r="O717" s="41"/>
      <c r="P717" s="32"/>
      <c r="R717" s="32"/>
      <c r="S717" s="41"/>
    </row>
    <row r="718" spans="1:19" s="30" customFormat="1" x14ac:dyDescent="0.25">
      <c r="A718" s="36"/>
      <c r="B718" s="31"/>
      <c r="C718" s="31"/>
      <c r="D718" s="32"/>
      <c r="H718" s="32"/>
      <c r="J718" s="32"/>
      <c r="K718" s="41"/>
      <c r="L718" s="32"/>
      <c r="N718" s="32"/>
      <c r="O718" s="41"/>
      <c r="P718" s="32"/>
      <c r="R718" s="32"/>
      <c r="S718" s="41"/>
    </row>
    <row r="719" spans="1:19" s="30" customFormat="1" x14ac:dyDescent="0.25">
      <c r="A719" s="36"/>
      <c r="B719" s="31"/>
      <c r="C719" s="31"/>
      <c r="D719" s="32"/>
      <c r="H719" s="32"/>
      <c r="J719" s="32"/>
      <c r="K719" s="41"/>
      <c r="L719" s="32"/>
      <c r="N719" s="32"/>
      <c r="O719" s="41"/>
      <c r="P719" s="32"/>
      <c r="R719" s="32"/>
      <c r="S719" s="41"/>
    </row>
    <row r="720" spans="1:19" s="30" customFormat="1" x14ac:dyDescent="0.25">
      <c r="A720" s="36"/>
      <c r="B720" s="31"/>
      <c r="C720" s="31"/>
      <c r="D720" s="32"/>
      <c r="H720" s="32"/>
      <c r="J720" s="32"/>
      <c r="K720" s="41"/>
      <c r="L720" s="32"/>
      <c r="N720" s="32"/>
      <c r="O720" s="41"/>
      <c r="P720" s="32"/>
      <c r="R720" s="32"/>
      <c r="S720" s="41"/>
    </row>
    <row r="721" spans="1:19" s="30" customFormat="1" x14ac:dyDescent="0.25">
      <c r="A721" s="36"/>
      <c r="B721" s="31"/>
      <c r="C721" s="31"/>
      <c r="D721" s="32"/>
      <c r="H721" s="32"/>
      <c r="J721" s="32"/>
      <c r="K721" s="41"/>
      <c r="L721" s="32"/>
      <c r="N721" s="32"/>
      <c r="O721" s="41"/>
      <c r="P721" s="32"/>
      <c r="R721" s="32"/>
      <c r="S721" s="41"/>
    </row>
    <row r="722" spans="1:19" s="30" customFormat="1" x14ac:dyDescent="0.25">
      <c r="A722" s="36"/>
      <c r="B722" s="31"/>
      <c r="C722" s="31"/>
      <c r="D722" s="32"/>
      <c r="H722" s="32"/>
      <c r="J722" s="32"/>
      <c r="K722" s="41"/>
      <c r="L722" s="32"/>
      <c r="N722" s="32"/>
      <c r="O722" s="41"/>
      <c r="P722" s="32"/>
      <c r="R722" s="32"/>
      <c r="S722" s="41"/>
    </row>
    <row r="723" spans="1:19" s="30" customFormat="1" x14ac:dyDescent="0.25">
      <c r="A723" s="36"/>
      <c r="B723" s="31"/>
      <c r="C723" s="31"/>
      <c r="D723" s="32"/>
      <c r="H723" s="32"/>
      <c r="J723" s="32"/>
      <c r="K723" s="41"/>
      <c r="L723" s="32"/>
      <c r="N723" s="32"/>
      <c r="O723" s="41"/>
      <c r="P723" s="32"/>
      <c r="R723" s="32"/>
      <c r="S723" s="41"/>
    </row>
    <row r="724" spans="1:19" s="30" customFormat="1" x14ac:dyDescent="0.25">
      <c r="A724" s="36"/>
      <c r="B724" s="31"/>
      <c r="C724" s="31"/>
      <c r="D724" s="32"/>
      <c r="H724" s="32"/>
      <c r="J724" s="32"/>
      <c r="K724" s="41"/>
      <c r="L724" s="32"/>
      <c r="N724" s="32"/>
      <c r="O724" s="41"/>
      <c r="P724" s="32"/>
      <c r="R724" s="32"/>
      <c r="S724" s="41"/>
    </row>
    <row r="725" spans="1:19" s="30" customFormat="1" x14ac:dyDescent="0.25">
      <c r="A725" s="36"/>
      <c r="B725" s="31"/>
      <c r="C725" s="31"/>
      <c r="D725" s="32"/>
      <c r="H725" s="32"/>
      <c r="J725" s="32"/>
      <c r="K725" s="41"/>
      <c r="L725" s="32"/>
      <c r="N725" s="32"/>
      <c r="O725" s="41"/>
      <c r="P725" s="32"/>
      <c r="R725" s="32"/>
      <c r="S725" s="41"/>
    </row>
    <row r="726" spans="1:19" s="30" customFormat="1" x14ac:dyDescent="0.25">
      <c r="A726" s="36"/>
      <c r="B726" s="31"/>
      <c r="C726" s="31"/>
      <c r="D726" s="32"/>
      <c r="H726" s="32"/>
      <c r="J726" s="32"/>
      <c r="K726" s="41"/>
      <c r="L726" s="32"/>
      <c r="N726" s="32"/>
      <c r="O726" s="41"/>
      <c r="P726" s="32"/>
      <c r="R726" s="32"/>
      <c r="S726" s="41"/>
    </row>
    <row r="727" spans="1:19" s="30" customFormat="1" x14ac:dyDescent="0.25">
      <c r="A727" s="36"/>
      <c r="B727" s="31"/>
      <c r="C727" s="31"/>
      <c r="D727" s="32"/>
      <c r="H727" s="32"/>
      <c r="J727" s="32"/>
      <c r="K727" s="41"/>
      <c r="L727" s="32"/>
      <c r="N727" s="32"/>
      <c r="O727" s="41"/>
      <c r="P727" s="32"/>
      <c r="R727" s="32"/>
      <c r="S727" s="41"/>
    </row>
    <row r="728" spans="1:19" s="30" customFormat="1" x14ac:dyDescent="0.25">
      <c r="A728" s="36"/>
      <c r="B728" s="31"/>
      <c r="C728" s="31"/>
      <c r="D728" s="32"/>
      <c r="H728" s="32"/>
      <c r="J728" s="32"/>
      <c r="K728" s="41"/>
      <c r="L728" s="32"/>
      <c r="N728" s="32"/>
      <c r="O728" s="41"/>
      <c r="P728" s="32"/>
      <c r="R728" s="32"/>
      <c r="S728" s="41"/>
    </row>
    <row r="729" spans="1:19" s="30" customFormat="1" x14ac:dyDescent="0.25">
      <c r="A729" s="36"/>
      <c r="B729" s="31"/>
      <c r="C729" s="31"/>
      <c r="D729" s="32"/>
      <c r="H729" s="32"/>
      <c r="J729" s="32"/>
      <c r="K729" s="41"/>
      <c r="L729" s="32"/>
      <c r="N729" s="32"/>
      <c r="O729" s="41"/>
      <c r="P729" s="32"/>
      <c r="R729" s="32"/>
      <c r="S729" s="41"/>
    </row>
    <row r="730" spans="1:19" s="30" customFormat="1" x14ac:dyDescent="0.25">
      <c r="A730" s="36"/>
      <c r="B730" s="31"/>
      <c r="C730" s="31"/>
      <c r="D730" s="32"/>
      <c r="H730" s="32"/>
      <c r="J730" s="32"/>
      <c r="K730" s="41"/>
      <c r="L730" s="32"/>
      <c r="N730" s="32"/>
      <c r="O730" s="41"/>
      <c r="P730" s="32"/>
      <c r="R730" s="32"/>
      <c r="S730" s="41"/>
    </row>
    <row r="731" spans="1:19" s="30" customFormat="1" x14ac:dyDescent="0.25">
      <c r="A731" s="36"/>
      <c r="B731" s="31"/>
      <c r="C731" s="31"/>
      <c r="D731" s="32"/>
      <c r="H731" s="32"/>
      <c r="J731" s="32"/>
      <c r="K731" s="41"/>
      <c r="L731" s="32"/>
      <c r="N731" s="32"/>
      <c r="O731" s="41"/>
      <c r="P731" s="32"/>
      <c r="R731" s="32"/>
      <c r="S731" s="41"/>
    </row>
    <row r="732" spans="1:19" s="30" customFormat="1" x14ac:dyDescent="0.25">
      <c r="A732" s="36"/>
      <c r="B732" s="31"/>
      <c r="C732" s="31"/>
      <c r="D732" s="32"/>
      <c r="H732" s="32"/>
      <c r="J732" s="32"/>
      <c r="K732" s="41"/>
      <c r="L732" s="32"/>
      <c r="N732" s="32"/>
      <c r="O732" s="41"/>
      <c r="P732" s="32"/>
      <c r="R732" s="32"/>
      <c r="S732" s="41"/>
    </row>
    <row r="733" spans="1:19" s="30" customFormat="1" x14ac:dyDescent="0.25">
      <c r="A733" s="36"/>
      <c r="B733" s="31"/>
      <c r="C733" s="31"/>
      <c r="D733" s="32"/>
      <c r="H733" s="32"/>
      <c r="J733" s="32"/>
      <c r="K733" s="41"/>
      <c r="L733" s="32"/>
      <c r="N733" s="32"/>
      <c r="O733" s="41"/>
      <c r="P733" s="32"/>
      <c r="R733" s="32"/>
      <c r="S733" s="41"/>
    </row>
    <row r="734" spans="1:19" s="30" customFormat="1" x14ac:dyDescent="0.25">
      <c r="A734" s="36"/>
      <c r="B734" s="31"/>
      <c r="C734" s="31"/>
      <c r="D734" s="32"/>
      <c r="H734" s="32"/>
      <c r="J734" s="32"/>
      <c r="K734" s="41"/>
      <c r="L734" s="32"/>
      <c r="N734" s="32"/>
      <c r="O734" s="41"/>
      <c r="P734" s="32"/>
      <c r="R734" s="32"/>
      <c r="S734" s="41"/>
    </row>
    <row r="735" spans="1:19" s="30" customFormat="1" x14ac:dyDescent="0.25">
      <c r="A735" s="36"/>
      <c r="B735" s="31"/>
      <c r="C735" s="31"/>
      <c r="D735" s="32"/>
      <c r="H735" s="32"/>
      <c r="J735" s="32"/>
      <c r="K735" s="41"/>
      <c r="L735" s="32"/>
      <c r="N735" s="32"/>
      <c r="O735" s="41"/>
      <c r="P735" s="32"/>
      <c r="R735" s="32"/>
      <c r="S735" s="41"/>
    </row>
    <row r="736" spans="1:19" s="30" customFormat="1" x14ac:dyDescent="0.25">
      <c r="A736" s="36"/>
      <c r="B736" s="31"/>
      <c r="C736" s="31"/>
      <c r="D736" s="32"/>
      <c r="H736" s="32"/>
      <c r="J736" s="32"/>
      <c r="K736" s="41"/>
      <c r="L736" s="32"/>
      <c r="N736" s="32"/>
      <c r="O736" s="41"/>
      <c r="P736" s="32"/>
      <c r="R736" s="32"/>
      <c r="S736" s="41"/>
    </row>
    <row r="737" spans="1:19" s="30" customFormat="1" x14ac:dyDescent="0.25">
      <c r="A737" s="36"/>
      <c r="B737" s="31"/>
      <c r="C737" s="31"/>
      <c r="D737" s="32"/>
      <c r="H737" s="32"/>
      <c r="J737" s="32"/>
      <c r="K737" s="41"/>
      <c r="L737" s="32"/>
      <c r="N737" s="32"/>
      <c r="O737" s="41"/>
      <c r="P737" s="32"/>
      <c r="R737" s="32"/>
      <c r="S737" s="41"/>
    </row>
    <row r="738" spans="1:19" s="30" customFormat="1" x14ac:dyDescent="0.25">
      <c r="A738" s="36"/>
      <c r="B738" s="31"/>
      <c r="C738" s="31"/>
      <c r="D738" s="32"/>
      <c r="H738" s="32"/>
      <c r="J738" s="32"/>
      <c r="K738" s="41"/>
      <c r="L738" s="32"/>
      <c r="N738" s="32"/>
      <c r="O738" s="41"/>
      <c r="P738" s="32"/>
      <c r="R738" s="32"/>
      <c r="S738" s="41"/>
    </row>
    <row r="739" spans="1:19" s="30" customFormat="1" x14ac:dyDescent="0.25">
      <c r="A739" s="36"/>
      <c r="B739" s="31"/>
      <c r="C739" s="31"/>
      <c r="D739" s="32"/>
      <c r="H739" s="32"/>
      <c r="J739" s="32"/>
      <c r="K739" s="41"/>
      <c r="L739" s="32"/>
      <c r="N739" s="32"/>
      <c r="O739" s="41"/>
      <c r="P739" s="32"/>
      <c r="R739" s="32"/>
      <c r="S739" s="41"/>
    </row>
    <row r="740" spans="1:19" s="30" customFormat="1" x14ac:dyDescent="0.25">
      <c r="A740" s="36"/>
      <c r="B740" s="31"/>
      <c r="C740" s="31"/>
      <c r="D740" s="32"/>
      <c r="H740" s="32"/>
      <c r="J740" s="32"/>
      <c r="K740" s="41"/>
      <c r="L740" s="32"/>
      <c r="N740" s="32"/>
      <c r="O740" s="41"/>
      <c r="P740" s="32"/>
      <c r="R740" s="32"/>
      <c r="S740" s="41"/>
    </row>
    <row r="741" spans="1:19" s="30" customFormat="1" x14ac:dyDescent="0.25">
      <c r="A741" s="36"/>
      <c r="B741" s="31"/>
      <c r="C741" s="31"/>
      <c r="D741" s="32"/>
      <c r="H741" s="32"/>
      <c r="J741" s="32"/>
      <c r="K741" s="41"/>
      <c r="L741" s="32"/>
      <c r="N741" s="32"/>
      <c r="O741" s="41"/>
      <c r="P741" s="32"/>
      <c r="R741" s="32"/>
      <c r="S741" s="41"/>
    </row>
    <row r="742" spans="1:19" s="30" customFormat="1" x14ac:dyDescent="0.25">
      <c r="A742" s="36"/>
      <c r="B742" s="31"/>
      <c r="C742" s="31"/>
      <c r="D742" s="32"/>
      <c r="H742" s="32"/>
      <c r="J742" s="32"/>
      <c r="K742" s="41"/>
      <c r="L742" s="32"/>
      <c r="N742" s="32"/>
      <c r="O742" s="41"/>
      <c r="P742" s="32"/>
      <c r="R742" s="32"/>
      <c r="S742" s="41"/>
    </row>
    <row r="743" spans="1:19" s="30" customFormat="1" x14ac:dyDescent="0.25">
      <c r="A743" s="36"/>
      <c r="B743" s="31"/>
      <c r="C743" s="31"/>
      <c r="D743" s="32"/>
      <c r="H743" s="32"/>
      <c r="J743" s="32"/>
      <c r="K743" s="41"/>
      <c r="L743" s="32"/>
      <c r="N743" s="32"/>
      <c r="O743" s="41"/>
      <c r="P743" s="32"/>
      <c r="R743" s="32"/>
      <c r="S743" s="41"/>
    </row>
    <row r="744" spans="1:19" s="30" customFormat="1" x14ac:dyDescent="0.25">
      <c r="A744" s="36"/>
      <c r="B744" s="31"/>
      <c r="C744" s="31"/>
      <c r="D744" s="32"/>
      <c r="H744" s="32"/>
      <c r="J744" s="32"/>
      <c r="K744" s="41"/>
      <c r="L744" s="32"/>
      <c r="N744" s="32"/>
      <c r="O744" s="41"/>
      <c r="P744" s="32"/>
      <c r="R744" s="32"/>
      <c r="S744" s="41"/>
    </row>
    <row r="745" spans="1:19" s="30" customFormat="1" x14ac:dyDescent="0.25">
      <c r="A745" s="36"/>
      <c r="B745" s="31"/>
      <c r="C745" s="31"/>
      <c r="D745" s="32"/>
      <c r="H745" s="32"/>
      <c r="J745" s="32"/>
      <c r="K745" s="41"/>
      <c r="L745" s="32"/>
      <c r="N745" s="32"/>
      <c r="O745" s="41"/>
      <c r="P745" s="32"/>
      <c r="R745" s="32"/>
      <c r="S745" s="41"/>
    </row>
    <row r="746" spans="1:19" s="30" customFormat="1" x14ac:dyDescent="0.25">
      <c r="A746" s="36"/>
      <c r="B746" s="31"/>
      <c r="C746" s="31"/>
      <c r="D746" s="32"/>
      <c r="H746" s="32"/>
      <c r="J746" s="32"/>
      <c r="K746" s="41"/>
      <c r="L746" s="32"/>
      <c r="N746" s="32"/>
      <c r="O746" s="41"/>
      <c r="P746" s="32"/>
      <c r="R746" s="32"/>
      <c r="S746" s="41"/>
    </row>
  </sheetData>
  <sheetProtection algorithmName="SHA-512" hashValue="6TAaLvVX7vsIFC3JliupYbMdtqGhjmz2UY3kalrSNYv8/wc3JjYCxdl7K5WZJq3itvzl5p6jDqpxkL1pHlLacQ==" saltValue="boU+f8dvfIyLUZYBY6z9iQ==" spinCount="100000" sheet="1" objects="1" scenarios="1"/>
  <mergeCells count="5">
    <mergeCell ref="Q5:S5"/>
    <mergeCell ref="A5:C5"/>
    <mergeCell ref="E5:G5"/>
    <mergeCell ref="I5:K5"/>
    <mergeCell ref="M5:O5"/>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4EB73D-4784-4233-B178-6F9EA6C66DAE}">
  <sheetPr>
    <tabColor theme="0"/>
  </sheetPr>
  <dimension ref="A1:Q80"/>
  <sheetViews>
    <sheetView zoomScale="80" zoomScaleNormal="80" workbookViewId="0">
      <pane ySplit="11" topLeftCell="A12" activePane="bottomLeft" state="frozen"/>
      <selection pane="bottomLeft" activeCell="P65" sqref="P65"/>
    </sheetView>
    <sheetView workbookViewId="1"/>
  </sheetViews>
  <sheetFormatPr defaultColWidth="15.85546875" defaultRowHeight="15.75" x14ac:dyDescent="0.25"/>
  <cols>
    <col min="1" max="1" width="3.42578125" style="191" customWidth="1"/>
    <col min="2" max="2" width="49.140625" style="174" customWidth="1"/>
    <col min="3" max="3" width="18.28515625" style="186" bestFit="1" customWidth="1"/>
    <col min="4" max="4" width="12.42578125" style="186" bestFit="1" customWidth="1"/>
    <col min="5" max="5" width="30.5703125" style="186" bestFit="1" customWidth="1"/>
    <col min="6" max="6" width="1" style="186" customWidth="1"/>
    <col min="7" max="7" width="14.28515625" style="186" customWidth="1"/>
    <col min="8" max="8" width="14.5703125" style="186" customWidth="1"/>
    <col min="9" max="9" width="34.42578125" style="186" bestFit="1" customWidth="1"/>
    <col min="10" max="10" width="1" style="186" customWidth="1"/>
    <col min="11" max="11" width="16.7109375" style="186" customWidth="1"/>
    <col min="12" max="12" width="16.28515625" style="186" customWidth="1"/>
    <col min="13" max="13" width="34.42578125" style="186" bestFit="1" customWidth="1"/>
    <col min="14" max="14" width="2.140625" style="186" customWidth="1"/>
    <col min="15" max="15" width="13.140625" style="186" customWidth="1"/>
    <col min="16" max="16" width="15.85546875" style="186" customWidth="1"/>
    <col min="17" max="17" width="37.140625" style="186" customWidth="1"/>
    <col min="18" max="16384" width="15.85546875" style="186"/>
  </cols>
  <sheetData>
    <row r="1" spans="1:17" ht="16.5" thickBot="1" x14ac:dyDescent="0.3">
      <c r="B1" s="126" t="s">
        <v>626</v>
      </c>
      <c r="C1" s="494" t="str">
        <f>'FFP CLINs X007-X021'!B1</f>
        <v>NAME</v>
      </c>
    </row>
    <row r="2" spans="1:17" ht="16.5" thickBot="1" x14ac:dyDescent="0.3"/>
    <row r="3" spans="1:17" ht="34.5" customHeight="1" thickBot="1" x14ac:dyDescent="0.3">
      <c r="A3" s="557" t="s">
        <v>262</v>
      </c>
      <c r="B3" s="558"/>
      <c r="C3" s="559"/>
      <c r="I3" s="251" t="s">
        <v>149</v>
      </c>
    </row>
    <row r="5" spans="1:17" s="259" customFormat="1" ht="17.25" customHeight="1" x14ac:dyDescent="0.2">
      <c r="A5" s="260"/>
      <c r="B5" s="261" t="s">
        <v>130</v>
      </c>
    </row>
    <row r="6" spans="1:17" s="259" customFormat="1" x14ac:dyDescent="0.25">
      <c r="A6" s="258"/>
      <c r="B6" s="258" t="s">
        <v>606</v>
      </c>
    </row>
    <row r="7" spans="1:17" s="259" customFormat="1" x14ac:dyDescent="0.25">
      <c r="A7" s="258"/>
      <c r="B7" s="258" t="s">
        <v>390</v>
      </c>
    </row>
    <row r="8" spans="1:17" s="259" customFormat="1" x14ac:dyDescent="0.25">
      <c r="A8" s="258"/>
      <c r="B8" s="258" t="s">
        <v>607</v>
      </c>
    </row>
    <row r="9" spans="1:17" s="259" customFormat="1" x14ac:dyDescent="0.25">
      <c r="A9" s="258"/>
      <c r="B9" s="258" t="s">
        <v>608</v>
      </c>
    </row>
    <row r="10" spans="1:17" x14ac:dyDescent="0.25">
      <c r="A10" s="192"/>
      <c r="B10" s="258" t="s">
        <v>609</v>
      </c>
      <c r="C10" s="194"/>
    </row>
    <row r="11" spans="1:17" x14ac:dyDescent="0.25">
      <c r="A11" s="192"/>
      <c r="B11" s="258" t="s">
        <v>515</v>
      </c>
      <c r="C11" s="194"/>
    </row>
    <row r="12" spans="1:17" ht="16.5" thickBot="1" x14ac:dyDescent="0.3"/>
    <row r="13" spans="1:17" ht="16.5" thickBot="1" x14ac:dyDescent="0.3">
      <c r="A13" s="193"/>
      <c r="B13" s="620" t="s">
        <v>516</v>
      </c>
      <c r="C13" s="594" t="s">
        <v>134</v>
      </c>
      <c r="D13" s="595"/>
      <c r="E13" s="596"/>
      <c r="F13" s="151"/>
      <c r="G13" s="594" t="s">
        <v>134</v>
      </c>
      <c r="H13" s="595"/>
      <c r="I13" s="596"/>
      <c r="J13" s="151"/>
      <c r="K13" s="594" t="s">
        <v>134</v>
      </c>
      <c r="L13" s="595"/>
      <c r="M13" s="596"/>
      <c r="N13" s="151"/>
      <c r="O13" s="594" t="s">
        <v>134</v>
      </c>
      <c r="P13" s="595"/>
      <c r="Q13" s="596"/>
    </row>
    <row r="14" spans="1:17" ht="32.25" customHeight="1" thickBot="1" x14ac:dyDescent="0.3">
      <c r="A14" s="193"/>
      <c r="B14" s="621"/>
      <c r="C14" s="617" t="s">
        <v>325</v>
      </c>
      <c r="D14" s="618"/>
      <c r="E14" s="619"/>
      <c r="F14" s="152"/>
      <c r="G14" s="617" t="s">
        <v>326</v>
      </c>
      <c r="H14" s="618"/>
      <c r="I14" s="619"/>
      <c r="J14" s="152"/>
      <c r="K14" s="617" t="s">
        <v>327</v>
      </c>
      <c r="L14" s="618"/>
      <c r="M14" s="619"/>
      <c r="N14" s="152"/>
      <c r="O14" s="617" t="s">
        <v>328</v>
      </c>
      <c r="P14" s="618"/>
      <c r="Q14" s="619"/>
    </row>
    <row r="15" spans="1:17" x14ac:dyDescent="0.25">
      <c r="A15" s="193"/>
      <c r="B15" s="153" t="s">
        <v>110</v>
      </c>
      <c r="C15" s="153" t="s">
        <v>91</v>
      </c>
      <c r="D15" s="154" t="s">
        <v>133</v>
      </c>
      <c r="E15" s="155" t="s">
        <v>139</v>
      </c>
      <c r="F15" s="156"/>
      <c r="G15" s="153" t="s">
        <v>91</v>
      </c>
      <c r="H15" s="154" t="s">
        <v>133</v>
      </c>
      <c r="I15" s="155" t="s">
        <v>139</v>
      </c>
      <c r="J15" s="156"/>
      <c r="K15" s="153" t="s">
        <v>91</v>
      </c>
      <c r="L15" s="154" t="s">
        <v>133</v>
      </c>
      <c r="M15" s="155" t="s">
        <v>139</v>
      </c>
      <c r="N15" s="156"/>
      <c r="O15" s="153" t="s">
        <v>91</v>
      </c>
      <c r="P15" s="154" t="s">
        <v>133</v>
      </c>
      <c r="Q15" s="155" t="s">
        <v>139</v>
      </c>
    </row>
    <row r="16" spans="1:17" ht="30" customHeight="1" thickBot="1" x14ac:dyDescent="0.3">
      <c r="A16" s="193"/>
      <c r="B16" s="203" t="s">
        <v>558</v>
      </c>
      <c r="C16" s="289"/>
      <c r="D16" s="290"/>
      <c r="E16" s="291"/>
      <c r="F16" s="156"/>
      <c r="G16" s="289"/>
      <c r="H16" s="290"/>
      <c r="I16" s="291"/>
      <c r="J16" s="156"/>
      <c r="K16" s="289"/>
      <c r="L16" s="290"/>
      <c r="M16" s="291"/>
      <c r="N16" s="156"/>
      <c r="O16" s="289"/>
      <c r="P16" s="290"/>
      <c r="Q16" s="291"/>
    </row>
    <row r="17" spans="1:17" ht="16.5" thickBot="1" x14ac:dyDescent="0.3">
      <c r="A17" s="193"/>
      <c r="B17" s="299" t="s">
        <v>151</v>
      </c>
      <c r="C17" s="163">
        <f>'PRIME CPIF LABOR INPUTS'!D259</f>
        <v>0</v>
      </c>
      <c r="D17" s="205"/>
      <c r="E17" s="164">
        <f>'PRIME CPIF LABOR INPUTS'!F259</f>
        <v>0</v>
      </c>
      <c r="F17" s="165"/>
      <c r="G17" s="163">
        <f>'PRIME CPIF LABOR INPUTS'!H259</f>
        <v>0</v>
      </c>
      <c r="H17" s="205"/>
      <c r="I17" s="164">
        <f>'PRIME CPIF LABOR INPUTS'!J259</f>
        <v>0</v>
      </c>
      <c r="J17" s="165"/>
      <c r="K17" s="163">
        <f>'PRIME CPIF LABOR INPUTS'!L259</f>
        <v>0</v>
      </c>
      <c r="L17" s="205"/>
      <c r="M17" s="164">
        <f>'PRIME CPIF LABOR INPUTS'!N259</f>
        <v>0</v>
      </c>
      <c r="N17" s="165"/>
      <c r="O17" s="163">
        <f>'PRIME CPIF LABOR INPUTS'!P259</f>
        <v>0</v>
      </c>
      <c r="P17" s="205"/>
      <c r="Q17" s="164">
        <f>'PRIME CPIF LABOR INPUTS'!R259</f>
        <v>0</v>
      </c>
    </row>
    <row r="18" spans="1:17" x14ac:dyDescent="0.25">
      <c r="A18" s="193"/>
      <c r="B18" s="204"/>
      <c r="C18" s="153" t="s">
        <v>399</v>
      </c>
      <c r="D18" s="154" t="s">
        <v>396</v>
      </c>
      <c r="E18" s="155" t="s">
        <v>398</v>
      </c>
      <c r="F18" s="166"/>
      <c r="G18" s="153" t="s">
        <v>399</v>
      </c>
      <c r="H18" s="154" t="s">
        <v>396</v>
      </c>
      <c r="I18" s="155" t="s">
        <v>398</v>
      </c>
      <c r="J18" s="166"/>
      <c r="K18" s="153" t="s">
        <v>399</v>
      </c>
      <c r="L18" s="154" t="s">
        <v>396</v>
      </c>
      <c r="M18" s="155" t="s">
        <v>398</v>
      </c>
      <c r="N18" s="166"/>
      <c r="O18" s="153" t="s">
        <v>399</v>
      </c>
      <c r="P18" s="154" t="s">
        <v>396</v>
      </c>
      <c r="Q18" s="155" t="s">
        <v>398</v>
      </c>
    </row>
    <row r="19" spans="1:17" ht="64.5" x14ac:dyDescent="0.25">
      <c r="A19" s="193"/>
      <c r="B19" s="344" t="s">
        <v>611</v>
      </c>
      <c r="C19" s="289"/>
      <c r="D19" s="290"/>
      <c r="E19" s="291"/>
      <c r="F19" s="202"/>
      <c r="G19" s="289"/>
      <c r="H19" s="290"/>
      <c r="I19" s="291"/>
      <c r="J19" s="202"/>
      <c r="K19" s="289"/>
      <c r="L19" s="290"/>
      <c r="M19" s="291"/>
      <c r="N19" s="202"/>
      <c r="O19" s="289"/>
      <c r="P19" s="290"/>
      <c r="Q19" s="291"/>
    </row>
    <row r="20" spans="1:17" x14ac:dyDescent="0.25">
      <c r="A20" s="193"/>
      <c r="B20" s="167" t="str">
        <f>'PRIME CPIF RATES (ALL)'!B35</f>
        <v>Indirect Labor Category:  [Labor Fringe]</v>
      </c>
      <c r="C20" s="215">
        <f>+E17</f>
        <v>0</v>
      </c>
      <c r="D20" s="243">
        <f>'PRIME CPIF RATES (ALL)'!C35</f>
        <v>0</v>
      </c>
      <c r="E20" s="168">
        <f>ROUND(C20*D20,2)</f>
        <v>0</v>
      </c>
      <c r="F20" s="165"/>
      <c r="G20" s="215">
        <f>+I17</f>
        <v>0</v>
      </c>
      <c r="H20" s="243">
        <f>'PRIME CPIF RATES (ALL)'!D35</f>
        <v>0</v>
      </c>
      <c r="I20" s="168">
        <f>ROUND(G20*H20,2)</f>
        <v>0</v>
      </c>
      <c r="J20" s="165"/>
      <c r="K20" s="215">
        <f>+M17</f>
        <v>0</v>
      </c>
      <c r="L20" s="243">
        <f>'PRIME CPIF RATES (ALL)'!E35</f>
        <v>0</v>
      </c>
      <c r="M20" s="168">
        <f>ROUND(K20*L20,2)</f>
        <v>0</v>
      </c>
      <c r="N20" s="165"/>
      <c r="O20" s="215">
        <f>+Q17</f>
        <v>0</v>
      </c>
      <c r="P20" s="243">
        <f>'PRIME CPIF RATES (ALL)'!F35</f>
        <v>0</v>
      </c>
      <c r="Q20" s="168">
        <f>ROUND(O20*P20,2)</f>
        <v>0</v>
      </c>
    </row>
    <row r="21" spans="1:17" x14ac:dyDescent="0.25">
      <c r="A21" s="193"/>
      <c r="B21" s="167" t="str">
        <f>'PRIME CPIF RATES (ALL)'!B36</f>
        <v>Indirect Labor Category: [Labor Overhead]</v>
      </c>
      <c r="C21" s="215">
        <f>+C20+E20</f>
        <v>0</v>
      </c>
      <c r="D21" s="243">
        <f>'PRIME CPIF RATES (ALL)'!C36</f>
        <v>0</v>
      </c>
      <c r="E21" s="168">
        <f>ROUND(C21*D21,2)</f>
        <v>0</v>
      </c>
      <c r="F21" s="165"/>
      <c r="G21" s="215">
        <f>+G20+I20</f>
        <v>0</v>
      </c>
      <c r="H21" s="243">
        <f>'PRIME CPIF RATES (ALL)'!D36</f>
        <v>0</v>
      </c>
      <c r="I21" s="168">
        <f>ROUND(G21*H21,2)</f>
        <v>0</v>
      </c>
      <c r="J21" s="165"/>
      <c r="K21" s="215">
        <f>+K20+M20</f>
        <v>0</v>
      </c>
      <c r="L21" s="243">
        <f>'PRIME CPIF RATES (ALL)'!E36</f>
        <v>0</v>
      </c>
      <c r="M21" s="168">
        <f>ROUND(K21*L21,2)</f>
        <v>0</v>
      </c>
      <c r="N21" s="165"/>
      <c r="O21" s="215">
        <f>+O20+Q20</f>
        <v>0</v>
      </c>
      <c r="P21" s="243">
        <f>'PRIME CPIF RATES (ALL)'!F36</f>
        <v>0</v>
      </c>
      <c r="Q21" s="168">
        <f>ROUND(O21*P21,2)</f>
        <v>0</v>
      </c>
    </row>
    <row r="22" spans="1:17" x14ac:dyDescent="0.25">
      <c r="A22" s="193"/>
      <c r="B22" s="167" t="str">
        <f>'PRIME CPIF RATES (ALL)'!B37</f>
        <v>Indirect Labor Category: [G&amp;A]</v>
      </c>
      <c r="C22" s="215">
        <f>+C21+E21</f>
        <v>0</v>
      </c>
      <c r="D22" s="243">
        <f>'PRIME CPIF RATES (ALL)'!C37</f>
        <v>0</v>
      </c>
      <c r="E22" s="168">
        <f>ROUND(C22*D22,2)</f>
        <v>0</v>
      </c>
      <c r="F22" s="165"/>
      <c r="G22" s="215">
        <f>+G21+I21</f>
        <v>0</v>
      </c>
      <c r="H22" s="243">
        <f>'PRIME CPIF RATES (ALL)'!D37</f>
        <v>0</v>
      </c>
      <c r="I22" s="168">
        <f>ROUND(G22*H22,2)</f>
        <v>0</v>
      </c>
      <c r="J22" s="165"/>
      <c r="K22" s="215">
        <f>+K21+M21</f>
        <v>0</v>
      </c>
      <c r="L22" s="243">
        <f>'PRIME CPIF RATES (ALL)'!E37</f>
        <v>0</v>
      </c>
      <c r="M22" s="168">
        <f>ROUND(K22*L22,2)</f>
        <v>0</v>
      </c>
      <c r="N22" s="165"/>
      <c r="O22" s="215">
        <f>+O21+Q21</f>
        <v>0</v>
      </c>
      <c r="P22" s="243">
        <f>'PRIME CPIF RATES (ALL)'!F37</f>
        <v>0</v>
      </c>
      <c r="Q22" s="168">
        <f>ROUND(O22*P22,2)</f>
        <v>0</v>
      </c>
    </row>
    <row r="23" spans="1:17" x14ac:dyDescent="0.25">
      <c r="A23" s="193"/>
      <c r="B23" s="167" t="str">
        <f>'PRIME CPIF RATES (ALL)'!B38</f>
        <v>Indirect Labor Category: [FCCOM]</v>
      </c>
      <c r="C23" s="215">
        <f>C22+E22</f>
        <v>0</v>
      </c>
      <c r="D23" s="243">
        <f>'PRIME CPIF RATES (ALL)'!C38</f>
        <v>0</v>
      </c>
      <c r="E23" s="168">
        <f>ROUND(C23*D23,2)</f>
        <v>0</v>
      </c>
      <c r="F23" s="165"/>
      <c r="G23" s="215">
        <f>G22+I22</f>
        <v>0</v>
      </c>
      <c r="H23" s="243">
        <f>'PRIME CPIF RATES (ALL)'!D38</f>
        <v>0</v>
      </c>
      <c r="I23" s="168">
        <f>ROUND(G23*H23,2)</f>
        <v>0</v>
      </c>
      <c r="J23" s="165"/>
      <c r="K23" s="215">
        <f>K22+M22</f>
        <v>0</v>
      </c>
      <c r="L23" s="243">
        <f>'PRIME CPIF RATES (ALL)'!E38</f>
        <v>0</v>
      </c>
      <c r="M23" s="168">
        <f>ROUND(K23*L23,2)</f>
        <v>0</v>
      </c>
      <c r="N23" s="165"/>
      <c r="O23" s="215">
        <f>O22+Q22</f>
        <v>0</v>
      </c>
      <c r="P23" s="243">
        <f>'PRIME CPIF RATES (ALL)'!F38</f>
        <v>0</v>
      </c>
      <c r="Q23" s="168">
        <f>ROUND(O23*P23,2)</f>
        <v>0</v>
      </c>
    </row>
    <row r="24" spans="1:17" x14ac:dyDescent="0.25">
      <c r="A24" s="193"/>
      <c r="B24" s="167" t="str">
        <f>'PRIME CPIF RATES (ALL)'!B39</f>
        <v>Indirect Labor Category: [Target Fee]</v>
      </c>
      <c r="C24" s="215">
        <f>+C22+E22</f>
        <v>0</v>
      </c>
      <c r="D24" s="243">
        <f>'PRIME CPIF RATES (ALL)'!C39</f>
        <v>0</v>
      </c>
      <c r="E24" s="168">
        <f>ROUND(C24*D24,2)</f>
        <v>0</v>
      </c>
      <c r="F24" s="165"/>
      <c r="G24" s="215">
        <f>+G22+I22</f>
        <v>0</v>
      </c>
      <c r="H24" s="243">
        <f>'PRIME CPIF RATES (ALL)'!D39</f>
        <v>0</v>
      </c>
      <c r="I24" s="168">
        <f>ROUND(G24*H24,2)</f>
        <v>0</v>
      </c>
      <c r="J24" s="165"/>
      <c r="K24" s="215">
        <f>+K22+M22</f>
        <v>0</v>
      </c>
      <c r="L24" s="243">
        <f>'PRIME CPIF RATES (ALL)'!E39</f>
        <v>0</v>
      </c>
      <c r="M24" s="168">
        <f>ROUND(K24*L24,2)</f>
        <v>0</v>
      </c>
      <c r="N24" s="165"/>
      <c r="O24" s="215">
        <f>+O22+Q22</f>
        <v>0</v>
      </c>
      <c r="P24" s="243">
        <f>'PRIME CPIF RATES (ALL)'!F39</f>
        <v>0</v>
      </c>
      <c r="Q24" s="168">
        <f>ROUND(O24*P24,2)</f>
        <v>0</v>
      </c>
    </row>
    <row r="25" spans="1:17" x14ac:dyDescent="0.25">
      <c r="A25" s="193"/>
      <c r="B25" s="262" t="s">
        <v>258</v>
      </c>
      <c r="C25" s="210"/>
      <c r="D25" s="211"/>
      <c r="E25" s="230">
        <f>ROUND(SUM(E17,E20,E21,E22),2)</f>
        <v>0</v>
      </c>
      <c r="F25" s="165"/>
      <c r="G25" s="206"/>
      <c r="H25" s="207"/>
      <c r="I25" s="230">
        <f>ROUND(SUM(I17,I20,I21,I22),2)</f>
        <v>0</v>
      </c>
      <c r="J25" s="165"/>
      <c r="K25" s="206"/>
      <c r="L25" s="207"/>
      <c r="M25" s="230">
        <f>ROUND(SUM(M17,M20,M21,M22),2)</f>
        <v>0</v>
      </c>
      <c r="N25" s="165"/>
      <c r="O25" s="206"/>
      <c r="P25" s="207"/>
      <c r="Q25" s="230">
        <f>ROUND(SUM(Q17,Q20,Q21,Q22),2)</f>
        <v>0</v>
      </c>
    </row>
    <row r="26" spans="1:17" x14ac:dyDescent="0.25">
      <c r="A26" s="193"/>
      <c r="B26" s="262" t="s">
        <v>137</v>
      </c>
      <c r="C26" s="210"/>
      <c r="D26" s="211"/>
      <c r="E26" s="230">
        <f>ROUND(E23,2)</f>
        <v>0</v>
      </c>
      <c r="F26" s="165"/>
      <c r="G26" s="206"/>
      <c r="H26" s="207"/>
      <c r="I26" s="230">
        <f>ROUND(I23,2)</f>
        <v>0</v>
      </c>
      <c r="J26" s="165"/>
      <c r="K26" s="206"/>
      <c r="L26" s="207"/>
      <c r="M26" s="230">
        <f>ROUND(M23,2)</f>
        <v>0</v>
      </c>
      <c r="N26" s="165"/>
      <c r="O26" s="206"/>
      <c r="P26" s="207"/>
      <c r="Q26" s="230">
        <f>ROUND(Q23,2)</f>
        <v>0</v>
      </c>
    </row>
    <row r="27" spans="1:17" x14ac:dyDescent="0.25">
      <c r="A27" s="193"/>
      <c r="B27" s="262" t="s">
        <v>136</v>
      </c>
      <c r="C27" s="210"/>
      <c r="D27" s="211"/>
      <c r="E27" s="245">
        <f>ROUND(E24,2)</f>
        <v>0</v>
      </c>
      <c r="F27" s="170"/>
      <c r="G27" s="206"/>
      <c r="H27" s="207"/>
      <c r="I27" s="245">
        <f>ROUND(I24,2)</f>
        <v>0</v>
      </c>
      <c r="J27" s="170"/>
      <c r="K27" s="206"/>
      <c r="L27" s="207"/>
      <c r="M27" s="245">
        <f>ROUND(M24,2)</f>
        <v>0</v>
      </c>
      <c r="N27" s="170"/>
      <c r="O27" s="206"/>
      <c r="P27" s="207"/>
      <c r="Q27" s="245">
        <f>ROUND(Q24,2)</f>
        <v>0</v>
      </c>
    </row>
    <row r="28" spans="1:17" ht="16.5" thickBot="1" x14ac:dyDescent="0.3">
      <c r="A28" s="193"/>
      <c r="B28" s="263" t="s">
        <v>138</v>
      </c>
      <c r="C28" s="212"/>
      <c r="D28" s="213"/>
      <c r="E28" s="246">
        <f>SUM(E25:E27)</f>
        <v>0</v>
      </c>
      <c r="F28" s="171"/>
      <c r="G28" s="208"/>
      <c r="H28" s="209"/>
      <c r="I28" s="246">
        <f>SUM(I25:I27)</f>
        <v>0</v>
      </c>
      <c r="J28" s="171"/>
      <c r="K28" s="208"/>
      <c r="L28" s="209"/>
      <c r="M28" s="246">
        <f>SUM(M25:M27)</f>
        <v>0</v>
      </c>
      <c r="N28" s="171"/>
      <c r="O28" s="208"/>
      <c r="P28" s="209"/>
      <c r="Q28" s="246">
        <f>SUM(Q25:Q27)</f>
        <v>0</v>
      </c>
    </row>
    <row r="29" spans="1:17" ht="16.5" thickBot="1" x14ac:dyDescent="0.3">
      <c r="A29" s="193"/>
      <c r="B29" s="172"/>
      <c r="C29" s="173"/>
      <c r="D29" s="173"/>
      <c r="E29" s="256"/>
      <c r="F29" s="256"/>
      <c r="G29" s="256"/>
      <c r="H29" s="256"/>
      <c r="I29" s="256"/>
      <c r="J29" s="256"/>
      <c r="K29" s="256"/>
      <c r="L29" s="173"/>
      <c r="M29" s="173"/>
      <c r="N29" s="165"/>
      <c r="O29" s="173"/>
      <c r="P29" s="173"/>
      <c r="Q29" s="173"/>
    </row>
    <row r="30" spans="1:17" ht="16.5" customHeight="1" thickBot="1" x14ac:dyDescent="0.3">
      <c r="A30" s="193"/>
      <c r="B30" s="620" t="str">
        <f>B13</f>
        <v>CLIN 0002 (CPIF)                                                    TASK 1.01 SUPPORT REQUIRED TO DETERMINE ELEMENTS OF SIMULATOR KIT</v>
      </c>
      <c r="C30" s="594" t="s">
        <v>145</v>
      </c>
      <c r="D30" s="595"/>
      <c r="E30" s="596"/>
      <c r="F30" s="175"/>
      <c r="G30" s="594" t="s">
        <v>145</v>
      </c>
      <c r="H30" s="595"/>
      <c r="I30" s="596"/>
      <c r="J30" s="175"/>
      <c r="K30" s="594" t="s">
        <v>145</v>
      </c>
      <c r="L30" s="595"/>
      <c r="M30" s="596"/>
      <c r="N30" s="175"/>
      <c r="O30" s="594" t="s">
        <v>145</v>
      </c>
      <c r="P30" s="595"/>
      <c r="Q30" s="596"/>
    </row>
    <row r="31" spans="1:17" ht="32.25" customHeight="1" thickBot="1" x14ac:dyDescent="0.3">
      <c r="A31" s="193"/>
      <c r="B31" s="621"/>
      <c r="C31" s="617" t="str">
        <f>C14</f>
        <v>CLIN 0002 - Basic Period (Year 1)</v>
      </c>
      <c r="D31" s="618"/>
      <c r="E31" s="619"/>
      <c r="F31" s="176"/>
      <c r="G31" s="617" t="str">
        <f>G14</f>
        <v>CLIN 0002 - Basic Period (Year 2)</v>
      </c>
      <c r="H31" s="618"/>
      <c r="I31" s="619"/>
      <c r="J31" s="176"/>
      <c r="K31" s="617" t="str">
        <f>K14</f>
        <v>CLIN 0002 - Basic Period (Year 3)</v>
      </c>
      <c r="L31" s="618"/>
      <c r="M31" s="619"/>
      <c r="N31" s="176"/>
      <c r="O31" s="617" t="str">
        <f>O14</f>
        <v>CLIN 0002 - Basic Period (Year 4)</v>
      </c>
      <c r="P31" s="618"/>
      <c r="Q31" s="619"/>
    </row>
    <row r="32" spans="1:17" x14ac:dyDescent="0.25">
      <c r="A32" s="193"/>
      <c r="B32" s="247"/>
      <c r="C32" s="153" t="s">
        <v>399</v>
      </c>
      <c r="D32" s="154" t="s">
        <v>396</v>
      </c>
      <c r="E32" s="155" t="s">
        <v>152</v>
      </c>
      <c r="F32" s="166"/>
      <c r="G32" s="153" t="s">
        <v>399</v>
      </c>
      <c r="H32" s="154" t="s">
        <v>396</v>
      </c>
      <c r="I32" s="155" t="s">
        <v>152</v>
      </c>
      <c r="J32" s="166"/>
      <c r="K32" s="153" t="s">
        <v>399</v>
      </c>
      <c r="L32" s="154" t="s">
        <v>396</v>
      </c>
      <c r="M32" s="155" t="s">
        <v>152</v>
      </c>
      <c r="N32" s="166"/>
      <c r="O32" s="153" t="s">
        <v>399</v>
      </c>
      <c r="P32" s="154" t="s">
        <v>396</v>
      </c>
      <c r="Q32" s="155" t="s">
        <v>123</v>
      </c>
    </row>
    <row r="33" spans="1:17" ht="51.75" x14ac:dyDescent="0.25">
      <c r="A33" s="193"/>
      <c r="B33" s="300" t="s">
        <v>612</v>
      </c>
      <c r="C33" s="231"/>
      <c r="D33" s="232"/>
      <c r="E33" s="400">
        <f>'PRIME CPIF TOTAL MATERIAL'!E24</f>
        <v>0</v>
      </c>
      <c r="F33" s="165"/>
      <c r="G33" s="231"/>
      <c r="H33" s="232"/>
      <c r="I33" s="400">
        <f>'PRIME CPIF TOTAL MATERIAL'!G24</f>
        <v>0</v>
      </c>
      <c r="J33" s="165"/>
      <c r="K33" s="231"/>
      <c r="L33" s="232"/>
      <c r="M33" s="400">
        <f>'PRIME CPIF TOTAL MATERIAL'!I24</f>
        <v>0</v>
      </c>
      <c r="N33" s="165"/>
      <c r="O33" s="231"/>
      <c r="P33" s="232"/>
      <c r="Q33" s="400">
        <f>'PRIME CPIF TOTAL MATERIAL'!K24</f>
        <v>0</v>
      </c>
    </row>
    <row r="34" spans="1:17" ht="67.5" customHeight="1" x14ac:dyDescent="0.25">
      <c r="A34" s="193"/>
      <c r="B34" s="344" t="s">
        <v>389</v>
      </c>
      <c r="C34" s="405"/>
      <c r="D34" s="406"/>
      <c r="E34" s="400"/>
      <c r="F34" s="165"/>
      <c r="G34" s="405"/>
      <c r="H34" s="406"/>
      <c r="I34" s="400"/>
      <c r="J34" s="165"/>
      <c r="K34" s="405"/>
      <c r="L34" s="406"/>
      <c r="M34" s="400"/>
      <c r="N34" s="165"/>
      <c r="O34" s="405"/>
      <c r="P34" s="406"/>
      <c r="Q34" s="400"/>
    </row>
    <row r="35" spans="1:17" x14ac:dyDescent="0.25">
      <c r="A35" s="193"/>
      <c r="B35" s="167" t="str">
        <f>'PRIME CPIF RATES (ALL)'!B52</f>
        <v>Indirect Category: [Material Overhead]</v>
      </c>
      <c r="C35" s="215">
        <f>+E33</f>
        <v>0</v>
      </c>
      <c r="D35" s="243">
        <f>'PRIME CPIF RATES (ALL)'!C52</f>
        <v>0</v>
      </c>
      <c r="E35" s="168">
        <f>ROUND(C35*D35,2)</f>
        <v>0</v>
      </c>
      <c r="F35" s="178"/>
      <c r="G35" s="215">
        <f>+I33</f>
        <v>0</v>
      </c>
      <c r="H35" s="243">
        <f>'PRIME CPIF RATES (ALL)'!D52</f>
        <v>0</v>
      </c>
      <c r="I35" s="168">
        <f>ROUND(G35*H35,2)</f>
        <v>0</v>
      </c>
      <c r="J35" s="178"/>
      <c r="K35" s="215">
        <f>+M33</f>
        <v>0</v>
      </c>
      <c r="L35" s="243">
        <f>'PRIME CPIF RATES (ALL)'!E52</f>
        <v>0</v>
      </c>
      <c r="M35" s="168">
        <f>ROUND(K35*L35,2)</f>
        <v>0</v>
      </c>
      <c r="N35" s="178"/>
      <c r="O35" s="215">
        <f>+Q33</f>
        <v>0</v>
      </c>
      <c r="P35" s="243">
        <f>'PRIME CPIF RATES (ALL)'!F52</f>
        <v>0</v>
      </c>
      <c r="Q35" s="168">
        <f>ROUND(O35*P35,2)</f>
        <v>0</v>
      </c>
    </row>
    <row r="36" spans="1:17" x14ac:dyDescent="0.25">
      <c r="A36" s="193"/>
      <c r="B36" s="167" t="str">
        <f>'PRIME CPIF RATES (ALL)'!B53</f>
        <v>Indirect Category: [G&amp;A]</v>
      </c>
      <c r="C36" s="215">
        <f>+C35+E35</f>
        <v>0</v>
      </c>
      <c r="D36" s="243">
        <f>'PRIME CPIF RATES (ALL)'!C53</f>
        <v>0</v>
      </c>
      <c r="E36" s="168">
        <f>ROUND(C36*D36,2)</f>
        <v>0</v>
      </c>
      <c r="F36" s="178"/>
      <c r="G36" s="215">
        <f>+G35+I35</f>
        <v>0</v>
      </c>
      <c r="H36" s="243">
        <f>'PRIME CPIF RATES (ALL)'!D53</f>
        <v>0</v>
      </c>
      <c r="I36" s="168">
        <f>ROUND(G36*H36,2)</f>
        <v>0</v>
      </c>
      <c r="J36" s="178"/>
      <c r="K36" s="215">
        <f>+K35+M35</f>
        <v>0</v>
      </c>
      <c r="L36" s="243">
        <f>'PRIME CPIF RATES (ALL)'!E53</f>
        <v>0</v>
      </c>
      <c r="M36" s="168">
        <f>ROUND(K36*L36,2)</f>
        <v>0</v>
      </c>
      <c r="N36" s="178"/>
      <c r="O36" s="215">
        <f>+O35+Q35</f>
        <v>0</v>
      </c>
      <c r="P36" s="243">
        <f>'PRIME CPIF RATES (ALL)'!F53</f>
        <v>0</v>
      </c>
      <c r="Q36" s="168">
        <f>ROUND(O36*P36,2)</f>
        <v>0</v>
      </c>
    </row>
    <row r="37" spans="1:17" x14ac:dyDescent="0.25">
      <c r="A37" s="193"/>
      <c r="B37" s="167" t="str">
        <f>'PRIME CPIF RATES (ALL)'!B54</f>
        <v>Indirect Category: [FCCOM]</v>
      </c>
      <c r="C37" s="215">
        <f>C36+E36</f>
        <v>0</v>
      </c>
      <c r="D37" s="243">
        <f>'PRIME CPIF RATES (ALL)'!C54</f>
        <v>0</v>
      </c>
      <c r="E37" s="168">
        <f>ROUND(C37*D37,2)</f>
        <v>0</v>
      </c>
      <c r="F37" s="165"/>
      <c r="G37" s="215">
        <f>G36+I36</f>
        <v>0</v>
      </c>
      <c r="H37" s="243">
        <f>'PRIME CPIF RATES (ALL)'!D54</f>
        <v>0</v>
      </c>
      <c r="I37" s="168">
        <f>ROUND(G37*H37,2)</f>
        <v>0</v>
      </c>
      <c r="J37" s="165"/>
      <c r="K37" s="215">
        <f>K36+M36</f>
        <v>0</v>
      </c>
      <c r="L37" s="243">
        <f>'PRIME CPIF RATES (ALL)'!E54</f>
        <v>0</v>
      </c>
      <c r="M37" s="168">
        <f>ROUND(K37*L37,2)</f>
        <v>0</v>
      </c>
      <c r="N37" s="165"/>
      <c r="O37" s="215">
        <f>O36+Q36</f>
        <v>0</v>
      </c>
      <c r="P37" s="243">
        <f>'PRIME CPIF RATES (ALL)'!F54</f>
        <v>0</v>
      </c>
      <c r="Q37" s="168">
        <f>ROUND(O37*P37,2)</f>
        <v>0</v>
      </c>
    </row>
    <row r="38" spans="1:17" x14ac:dyDescent="0.25">
      <c r="A38" s="193"/>
      <c r="B38" s="167" t="str">
        <f>'PRIME CPIF RATES (ALL)'!B55</f>
        <v>Indirect Category: [Target Fee]</v>
      </c>
      <c r="C38" s="215">
        <f>+C36+E36</f>
        <v>0</v>
      </c>
      <c r="D38" s="243">
        <f>'PRIME CPIF RATES (ALL)'!C55</f>
        <v>0</v>
      </c>
      <c r="E38" s="168">
        <f>ROUND(C38*D38,2)</f>
        <v>0</v>
      </c>
      <c r="F38" s="165"/>
      <c r="G38" s="215">
        <f>+G36+I36</f>
        <v>0</v>
      </c>
      <c r="H38" s="243">
        <f>'PRIME CPIF RATES (ALL)'!D55</f>
        <v>0</v>
      </c>
      <c r="I38" s="168">
        <f>ROUND(G38*H38,2)</f>
        <v>0</v>
      </c>
      <c r="J38" s="165"/>
      <c r="K38" s="215">
        <f>+K36+M36</f>
        <v>0</v>
      </c>
      <c r="L38" s="243">
        <f>'PRIME CPIF RATES (ALL)'!E55</f>
        <v>0</v>
      </c>
      <c r="M38" s="168">
        <f>ROUND(K38*L38,2)</f>
        <v>0</v>
      </c>
      <c r="N38" s="165"/>
      <c r="O38" s="215">
        <f>+O36+Q36</f>
        <v>0</v>
      </c>
      <c r="P38" s="243">
        <f>'PRIME CPIF RATES (ALL)'!F55</f>
        <v>0</v>
      </c>
      <c r="Q38" s="168">
        <f>ROUND(O38*P38,2)</f>
        <v>0</v>
      </c>
    </row>
    <row r="39" spans="1:17" x14ac:dyDescent="0.25">
      <c r="A39" s="193"/>
      <c r="B39" s="241" t="s">
        <v>259</v>
      </c>
      <c r="C39" s="233"/>
      <c r="D39" s="234"/>
      <c r="E39" s="168">
        <f>ROUND(SUM(E33:E36),2)</f>
        <v>0</v>
      </c>
      <c r="F39" s="165"/>
      <c r="G39" s="233"/>
      <c r="H39" s="234"/>
      <c r="I39" s="168">
        <f>+ROUND(SUM(I33:I36),2)</f>
        <v>0</v>
      </c>
      <c r="J39" s="165"/>
      <c r="K39" s="233"/>
      <c r="L39" s="234"/>
      <c r="M39" s="168">
        <f>+ROUND(SUM(M33:M36),2)</f>
        <v>0</v>
      </c>
      <c r="N39" s="165"/>
      <c r="O39" s="233"/>
      <c r="P39" s="473"/>
      <c r="Q39" s="168">
        <f>+ROUND(SUM(Q33:Q36),2)</f>
        <v>0</v>
      </c>
    </row>
    <row r="40" spans="1:17" x14ac:dyDescent="0.25">
      <c r="A40" s="193"/>
      <c r="B40" s="241" t="s">
        <v>137</v>
      </c>
      <c r="C40" s="231"/>
      <c r="D40" s="235"/>
      <c r="E40" s="168">
        <f>ROUND(E37,2)</f>
        <v>0</v>
      </c>
      <c r="F40" s="165"/>
      <c r="G40" s="231"/>
      <c r="H40" s="235"/>
      <c r="I40" s="168">
        <f>+ROUND(I37,2)</f>
        <v>0</v>
      </c>
      <c r="J40" s="165"/>
      <c r="K40" s="231"/>
      <c r="L40" s="235"/>
      <c r="M40" s="168">
        <f>+ROUND(M37,2)</f>
        <v>0</v>
      </c>
      <c r="N40" s="165"/>
      <c r="O40" s="231"/>
      <c r="P40" s="235"/>
      <c r="Q40" s="168">
        <f>+ROUND(Q37,2)</f>
        <v>0</v>
      </c>
    </row>
    <row r="41" spans="1:17" x14ac:dyDescent="0.2">
      <c r="B41" s="241" t="s">
        <v>136</v>
      </c>
      <c r="C41" s="231"/>
      <c r="D41" s="235"/>
      <c r="E41" s="182">
        <f>+ROUND(E38,2)</f>
        <v>0</v>
      </c>
      <c r="F41" s="183"/>
      <c r="G41" s="231"/>
      <c r="H41" s="235"/>
      <c r="I41" s="182">
        <f>+ROUND(I38,2)</f>
        <v>0</v>
      </c>
      <c r="J41" s="183"/>
      <c r="K41" s="231"/>
      <c r="L41" s="235"/>
      <c r="M41" s="182">
        <f>+ROUND(M38,2)</f>
        <v>0</v>
      </c>
      <c r="N41" s="183"/>
      <c r="O41" s="231"/>
      <c r="P41" s="235"/>
      <c r="Q41" s="182">
        <f>+ROUND(Q38,2)</f>
        <v>0</v>
      </c>
    </row>
    <row r="42" spans="1:17" ht="16.5" thickBot="1" x14ac:dyDescent="0.25">
      <c r="B42" s="242" t="s">
        <v>243</v>
      </c>
      <c r="C42" s="236"/>
      <c r="D42" s="237"/>
      <c r="E42" s="160">
        <f t="shared" ref="E42" si="0">SUM(E39:E41)</f>
        <v>0</v>
      </c>
      <c r="F42" s="161"/>
      <c r="G42" s="236"/>
      <c r="H42" s="237"/>
      <c r="I42" s="160">
        <f t="shared" ref="I42" si="1">SUM(I39:I41)</f>
        <v>0</v>
      </c>
      <c r="J42" s="161"/>
      <c r="K42" s="236"/>
      <c r="L42" s="237"/>
      <c r="M42" s="160">
        <f t="shared" ref="M42" si="2">SUM(M39:M41)</f>
        <v>0</v>
      </c>
      <c r="N42" s="161"/>
      <c r="O42" s="236"/>
      <c r="P42" s="237"/>
      <c r="Q42" s="160">
        <f t="shared" ref="Q42" si="3">SUM(Q39:Q41)</f>
        <v>0</v>
      </c>
    </row>
    <row r="43" spans="1:17" ht="16.5" thickBot="1" x14ac:dyDescent="0.25">
      <c r="B43" s="172"/>
      <c r="E43" s="251"/>
      <c r="F43" s="251"/>
      <c r="G43" s="251"/>
      <c r="H43" s="251"/>
      <c r="I43" s="251"/>
      <c r="J43" s="251"/>
      <c r="K43" s="251"/>
      <c r="N43" s="187"/>
    </row>
    <row r="44" spans="1:17" ht="16.5" thickBot="1" x14ac:dyDescent="0.3">
      <c r="B44" s="620" t="str">
        <f>B13</f>
        <v>CLIN 0002 (CPIF)                                                    TASK 1.01 SUPPORT REQUIRED TO DETERMINE ELEMENTS OF SIMULATOR KIT</v>
      </c>
      <c r="C44" s="594" t="s">
        <v>318</v>
      </c>
      <c r="D44" s="595"/>
      <c r="E44" s="596"/>
      <c r="F44" s="175"/>
      <c r="G44" s="594" t="s">
        <v>318</v>
      </c>
      <c r="H44" s="595"/>
      <c r="I44" s="596"/>
      <c r="J44" s="175"/>
      <c r="K44" s="594" t="s">
        <v>318</v>
      </c>
      <c r="L44" s="595"/>
      <c r="M44" s="596"/>
      <c r="N44" s="175"/>
      <c r="O44" s="594" t="s">
        <v>318</v>
      </c>
      <c r="P44" s="595"/>
      <c r="Q44" s="596"/>
    </row>
    <row r="45" spans="1:17" ht="27.75" customHeight="1" thickBot="1" x14ac:dyDescent="0.3">
      <c r="B45" s="621"/>
      <c r="C45" s="617" t="str">
        <f>C31</f>
        <v>CLIN 0002 - Basic Period (Year 1)</v>
      </c>
      <c r="D45" s="618"/>
      <c r="E45" s="619"/>
      <c r="F45" s="176"/>
      <c r="G45" s="617" t="str">
        <f>G31</f>
        <v>CLIN 0002 - Basic Period (Year 2)</v>
      </c>
      <c r="H45" s="618"/>
      <c r="I45" s="619"/>
      <c r="J45" s="176"/>
      <c r="K45" s="617" t="str">
        <f>K31</f>
        <v>CLIN 0002 - Basic Period (Year 3)</v>
      </c>
      <c r="L45" s="618"/>
      <c r="M45" s="619"/>
      <c r="N45" s="176"/>
      <c r="O45" s="617" t="str">
        <f>O31</f>
        <v>CLIN 0002 - Basic Period (Year 4)</v>
      </c>
      <c r="P45" s="618"/>
      <c r="Q45" s="619"/>
    </row>
    <row r="46" spans="1:17" x14ac:dyDescent="0.25">
      <c r="B46" s="248"/>
      <c r="C46" s="153" t="s">
        <v>399</v>
      </c>
      <c r="D46" s="154" t="s">
        <v>396</v>
      </c>
      <c r="E46" s="155" t="s">
        <v>397</v>
      </c>
      <c r="F46" s="166"/>
      <c r="G46" s="153" t="s">
        <v>399</v>
      </c>
      <c r="H46" s="154" t="s">
        <v>396</v>
      </c>
      <c r="I46" s="155" t="s">
        <v>397</v>
      </c>
      <c r="J46" s="166"/>
      <c r="K46" s="153" t="s">
        <v>399</v>
      </c>
      <c r="L46" s="154" t="s">
        <v>396</v>
      </c>
      <c r="M46" s="155" t="s">
        <v>397</v>
      </c>
      <c r="N46" s="166"/>
      <c r="O46" s="153" t="s">
        <v>399</v>
      </c>
      <c r="P46" s="154" t="s">
        <v>396</v>
      </c>
      <c r="Q46" s="155" t="s">
        <v>397</v>
      </c>
    </row>
    <row r="47" spans="1:17" ht="25.5" x14ac:dyDescent="0.2">
      <c r="B47" s="300" t="s">
        <v>560</v>
      </c>
      <c r="C47" s="285"/>
      <c r="D47" s="285"/>
      <c r="E47" s="345">
        <f>'PRIME CPIF TOTAL SUB'!E24</f>
        <v>0</v>
      </c>
      <c r="F47" s="288"/>
      <c r="G47" s="231"/>
      <c r="H47" s="285"/>
      <c r="I47" s="345">
        <f>'PRIME CPIF TOTAL SUB'!G24</f>
        <v>0</v>
      </c>
      <c r="J47" s="288"/>
      <c r="K47" s="231"/>
      <c r="L47" s="285"/>
      <c r="M47" s="345">
        <f>'PRIME CPIF TOTAL SUB'!I24</f>
        <v>0</v>
      </c>
      <c r="N47" s="165"/>
      <c r="O47" s="231"/>
      <c r="P47" s="285"/>
      <c r="Q47" s="345">
        <f>'PRIME CPIF TOTAL SUB'!K24</f>
        <v>0</v>
      </c>
    </row>
    <row r="48" spans="1:17" ht="76.5" x14ac:dyDescent="0.2">
      <c r="B48" s="344" t="s">
        <v>613</v>
      </c>
      <c r="C48" s="624" t="s">
        <v>5</v>
      </c>
      <c r="D48" s="625"/>
      <c r="E48" s="626"/>
      <c r="F48" s="178"/>
      <c r="G48" s="627"/>
      <c r="H48" s="625"/>
      <c r="I48" s="626"/>
      <c r="J48" s="178"/>
      <c r="K48" s="627"/>
      <c r="L48" s="625"/>
      <c r="M48" s="626"/>
      <c r="N48" s="178"/>
      <c r="O48" s="627"/>
      <c r="P48" s="625"/>
      <c r="Q48" s="626"/>
    </row>
    <row r="49" spans="1:17" x14ac:dyDescent="0.2">
      <c r="B49" s="287" t="str">
        <f>'PRIME CPIF RATES (ALL)'!B44</f>
        <v>Indirect Category: [Overhead]</v>
      </c>
      <c r="C49" s="286">
        <f>E47</f>
        <v>0</v>
      </c>
      <c r="D49" s="243">
        <f>'PRIME CPIF RATES (ALL)'!C44</f>
        <v>0</v>
      </c>
      <c r="E49" s="168">
        <f>ROUND(C49*D49,2)</f>
        <v>0</v>
      </c>
      <c r="F49" s="178"/>
      <c r="G49" s="215">
        <f>I47</f>
        <v>0</v>
      </c>
      <c r="H49" s="243">
        <f>'PRIME CPIF RATES (ALL)'!D44</f>
        <v>0</v>
      </c>
      <c r="I49" s="168">
        <f>ROUND(G49*H49,2)</f>
        <v>0</v>
      </c>
      <c r="J49" s="178"/>
      <c r="K49" s="215">
        <f>M47</f>
        <v>0</v>
      </c>
      <c r="L49" s="243">
        <f>'PRIME CPIF RATES (ALL)'!E44</f>
        <v>0</v>
      </c>
      <c r="M49" s="168">
        <f>ROUND(K49*L49,2)</f>
        <v>0</v>
      </c>
      <c r="N49" s="178"/>
      <c r="O49" s="215">
        <f>Q47</f>
        <v>0</v>
      </c>
      <c r="P49" s="243">
        <f>'PRIME CPIF RATES (ALL)'!F44</f>
        <v>0</v>
      </c>
      <c r="Q49" s="168">
        <f>ROUND(O49*P49,2)</f>
        <v>0</v>
      </c>
    </row>
    <row r="50" spans="1:17" x14ac:dyDescent="0.2">
      <c r="B50" s="287" t="str">
        <f>'PRIME CPIF RATES (ALL)'!B45</f>
        <v>Indirect Category: [G&amp;A]</v>
      </c>
      <c r="C50" s="286">
        <f>C49+E49</f>
        <v>0</v>
      </c>
      <c r="D50" s="243">
        <f>'PRIME CPIF RATES (ALL)'!C45</f>
        <v>0</v>
      </c>
      <c r="E50" s="168">
        <f>ROUND(C50*D50,2)</f>
        <v>0</v>
      </c>
      <c r="F50" s="288"/>
      <c r="G50" s="286">
        <f>G49+I49</f>
        <v>0</v>
      </c>
      <c r="H50" s="243">
        <f>'PRIME CPIF RATES (ALL)'!D45</f>
        <v>0</v>
      </c>
      <c r="I50" s="168">
        <f>ROUND(G50*H50,2)</f>
        <v>0</v>
      </c>
      <c r="J50" s="288"/>
      <c r="K50" s="286">
        <f>K49+M49</f>
        <v>0</v>
      </c>
      <c r="L50" s="243">
        <f>'PRIME CPIF RATES (ALL)'!E45</f>
        <v>0</v>
      </c>
      <c r="M50" s="168">
        <f>ROUND(K50*L50,2)</f>
        <v>0</v>
      </c>
      <c r="N50" s="165"/>
      <c r="O50" s="286">
        <f>O49+Q49</f>
        <v>0</v>
      </c>
      <c r="P50" s="243">
        <f>'PRIME CPIF RATES (ALL)'!F45</f>
        <v>0</v>
      </c>
      <c r="Q50" s="168">
        <f>ROUND(O50*P50,2)</f>
        <v>0</v>
      </c>
    </row>
    <row r="51" spans="1:17" x14ac:dyDescent="0.2">
      <c r="B51" s="351" t="str">
        <f>'PRIME CPIF RATES (ALL)'!B46</f>
        <v>Indirect Category: [FCCOM]</v>
      </c>
      <c r="C51" s="215">
        <f>C50+E50</f>
        <v>0</v>
      </c>
      <c r="D51" s="243">
        <f>'PRIME CPIF RATES (ALL)'!C46</f>
        <v>0</v>
      </c>
      <c r="E51" s="353">
        <f>ROUND(C51*D51,2)</f>
        <v>0</v>
      </c>
      <c r="F51" s="288"/>
      <c r="G51" s="215">
        <f>G50+I50</f>
        <v>0</v>
      </c>
      <c r="H51" s="243">
        <f>'PRIME CPIF RATES (ALL)'!D46</f>
        <v>0</v>
      </c>
      <c r="I51" s="353">
        <f>ROUND(G51*H51,2)</f>
        <v>0</v>
      </c>
      <c r="J51" s="288"/>
      <c r="K51" s="215">
        <f>K50+M50</f>
        <v>0</v>
      </c>
      <c r="L51" s="243">
        <f>'PRIME CPIF RATES (ALL)'!E46</f>
        <v>0</v>
      </c>
      <c r="M51" s="353">
        <f>ROUND(K51*L51,2)</f>
        <v>0</v>
      </c>
      <c r="N51" s="165"/>
      <c r="O51" s="215">
        <f>O50+Q50</f>
        <v>0</v>
      </c>
      <c r="P51" s="243">
        <f>'PRIME CPIF RATES (ALL)'!F46</f>
        <v>0</v>
      </c>
      <c r="Q51" s="353">
        <f>ROUND(O51*P51,2)</f>
        <v>0</v>
      </c>
    </row>
    <row r="52" spans="1:17" x14ac:dyDescent="0.2">
      <c r="B52" s="167" t="str">
        <f>'PRIME CPIF RATES (ALL)'!B47</f>
        <v>Indirect Category: [Target Fee]</v>
      </c>
      <c r="C52" s="214">
        <f>C50+E50</f>
        <v>0</v>
      </c>
      <c r="D52" s="354">
        <f>'PRIME CPIF RATES (ALL)'!C47</f>
        <v>0</v>
      </c>
      <c r="E52" s="353">
        <f>ROUND(C52*D52,2)</f>
        <v>0</v>
      </c>
      <c r="F52" s="288"/>
      <c r="G52" s="214">
        <f>G50+I50</f>
        <v>0</v>
      </c>
      <c r="H52" s="354">
        <f>'PRIME CPIF RATES (ALL)'!D47</f>
        <v>0</v>
      </c>
      <c r="I52" s="353">
        <f>ROUND(G52*H52,2)</f>
        <v>0</v>
      </c>
      <c r="J52" s="288"/>
      <c r="K52" s="214">
        <f>K50+M50</f>
        <v>0</v>
      </c>
      <c r="L52" s="354">
        <f>'PRIME CPIF RATES (ALL)'!E47</f>
        <v>0</v>
      </c>
      <c r="M52" s="353">
        <f>ROUND(K52*L52,2)</f>
        <v>0</v>
      </c>
      <c r="N52" s="165"/>
      <c r="O52" s="214">
        <f>O50+Q50</f>
        <v>0</v>
      </c>
      <c r="P52" s="354">
        <f>'PRIME CPIF RATES (ALL)'!F47</f>
        <v>0</v>
      </c>
      <c r="Q52" s="353">
        <f>ROUND(O52*P52,2)</f>
        <v>0</v>
      </c>
    </row>
    <row r="53" spans="1:17" x14ac:dyDescent="0.2">
      <c r="B53" s="241" t="s">
        <v>320</v>
      </c>
      <c r="C53" s="233"/>
      <c r="D53" s="234"/>
      <c r="E53" s="168">
        <f>ROUND(E47+E49+E50,2)</f>
        <v>0</v>
      </c>
      <c r="F53" s="288"/>
      <c r="G53" s="233"/>
      <c r="H53" s="234"/>
      <c r="I53" s="168">
        <f>ROUND(I47+I49+I50,2)</f>
        <v>0</v>
      </c>
      <c r="J53" s="288"/>
      <c r="K53" s="233"/>
      <c r="L53" s="234"/>
      <c r="M53" s="168">
        <f>ROUND(M47+M49+M50,2)</f>
        <v>0</v>
      </c>
      <c r="N53" s="165"/>
      <c r="O53" s="233"/>
      <c r="P53" s="234"/>
      <c r="Q53" s="168">
        <f>ROUND(Q47+Q49+Q50,2)</f>
        <v>0</v>
      </c>
    </row>
    <row r="54" spans="1:17" x14ac:dyDescent="0.2">
      <c r="B54" s="241" t="s">
        <v>298</v>
      </c>
      <c r="C54" s="231"/>
      <c r="D54" s="235"/>
      <c r="E54" s="168">
        <f>ROUND(E51,2)</f>
        <v>0</v>
      </c>
      <c r="F54" s="288"/>
      <c r="G54" s="231"/>
      <c r="H54" s="235"/>
      <c r="I54" s="168">
        <f>ROUND(I51,2)</f>
        <v>0</v>
      </c>
      <c r="J54" s="288"/>
      <c r="K54" s="231"/>
      <c r="L54" s="235"/>
      <c r="M54" s="168">
        <f>ROUND(M51,2)</f>
        <v>0</v>
      </c>
      <c r="N54" s="165"/>
      <c r="O54" s="231"/>
      <c r="P54" s="235"/>
      <c r="Q54" s="168">
        <f>ROUND(Q51,2)</f>
        <v>0</v>
      </c>
    </row>
    <row r="55" spans="1:17" x14ac:dyDescent="0.2">
      <c r="B55" s="241" t="s">
        <v>136</v>
      </c>
      <c r="C55" s="231"/>
      <c r="D55" s="235"/>
      <c r="E55" s="182">
        <f>ROUND(E52,2)</f>
        <v>0</v>
      </c>
      <c r="F55" s="183"/>
      <c r="G55" s="231"/>
      <c r="H55" s="235"/>
      <c r="I55" s="182">
        <f>ROUND(I52,2)</f>
        <v>0</v>
      </c>
      <c r="J55" s="183"/>
      <c r="K55" s="231"/>
      <c r="L55" s="235"/>
      <c r="M55" s="182">
        <f>ROUND(M52,2)</f>
        <v>0</v>
      </c>
      <c r="N55" s="183"/>
      <c r="O55" s="231"/>
      <c r="P55" s="235"/>
      <c r="Q55" s="182">
        <f>ROUND(Q52,2)</f>
        <v>0</v>
      </c>
    </row>
    <row r="56" spans="1:17" ht="16.5" thickBot="1" x14ac:dyDescent="0.25">
      <c r="B56" s="242" t="s">
        <v>321</v>
      </c>
      <c r="C56" s="236"/>
      <c r="D56" s="237"/>
      <c r="E56" s="160">
        <f>SUM(E53:E55)</f>
        <v>0</v>
      </c>
      <c r="F56" s="161"/>
      <c r="G56" s="236"/>
      <c r="H56" s="237"/>
      <c r="I56" s="160">
        <f>SUM(I53:I55)</f>
        <v>0</v>
      </c>
      <c r="J56" s="161"/>
      <c r="K56" s="236"/>
      <c r="L56" s="237"/>
      <c r="M56" s="160">
        <f>SUM(M53:M55)</f>
        <v>0</v>
      </c>
      <c r="N56" s="161"/>
      <c r="O56" s="236"/>
      <c r="P56" s="237"/>
      <c r="Q56" s="160">
        <f>SUM(Q53:Q55)</f>
        <v>0</v>
      </c>
    </row>
    <row r="57" spans="1:17" ht="16.5" thickBot="1" x14ac:dyDescent="0.25">
      <c r="B57" s="172"/>
      <c r="E57" s="251"/>
      <c r="F57" s="251"/>
      <c r="G57" s="251"/>
      <c r="H57" s="251"/>
      <c r="I57" s="251"/>
      <c r="J57" s="251"/>
      <c r="K57" s="251"/>
      <c r="N57" s="187"/>
    </row>
    <row r="58" spans="1:17" ht="16.5" customHeight="1" thickBot="1" x14ac:dyDescent="0.3">
      <c r="A58" s="193"/>
      <c r="B58" s="620" t="str">
        <f>B30</f>
        <v>CLIN 0002 (CPIF)                                                    TASK 1.01 SUPPORT REQUIRED TO DETERMINE ELEMENTS OF SIMULATOR KIT</v>
      </c>
      <c r="C58" s="594" t="s">
        <v>146</v>
      </c>
      <c r="D58" s="595"/>
      <c r="E58" s="596"/>
      <c r="F58" s="175"/>
      <c r="G58" s="594" t="s">
        <v>147</v>
      </c>
      <c r="H58" s="595"/>
      <c r="I58" s="596"/>
      <c r="J58" s="175"/>
      <c r="K58" s="594" t="s">
        <v>147</v>
      </c>
      <c r="L58" s="595"/>
      <c r="M58" s="596"/>
      <c r="N58" s="175"/>
      <c r="O58" s="594" t="s">
        <v>147</v>
      </c>
      <c r="P58" s="595"/>
      <c r="Q58" s="596"/>
    </row>
    <row r="59" spans="1:17" ht="33.75" customHeight="1" thickBot="1" x14ac:dyDescent="0.3">
      <c r="A59" s="193"/>
      <c r="B59" s="621"/>
      <c r="C59" s="617" t="str">
        <f>C31</f>
        <v>CLIN 0002 - Basic Period (Year 1)</v>
      </c>
      <c r="D59" s="618"/>
      <c r="E59" s="619"/>
      <c r="F59" s="176"/>
      <c r="G59" s="617" t="str">
        <f>G31</f>
        <v>CLIN 0002 - Basic Period (Year 2)</v>
      </c>
      <c r="H59" s="618"/>
      <c r="I59" s="619"/>
      <c r="J59" s="176"/>
      <c r="K59" s="617" t="str">
        <f>K31</f>
        <v>CLIN 0002 - Basic Period (Year 3)</v>
      </c>
      <c r="L59" s="618"/>
      <c r="M59" s="619"/>
      <c r="N59" s="176"/>
      <c r="O59" s="617" t="str">
        <f>O31</f>
        <v>CLIN 0002 - Basic Period (Year 4)</v>
      </c>
      <c r="P59" s="618"/>
      <c r="Q59" s="619"/>
    </row>
    <row r="60" spans="1:17" x14ac:dyDescent="0.25">
      <c r="A60" s="193"/>
      <c r="B60" s="248"/>
      <c r="C60" s="153" t="s">
        <v>399</v>
      </c>
      <c r="D60" s="154" t="s">
        <v>396</v>
      </c>
      <c r="E60" s="155" t="s">
        <v>153</v>
      </c>
      <c r="F60" s="166"/>
      <c r="G60" s="153" t="s">
        <v>399</v>
      </c>
      <c r="H60" s="154" t="s">
        <v>396</v>
      </c>
      <c r="I60" s="155" t="s">
        <v>153</v>
      </c>
      <c r="J60" s="166"/>
      <c r="K60" s="153" t="s">
        <v>399</v>
      </c>
      <c r="L60" s="154" t="s">
        <v>396</v>
      </c>
      <c r="M60" s="155" t="s">
        <v>153</v>
      </c>
      <c r="N60" s="166"/>
      <c r="O60" s="153" t="s">
        <v>399</v>
      </c>
      <c r="P60" s="154" t="s">
        <v>396</v>
      </c>
      <c r="Q60" s="155" t="s">
        <v>123</v>
      </c>
    </row>
    <row r="61" spans="1:17" ht="26.25" x14ac:dyDescent="0.25">
      <c r="A61" s="193"/>
      <c r="B61" s="300" t="s">
        <v>561</v>
      </c>
      <c r="C61" s="231"/>
      <c r="D61" s="232"/>
      <c r="E61" s="345">
        <f>'PRIME CPIF TOTAL ODC'!E24</f>
        <v>0</v>
      </c>
      <c r="F61" s="165"/>
      <c r="G61" s="231"/>
      <c r="H61" s="232"/>
      <c r="I61" s="345">
        <f>'PRIME CPIF TOTAL ODC'!G24</f>
        <v>0</v>
      </c>
      <c r="J61" s="165"/>
      <c r="K61" s="231"/>
      <c r="L61" s="232"/>
      <c r="M61" s="345">
        <f>'PRIME CPIF TOTAL ODC'!I24</f>
        <v>0</v>
      </c>
      <c r="N61" s="165"/>
      <c r="O61" s="231"/>
      <c r="P61" s="232"/>
      <c r="Q61" s="345">
        <f>'PRIME CPIF TOTAL ODC'!K24</f>
        <v>0</v>
      </c>
    </row>
    <row r="62" spans="1:17" ht="66" customHeight="1" x14ac:dyDescent="0.25">
      <c r="A62" s="193"/>
      <c r="B62" s="490" t="s">
        <v>614</v>
      </c>
      <c r="C62" s="404"/>
      <c r="D62" s="404"/>
      <c r="E62" s="403"/>
      <c r="F62" s="288"/>
      <c r="G62" s="405"/>
      <c r="H62" s="404"/>
      <c r="I62" s="403"/>
      <c r="J62" s="288"/>
      <c r="K62" s="405"/>
      <c r="L62" s="404"/>
      <c r="M62" s="400"/>
      <c r="N62" s="165"/>
      <c r="O62" s="405"/>
      <c r="P62" s="404"/>
      <c r="Q62" s="400"/>
    </row>
    <row r="63" spans="1:17" x14ac:dyDescent="0.25">
      <c r="A63" s="193"/>
      <c r="B63" s="167" t="s">
        <v>125</v>
      </c>
      <c r="C63" s="215">
        <f>+E61</f>
        <v>0</v>
      </c>
      <c r="D63" s="243">
        <f>'PRIME CPIF RATES (ALL)'!C60</f>
        <v>0</v>
      </c>
      <c r="E63" s="168">
        <f>ROUND(C63*D63,2)</f>
        <v>0</v>
      </c>
      <c r="F63" s="178"/>
      <c r="G63" s="215">
        <f>+I61</f>
        <v>0</v>
      </c>
      <c r="H63" s="243">
        <f>'PRIME CPIF RATES (ALL)'!D60</f>
        <v>0</v>
      </c>
      <c r="I63" s="168">
        <f>ROUND(G63*H63,2)</f>
        <v>0</v>
      </c>
      <c r="J63" s="178"/>
      <c r="K63" s="215">
        <f>+M61</f>
        <v>0</v>
      </c>
      <c r="L63" s="243">
        <f>'PRIME CPIF RATES (ALL)'!E60</f>
        <v>0</v>
      </c>
      <c r="M63" s="168">
        <f>ROUND(K63*L63,2)</f>
        <v>0</v>
      </c>
      <c r="N63" s="178"/>
      <c r="O63" s="215">
        <f>+Q61</f>
        <v>0</v>
      </c>
      <c r="P63" s="243">
        <f>'PRIME CPIF RATES (ALL)'!F60</f>
        <v>0</v>
      </c>
      <c r="Q63" s="168">
        <f>ROUND(O63*P63,2)</f>
        <v>0</v>
      </c>
    </row>
    <row r="64" spans="1:17" x14ac:dyDescent="0.25">
      <c r="A64" s="193"/>
      <c r="B64" s="167" t="s">
        <v>126</v>
      </c>
      <c r="C64" s="215">
        <f>+C63+E63</f>
        <v>0</v>
      </c>
      <c r="D64" s="243">
        <f>'PRIME CPIF RATES (ALL)'!C61</f>
        <v>0</v>
      </c>
      <c r="E64" s="168">
        <f>ROUND(C64*D64,2)</f>
        <v>0</v>
      </c>
      <c r="F64" s="178"/>
      <c r="G64" s="215">
        <f>+G63+I63</f>
        <v>0</v>
      </c>
      <c r="H64" s="243">
        <f>'PRIME CPIF RATES (ALL)'!D61</f>
        <v>0</v>
      </c>
      <c r="I64" s="168">
        <f>ROUND(G64*H64,2)</f>
        <v>0</v>
      </c>
      <c r="J64" s="178"/>
      <c r="K64" s="215">
        <f>+K63+M63</f>
        <v>0</v>
      </c>
      <c r="L64" s="243">
        <f>'PRIME CPIF RATES (ALL)'!E61</f>
        <v>0</v>
      </c>
      <c r="M64" s="168">
        <f>ROUND(K64*L64,2)</f>
        <v>0</v>
      </c>
      <c r="N64" s="178"/>
      <c r="O64" s="215">
        <f>+O63+Q63</f>
        <v>0</v>
      </c>
      <c r="P64" s="243">
        <f>'PRIME CPIF RATES (ALL)'!F61</f>
        <v>0</v>
      </c>
      <c r="Q64" s="168">
        <f>ROUND(O64*P64,2)</f>
        <v>0</v>
      </c>
    </row>
    <row r="65" spans="1:17" x14ac:dyDescent="0.25">
      <c r="A65" s="193"/>
      <c r="B65" s="167" t="s">
        <v>566</v>
      </c>
      <c r="C65" s="215">
        <f>C64+E64</f>
        <v>0</v>
      </c>
      <c r="D65" s="243">
        <f>'PRIME CPIF RATES (ALL)'!C62</f>
        <v>0</v>
      </c>
      <c r="E65" s="168">
        <f>ROUND(C65*D65,2)</f>
        <v>0</v>
      </c>
      <c r="F65" s="165"/>
      <c r="G65" s="215">
        <f>G64+I64</f>
        <v>0</v>
      </c>
      <c r="H65" s="243">
        <f>'PRIME CPIF RATES (ALL)'!D62</f>
        <v>0</v>
      </c>
      <c r="I65" s="168">
        <f>ROUND(G65*H65,2)</f>
        <v>0</v>
      </c>
      <c r="J65" s="165"/>
      <c r="K65" s="215">
        <f>K64+M64</f>
        <v>0</v>
      </c>
      <c r="L65" s="243">
        <f>'PRIME CPIF RATES (ALL)'!E62</f>
        <v>0</v>
      </c>
      <c r="M65" s="168">
        <f>ROUND(K65*L65,2)</f>
        <v>0</v>
      </c>
      <c r="N65" s="165"/>
      <c r="O65" s="215">
        <f>O64+Q64</f>
        <v>0</v>
      </c>
      <c r="P65" s="243">
        <f>'PRIME CPIF RATES (ALL)'!F62</f>
        <v>0</v>
      </c>
      <c r="Q65" s="168">
        <f>ROUND(O65*P65,2)</f>
        <v>0</v>
      </c>
    </row>
    <row r="66" spans="1:17" x14ac:dyDescent="0.25">
      <c r="A66" s="193"/>
      <c r="B66" s="167" t="s">
        <v>127</v>
      </c>
      <c r="C66" s="215">
        <f>+C64+E64</f>
        <v>0</v>
      </c>
      <c r="D66" s="354">
        <f>'PRIME CPIF RATES (ALL)'!C63</f>
        <v>0</v>
      </c>
      <c r="E66" s="168">
        <f>ROUND(C66*D66,2)</f>
        <v>0</v>
      </c>
      <c r="F66" s="165"/>
      <c r="G66" s="215">
        <f>+G64+I64</f>
        <v>0</v>
      </c>
      <c r="H66" s="354">
        <f>'PRIME CPIF RATES (ALL)'!D63</f>
        <v>0</v>
      </c>
      <c r="I66" s="168">
        <f>ROUND(G66*H66,2)</f>
        <v>0</v>
      </c>
      <c r="J66" s="165"/>
      <c r="K66" s="215">
        <f>+K64+M64</f>
        <v>0</v>
      </c>
      <c r="L66" s="354">
        <f>'PRIME CPIF RATES (ALL)'!E63</f>
        <v>0</v>
      </c>
      <c r="M66" s="168">
        <f>ROUND(K66*L66,2)</f>
        <v>0</v>
      </c>
      <c r="N66" s="165"/>
      <c r="O66" s="215">
        <f>+O64+Q64</f>
        <v>0</v>
      </c>
      <c r="P66" s="354">
        <f>'PRIME CPIF RATES (ALL)'!F63</f>
        <v>0</v>
      </c>
      <c r="Q66" s="168">
        <f>ROUND(O66*P66,2)</f>
        <v>0</v>
      </c>
    </row>
    <row r="67" spans="1:17" x14ac:dyDescent="0.25">
      <c r="A67" s="193"/>
      <c r="B67" s="241" t="s">
        <v>260</v>
      </c>
      <c r="C67" s="233"/>
      <c r="D67" s="234"/>
      <c r="E67" s="168">
        <f>+ROUND(SUM(E61:E64),2)</f>
        <v>0</v>
      </c>
      <c r="F67" s="165"/>
      <c r="G67" s="233"/>
      <c r="H67" s="234"/>
      <c r="I67" s="168">
        <f>+ROUND(SUM(I61:I64),2)</f>
        <v>0</v>
      </c>
      <c r="J67" s="165"/>
      <c r="K67" s="233"/>
      <c r="L67" s="234"/>
      <c r="M67" s="168">
        <f>+ROUND(SUM(M61:M64),2)</f>
        <v>0</v>
      </c>
      <c r="N67" s="165"/>
      <c r="O67" s="233"/>
      <c r="P67" s="234"/>
      <c r="Q67" s="168">
        <f>+ROUND(SUM(Q61:Q64),2)</f>
        <v>0</v>
      </c>
    </row>
    <row r="68" spans="1:17" x14ac:dyDescent="0.25">
      <c r="A68" s="193"/>
      <c r="B68" s="241" t="s">
        <v>137</v>
      </c>
      <c r="C68" s="231"/>
      <c r="D68" s="235"/>
      <c r="E68" s="168">
        <f>+ROUND(E65,2)</f>
        <v>0</v>
      </c>
      <c r="F68" s="165"/>
      <c r="G68" s="231"/>
      <c r="H68" s="235"/>
      <c r="I68" s="168">
        <f>+ROUND(I65,2)</f>
        <v>0</v>
      </c>
      <c r="J68" s="165"/>
      <c r="K68" s="231"/>
      <c r="L68" s="235"/>
      <c r="M68" s="168">
        <f>+ROUND(M65,2)</f>
        <v>0</v>
      </c>
      <c r="N68" s="165"/>
      <c r="O68" s="231"/>
      <c r="P68" s="235"/>
      <c r="Q68" s="168">
        <f>+ROUND(Q65,2)</f>
        <v>0</v>
      </c>
    </row>
    <row r="69" spans="1:17" x14ac:dyDescent="0.2">
      <c r="A69" s="186"/>
      <c r="B69" s="241" t="s">
        <v>136</v>
      </c>
      <c r="C69" s="231"/>
      <c r="D69" s="235"/>
      <c r="E69" s="182">
        <f>+ROUND(E66,2)</f>
        <v>0</v>
      </c>
      <c r="F69" s="183"/>
      <c r="G69" s="231"/>
      <c r="H69" s="235"/>
      <c r="I69" s="182">
        <f>+ROUND(I66,2)</f>
        <v>0</v>
      </c>
      <c r="J69" s="183"/>
      <c r="K69" s="231"/>
      <c r="L69" s="235"/>
      <c r="M69" s="182">
        <f>+ROUND(M66,2)</f>
        <v>0</v>
      </c>
      <c r="N69" s="183"/>
      <c r="O69" s="231"/>
      <c r="P69" s="235"/>
      <c r="Q69" s="182">
        <f>+ROUND(Q66,2)</f>
        <v>0</v>
      </c>
    </row>
    <row r="70" spans="1:17" ht="16.5" thickBot="1" x14ac:dyDescent="0.25">
      <c r="A70" s="186"/>
      <c r="B70" s="242" t="s">
        <v>244</v>
      </c>
      <c r="C70" s="236"/>
      <c r="D70" s="237"/>
      <c r="E70" s="160">
        <f t="shared" ref="E70" si="4">SUM(E67:E69)</f>
        <v>0</v>
      </c>
      <c r="F70" s="161"/>
      <c r="G70" s="236"/>
      <c r="H70" s="237"/>
      <c r="I70" s="160">
        <f t="shared" ref="I70" si="5">SUM(I67:I69)</f>
        <v>0</v>
      </c>
      <c r="J70" s="161"/>
      <c r="K70" s="236"/>
      <c r="L70" s="237"/>
      <c r="M70" s="160">
        <f t="shared" ref="M70" si="6">SUM(M67:M69)</f>
        <v>0</v>
      </c>
      <c r="N70" s="161"/>
      <c r="O70" s="236"/>
      <c r="P70" s="237"/>
      <c r="Q70" s="160">
        <f t="shared" ref="Q70" si="7">SUM(Q67:Q69)</f>
        <v>0</v>
      </c>
    </row>
    <row r="71" spans="1:17" ht="16.5" thickBot="1" x14ac:dyDescent="0.25">
      <c r="A71" s="186"/>
      <c r="B71" s="172"/>
      <c r="E71" s="251"/>
      <c r="F71" s="251"/>
      <c r="G71" s="251"/>
      <c r="H71" s="251"/>
      <c r="I71" s="251"/>
      <c r="J71" s="251"/>
      <c r="K71" s="251"/>
      <c r="N71" s="187"/>
    </row>
    <row r="72" spans="1:17" ht="16.5" thickBot="1" x14ac:dyDescent="0.3">
      <c r="A72" s="186"/>
      <c r="B72" s="628" t="str">
        <f>B58</f>
        <v>CLIN 0002 (CPIF)                                                    TASK 1.01 SUPPORT REQUIRED TO DETERMINE ELEMENTS OF SIMULATOR KIT</v>
      </c>
      <c r="C72" s="614" t="s">
        <v>319</v>
      </c>
      <c r="D72" s="615"/>
      <c r="E72" s="616"/>
      <c r="F72" s="175"/>
      <c r="G72" s="614" t="s">
        <v>319</v>
      </c>
      <c r="H72" s="615"/>
      <c r="I72" s="616"/>
      <c r="J72" s="175"/>
      <c r="K72" s="614" t="s">
        <v>319</v>
      </c>
      <c r="L72" s="615"/>
      <c r="M72" s="616"/>
      <c r="N72" s="175"/>
      <c r="O72" s="614" t="s">
        <v>319</v>
      </c>
      <c r="P72" s="615"/>
      <c r="Q72" s="616"/>
    </row>
    <row r="73" spans="1:17" ht="33.75" customHeight="1" thickBot="1" x14ac:dyDescent="0.3">
      <c r="A73" s="186"/>
      <c r="B73" s="629"/>
      <c r="C73" s="280"/>
      <c r="D73" s="281"/>
      <c r="E73" s="188" t="s">
        <v>344</v>
      </c>
      <c r="F73" s="189"/>
      <c r="G73" s="280"/>
      <c r="H73" s="281"/>
      <c r="I73" s="188" t="s">
        <v>347</v>
      </c>
      <c r="J73" s="189"/>
      <c r="K73" s="280"/>
      <c r="L73" s="281"/>
      <c r="M73" s="188" t="s">
        <v>346</v>
      </c>
      <c r="N73" s="189"/>
      <c r="O73" s="280"/>
      <c r="P73" s="281"/>
      <c r="Q73" s="188" t="s">
        <v>345</v>
      </c>
    </row>
    <row r="74" spans="1:17" x14ac:dyDescent="0.2">
      <c r="A74" s="186"/>
      <c r="B74" s="167" t="s">
        <v>261</v>
      </c>
      <c r="C74" s="282"/>
      <c r="D74" s="282"/>
      <c r="E74" s="190">
        <f>+ROUND(E25+E39+E53+E67,2)</f>
        <v>0</v>
      </c>
      <c r="F74" s="165"/>
      <c r="G74" s="282"/>
      <c r="H74" s="282"/>
      <c r="I74" s="190">
        <f>+ROUND(I25+I39+I53+I67,2)</f>
        <v>0</v>
      </c>
      <c r="J74" s="165"/>
      <c r="K74" s="282"/>
      <c r="L74" s="282"/>
      <c r="M74" s="190">
        <f>+ROUND(M25+M39+M53+M67,2)</f>
        <v>0</v>
      </c>
      <c r="N74" s="165"/>
      <c r="O74" s="282"/>
      <c r="P74" s="282"/>
      <c r="Q74" s="190">
        <f>+ROUND(Q25+Q39+Q53+Q67,2)</f>
        <v>0</v>
      </c>
    </row>
    <row r="75" spans="1:17" x14ac:dyDescent="0.2">
      <c r="A75" s="186"/>
      <c r="B75" s="167" t="s">
        <v>137</v>
      </c>
      <c r="C75" s="282"/>
      <c r="D75" s="282"/>
      <c r="E75" s="168">
        <f>+ROUND(E26+E40+E54+E68,2)</f>
        <v>0</v>
      </c>
      <c r="F75" s="165"/>
      <c r="G75" s="282"/>
      <c r="H75" s="282"/>
      <c r="I75" s="168">
        <f>+ROUND(I26+I40+I54+I68,2)</f>
        <v>0</v>
      </c>
      <c r="J75" s="165"/>
      <c r="K75" s="282"/>
      <c r="L75" s="282"/>
      <c r="M75" s="168">
        <f>+ROUND(M26+M40+M54+M68,2)</f>
        <v>0</v>
      </c>
      <c r="N75" s="165"/>
      <c r="O75" s="282"/>
      <c r="P75" s="282"/>
      <c r="Q75" s="168">
        <f>+ROUND(Q26+Q40+Q54+Q68,2)</f>
        <v>0</v>
      </c>
    </row>
    <row r="76" spans="1:17" x14ac:dyDescent="0.2">
      <c r="A76" s="186"/>
      <c r="B76" s="167" t="s">
        <v>136</v>
      </c>
      <c r="C76" s="282"/>
      <c r="D76" s="282"/>
      <c r="E76" s="169">
        <f>+ROUND(E27+E41+E55+E69,2)</f>
        <v>0</v>
      </c>
      <c r="F76" s="170"/>
      <c r="G76" s="282"/>
      <c r="H76" s="282"/>
      <c r="I76" s="169">
        <f>+ROUND(I27+I41+I55+I69,2)</f>
        <v>0</v>
      </c>
      <c r="J76" s="170"/>
      <c r="K76" s="282"/>
      <c r="L76" s="282"/>
      <c r="M76" s="169">
        <f>+ROUND(M27+M41+M55+M69,2)</f>
        <v>0</v>
      </c>
      <c r="N76" s="170"/>
      <c r="O76" s="282"/>
      <c r="P76" s="282"/>
      <c r="Q76" s="169">
        <f>+ROUND(Q27+Q41+Q55+Q69,2)</f>
        <v>0</v>
      </c>
    </row>
    <row r="77" spans="1:17" ht="32.25" thickBot="1" x14ac:dyDescent="0.3">
      <c r="A77" s="186"/>
      <c r="B77" s="265" t="s">
        <v>517</v>
      </c>
      <c r="C77" s="283"/>
      <c r="D77" s="283"/>
      <c r="E77" s="266">
        <f>SUM(E74:E76)</f>
        <v>0</v>
      </c>
      <c r="F77" s="171"/>
      <c r="G77" s="283"/>
      <c r="H77" s="283"/>
      <c r="I77" s="266">
        <f>SUM(I74:I76)</f>
        <v>0</v>
      </c>
      <c r="J77" s="171"/>
      <c r="K77" s="283"/>
      <c r="L77" s="283"/>
      <c r="M77" s="266">
        <f>SUM(M74:M76)</f>
        <v>0</v>
      </c>
      <c r="N77" s="171"/>
      <c r="O77" s="283"/>
      <c r="P77" s="283"/>
      <c r="Q77" s="266">
        <f>SUM(Q74:Q76)</f>
        <v>0</v>
      </c>
    </row>
    <row r="78" spans="1:17" ht="16.5" thickBot="1" x14ac:dyDescent="0.3"/>
    <row r="79" spans="1:17" ht="31.5" x14ac:dyDescent="0.25">
      <c r="Q79" s="411" t="s">
        <v>518</v>
      </c>
    </row>
    <row r="80" spans="1:17" ht="16.5" thickBot="1" x14ac:dyDescent="0.3">
      <c r="Q80" s="410">
        <f>E77+I77+M77+Q77</f>
        <v>0</v>
      </c>
    </row>
  </sheetData>
  <mergeCells count="46">
    <mergeCell ref="B30:B31"/>
    <mergeCell ref="B72:B73"/>
    <mergeCell ref="C72:E72"/>
    <mergeCell ref="G72:I72"/>
    <mergeCell ref="K72:M72"/>
    <mergeCell ref="C59:E59"/>
    <mergeCell ref="G59:I59"/>
    <mergeCell ref="K59:M59"/>
    <mergeCell ref="B58:B59"/>
    <mergeCell ref="C58:E58"/>
    <mergeCell ref="G58:I58"/>
    <mergeCell ref="K58:M58"/>
    <mergeCell ref="B44:B45"/>
    <mergeCell ref="K44:M44"/>
    <mergeCell ref="C45:E45"/>
    <mergeCell ref="G45:I45"/>
    <mergeCell ref="O72:Q72"/>
    <mergeCell ref="O59:Q59"/>
    <mergeCell ref="O58:Q58"/>
    <mergeCell ref="C48:E48"/>
    <mergeCell ref="G48:I48"/>
    <mergeCell ref="K48:M48"/>
    <mergeCell ref="O30:Q30"/>
    <mergeCell ref="O31:Q31"/>
    <mergeCell ref="C30:E30"/>
    <mergeCell ref="G30:I30"/>
    <mergeCell ref="K30:M30"/>
    <mergeCell ref="C31:E31"/>
    <mergeCell ref="G31:I31"/>
    <mergeCell ref="K31:M31"/>
    <mergeCell ref="O44:Q44"/>
    <mergeCell ref="O45:Q45"/>
    <mergeCell ref="O48:Q48"/>
    <mergeCell ref="C44:E44"/>
    <mergeCell ref="G44:I44"/>
    <mergeCell ref="K45:M45"/>
    <mergeCell ref="O14:Q14"/>
    <mergeCell ref="O13:Q13"/>
    <mergeCell ref="A3:C3"/>
    <mergeCell ref="B13:B14"/>
    <mergeCell ref="C13:E13"/>
    <mergeCell ref="G13:I13"/>
    <mergeCell ref="K13:M13"/>
    <mergeCell ref="C14:E14"/>
    <mergeCell ref="G14:I14"/>
    <mergeCell ref="K14:M14"/>
  </mergeCell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1B82F6-F8A6-40FF-AFF3-4BA094366D8B}">
  <sheetPr>
    <tabColor theme="0"/>
  </sheetPr>
  <dimension ref="A1:Q80"/>
  <sheetViews>
    <sheetView zoomScale="80" zoomScaleNormal="80" workbookViewId="0">
      <pane ySplit="11" topLeftCell="A12" activePane="bottomLeft" state="frozen"/>
      <selection pane="bottomLeft" activeCell="P65" sqref="P65"/>
    </sheetView>
    <sheetView workbookViewId="1"/>
  </sheetViews>
  <sheetFormatPr defaultColWidth="15.85546875" defaultRowHeight="15.75" x14ac:dyDescent="0.25"/>
  <cols>
    <col min="1" max="1" width="3.42578125" style="191" customWidth="1"/>
    <col min="2" max="2" width="49.140625" style="174" customWidth="1"/>
    <col min="3" max="3" width="18.28515625" style="186" bestFit="1" customWidth="1"/>
    <col min="4" max="4" width="12.42578125" style="186" bestFit="1" customWidth="1"/>
    <col min="5" max="5" width="30.5703125" style="186" bestFit="1" customWidth="1"/>
    <col min="6" max="6" width="1" style="186" customWidth="1"/>
    <col min="7" max="7" width="14.28515625" style="186" customWidth="1"/>
    <col min="8" max="8" width="14.5703125" style="186" customWidth="1"/>
    <col min="9" max="9" width="34.42578125" style="186" bestFit="1" customWidth="1"/>
    <col min="10" max="10" width="1" style="186" customWidth="1"/>
    <col min="11" max="11" width="16.7109375" style="186" customWidth="1"/>
    <col min="12" max="12" width="16.28515625" style="186" customWidth="1"/>
    <col min="13" max="13" width="34.42578125" style="186" bestFit="1" customWidth="1"/>
    <col min="14" max="14" width="0.85546875" style="186" customWidth="1"/>
    <col min="15" max="15" width="16.7109375" style="186" customWidth="1"/>
    <col min="16" max="16" width="16.28515625" style="186" customWidth="1"/>
    <col min="17" max="17" width="34.42578125" style="186" bestFit="1" customWidth="1"/>
    <col min="18" max="16384" width="15.85546875" style="186"/>
  </cols>
  <sheetData>
    <row r="1" spans="1:17" ht="16.5" thickBot="1" x14ac:dyDescent="0.3">
      <c r="B1" s="126" t="s">
        <v>626</v>
      </c>
      <c r="C1" s="494" t="str">
        <f>'FFP CLINs X007-X021'!B1</f>
        <v>NAME</v>
      </c>
    </row>
    <row r="2" spans="1:17" ht="16.5" thickBot="1" x14ac:dyDescent="0.3"/>
    <row r="3" spans="1:17" ht="52.5" customHeight="1" thickBot="1" x14ac:dyDescent="0.3">
      <c r="A3" s="557" t="s">
        <v>159</v>
      </c>
      <c r="B3" s="558"/>
      <c r="C3" s="559"/>
      <c r="I3" s="251" t="s">
        <v>149</v>
      </c>
    </row>
    <row r="5" spans="1:17" s="259" customFormat="1" ht="17.25" customHeight="1" x14ac:dyDescent="0.2">
      <c r="A5" s="260"/>
      <c r="B5" s="261" t="s">
        <v>130</v>
      </c>
    </row>
    <row r="6" spans="1:17" s="259" customFormat="1" x14ac:dyDescent="0.25">
      <c r="A6" s="258"/>
      <c r="B6" s="258" t="s">
        <v>606</v>
      </c>
    </row>
    <row r="7" spans="1:17" s="259" customFormat="1" x14ac:dyDescent="0.25">
      <c r="A7" s="258"/>
      <c r="B7" s="258" t="s">
        <v>390</v>
      </c>
    </row>
    <row r="8" spans="1:17" s="259" customFormat="1" x14ac:dyDescent="0.25">
      <c r="A8" s="258"/>
      <c r="B8" s="258" t="s">
        <v>607</v>
      </c>
    </row>
    <row r="9" spans="1:17" s="259" customFormat="1" x14ac:dyDescent="0.25">
      <c r="A9" s="258"/>
      <c r="B9" s="258" t="s">
        <v>608</v>
      </c>
    </row>
    <row r="10" spans="1:17" x14ac:dyDescent="0.25">
      <c r="A10" s="192"/>
      <c r="B10" s="258" t="s">
        <v>609</v>
      </c>
      <c r="C10" s="194"/>
    </row>
    <row r="11" spans="1:17" x14ac:dyDescent="0.25">
      <c r="A11" s="192"/>
      <c r="B11" s="258" t="s">
        <v>519</v>
      </c>
      <c r="C11" s="194"/>
    </row>
    <row r="12" spans="1:17" ht="16.5" thickBot="1" x14ac:dyDescent="0.3"/>
    <row r="13" spans="1:17" ht="16.5" thickBot="1" x14ac:dyDescent="0.3">
      <c r="A13" s="193"/>
      <c r="B13" s="620" t="s">
        <v>520</v>
      </c>
      <c r="C13" s="594" t="s">
        <v>134</v>
      </c>
      <c r="D13" s="595"/>
      <c r="E13" s="596"/>
      <c r="F13" s="151"/>
      <c r="G13" s="594" t="s">
        <v>134</v>
      </c>
      <c r="H13" s="595"/>
      <c r="I13" s="596"/>
      <c r="J13" s="151"/>
      <c r="K13" s="594" t="s">
        <v>134</v>
      </c>
      <c r="L13" s="595"/>
      <c r="M13" s="596"/>
      <c r="N13" s="151"/>
      <c r="O13" s="594" t="s">
        <v>134</v>
      </c>
      <c r="P13" s="595"/>
      <c r="Q13" s="596"/>
    </row>
    <row r="14" spans="1:17" ht="32.25" customHeight="1" thickBot="1" x14ac:dyDescent="0.3">
      <c r="A14" s="193"/>
      <c r="B14" s="621"/>
      <c r="C14" s="617" t="s">
        <v>325</v>
      </c>
      <c r="D14" s="618"/>
      <c r="E14" s="619"/>
      <c r="F14" s="152"/>
      <c r="G14" s="617" t="s">
        <v>326</v>
      </c>
      <c r="H14" s="618"/>
      <c r="I14" s="619"/>
      <c r="J14" s="152"/>
      <c r="K14" s="617" t="s">
        <v>327</v>
      </c>
      <c r="L14" s="618"/>
      <c r="M14" s="619"/>
      <c r="N14" s="152"/>
      <c r="O14" s="617" t="s">
        <v>328</v>
      </c>
      <c r="P14" s="618"/>
      <c r="Q14" s="619"/>
    </row>
    <row r="15" spans="1:17" x14ac:dyDescent="0.25">
      <c r="A15" s="193"/>
      <c r="B15" s="153" t="s">
        <v>110</v>
      </c>
      <c r="C15" s="153" t="s">
        <v>91</v>
      </c>
      <c r="D15" s="154" t="s">
        <v>133</v>
      </c>
      <c r="E15" s="155" t="s">
        <v>139</v>
      </c>
      <c r="F15" s="156"/>
      <c r="G15" s="153" t="s">
        <v>91</v>
      </c>
      <c r="H15" s="154" t="s">
        <v>133</v>
      </c>
      <c r="I15" s="155" t="s">
        <v>139</v>
      </c>
      <c r="J15" s="156"/>
      <c r="K15" s="153" t="s">
        <v>91</v>
      </c>
      <c r="L15" s="154" t="s">
        <v>133</v>
      </c>
      <c r="M15" s="155" t="s">
        <v>139</v>
      </c>
      <c r="N15" s="156"/>
      <c r="O15" s="153" t="s">
        <v>91</v>
      </c>
      <c r="P15" s="154" t="s">
        <v>133</v>
      </c>
      <c r="Q15" s="155" t="s">
        <v>139</v>
      </c>
    </row>
    <row r="16" spans="1:17" ht="30" customHeight="1" thickBot="1" x14ac:dyDescent="0.3">
      <c r="A16" s="193"/>
      <c r="B16" s="203" t="s">
        <v>558</v>
      </c>
      <c r="C16" s="289"/>
      <c r="D16" s="290"/>
      <c r="E16" s="291"/>
      <c r="F16" s="156"/>
      <c r="G16" s="289"/>
      <c r="H16" s="290"/>
      <c r="I16" s="291"/>
      <c r="J16" s="156"/>
      <c r="K16" s="289"/>
      <c r="L16" s="290"/>
      <c r="M16" s="291"/>
      <c r="N16" s="156"/>
      <c r="O16" s="289"/>
      <c r="P16" s="290"/>
      <c r="Q16" s="291"/>
    </row>
    <row r="17" spans="1:17" ht="16.5" thickBot="1" x14ac:dyDescent="0.3">
      <c r="A17" s="193"/>
      <c r="B17" s="299" t="s">
        <v>151</v>
      </c>
      <c r="C17" s="163">
        <f>'PRIME CPIF LABOR INPUTS'!D280</f>
        <v>0</v>
      </c>
      <c r="D17" s="205"/>
      <c r="E17" s="164">
        <f>'PRIME CPIF LABOR INPUTS'!F280</f>
        <v>0</v>
      </c>
      <c r="F17" s="165"/>
      <c r="G17" s="163">
        <f>'PRIME CPIF LABOR INPUTS'!H280</f>
        <v>0</v>
      </c>
      <c r="H17" s="205"/>
      <c r="I17" s="164">
        <f>'PRIME CPIF LABOR INPUTS'!J280</f>
        <v>0</v>
      </c>
      <c r="J17" s="165"/>
      <c r="K17" s="163">
        <f>'PRIME CPIF LABOR INPUTS'!L280</f>
        <v>0</v>
      </c>
      <c r="L17" s="205"/>
      <c r="M17" s="164">
        <f>'PRIME CPIF LABOR INPUTS'!N280</f>
        <v>0</v>
      </c>
      <c r="N17" s="165"/>
      <c r="O17" s="163">
        <f>'PRIME CPIF LABOR INPUTS'!P280</f>
        <v>0</v>
      </c>
      <c r="P17" s="205"/>
      <c r="Q17" s="164">
        <f>'PRIME CPIF LABOR INPUTS'!R280</f>
        <v>0</v>
      </c>
    </row>
    <row r="18" spans="1:17" x14ac:dyDescent="0.25">
      <c r="A18" s="193"/>
      <c r="B18" s="204"/>
      <c r="C18" s="153" t="s">
        <v>399</v>
      </c>
      <c r="D18" s="154" t="s">
        <v>396</v>
      </c>
      <c r="E18" s="155" t="s">
        <v>398</v>
      </c>
      <c r="F18" s="166"/>
      <c r="G18" s="153" t="s">
        <v>399</v>
      </c>
      <c r="H18" s="154" t="s">
        <v>396</v>
      </c>
      <c r="I18" s="155" t="s">
        <v>398</v>
      </c>
      <c r="J18" s="166"/>
      <c r="K18" s="153" t="s">
        <v>399</v>
      </c>
      <c r="L18" s="154" t="s">
        <v>396</v>
      </c>
      <c r="M18" s="155" t="s">
        <v>398</v>
      </c>
      <c r="N18" s="166"/>
      <c r="O18" s="153" t="s">
        <v>399</v>
      </c>
      <c r="P18" s="154" t="s">
        <v>396</v>
      </c>
      <c r="Q18" s="155" t="s">
        <v>398</v>
      </c>
    </row>
    <row r="19" spans="1:17" ht="64.5" x14ac:dyDescent="0.25">
      <c r="A19" s="193"/>
      <c r="B19" s="344" t="s">
        <v>611</v>
      </c>
      <c r="C19" s="289"/>
      <c r="D19" s="290"/>
      <c r="E19" s="291"/>
      <c r="F19" s="202"/>
      <c r="G19" s="289"/>
      <c r="H19" s="290"/>
      <c r="I19" s="291"/>
      <c r="J19" s="202"/>
      <c r="K19" s="289"/>
      <c r="L19" s="290"/>
      <c r="M19" s="291"/>
      <c r="N19" s="202"/>
      <c r="O19" s="289"/>
      <c r="P19" s="290"/>
      <c r="Q19" s="291"/>
    </row>
    <row r="20" spans="1:17" x14ac:dyDescent="0.25">
      <c r="A20" s="193"/>
      <c r="B20" s="167" t="str">
        <f>'PRIME CPIF RATES (ALL)'!B35</f>
        <v>Indirect Labor Category:  [Labor Fringe]</v>
      </c>
      <c r="C20" s="215">
        <f>+E17</f>
        <v>0</v>
      </c>
      <c r="D20" s="243">
        <f>'PRIME CPIF RATES (ALL)'!C35</f>
        <v>0</v>
      </c>
      <c r="E20" s="168">
        <f>ROUND(C20*D20,2)</f>
        <v>0</v>
      </c>
      <c r="F20" s="165"/>
      <c r="G20" s="215">
        <f>+I17</f>
        <v>0</v>
      </c>
      <c r="H20" s="243">
        <f>'PRIME CPIF RATES (ALL)'!D35</f>
        <v>0</v>
      </c>
      <c r="I20" s="168">
        <f>ROUND(G20*H20,2)</f>
        <v>0</v>
      </c>
      <c r="J20" s="165"/>
      <c r="K20" s="215">
        <f>+M17</f>
        <v>0</v>
      </c>
      <c r="L20" s="243">
        <f>'PRIME CPIF RATES (ALL)'!E35</f>
        <v>0</v>
      </c>
      <c r="M20" s="168">
        <f>ROUND(K20*L20,2)</f>
        <v>0</v>
      </c>
      <c r="N20" s="165"/>
      <c r="O20" s="215">
        <f>+Q17</f>
        <v>0</v>
      </c>
      <c r="P20" s="243">
        <f>'PRIME CPIF RATES (ALL)'!F35</f>
        <v>0</v>
      </c>
      <c r="Q20" s="168">
        <f>ROUND(O20*P20,2)</f>
        <v>0</v>
      </c>
    </row>
    <row r="21" spans="1:17" x14ac:dyDescent="0.25">
      <c r="A21" s="193"/>
      <c r="B21" s="167" t="str">
        <f>'PRIME CPIF RATES (ALL)'!B36</f>
        <v>Indirect Labor Category: [Labor Overhead]</v>
      </c>
      <c r="C21" s="215">
        <f>+C20+E20</f>
        <v>0</v>
      </c>
      <c r="D21" s="243">
        <f>'PRIME CPIF RATES (ALL)'!C36</f>
        <v>0</v>
      </c>
      <c r="E21" s="168">
        <f>ROUND(C21*D21,2)</f>
        <v>0</v>
      </c>
      <c r="F21" s="165"/>
      <c r="G21" s="215">
        <f>+G20+I20</f>
        <v>0</v>
      </c>
      <c r="H21" s="243">
        <f>'PRIME CPIF RATES (ALL)'!D36</f>
        <v>0</v>
      </c>
      <c r="I21" s="168">
        <f>ROUND(G21*H21,2)</f>
        <v>0</v>
      </c>
      <c r="J21" s="165"/>
      <c r="K21" s="215">
        <f>+K20+M20</f>
        <v>0</v>
      </c>
      <c r="L21" s="243">
        <f>'PRIME CPIF RATES (ALL)'!E36</f>
        <v>0</v>
      </c>
      <c r="M21" s="168">
        <f>ROUND(K21*L21,2)</f>
        <v>0</v>
      </c>
      <c r="N21" s="165"/>
      <c r="O21" s="215">
        <f>+O20+Q20</f>
        <v>0</v>
      </c>
      <c r="P21" s="243">
        <f>'PRIME CPIF RATES (ALL)'!F36</f>
        <v>0</v>
      </c>
      <c r="Q21" s="168">
        <f>ROUND(O21*P21,2)</f>
        <v>0</v>
      </c>
    </row>
    <row r="22" spans="1:17" x14ac:dyDescent="0.25">
      <c r="A22" s="193"/>
      <c r="B22" s="167" t="str">
        <f>'PRIME CPIF RATES (ALL)'!B37</f>
        <v>Indirect Labor Category: [G&amp;A]</v>
      </c>
      <c r="C22" s="215">
        <f>+C21+E21</f>
        <v>0</v>
      </c>
      <c r="D22" s="243">
        <f>'PRIME CPIF RATES (ALL)'!C37</f>
        <v>0</v>
      </c>
      <c r="E22" s="168">
        <f>ROUND(C22*D22,2)</f>
        <v>0</v>
      </c>
      <c r="F22" s="165"/>
      <c r="G22" s="215">
        <f>+G21+I21</f>
        <v>0</v>
      </c>
      <c r="H22" s="243">
        <f>'PRIME CPIF RATES (ALL)'!D37</f>
        <v>0</v>
      </c>
      <c r="I22" s="168">
        <f>ROUND(G22*H22,2)</f>
        <v>0</v>
      </c>
      <c r="J22" s="165"/>
      <c r="K22" s="215">
        <f>+K21+M21</f>
        <v>0</v>
      </c>
      <c r="L22" s="243">
        <f>'PRIME CPIF RATES (ALL)'!E37</f>
        <v>0</v>
      </c>
      <c r="M22" s="168">
        <f>ROUND(K22*L22,2)</f>
        <v>0</v>
      </c>
      <c r="N22" s="165"/>
      <c r="O22" s="215">
        <f>+O21+Q21</f>
        <v>0</v>
      </c>
      <c r="P22" s="243">
        <f>'PRIME CPIF RATES (ALL)'!F37</f>
        <v>0</v>
      </c>
      <c r="Q22" s="168">
        <f>ROUND(O22*P22,2)</f>
        <v>0</v>
      </c>
    </row>
    <row r="23" spans="1:17" x14ac:dyDescent="0.25">
      <c r="A23" s="193"/>
      <c r="B23" s="167" t="str">
        <f>'PRIME CPIF RATES (ALL)'!B38</f>
        <v>Indirect Labor Category: [FCCOM]</v>
      </c>
      <c r="C23" s="215">
        <f>C22+E22</f>
        <v>0</v>
      </c>
      <c r="D23" s="243">
        <f>'PRIME CPIF RATES (ALL)'!C38</f>
        <v>0</v>
      </c>
      <c r="E23" s="168">
        <f>ROUND(C23*D23,2)</f>
        <v>0</v>
      </c>
      <c r="F23" s="165"/>
      <c r="G23" s="215">
        <f>G22+I22</f>
        <v>0</v>
      </c>
      <c r="H23" s="243">
        <f>'PRIME CPIF RATES (ALL)'!D38</f>
        <v>0</v>
      </c>
      <c r="I23" s="168">
        <f>ROUND(G23*H23,2)</f>
        <v>0</v>
      </c>
      <c r="J23" s="165"/>
      <c r="K23" s="215">
        <f>K22+M22</f>
        <v>0</v>
      </c>
      <c r="L23" s="243">
        <f>'PRIME CPIF RATES (ALL)'!E38</f>
        <v>0</v>
      </c>
      <c r="M23" s="168">
        <f>ROUND(K23*L23,2)</f>
        <v>0</v>
      </c>
      <c r="N23" s="165"/>
      <c r="O23" s="215">
        <f>O22+Q22</f>
        <v>0</v>
      </c>
      <c r="P23" s="243">
        <f>'PRIME CPIF RATES (ALL)'!F38</f>
        <v>0</v>
      </c>
      <c r="Q23" s="168">
        <f>ROUND(O23*P23,2)</f>
        <v>0</v>
      </c>
    </row>
    <row r="24" spans="1:17" x14ac:dyDescent="0.25">
      <c r="A24" s="193"/>
      <c r="B24" s="167" t="str">
        <f>'PRIME CPIF RATES (ALL)'!B39</f>
        <v>Indirect Labor Category: [Target Fee]</v>
      </c>
      <c r="C24" s="215">
        <f>+C22+E22</f>
        <v>0</v>
      </c>
      <c r="D24" s="243">
        <f>'PRIME CPIF RATES (ALL)'!C39</f>
        <v>0</v>
      </c>
      <c r="E24" s="168">
        <f>ROUND(C24*D24,2)</f>
        <v>0</v>
      </c>
      <c r="F24" s="165"/>
      <c r="G24" s="215">
        <f>+G22+I22</f>
        <v>0</v>
      </c>
      <c r="H24" s="243">
        <f>'PRIME CPIF RATES (ALL)'!D39</f>
        <v>0</v>
      </c>
      <c r="I24" s="168">
        <f>ROUND(G24*H24,2)</f>
        <v>0</v>
      </c>
      <c r="J24" s="165"/>
      <c r="K24" s="215">
        <f>+K22+M22</f>
        <v>0</v>
      </c>
      <c r="L24" s="243">
        <f>'PRIME CPIF RATES (ALL)'!E39</f>
        <v>0</v>
      </c>
      <c r="M24" s="168">
        <f>ROUND(K24*L24,2)</f>
        <v>0</v>
      </c>
      <c r="N24" s="165"/>
      <c r="O24" s="215">
        <f>+O22+Q22</f>
        <v>0</v>
      </c>
      <c r="P24" s="243">
        <f>'PRIME CPIF RATES (ALL)'!F39</f>
        <v>0</v>
      </c>
      <c r="Q24" s="168">
        <f>ROUND(O24*P24,2)</f>
        <v>0</v>
      </c>
    </row>
    <row r="25" spans="1:17" x14ac:dyDescent="0.25">
      <c r="A25" s="193"/>
      <c r="B25" s="262" t="s">
        <v>258</v>
      </c>
      <c r="C25" s="210"/>
      <c r="D25" s="211"/>
      <c r="E25" s="230">
        <f>ROUND(SUM(E17,E20,E21,E22),2)</f>
        <v>0</v>
      </c>
      <c r="F25" s="165"/>
      <c r="G25" s="206"/>
      <c r="H25" s="207"/>
      <c r="I25" s="230">
        <f>ROUND(SUM(I17,I20,I21,I22),2)</f>
        <v>0</v>
      </c>
      <c r="J25" s="165"/>
      <c r="K25" s="206"/>
      <c r="L25" s="207"/>
      <c r="M25" s="230">
        <f>ROUND(SUM(M17,M20,M21,M22),2)</f>
        <v>0</v>
      </c>
      <c r="N25" s="165"/>
      <c r="O25" s="206"/>
      <c r="P25" s="207"/>
      <c r="Q25" s="230">
        <f>ROUND(SUM(Q17,Q20,Q21,Q22),2)</f>
        <v>0</v>
      </c>
    </row>
    <row r="26" spans="1:17" x14ac:dyDescent="0.25">
      <c r="A26" s="193"/>
      <c r="B26" s="262" t="s">
        <v>137</v>
      </c>
      <c r="C26" s="210"/>
      <c r="D26" s="211"/>
      <c r="E26" s="230">
        <f>ROUND(E23,2)</f>
        <v>0</v>
      </c>
      <c r="F26" s="165"/>
      <c r="G26" s="206"/>
      <c r="H26" s="207"/>
      <c r="I26" s="230">
        <f>ROUND(I23,2)</f>
        <v>0</v>
      </c>
      <c r="J26" s="165"/>
      <c r="K26" s="206"/>
      <c r="L26" s="207"/>
      <c r="M26" s="230">
        <f>ROUND(M23,2)</f>
        <v>0</v>
      </c>
      <c r="N26" s="165"/>
      <c r="O26" s="206"/>
      <c r="P26" s="207"/>
      <c r="Q26" s="230">
        <f>ROUND(Q23,2)</f>
        <v>0</v>
      </c>
    </row>
    <row r="27" spans="1:17" x14ac:dyDescent="0.25">
      <c r="A27" s="193"/>
      <c r="B27" s="262" t="s">
        <v>136</v>
      </c>
      <c r="C27" s="210"/>
      <c r="D27" s="211"/>
      <c r="E27" s="245">
        <f>ROUND(E24,2)</f>
        <v>0</v>
      </c>
      <c r="F27" s="170"/>
      <c r="G27" s="206"/>
      <c r="H27" s="207"/>
      <c r="I27" s="245">
        <f>ROUND(I24,2)</f>
        <v>0</v>
      </c>
      <c r="J27" s="170"/>
      <c r="K27" s="206"/>
      <c r="L27" s="207"/>
      <c r="M27" s="245">
        <f>ROUND(M24,2)</f>
        <v>0</v>
      </c>
      <c r="N27" s="170"/>
      <c r="O27" s="206"/>
      <c r="P27" s="207"/>
      <c r="Q27" s="245">
        <f>ROUND(Q24,2)</f>
        <v>0</v>
      </c>
    </row>
    <row r="28" spans="1:17" ht="16.5" thickBot="1" x14ac:dyDescent="0.3">
      <c r="A28" s="193"/>
      <c r="B28" s="263" t="s">
        <v>138</v>
      </c>
      <c r="C28" s="212"/>
      <c r="D28" s="213"/>
      <c r="E28" s="246">
        <f>SUM(E25:E27)</f>
        <v>0</v>
      </c>
      <c r="F28" s="171"/>
      <c r="G28" s="208"/>
      <c r="H28" s="209"/>
      <c r="I28" s="246">
        <f>SUM(I25:I27)</f>
        <v>0</v>
      </c>
      <c r="J28" s="171"/>
      <c r="K28" s="208"/>
      <c r="L28" s="209"/>
      <c r="M28" s="246">
        <f>SUM(M25:M27)</f>
        <v>0</v>
      </c>
      <c r="N28" s="171"/>
      <c r="O28" s="208"/>
      <c r="P28" s="209"/>
      <c r="Q28" s="246">
        <f>SUM(Q25:Q27)</f>
        <v>0</v>
      </c>
    </row>
    <row r="29" spans="1:17" ht="16.5" thickBot="1" x14ac:dyDescent="0.3">
      <c r="A29" s="193"/>
      <c r="B29" s="172"/>
      <c r="C29" s="173"/>
      <c r="D29" s="173"/>
      <c r="E29" s="256"/>
      <c r="F29" s="256"/>
      <c r="G29" s="256"/>
      <c r="H29" s="256"/>
      <c r="I29" s="256"/>
      <c r="J29" s="256"/>
      <c r="K29" s="256"/>
      <c r="L29" s="173"/>
      <c r="M29" s="173"/>
      <c r="N29" s="165"/>
      <c r="O29" s="256"/>
      <c r="P29" s="173"/>
      <c r="Q29" s="173"/>
    </row>
    <row r="30" spans="1:17" ht="16.5" customHeight="1" thickBot="1" x14ac:dyDescent="0.3">
      <c r="A30" s="193"/>
      <c r="B30" s="620" t="str">
        <f>B13</f>
        <v>CLIN 0002 (CPIF)                                                    TASK 1.02 MATERIAL -1 SIMULATOR KIT</v>
      </c>
      <c r="C30" s="594" t="s">
        <v>145</v>
      </c>
      <c r="D30" s="595"/>
      <c r="E30" s="596"/>
      <c r="F30" s="175"/>
      <c r="G30" s="594" t="s">
        <v>145</v>
      </c>
      <c r="H30" s="595"/>
      <c r="I30" s="596"/>
      <c r="J30" s="175"/>
      <c r="K30" s="594" t="s">
        <v>145</v>
      </c>
      <c r="L30" s="595"/>
      <c r="M30" s="596"/>
      <c r="N30" s="175"/>
      <c r="O30" s="594" t="s">
        <v>145</v>
      </c>
      <c r="P30" s="595"/>
      <c r="Q30" s="596"/>
    </row>
    <row r="31" spans="1:17" ht="32.25" customHeight="1" thickBot="1" x14ac:dyDescent="0.3">
      <c r="A31" s="193"/>
      <c r="B31" s="621"/>
      <c r="C31" s="617" t="str">
        <f>C14</f>
        <v>CLIN 0002 - Basic Period (Year 1)</v>
      </c>
      <c r="D31" s="618"/>
      <c r="E31" s="619"/>
      <c r="F31" s="176"/>
      <c r="G31" s="617" t="str">
        <f>G14</f>
        <v>CLIN 0002 - Basic Period (Year 2)</v>
      </c>
      <c r="H31" s="618"/>
      <c r="I31" s="619"/>
      <c r="J31" s="176"/>
      <c r="K31" s="617" t="str">
        <f>K14</f>
        <v>CLIN 0002 - Basic Period (Year 3)</v>
      </c>
      <c r="L31" s="618"/>
      <c r="M31" s="619"/>
      <c r="N31" s="176"/>
      <c r="O31" s="617" t="str">
        <f>O14</f>
        <v>CLIN 0002 - Basic Period (Year 4)</v>
      </c>
      <c r="P31" s="618"/>
      <c r="Q31" s="619"/>
    </row>
    <row r="32" spans="1:17" x14ac:dyDescent="0.25">
      <c r="A32" s="193"/>
      <c r="B32" s="247"/>
      <c r="C32" s="153" t="s">
        <v>399</v>
      </c>
      <c r="D32" s="154" t="s">
        <v>396</v>
      </c>
      <c r="E32" s="155" t="s">
        <v>152</v>
      </c>
      <c r="F32" s="166"/>
      <c r="G32" s="153" t="s">
        <v>399</v>
      </c>
      <c r="H32" s="154" t="s">
        <v>396</v>
      </c>
      <c r="I32" s="155" t="s">
        <v>152</v>
      </c>
      <c r="J32" s="166"/>
      <c r="K32" s="153" t="s">
        <v>399</v>
      </c>
      <c r="L32" s="154" t="s">
        <v>396</v>
      </c>
      <c r="M32" s="155" t="s">
        <v>152</v>
      </c>
      <c r="N32" s="166"/>
      <c r="O32" s="153" t="s">
        <v>399</v>
      </c>
      <c r="P32" s="154" t="s">
        <v>396</v>
      </c>
      <c r="Q32" s="155" t="s">
        <v>152</v>
      </c>
    </row>
    <row r="33" spans="1:17" ht="51.75" x14ac:dyDescent="0.25">
      <c r="A33" s="193"/>
      <c r="B33" s="300" t="s">
        <v>612</v>
      </c>
      <c r="C33" s="231"/>
      <c r="D33" s="232"/>
      <c r="E33" s="400">
        <f>'PRIME CPIF TOTAL MATERIAL'!E25</f>
        <v>0</v>
      </c>
      <c r="F33" s="165"/>
      <c r="G33" s="231"/>
      <c r="H33" s="232"/>
      <c r="I33" s="400">
        <f>'PRIME CPIF TOTAL MATERIAL'!G25</f>
        <v>0</v>
      </c>
      <c r="J33" s="165"/>
      <c r="K33" s="231"/>
      <c r="L33" s="232"/>
      <c r="M33" s="400">
        <f>'PRIME CPIF TOTAL MATERIAL'!I25</f>
        <v>0</v>
      </c>
      <c r="N33" s="165"/>
      <c r="O33" s="231"/>
      <c r="P33" s="232"/>
      <c r="Q33" s="400">
        <f>'PRIME CPIF TOTAL MATERIAL'!K25</f>
        <v>0</v>
      </c>
    </row>
    <row r="34" spans="1:17" ht="67.5" customHeight="1" x14ac:dyDescent="0.25">
      <c r="A34" s="193"/>
      <c r="B34" s="344" t="s">
        <v>389</v>
      </c>
      <c r="C34" s="405"/>
      <c r="D34" s="406"/>
      <c r="E34" s="400"/>
      <c r="F34" s="165"/>
      <c r="G34" s="405"/>
      <c r="H34" s="406"/>
      <c r="I34" s="400"/>
      <c r="J34" s="165"/>
      <c r="K34" s="405"/>
      <c r="L34" s="406"/>
      <c r="M34" s="400"/>
      <c r="N34" s="165"/>
      <c r="O34" s="405"/>
      <c r="P34" s="406"/>
      <c r="Q34" s="400"/>
    </row>
    <row r="35" spans="1:17" x14ac:dyDescent="0.25">
      <c r="A35" s="193"/>
      <c r="B35" s="167" t="str">
        <f>'PRIME CPIF RATES (ALL)'!B52</f>
        <v>Indirect Category: [Material Overhead]</v>
      </c>
      <c r="C35" s="215">
        <f>+E33</f>
        <v>0</v>
      </c>
      <c r="D35" s="243">
        <f>'PRIME CPIF RATES (ALL)'!C52</f>
        <v>0</v>
      </c>
      <c r="E35" s="168">
        <f>ROUND(C35*D35,2)</f>
        <v>0</v>
      </c>
      <c r="F35" s="178"/>
      <c r="G35" s="215">
        <f>+I33</f>
        <v>0</v>
      </c>
      <c r="H35" s="243">
        <f>'PRIME CPIF RATES (ALL)'!D52</f>
        <v>0</v>
      </c>
      <c r="I35" s="168">
        <f>ROUND(G35*H35,2)</f>
        <v>0</v>
      </c>
      <c r="J35" s="178"/>
      <c r="K35" s="215">
        <f>+M33</f>
        <v>0</v>
      </c>
      <c r="L35" s="243">
        <f>'PRIME CPIF RATES (ALL)'!E52</f>
        <v>0</v>
      </c>
      <c r="M35" s="168">
        <f>ROUND(K35*L35,2)</f>
        <v>0</v>
      </c>
      <c r="N35" s="178"/>
      <c r="O35" s="215">
        <f>+Q33</f>
        <v>0</v>
      </c>
      <c r="P35" s="243">
        <f>'PRIME CPIF RATES (ALL)'!F52</f>
        <v>0</v>
      </c>
      <c r="Q35" s="168">
        <f>ROUND(O35*P35,2)</f>
        <v>0</v>
      </c>
    </row>
    <row r="36" spans="1:17" x14ac:dyDescent="0.25">
      <c r="A36" s="193"/>
      <c r="B36" s="167" t="str">
        <f>'PRIME CPIF RATES (ALL)'!B53</f>
        <v>Indirect Category: [G&amp;A]</v>
      </c>
      <c r="C36" s="215">
        <f>+C35+E35</f>
        <v>0</v>
      </c>
      <c r="D36" s="243">
        <f>'PRIME CPIF RATES (ALL)'!C53</f>
        <v>0</v>
      </c>
      <c r="E36" s="168">
        <f>ROUND(C36*D36,2)</f>
        <v>0</v>
      </c>
      <c r="F36" s="178"/>
      <c r="G36" s="215">
        <f>+G35+I35</f>
        <v>0</v>
      </c>
      <c r="H36" s="243">
        <f>'PRIME CPIF RATES (ALL)'!D53</f>
        <v>0</v>
      </c>
      <c r="I36" s="168">
        <f>ROUND(G36*H36,2)</f>
        <v>0</v>
      </c>
      <c r="J36" s="178"/>
      <c r="K36" s="215">
        <f>+K35+M35</f>
        <v>0</v>
      </c>
      <c r="L36" s="243">
        <f>'PRIME CPIF RATES (ALL)'!E53</f>
        <v>0</v>
      </c>
      <c r="M36" s="168">
        <f>ROUND(K36*L36,2)</f>
        <v>0</v>
      </c>
      <c r="N36" s="178"/>
      <c r="O36" s="215">
        <f>+O35+Q35</f>
        <v>0</v>
      </c>
      <c r="P36" s="243">
        <f>'PRIME CPIF RATES (ALL)'!F53</f>
        <v>0</v>
      </c>
      <c r="Q36" s="168">
        <f>ROUND(O36*P36,2)</f>
        <v>0</v>
      </c>
    </row>
    <row r="37" spans="1:17" x14ac:dyDescent="0.25">
      <c r="A37" s="193"/>
      <c r="B37" s="167" t="str">
        <f>'PRIME CPIF RATES (ALL)'!B54</f>
        <v>Indirect Category: [FCCOM]</v>
      </c>
      <c r="C37" s="215">
        <f>C36+E36</f>
        <v>0</v>
      </c>
      <c r="D37" s="243">
        <f>'PRIME CPIF RATES (ALL)'!C54</f>
        <v>0</v>
      </c>
      <c r="E37" s="168">
        <f>ROUND(C37*D37,2)</f>
        <v>0</v>
      </c>
      <c r="F37" s="165"/>
      <c r="G37" s="215">
        <f>G36+I36</f>
        <v>0</v>
      </c>
      <c r="H37" s="243">
        <f>'PRIME CPIF RATES (ALL)'!D54</f>
        <v>0</v>
      </c>
      <c r="I37" s="168">
        <f>ROUND(G37*H37,2)</f>
        <v>0</v>
      </c>
      <c r="J37" s="165"/>
      <c r="K37" s="215">
        <f>K36+M36</f>
        <v>0</v>
      </c>
      <c r="L37" s="243">
        <f>'PRIME CPIF RATES (ALL)'!E54</f>
        <v>0</v>
      </c>
      <c r="M37" s="168">
        <f>ROUND(K37*L37,2)</f>
        <v>0</v>
      </c>
      <c r="N37" s="165"/>
      <c r="O37" s="215">
        <f>O36+Q36</f>
        <v>0</v>
      </c>
      <c r="P37" s="243">
        <f>'PRIME CPIF RATES (ALL)'!F54</f>
        <v>0</v>
      </c>
      <c r="Q37" s="168">
        <f>ROUND(O37*P37,2)</f>
        <v>0</v>
      </c>
    </row>
    <row r="38" spans="1:17" x14ac:dyDescent="0.25">
      <c r="A38" s="193"/>
      <c r="B38" s="167" t="str">
        <f>'PRIME CPIF RATES (ALL)'!B55</f>
        <v>Indirect Category: [Target Fee]</v>
      </c>
      <c r="C38" s="215">
        <f>+C36+E36</f>
        <v>0</v>
      </c>
      <c r="D38" s="243">
        <f>'PRIME CPIF RATES (ALL)'!C55</f>
        <v>0</v>
      </c>
      <c r="E38" s="168">
        <f>ROUND(C38*D38,2)</f>
        <v>0</v>
      </c>
      <c r="F38" s="165"/>
      <c r="G38" s="215">
        <f>+G36+I36</f>
        <v>0</v>
      </c>
      <c r="H38" s="243">
        <f>'PRIME CPIF RATES (ALL)'!D55</f>
        <v>0</v>
      </c>
      <c r="I38" s="168">
        <f>ROUND(G38*H38,2)</f>
        <v>0</v>
      </c>
      <c r="J38" s="165"/>
      <c r="K38" s="215">
        <f>+K36+M36</f>
        <v>0</v>
      </c>
      <c r="L38" s="243">
        <f>'PRIME CPIF RATES (ALL)'!E55</f>
        <v>0</v>
      </c>
      <c r="M38" s="168">
        <f>ROUND(K38*L38,2)</f>
        <v>0</v>
      </c>
      <c r="N38" s="165"/>
      <c r="O38" s="215">
        <f>+O36+Q36</f>
        <v>0</v>
      </c>
      <c r="P38" s="243">
        <f>'PRIME CPIF RATES (ALL)'!F55</f>
        <v>0</v>
      </c>
      <c r="Q38" s="168">
        <f>ROUND(O38*P38,2)</f>
        <v>0</v>
      </c>
    </row>
    <row r="39" spans="1:17" x14ac:dyDescent="0.25">
      <c r="A39" s="193"/>
      <c r="B39" s="241" t="s">
        <v>259</v>
      </c>
      <c r="C39" s="233"/>
      <c r="D39" s="234"/>
      <c r="E39" s="168">
        <f>+ROUND(SUM(E33:E36),2)</f>
        <v>0</v>
      </c>
      <c r="F39" s="165"/>
      <c r="G39" s="233"/>
      <c r="H39" s="234"/>
      <c r="I39" s="168">
        <f>+ROUND(SUM(I33:I36),2)</f>
        <v>0</v>
      </c>
      <c r="J39" s="165"/>
      <c r="K39" s="233"/>
      <c r="L39" s="234"/>
      <c r="M39" s="168">
        <f>+ROUND(SUM(M33:M36),2)</f>
        <v>0</v>
      </c>
      <c r="N39" s="165"/>
      <c r="O39" s="233"/>
      <c r="P39" s="234"/>
      <c r="Q39" s="168">
        <f>+ROUND(SUM(Q33:Q36),2)</f>
        <v>0</v>
      </c>
    </row>
    <row r="40" spans="1:17" x14ac:dyDescent="0.25">
      <c r="A40" s="193"/>
      <c r="B40" s="241" t="s">
        <v>137</v>
      </c>
      <c r="C40" s="231"/>
      <c r="D40" s="235"/>
      <c r="E40" s="168">
        <f>+ROUND(E37,2)</f>
        <v>0</v>
      </c>
      <c r="F40" s="165"/>
      <c r="G40" s="231"/>
      <c r="H40" s="235"/>
      <c r="I40" s="168">
        <f>+ROUND(I37,2)</f>
        <v>0</v>
      </c>
      <c r="J40" s="165"/>
      <c r="K40" s="231"/>
      <c r="L40" s="235"/>
      <c r="M40" s="168">
        <f>+ROUND(M37,2)</f>
        <v>0</v>
      </c>
      <c r="N40" s="165"/>
      <c r="O40" s="231"/>
      <c r="P40" s="235"/>
      <c r="Q40" s="168">
        <f>+ROUND(Q37,2)</f>
        <v>0</v>
      </c>
    </row>
    <row r="41" spans="1:17" x14ac:dyDescent="0.2">
      <c r="B41" s="241" t="s">
        <v>136</v>
      </c>
      <c r="C41" s="231"/>
      <c r="D41" s="235"/>
      <c r="E41" s="182">
        <f>+ROUND(E38,2)</f>
        <v>0</v>
      </c>
      <c r="F41" s="183"/>
      <c r="G41" s="231"/>
      <c r="H41" s="235"/>
      <c r="I41" s="182">
        <f>+ROUND(I38,2)</f>
        <v>0</v>
      </c>
      <c r="J41" s="183"/>
      <c r="K41" s="231"/>
      <c r="L41" s="235"/>
      <c r="M41" s="182">
        <f>+ROUND(M38,2)</f>
        <v>0</v>
      </c>
      <c r="N41" s="183"/>
      <c r="O41" s="231"/>
      <c r="P41" s="235"/>
      <c r="Q41" s="182">
        <f>+ROUND(Q38,2)</f>
        <v>0</v>
      </c>
    </row>
    <row r="42" spans="1:17" ht="16.5" thickBot="1" x14ac:dyDescent="0.25">
      <c r="B42" s="242" t="s">
        <v>243</v>
      </c>
      <c r="C42" s="236"/>
      <c r="D42" s="237"/>
      <c r="E42" s="160">
        <f t="shared" ref="E42" si="0">SUM(E39:E41)</f>
        <v>0</v>
      </c>
      <c r="F42" s="161"/>
      <c r="G42" s="236"/>
      <c r="H42" s="237"/>
      <c r="I42" s="160">
        <f t="shared" ref="I42" si="1">SUM(I39:I41)</f>
        <v>0</v>
      </c>
      <c r="J42" s="161"/>
      <c r="K42" s="236"/>
      <c r="L42" s="237"/>
      <c r="M42" s="160">
        <f t="shared" ref="M42" si="2">SUM(M39:M41)</f>
        <v>0</v>
      </c>
      <c r="N42" s="161"/>
      <c r="O42" s="236"/>
      <c r="P42" s="237"/>
      <c r="Q42" s="160">
        <f t="shared" ref="Q42" si="3">SUM(Q39:Q41)</f>
        <v>0</v>
      </c>
    </row>
    <row r="43" spans="1:17" ht="12.75" customHeight="1" thickBot="1" x14ac:dyDescent="0.25">
      <c r="B43" s="172"/>
      <c r="E43" s="251"/>
      <c r="F43" s="251"/>
      <c r="G43" s="251"/>
      <c r="H43" s="251"/>
      <c r="I43" s="251"/>
      <c r="J43" s="251"/>
      <c r="K43" s="251"/>
      <c r="N43" s="187"/>
      <c r="O43" s="251"/>
    </row>
    <row r="44" spans="1:17" ht="16.5" thickBot="1" x14ac:dyDescent="0.3">
      <c r="B44" s="620" t="str">
        <f>B13</f>
        <v>CLIN 0002 (CPIF)                                                    TASK 1.02 MATERIAL -1 SIMULATOR KIT</v>
      </c>
      <c r="C44" s="594" t="s">
        <v>318</v>
      </c>
      <c r="D44" s="595"/>
      <c r="E44" s="596"/>
      <c r="F44" s="175"/>
      <c r="G44" s="594" t="s">
        <v>318</v>
      </c>
      <c r="H44" s="595"/>
      <c r="I44" s="596"/>
      <c r="J44" s="175"/>
      <c r="K44" s="594" t="s">
        <v>318</v>
      </c>
      <c r="L44" s="595"/>
      <c r="M44" s="596"/>
      <c r="N44" s="175"/>
      <c r="O44" s="594" t="s">
        <v>318</v>
      </c>
      <c r="P44" s="595"/>
      <c r="Q44" s="596"/>
    </row>
    <row r="45" spans="1:17" ht="27.75" customHeight="1" thickBot="1" x14ac:dyDescent="0.3">
      <c r="B45" s="621"/>
      <c r="C45" s="617" t="str">
        <f>C31</f>
        <v>CLIN 0002 - Basic Period (Year 1)</v>
      </c>
      <c r="D45" s="618"/>
      <c r="E45" s="619"/>
      <c r="F45" s="176"/>
      <c r="G45" s="617" t="str">
        <f>G31</f>
        <v>CLIN 0002 - Basic Period (Year 2)</v>
      </c>
      <c r="H45" s="618"/>
      <c r="I45" s="619"/>
      <c r="J45" s="176"/>
      <c r="K45" s="617" t="str">
        <f>K31</f>
        <v>CLIN 0002 - Basic Period (Year 3)</v>
      </c>
      <c r="L45" s="618"/>
      <c r="M45" s="619"/>
      <c r="N45" s="176"/>
      <c r="O45" s="617" t="str">
        <f>O31</f>
        <v>CLIN 0002 - Basic Period (Year 4)</v>
      </c>
      <c r="P45" s="618"/>
      <c r="Q45" s="619"/>
    </row>
    <row r="46" spans="1:17" x14ac:dyDescent="0.25">
      <c r="B46" s="248"/>
      <c r="C46" s="153" t="s">
        <v>399</v>
      </c>
      <c r="D46" s="154" t="s">
        <v>396</v>
      </c>
      <c r="E46" s="155" t="s">
        <v>397</v>
      </c>
      <c r="F46" s="166"/>
      <c r="G46" s="153" t="s">
        <v>399</v>
      </c>
      <c r="H46" s="154" t="s">
        <v>396</v>
      </c>
      <c r="I46" s="155" t="s">
        <v>397</v>
      </c>
      <c r="J46" s="166"/>
      <c r="K46" s="153" t="s">
        <v>399</v>
      </c>
      <c r="L46" s="154" t="s">
        <v>396</v>
      </c>
      <c r="M46" s="155" t="s">
        <v>397</v>
      </c>
      <c r="N46" s="166"/>
      <c r="O46" s="153" t="s">
        <v>399</v>
      </c>
      <c r="P46" s="154" t="s">
        <v>396</v>
      </c>
      <c r="Q46" s="155" t="s">
        <v>397</v>
      </c>
    </row>
    <row r="47" spans="1:17" ht="25.5" x14ac:dyDescent="0.2">
      <c r="B47" s="300" t="s">
        <v>560</v>
      </c>
      <c r="C47" s="285"/>
      <c r="D47" s="285"/>
      <c r="E47" s="345">
        <f>'PRIME CPIF TOTAL SUB'!E25</f>
        <v>0</v>
      </c>
      <c r="F47" s="288"/>
      <c r="G47" s="231"/>
      <c r="H47" s="285"/>
      <c r="I47" s="345">
        <f>'PRIME CPIF TOTAL SUB'!G25</f>
        <v>0</v>
      </c>
      <c r="J47" s="288"/>
      <c r="K47" s="231"/>
      <c r="L47" s="285"/>
      <c r="M47" s="345">
        <f>'PRIME CPIF TOTAL SUB'!I25</f>
        <v>0</v>
      </c>
      <c r="N47" s="165"/>
      <c r="O47" s="231"/>
      <c r="P47" s="285"/>
      <c r="Q47" s="345">
        <f>'PRIME CPIF TOTAL SUB'!K25</f>
        <v>0</v>
      </c>
    </row>
    <row r="48" spans="1:17" ht="76.5" x14ac:dyDescent="0.2">
      <c r="B48" s="344" t="s">
        <v>613</v>
      </c>
      <c r="C48" s="624" t="s">
        <v>5</v>
      </c>
      <c r="D48" s="625"/>
      <c r="E48" s="626"/>
      <c r="F48" s="178"/>
      <c r="G48" s="627"/>
      <c r="H48" s="625"/>
      <c r="I48" s="626"/>
      <c r="J48" s="178"/>
      <c r="K48" s="627"/>
      <c r="L48" s="625"/>
      <c r="M48" s="626"/>
      <c r="N48" s="178"/>
      <c r="O48" s="627"/>
      <c r="P48" s="625"/>
      <c r="Q48" s="626"/>
    </row>
    <row r="49" spans="1:17" x14ac:dyDescent="0.2">
      <c r="B49" s="287" t="str">
        <f>'PRIME CPIF RATES (ALL)'!B44</f>
        <v>Indirect Category: [Overhead]</v>
      </c>
      <c r="C49" s="286">
        <f>E47</f>
        <v>0</v>
      </c>
      <c r="D49" s="243">
        <f>'PRIME CPIF RATES (ALL)'!C44</f>
        <v>0</v>
      </c>
      <c r="E49" s="168">
        <f>ROUND(C49*D49,2)</f>
        <v>0</v>
      </c>
      <c r="F49" s="178"/>
      <c r="G49" s="215">
        <f>I47</f>
        <v>0</v>
      </c>
      <c r="H49" s="243">
        <f>'PRIME CPIF RATES (ALL)'!D44</f>
        <v>0</v>
      </c>
      <c r="I49" s="168">
        <f>ROUND(G49*H49,2)</f>
        <v>0</v>
      </c>
      <c r="J49" s="178"/>
      <c r="K49" s="215">
        <f>M47</f>
        <v>0</v>
      </c>
      <c r="L49" s="243">
        <f>'PRIME CPIF RATES (ALL)'!E44</f>
        <v>0</v>
      </c>
      <c r="M49" s="168">
        <f>ROUND(K49*L49,2)</f>
        <v>0</v>
      </c>
      <c r="N49" s="178"/>
      <c r="O49" s="215">
        <f>Q47</f>
        <v>0</v>
      </c>
      <c r="P49" s="243">
        <f>'PRIME CPIF RATES (ALL)'!F44</f>
        <v>0</v>
      </c>
      <c r="Q49" s="168">
        <f>ROUND(O49*P49,2)</f>
        <v>0</v>
      </c>
    </row>
    <row r="50" spans="1:17" x14ac:dyDescent="0.2">
      <c r="B50" s="287" t="str">
        <f>'PRIME CPIF RATES (ALL)'!B45</f>
        <v>Indirect Category: [G&amp;A]</v>
      </c>
      <c r="C50" s="286">
        <f>C49+E49</f>
        <v>0</v>
      </c>
      <c r="D50" s="243">
        <f>'PRIME CPIF RATES (ALL)'!C45</f>
        <v>0</v>
      </c>
      <c r="E50" s="168">
        <f>ROUND(C50*D50,2)</f>
        <v>0</v>
      </c>
      <c r="F50" s="288"/>
      <c r="G50" s="286">
        <f>G49+I49</f>
        <v>0</v>
      </c>
      <c r="H50" s="243">
        <f>'PRIME CPIF RATES (ALL)'!D45</f>
        <v>0</v>
      </c>
      <c r="I50" s="168">
        <f>ROUND(G50*H50,2)</f>
        <v>0</v>
      </c>
      <c r="J50" s="288"/>
      <c r="K50" s="286">
        <f>K49+M49</f>
        <v>0</v>
      </c>
      <c r="L50" s="243">
        <f>'PRIME CPIF RATES (ALL)'!E45</f>
        <v>0</v>
      </c>
      <c r="M50" s="168">
        <f>ROUND(K50*L50,2)</f>
        <v>0</v>
      </c>
      <c r="N50" s="165"/>
      <c r="O50" s="286">
        <f>O49+Q49</f>
        <v>0</v>
      </c>
      <c r="P50" s="243">
        <f>'PRIME CPIF RATES (ALL)'!F45</f>
        <v>0</v>
      </c>
      <c r="Q50" s="168">
        <f>ROUND(O50*P50,2)</f>
        <v>0</v>
      </c>
    </row>
    <row r="51" spans="1:17" x14ac:dyDescent="0.2">
      <c r="B51" s="351" t="str">
        <f>'PRIME CPIF RATES (ALL)'!B46</f>
        <v>Indirect Category: [FCCOM]</v>
      </c>
      <c r="C51" s="215">
        <f>C50+E50</f>
        <v>0</v>
      </c>
      <c r="D51" s="243">
        <f>'PRIME CPIF RATES (ALL)'!C46</f>
        <v>0</v>
      </c>
      <c r="E51" s="353">
        <f>ROUND(C51*D51,2)</f>
        <v>0</v>
      </c>
      <c r="F51" s="288"/>
      <c r="G51" s="215">
        <f>G50+I50</f>
        <v>0</v>
      </c>
      <c r="H51" s="243">
        <f>'PRIME CPIF RATES (ALL)'!D46</f>
        <v>0</v>
      </c>
      <c r="I51" s="353">
        <f>ROUND(G51*H51,2)</f>
        <v>0</v>
      </c>
      <c r="J51" s="288"/>
      <c r="K51" s="215">
        <f>K50+M50</f>
        <v>0</v>
      </c>
      <c r="L51" s="243">
        <f>'PRIME CPIF RATES (ALL)'!E46</f>
        <v>0</v>
      </c>
      <c r="M51" s="168">
        <f>ROUND(K51*L51,2)</f>
        <v>0</v>
      </c>
      <c r="N51" s="165"/>
      <c r="O51" s="215">
        <f>O50+Q50</f>
        <v>0</v>
      </c>
      <c r="P51" s="243">
        <f>'PRIME CPIF RATES (ALL)'!F46</f>
        <v>0</v>
      </c>
      <c r="Q51" s="168">
        <f>ROUND(O51*P51,2)</f>
        <v>0</v>
      </c>
    </row>
    <row r="52" spans="1:17" x14ac:dyDescent="0.2">
      <c r="B52" s="167" t="str">
        <f>'PRIME CPIF RATES (ALL)'!B47</f>
        <v>Indirect Category: [Target Fee]</v>
      </c>
      <c r="C52" s="214">
        <f>C50+E50</f>
        <v>0</v>
      </c>
      <c r="D52" s="354">
        <f>'PRIME CPIF RATES (ALL)'!C47</f>
        <v>0</v>
      </c>
      <c r="E52" s="353">
        <f>ROUND(C52*D52,2)</f>
        <v>0</v>
      </c>
      <c r="F52" s="288"/>
      <c r="G52" s="214">
        <f>G50+I50</f>
        <v>0</v>
      </c>
      <c r="H52" s="354">
        <f>'PRIME CPIF RATES (ALL)'!D47</f>
        <v>0</v>
      </c>
      <c r="I52" s="353">
        <f>ROUND(G52*H52,2)</f>
        <v>0</v>
      </c>
      <c r="J52" s="288"/>
      <c r="K52" s="214">
        <f>K50+M50</f>
        <v>0</v>
      </c>
      <c r="L52" s="354">
        <f>'PRIME CPIF RATES (ALL)'!E47</f>
        <v>0</v>
      </c>
      <c r="M52" s="353">
        <f>ROUND(K52*L52,2)</f>
        <v>0</v>
      </c>
      <c r="N52" s="165"/>
      <c r="O52" s="214">
        <f>O50+Q50</f>
        <v>0</v>
      </c>
      <c r="P52" s="354">
        <f>'PRIME CPIF RATES (ALL)'!F47</f>
        <v>0</v>
      </c>
      <c r="Q52" s="353">
        <f>ROUND(O52*P52,2)</f>
        <v>0</v>
      </c>
    </row>
    <row r="53" spans="1:17" x14ac:dyDescent="0.2">
      <c r="B53" s="241" t="s">
        <v>320</v>
      </c>
      <c r="C53" s="233"/>
      <c r="D53" s="234"/>
      <c r="E53" s="168">
        <f>ROUND(E47+E49+E50,2)</f>
        <v>0</v>
      </c>
      <c r="F53" s="288"/>
      <c r="G53" s="233"/>
      <c r="H53" s="234"/>
      <c r="I53" s="168">
        <f>ROUND(I47+I49+I50,2)</f>
        <v>0</v>
      </c>
      <c r="J53" s="288"/>
      <c r="K53" s="233"/>
      <c r="L53" s="234"/>
      <c r="M53" s="168">
        <f>ROUND(M47+M49+M50,2)</f>
        <v>0</v>
      </c>
      <c r="N53" s="165"/>
      <c r="O53" s="233"/>
      <c r="P53" s="234"/>
      <c r="Q53" s="168">
        <f>ROUND(Q47+Q49+Q50,2)</f>
        <v>0</v>
      </c>
    </row>
    <row r="54" spans="1:17" x14ac:dyDescent="0.2">
      <c r="B54" s="241" t="s">
        <v>298</v>
      </c>
      <c r="C54" s="231"/>
      <c r="D54" s="235"/>
      <c r="E54" s="168">
        <f>ROUND(E51,2)</f>
        <v>0</v>
      </c>
      <c r="F54" s="288"/>
      <c r="G54" s="231"/>
      <c r="H54" s="235"/>
      <c r="I54" s="168">
        <f>ROUND(I51,2)</f>
        <v>0</v>
      </c>
      <c r="J54" s="288"/>
      <c r="K54" s="231"/>
      <c r="L54" s="235"/>
      <c r="M54" s="168">
        <f>ROUND(M51,2)</f>
        <v>0</v>
      </c>
      <c r="N54" s="165"/>
      <c r="O54" s="231"/>
      <c r="P54" s="235"/>
      <c r="Q54" s="168">
        <f>ROUND(Q51,2)</f>
        <v>0</v>
      </c>
    </row>
    <row r="55" spans="1:17" x14ac:dyDescent="0.2">
      <c r="B55" s="241" t="s">
        <v>136</v>
      </c>
      <c r="C55" s="231"/>
      <c r="D55" s="235"/>
      <c r="E55" s="182">
        <f>ROUND(E52,2)</f>
        <v>0</v>
      </c>
      <c r="F55" s="183"/>
      <c r="G55" s="231"/>
      <c r="H55" s="235"/>
      <c r="I55" s="182">
        <f>ROUND(I52,2)</f>
        <v>0</v>
      </c>
      <c r="J55" s="183"/>
      <c r="K55" s="231"/>
      <c r="L55" s="235"/>
      <c r="M55" s="182">
        <f>ROUND(M52,2)</f>
        <v>0</v>
      </c>
      <c r="N55" s="183"/>
      <c r="O55" s="231"/>
      <c r="P55" s="235"/>
      <c r="Q55" s="182">
        <f>ROUND(Q52,2)</f>
        <v>0</v>
      </c>
    </row>
    <row r="56" spans="1:17" ht="16.5" thickBot="1" x14ac:dyDescent="0.25">
      <c r="B56" s="242" t="s">
        <v>321</v>
      </c>
      <c r="C56" s="236"/>
      <c r="D56" s="237"/>
      <c r="E56" s="160">
        <f>SUM(E53:E55)</f>
        <v>0</v>
      </c>
      <c r="F56" s="161"/>
      <c r="G56" s="236"/>
      <c r="H56" s="237"/>
      <c r="I56" s="160">
        <f>SUM(I53:I55)</f>
        <v>0</v>
      </c>
      <c r="J56" s="161"/>
      <c r="K56" s="236"/>
      <c r="L56" s="237"/>
      <c r="M56" s="160">
        <f>SUM(M53:M55)</f>
        <v>0</v>
      </c>
      <c r="N56" s="161"/>
      <c r="O56" s="236"/>
      <c r="P56" s="237"/>
      <c r="Q56" s="160">
        <f>SUM(Q53:Q55)</f>
        <v>0</v>
      </c>
    </row>
    <row r="57" spans="1:17" ht="16.5" thickBot="1" x14ac:dyDescent="0.25">
      <c r="B57" s="172"/>
      <c r="E57" s="251"/>
      <c r="F57" s="251"/>
      <c r="G57" s="251"/>
      <c r="H57" s="251"/>
      <c r="I57" s="251"/>
      <c r="J57" s="251"/>
      <c r="K57" s="251"/>
      <c r="N57" s="187"/>
      <c r="O57" s="251"/>
    </row>
    <row r="58" spans="1:17" ht="16.5" customHeight="1" thickBot="1" x14ac:dyDescent="0.3">
      <c r="A58" s="193"/>
      <c r="B58" s="620" t="str">
        <f>B30</f>
        <v>CLIN 0002 (CPIF)                                                    TASK 1.02 MATERIAL -1 SIMULATOR KIT</v>
      </c>
      <c r="C58" s="594" t="s">
        <v>146</v>
      </c>
      <c r="D58" s="595"/>
      <c r="E58" s="596"/>
      <c r="F58" s="175"/>
      <c r="G58" s="594" t="s">
        <v>147</v>
      </c>
      <c r="H58" s="595"/>
      <c r="I58" s="596"/>
      <c r="J58" s="175"/>
      <c r="K58" s="594" t="s">
        <v>147</v>
      </c>
      <c r="L58" s="595"/>
      <c r="M58" s="596"/>
      <c r="N58" s="175"/>
      <c r="O58" s="594" t="s">
        <v>147</v>
      </c>
      <c r="P58" s="595"/>
      <c r="Q58" s="596"/>
    </row>
    <row r="59" spans="1:17" ht="33.75" customHeight="1" thickBot="1" x14ac:dyDescent="0.3">
      <c r="A59" s="193"/>
      <c r="B59" s="621"/>
      <c r="C59" s="617" t="str">
        <f>C31</f>
        <v>CLIN 0002 - Basic Period (Year 1)</v>
      </c>
      <c r="D59" s="618"/>
      <c r="E59" s="619"/>
      <c r="F59" s="176"/>
      <c r="G59" s="617" t="str">
        <f>G31</f>
        <v>CLIN 0002 - Basic Period (Year 2)</v>
      </c>
      <c r="H59" s="618"/>
      <c r="I59" s="619"/>
      <c r="J59" s="176"/>
      <c r="K59" s="617" t="str">
        <f>K31</f>
        <v>CLIN 0002 - Basic Period (Year 3)</v>
      </c>
      <c r="L59" s="618"/>
      <c r="M59" s="619"/>
      <c r="N59" s="176"/>
      <c r="O59" s="617" t="str">
        <f>O31</f>
        <v>CLIN 0002 - Basic Period (Year 4)</v>
      </c>
      <c r="P59" s="618"/>
      <c r="Q59" s="619"/>
    </row>
    <row r="60" spans="1:17" x14ac:dyDescent="0.25">
      <c r="A60" s="193"/>
      <c r="B60" s="248"/>
      <c r="C60" s="153" t="s">
        <v>399</v>
      </c>
      <c r="D60" s="154" t="s">
        <v>396</v>
      </c>
      <c r="E60" s="155" t="s">
        <v>153</v>
      </c>
      <c r="F60" s="166"/>
      <c r="G60" s="153" t="s">
        <v>399</v>
      </c>
      <c r="H60" s="154" t="s">
        <v>396</v>
      </c>
      <c r="I60" s="155" t="s">
        <v>153</v>
      </c>
      <c r="J60" s="166"/>
      <c r="K60" s="153" t="s">
        <v>399</v>
      </c>
      <c r="L60" s="154" t="s">
        <v>396</v>
      </c>
      <c r="M60" s="155" t="s">
        <v>153</v>
      </c>
      <c r="N60" s="166"/>
      <c r="O60" s="153" t="s">
        <v>399</v>
      </c>
      <c r="P60" s="154" t="s">
        <v>396</v>
      </c>
      <c r="Q60" s="155" t="s">
        <v>153</v>
      </c>
    </row>
    <row r="61" spans="1:17" ht="26.25" x14ac:dyDescent="0.25">
      <c r="A61" s="193"/>
      <c r="B61" s="300" t="s">
        <v>561</v>
      </c>
      <c r="C61" s="231"/>
      <c r="D61" s="232"/>
      <c r="E61" s="345">
        <f>'PRIME CPIF TOTAL ODC'!E25</f>
        <v>0</v>
      </c>
      <c r="F61" s="165"/>
      <c r="G61" s="231"/>
      <c r="H61" s="232"/>
      <c r="I61" s="345">
        <f>'PRIME CPIF TOTAL ODC'!G25</f>
        <v>0</v>
      </c>
      <c r="J61" s="165"/>
      <c r="K61" s="231"/>
      <c r="L61" s="232"/>
      <c r="M61" s="400">
        <f>'PRIME CPIF TOTAL ODC'!I25</f>
        <v>0</v>
      </c>
      <c r="N61" s="165"/>
      <c r="O61" s="231"/>
      <c r="P61" s="232"/>
      <c r="Q61" s="400">
        <f>'PRIME CPIF TOTAL ODC'!K25</f>
        <v>0</v>
      </c>
    </row>
    <row r="62" spans="1:17" ht="66" customHeight="1" x14ac:dyDescent="0.25">
      <c r="A62" s="193"/>
      <c r="B62" s="490" t="s">
        <v>614</v>
      </c>
      <c r="C62" s="404"/>
      <c r="D62" s="404"/>
      <c r="E62" s="403"/>
      <c r="F62" s="288"/>
      <c r="G62" s="405"/>
      <c r="H62" s="404"/>
      <c r="I62" s="403"/>
      <c r="J62" s="288"/>
      <c r="K62" s="405"/>
      <c r="L62" s="404"/>
      <c r="M62" s="400"/>
      <c r="N62" s="165"/>
      <c r="O62" s="405"/>
      <c r="P62" s="404"/>
      <c r="Q62" s="400"/>
    </row>
    <row r="63" spans="1:17" x14ac:dyDescent="0.25">
      <c r="A63" s="193"/>
      <c r="B63" s="167" t="s">
        <v>125</v>
      </c>
      <c r="C63" s="215">
        <f>+E61</f>
        <v>0</v>
      </c>
      <c r="D63" s="243">
        <f>'PRIME CPIF RATES (ALL)'!C60</f>
        <v>0</v>
      </c>
      <c r="E63" s="168">
        <f>ROUND(C63*D63,2)</f>
        <v>0</v>
      </c>
      <c r="F63" s="178"/>
      <c r="G63" s="215">
        <f>+I61</f>
        <v>0</v>
      </c>
      <c r="H63" s="243">
        <f>'PRIME CPIF RATES (ALL)'!D60</f>
        <v>0</v>
      </c>
      <c r="I63" s="168">
        <f>ROUND(G63*H63,2)</f>
        <v>0</v>
      </c>
      <c r="J63" s="178"/>
      <c r="K63" s="215">
        <f>+M61</f>
        <v>0</v>
      </c>
      <c r="L63" s="243">
        <f>'PRIME CPIF RATES (ALL)'!E60</f>
        <v>0</v>
      </c>
      <c r="M63" s="168">
        <f>ROUND(K63*L63,2)</f>
        <v>0</v>
      </c>
      <c r="N63" s="178"/>
      <c r="O63" s="215">
        <f>+Q61</f>
        <v>0</v>
      </c>
      <c r="P63" s="243">
        <f>'PRIME CPIF RATES (ALL)'!F60</f>
        <v>0</v>
      </c>
      <c r="Q63" s="168">
        <f>ROUND(O63*P63,2)</f>
        <v>0</v>
      </c>
    </row>
    <row r="64" spans="1:17" x14ac:dyDescent="0.25">
      <c r="A64" s="193"/>
      <c r="B64" s="167" t="s">
        <v>126</v>
      </c>
      <c r="C64" s="215">
        <f>+C63+E63</f>
        <v>0</v>
      </c>
      <c r="D64" s="243">
        <f>'PRIME CPIF RATES (ALL)'!C61</f>
        <v>0</v>
      </c>
      <c r="E64" s="168">
        <f>ROUND(C64*D64,2)</f>
        <v>0</v>
      </c>
      <c r="F64" s="178"/>
      <c r="G64" s="215">
        <f>+G63+I63</f>
        <v>0</v>
      </c>
      <c r="H64" s="243">
        <f>'PRIME CPIF RATES (ALL)'!D61</f>
        <v>0</v>
      </c>
      <c r="I64" s="168">
        <f>ROUND(G64*H64,2)</f>
        <v>0</v>
      </c>
      <c r="J64" s="178"/>
      <c r="K64" s="215">
        <f>+K63+M63</f>
        <v>0</v>
      </c>
      <c r="L64" s="243">
        <f>'PRIME CPIF RATES (ALL)'!E61</f>
        <v>0</v>
      </c>
      <c r="M64" s="168">
        <f>ROUND(K64*L64,2)</f>
        <v>0</v>
      </c>
      <c r="N64" s="178"/>
      <c r="O64" s="215">
        <f>+O63+Q63</f>
        <v>0</v>
      </c>
      <c r="P64" s="243">
        <f>'PRIME CPIF RATES (ALL)'!F61</f>
        <v>0</v>
      </c>
      <c r="Q64" s="168">
        <f>ROUND(O64*P64,2)</f>
        <v>0</v>
      </c>
    </row>
    <row r="65" spans="1:17" x14ac:dyDescent="0.25">
      <c r="A65" s="193"/>
      <c r="B65" s="167" t="s">
        <v>566</v>
      </c>
      <c r="C65" s="215">
        <f>C64+E64</f>
        <v>0</v>
      </c>
      <c r="D65" s="243">
        <f>'PRIME CPIF RATES (ALL)'!C62</f>
        <v>0</v>
      </c>
      <c r="E65" s="168">
        <f>ROUND(C65*D65,2)</f>
        <v>0</v>
      </c>
      <c r="F65" s="165"/>
      <c r="G65" s="215">
        <f>G64+I64</f>
        <v>0</v>
      </c>
      <c r="H65" s="243">
        <f>'PRIME CPIF RATES (ALL)'!D62</f>
        <v>0</v>
      </c>
      <c r="I65" s="168">
        <f>ROUND(G65*H65,2)</f>
        <v>0</v>
      </c>
      <c r="J65" s="165"/>
      <c r="K65" s="215">
        <f>K64+M64</f>
        <v>0</v>
      </c>
      <c r="L65" s="243">
        <f>'PRIME CPIF RATES (ALL)'!E62</f>
        <v>0</v>
      </c>
      <c r="M65" s="168">
        <f>ROUND(K65*L65,2)</f>
        <v>0</v>
      </c>
      <c r="N65" s="165"/>
      <c r="O65" s="215">
        <f>O64+Q64</f>
        <v>0</v>
      </c>
      <c r="P65" s="243">
        <f>'PRIME CPIF RATES (ALL)'!F62</f>
        <v>0</v>
      </c>
      <c r="Q65" s="168">
        <f>ROUND(O65*P65,2)</f>
        <v>0</v>
      </c>
    </row>
    <row r="66" spans="1:17" x14ac:dyDescent="0.25">
      <c r="A66" s="193"/>
      <c r="B66" s="167" t="s">
        <v>127</v>
      </c>
      <c r="C66" s="215">
        <f>+C64+E64</f>
        <v>0</v>
      </c>
      <c r="D66" s="354">
        <f>'PRIME CPIF RATES (ALL)'!C63</f>
        <v>0</v>
      </c>
      <c r="E66" s="168">
        <f>ROUND(C66*D66,2)</f>
        <v>0</v>
      </c>
      <c r="F66" s="165"/>
      <c r="G66" s="215">
        <f>+G64+I64</f>
        <v>0</v>
      </c>
      <c r="H66" s="354">
        <f>'PRIME CPIF RATES (ALL)'!D63</f>
        <v>0</v>
      </c>
      <c r="I66" s="168">
        <f>ROUND(G66*H66,2)</f>
        <v>0</v>
      </c>
      <c r="J66" s="165"/>
      <c r="K66" s="215">
        <f>+K64+M64</f>
        <v>0</v>
      </c>
      <c r="L66" s="354">
        <f>'PRIME CPIF RATES (ALL)'!E63</f>
        <v>0</v>
      </c>
      <c r="M66" s="168">
        <f>ROUND(K66*L66,2)</f>
        <v>0</v>
      </c>
      <c r="N66" s="165"/>
      <c r="O66" s="215">
        <f>+O64+Q64</f>
        <v>0</v>
      </c>
      <c r="P66" s="354">
        <f>'PRIME CPIF RATES (ALL)'!F63</f>
        <v>0</v>
      </c>
      <c r="Q66" s="168">
        <f>ROUND(O66*P66,2)</f>
        <v>0</v>
      </c>
    </row>
    <row r="67" spans="1:17" x14ac:dyDescent="0.25">
      <c r="A67" s="193"/>
      <c r="B67" s="241" t="s">
        <v>260</v>
      </c>
      <c r="C67" s="179"/>
      <c r="D67" s="180"/>
      <c r="E67" s="168">
        <f>ROUND(SUM(E61:E64),2)</f>
        <v>0</v>
      </c>
      <c r="F67" s="165"/>
      <c r="G67" s="179"/>
      <c r="H67" s="180"/>
      <c r="I67" s="168">
        <f>ROUND(SUM(I61:I64),2)</f>
        <v>0</v>
      </c>
      <c r="J67" s="165"/>
      <c r="K67" s="179"/>
      <c r="L67" s="180"/>
      <c r="M67" s="168">
        <f>ROUND(SUM(M61:M64),2)</f>
        <v>0</v>
      </c>
      <c r="N67" s="165"/>
      <c r="O67" s="179"/>
      <c r="P67" s="180"/>
      <c r="Q67" s="168">
        <f>ROUND(SUM(Q61:Q64),2)</f>
        <v>0</v>
      </c>
    </row>
    <row r="68" spans="1:17" x14ac:dyDescent="0.25">
      <c r="A68" s="193"/>
      <c r="B68" s="241" t="s">
        <v>137</v>
      </c>
      <c r="C68" s="177"/>
      <c r="D68" s="181"/>
      <c r="E68" s="168">
        <f>ROUND(E65,2)</f>
        <v>0</v>
      </c>
      <c r="F68" s="165"/>
      <c r="G68" s="177"/>
      <c r="H68" s="181"/>
      <c r="I68" s="168">
        <f>ROUND(I65,2)</f>
        <v>0</v>
      </c>
      <c r="J68" s="165"/>
      <c r="K68" s="177"/>
      <c r="L68" s="181"/>
      <c r="M68" s="168">
        <f>ROUND(M65,2)</f>
        <v>0</v>
      </c>
      <c r="N68" s="165"/>
      <c r="O68" s="177"/>
      <c r="P68" s="181"/>
      <c r="Q68" s="168">
        <f>ROUND(Q65,2)</f>
        <v>0</v>
      </c>
    </row>
    <row r="69" spans="1:17" x14ac:dyDescent="0.2">
      <c r="A69" s="186"/>
      <c r="B69" s="241" t="s">
        <v>136</v>
      </c>
      <c r="C69" s="177"/>
      <c r="D69" s="181"/>
      <c r="E69" s="182">
        <f>ROUND(E66,2)</f>
        <v>0</v>
      </c>
      <c r="F69" s="183"/>
      <c r="G69" s="177"/>
      <c r="H69" s="181"/>
      <c r="I69" s="182">
        <f>ROUND(I66,2)</f>
        <v>0</v>
      </c>
      <c r="J69" s="183"/>
      <c r="K69" s="177"/>
      <c r="L69" s="181"/>
      <c r="M69" s="182">
        <f>ROUND(M66,2)</f>
        <v>0</v>
      </c>
      <c r="N69" s="183"/>
      <c r="O69" s="177"/>
      <c r="P69" s="181"/>
      <c r="Q69" s="182">
        <f>ROUND(Q66,2)</f>
        <v>0</v>
      </c>
    </row>
    <row r="70" spans="1:17" ht="16.5" thickBot="1" x14ac:dyDescent="0.25">
      <c r="A70" s="186"/>
      <c r="B70" s="242" t="s">
        <v>244</v>
      </c>
      <c r="C70" s="184"/>
      <c r="D70" s="185"/>
      <c r="E70" s="160">
        <f t="shared" ref="E70" si="4">SUM(E67:E69)</f>
        <v>0</v>
      </c>
      <c r="F70" s="161"/>
      <c r="G70" s="184"/>
      <c r="H70" s="185"/>
      <c r="I70" s="160">
        <f t="shared" ref="I70" si="5">SUM(I67:I69)</f>
        <v>0</v>
      </c>
      <c r="J70" s="161"/>
      <c r="K70" s="184"/>
      <c r="L70" s="185"/>
      <c r="M70" s="160">
        <f t="shared" ref="M70" si="6">SUM(M67:M69)</f>
        <v>0</v>
      </c>
      <c r="N70" s="161"/>
      <c r="O70" s="184"/>
      <c r="P70" s="185"/>
      <c r="Q70" s="160">
        <f t="shared" ref="Q70" si="7">SUM(Q67:Q69)</f>
        <v>0</v>
      </c>
    </row>
    <row r="71" spans="1:17" ht="16.5" thickBot="1" x14ac:dyDescent="0.25">
      <c r="A71" s="186"/>
      <c r="B71" s="172"/>
      <c r="E71" s="251"/>
      <c r="F71" s="251"/>
      <c r="G71" s="251"/>
      <c r="H71" s="251"/>
      <c r="I71" s="251"/>
      <c r="J71" s="251"/>
      <c r="K71" s="251"/>
      <c r="N71" s="187"/>
      <c r="O71" s="251"/>
    </row>
    <row r="72" spans="1:17" ht="16.5" thickBot="1" x14ac:dyDescent="0.3">
      <c r="A72" s="186"/>
      <c r="B72" s="628" t="str">
        <f>B58</f>
        <v>CLIN 0002 (CPIF)                                                    TASK 1.02 MATERIAL -1 SIMULATOR KIT</v>
      </c>
      <c r="C72" s="614" t="s">
        <v>319</v>
      </c>
      <c r="D72" s="615"/>
      <c r="E72" s="616"/>
      <c r="F72" s="175"/>
      <c r="G72" s="614" t="s">
        <v>319</v>
      </c>
      <c r="H72" s="615"/>
      <c r="I72" s="616"/>
      <c r="J72" s="175"/>
      <c r="K72" s="614" t="s">
        <v>319</v>
      </c>
      <c r="L72" s="615"/>
      <c r="M72" s="616"/>
      <c r="N72" s="175"/>
      <c r="O72" s="614" t="s">
        <v>319</v>
      </c>
      <c r="P72" s="615"/>
      <c r="Q72" s="616"/>
    </row>
    <row r="73" spans="1:17" ht="33.75" customHeight="1" thickBot="1" x14ac:dyDescent="0.3">
      <c r="A73" s="186"/>
      <c r="B73" s="629"/>
      <c r="C73" s="280"/>
      <c r="D73" s="281"/>
      <c r="E73" s="188" t="s">
        <v>344</v>
      </c>
      <c r="F73" s="189"/>
      <c r="G73" s="280"/>
      <c r="H73" s="281"/>
      <c r="I73" s="188" t="s">
        <v>347</v>
      </c>
      <c r="J73" s="189"/>
      <c r="K73" s="280"/>
      <c r="L73" s="281"/>
      <c r="M73" s="188" t="s">
        <v>346</v>
      </c>
      <c r="N73" s="189"/>
      <c r="O73" s="280"/>
      <c r="P73" s="281"/>
      <c r="Q73" s="188" t="s">
        <v>345</v>
      </c>
    </row>
    <row r="74" spans="1:17" x14ac:dyDescent="0.2">
      <c r="A74" s="186"/>
      <c r="B74" s="167" t="s">
        <v>261</v>
      </c>
      <c r="C74" s="282"/>
      <c r="D74" s="282"/>
      <c r="E74" s="190">
        <f>+ROUND(E25+E39+E53+E67,2)</f>
        <v>0</v>
      </c>
      <c r="F74" s="165"/>
      <c r="G74" s="282"/>
      <c r="H74" s="282"/>
      <c r="I74" s="190">
        <f>+ROUND(I25+I39+I53+I67,2)</f>
        <v>0</v>
      </c>
      <c r="J74" s="165"/>
      <c r="K74" s="282"/>
      <c r="L74" s="282"/>
      <c r="M74" s="190">
        <f>+ROUND(M25+M39+M53+M67,2)</f>
        <v>0</v>
      </c>
      <c r="N74" s="165"/>
      <c r="O74" s="282"/>
      <c r="P74" s="282"/>
      <c r="Q74" s="190">
        <f>+ROUND(Q25+Q39+Q53+Q67,2)</f>
        <v>0</v>
      </c>
    </row>
    <row r="75" spans="1:17" x14ac:dyDescent="0.2">
      <c r="A75" s="186"/>
      <c r="B75" s="167" t="s">
        <v>137</v>
      </c>
      <c r="C75" s="282"/>
      <c r="D75" s="282"/>
      <c r="E75" s="168">
        <f>+ROUND(E26+E40+E54+E68,2)</f>
        <v>0</v>
      </c>
      <c r="F75" s="165"/>
      <c r="G75" s="282"/>
      <c r="H75" s="282"/>
      <c r="I75" s="168">
        <f>+ROUND(I26+I40+I54+I68,2)</f>
        <v>0</v>
      </c>
      <c r="J75" s="165"/>
      <c r="K75" s="282"/>
      <c r="L75" s="282"/>
      <c r="M75" s="168">
        <f>+ROUND(M26+M40+M54+M68,2)</f>
        <v>0</v>
      </c>
      <c r="N75" s="165"/>
      <c r="O75" s="282"/>
      <c r="P75" s="282"/>
      <c r="Q75" s="168">
        <f>+ROUND(Q26+Q40+Q54+Q68,2)</f>
        <v>0</v>
      </c>
    </row>
    <row r="76" spans="1:17" x14ac:dyDescent="0.2">
      <c r="A76" s="186"/>
      <c r="B76" s="167" t="s">
        <v>136</v>
      </c>
      <c r="C76" s="282"/>
      <c r="D76" s="282"/>
      <c r="E76" s="169">
        <f>+ROUND(E27+E41+E55+E69,2)</f>
        <v>0</v>
      </c>
      <c r="F76" s="170"/>
      <c r="G76" s="282"/>
      <c r="H76" s="282"/>
      <c r="I76" s="169">
        <f>+ROUND(I27+I41+I55+I69,2)</f>
        <v>0</v>
      </c>
      <c r="J76" s="170"/>
      <c r="K76" s="282"/>
      <c r="L76" s="282"/>
      <c r="M76" s="169">
        <f>+ROUND(M27+M41+M55+M69,2)</f>
        <v>0</v>
      </c>
      <c r="N76" s="170"/>
      <c r="O76" s="282"/>
      <c r="P76" s="282"/>
      <c r="Q76" s="169">
        <f>+ROUND(Q27+Q41+Q55+Q69,2)</f>
        <v>0</v>
      </c>
    </row>
    <row r="77" spans="1:17" ht="32.25" thickBot="1" x14ac:dyDescent="0.3">
      <c r="A77" s="186"/>
      <c r="B77" s="265" t="s">
        <v>521</v>
      </c>
      <c r="C77" s="283"/>
      <c r="D77" s="283"/>
      <c r="E77" s="266">
        <f>SUM(E74:E76)</f>
        <v>0</v>
      </c>
      <c r="F77" s="171"/>
      <c r="G77" s="283"/>
      <c r="H77" s="283"/>
      <c r="I77" s="266">
        <f>SUM(I74:I76)</f>
        <v>0</v>
      </c>
      <c r="J77" s="171"/>
      <c r="K77" s="283"/>
      <c r="L77" s="283"/>
      <c r="M77" s="266">
        <f>SUM(M74:M76)</f>
        <v>0</v>
      </c>
      <c r="N77" s="171"/>
      <c r="O77" s="283"/>
      <c r="P77" s="283"/>
      <c r="Q77" s="266">
        <f>SUM(Q74:Q76)</f>
        <v>0</v>
      </c>
    </row>
    <row r="78" spans="1:17" ht="16.5" thickBot="1" x14ac:dyDescent="0.3"/>
    <row r="79" spans="1:17" ht="31.5" x14ac:dyDescent="0.25">
      <c r="Q79" s="411" t="s">
        <v>522</v>
      </c>
    </row>
    <row r="80" spans="1:17" ht="16.5" thickBot="1" x14ac:dyDescent="0.3">
      <c r="Q80" s="410">
        <f>E77+I77+M77+Q77</f>
        <v>0</v>
      </c>
    </row>
  </sheetData>
  <mergeCells count="46">
    <mergeCell ref="K58:M58"/>
    <mergeCell ref="K72:M72"/>
    <mergeCell ref="O72:Q72"/>
    <mergeCell ref="C59:E59"/>
    <mergeCell ref="G59:I59"/>
    <mergeCell ref="K59:M59"/>
    <mergeCell ref="O59:Q59"/>
    <mergeCell ref="O58:Q58"/>
    <mergeCell ref="C30:E30"/>
    <mergeCell ref="G30:I30"/>
    <mergeCell ref="B72:B73"/>
    <mergeCell ref="C72:E72"/>
    <mergeCell ref="G72:I72"/>
    <mergeCell ref="B58:B59"/>
    <mergeCell ref="C58:E58"/>
    <mergeCell ref="G58:I58"/>
    <mergeCell ref="C48:E48"/>
    <mergeCell ref="G48:I48"/>
    <mergeCell ref="K30:M30"/>
    <mergeCell ref="O30:Q30"/>
    <mergeCell ref="A3:C3"/>
    <mergeCell ref="B13:B14"/>
    <mergeCell ref="C13:E13"/>
    <mergeCell ref="G13:I13"/>
    <mergeCell ref="K13:M13"/>
    <mergeCell ref="O13:Q13"/>
    <mergeCell ref="C14:E14"/>
    <mergeCell ref="G14:I14"/>
    <mergeCell ref="K14:M14"/>
    <mergeCell ref="O14:Q14"/>
    <mergeCell ref="B30:B31"/>
    <mergeCell ref="C31:E31"/>
    <mergeCell ref="G31:I31"/>
    <mergeCell ref="K31:M31"/>
    <mergeCell ref="K48:M48"/>
    <mergeCell ref="O48:Q48"/>
    <mergeCell ref="O31:Q31"/>
    <mergeCell ref="B44:B45"/>
    <mergeCell ref="C44:E44"/>
    <mergeCell ref="G44:I44"/>
    <mergeCell ref="K44:M44"/>
    <mergeCell ref="O44:Q44"/>
    <mergeCell ref="C45:E45"/>
    <mergeCell ref="G45:I45"/>
    <mergeCell ref="K45:M45"/>
    <mergeCell ref="O45:Q45"/>
  </mergeCell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FEA61D-2955-4C0E-8F94-AD627D7292C7}">
  <sheetPr>
    <tabColor theme="0"/>
  </sheetPr>
  <dimension ref="A1:Q80"/>
  <sheetViews>
    <sheetView zoomScale="80" zoomScaleNormal="80" workbookViewId="0">
      <selection activeCell="P65" sqref="P65"/>
    </sheetView>
    <sheetView workbookViewId="1"/>
  </sheetViews>
  <sheetFormatPr defaultColWidth="15.85546875" defaultRowHeight="15.75" x14ac:dyDescent="0.25"/>
  <cols>
    <col min="1" max="1" width="3.42578125" style="191" customWidth="1"/>
    <col min="2" max="2" width="49.140625" style="174" customWidth="1"/>
    <col min="3" max="3" width="18.28515625" style="186" bestFit="1" customWidth="1"/>
    <col min="4" max="4" width="12.42578125" style="186" bestFit="1" customWidth="1"/>
    <col min="5" max="5" width="30.5703125" style="186" bestFit="1" customWidth="1"/>
    <col min="6" max="6" width="1" style="186" customWidth="1"/>
    <col min="7" max="7" width="14.28515625" style="186" customWidth="1"/>
    <col min="8" max="8" width="14.5703125" style="186" customWidth="1"/>
    <col min="9" max="9" width="34.42578125" style="186" bestFit="1" customWidth="1"/>
    <col min="10" max="10" width="1" style="186" customWidth="1"/>
    <col min="11" max="11" width="16.7109375" style="186" customWidth="1"/>
    <col min="12" max="12" width="16.28515625" style="186" customWidth="1"/>
    <col min="13" max="13" width="34.42578125" style="186" bestFit="1" customWidth="1"/>
    <col min="14" max="14" width="0.85546875" style="186" customWidth="1"/>
    <col min="15" max="15" width="16.7109375" style="186" customWidth="1"/>
    <col min="16" max="16" width="16.28515625" style="186" customWidth="1"/>
    <col min="17" max="17" width="34.42578125" style="186" bestFit="1" customWidth="1"/>
    <col min="18" max="16384" width="15.85546875" style="186"/>
  </cols>
  <sheetData>
    <row r="1" spans="1:17" ht="16.5" thickBot="1" x14ac:dyDescent="0.3">
      <c r="B1" s="126" t="s">
        <v>626</v>
      </c>
      <c r="C1" s="494" t="str">
        <f>'FFP CLINs X007-X021'!B1</f>
        <v>NAME</v>
      </c>
    </row>
    <row r="2" spans="1:17" ht="16.5" thickBot="1" x14ac:dyDescent="0.3"/>
    <row r="3" spans="1:17" ht="52.5" customHeight="1" thickBot="1" x14ac:dyDescent="0.3">
      <c r="A3" s="557" t="s">
        <v>523</v>
      </c>
      <c r="B3" s="558"/>
      <c r="C3" s="559"/>
      <c r="I3" s="251" t="s">
        <v>149</v>
      </c>
    </row>
    <row r="5" spans="1:17" s="259" customFormat="1" ht="17.25" customHeight="1" x14ac:dyDescent="0.2">
      <c r="A5" s="260"/>
      <c r="B5" s="261" t="s">
        <v>130</v>
      </c>
    </row>
    <row r="6" spans="1:17" s="259" customFormat="1" x14ac:dyDescent="0.25">
      <c r="A6" s="258"/>
      <c r="B6" s="258" t="s">
        <v>606</v>
      </c>
    </row>
    <row r="7" spans="1:17" s="259" customFormat="1" x14ac:dyDescent="0.25">
      <c r="A7" s="258"/>
      <c r="B7" s="258" t="s">
        <v>390</v>
      </c>
    </row>
    <row r="8" spans="1:17" s="259" customFormat="1" x14ac:dyDescent="0.25">
      <c r="A8" s="258"/>
      <c r="B8" s="258" t="s">
        <v>607</v>
      </c>
    </row>
    <row r="9" spans="1:17" s="259" customFormat="1" x14ac:dyDescent="0.25">
      <c r="A9" s="258"/>
      <c r="B9" s="258" t="s">
        <v>608</v>
      </c>
    </row>
    <row r="10" spans="1:17" x14ac:dyDescent="0.25">
      <c r="A10" s="192"/>
      <c r="B10" s="258" t="s">
        <v>609</v>
      </c>
      <c r="C10" s="194"/>
    </row>
    <row r="11" spans="1:17" x14ac:dyDescent="0.25">
      <c r="A11" s="192"/>
      <c r="B11" s="258" t="s">
        <v>524</v>
      </c>
      <c r="C11" s="194"/>
    </row>
    <row r="12" spans="1:17" ht="16.5" thickBot="1" x14ac:dyDescent="0.3"/>
    <row r="13" spans="1:17" ht="16.5" thickBot="1" x14ac:dyDescent="0.3">
      <c r="A13" s="193"/>
      <c r="B13" s="633" t="s">
        <v>525</v>
      </c>
      <c r="C13" s="594" t="s">
        <v>134</v>
      </c>
      <c r="D13" s="595"/>
      <c r="E13" s="596"/>
      <c r="F13" s="151"/>
      <c r="G13" s="594" t="s">
        <v>134</v>
      </c>
      <c r="H13" s="595"/>
      <c r="I13" s="596"/>
      <c r="J13" s="151"/>
      <c r="K13" s="594" t="s">
        <v>134</v>
      </c>
      <c r="L13" s="595"/>
      <c r="M13" s="596"/>
      <c r="N13" s="151"/>
      <c r="O13" s="594" t="s">
        <v>134</v>
      </c>
      <c r="P13" s="595"/>
      <c r="Q13" s="596"/>
    </row>
    <row r="14" spans="1:17" ht="32.25" customHeight="1" thickBot="1" x14ac:dyDescent="0.3">
      <c r="A14" s="193"/>
      <c r="B14" s="634"/>
      <c r="C14" s="617" t="s">
        <v>325</v>
      </c>
      <c r="D14" s="618"/>
      <c r="E14" s="619"/>
      <c r="F14" s="152"/>
      <c r="G14" s="617" t="s">
        <v>326</v>
      </c>
      <c r="H14" s="618"/>
      <c r="I14" s="619"/>
      <c r="J14" s="152"/>
      <c r="K14" s="617" t="s">
        <v>327</v>
      </c>
      <c r="L14" s="618"/>
      <c r="M14" s="619"/>
      <c r="N14" s="152"/>
      <c r="O14" s="617" t="s">
        <v>328</v>
      </c>
      <c r="P14" s="618"/>
      <c r="Q14" s="619"/>
    </row>
    <row r="15" spans="1:17" x14ac:dyDescent="0.25">
      <c r="A15" s="193"/>
      <c r="B15" s="153" t="s">
        <v>110</v>
      </c>
      <c r="C15" s="153" t="s">
        <v>91</v>
      </c>
      <c r="D15" s="154" t="s">
        <v>133</v>
      </c>
      <c r="E15" s="155" t="s">
        <v>139</v>
      </c>
      <c r="F15" s="156"/>
      <c r="G15" s="153" t="s">
        <v>91</v>
      </c>
      <c r="H15" s="154" t="s">
        <v>133</v>
      </c>
      <c r="I15" s="155" t="s">
        <v>139</v>
      </c>
      <c r="J15" s="156"/>
      <c r="K15" s="153" t="s">
        <v>91</v>
      </c>
      <c r="L15" s="154" t="s">
        <v>133</v>
      </c>
      <c r="M15" s="155" t="s">
        <v>139</v>
      </c>
      <c r="N15" s="156"/>
      <c r="O15" s="153" t="s">
        <v>91</v>
      </c>
      <c r="P15" s="154" t="s">
        <v>133</v>
      </c>
      <c r="Q15" s="155" t="s">
        <v>139</v>
      </c>
    </row>
    <row r="16" spans="1:17" ht="30" customHeight="1" thickBot="1" x14ac:dyDescent="0.3">
      <c r="A16" s="193"/>
      <c r="B16" s="203" t="s">
        <v>558</v>
      </c>
      <c r="C16" s="289"/>
      <c r="D16" s="290"/>
      <c r="E16" s="291"/>
      <c r="F16" s="156"/>
      <c r="G16" s="289"/>
      <c r="H16" s="290"/>
      <c r="I16" s="291"/>
      <c r="J16" s="156"/>
      <c r="K16" s="289"/>
      <c r="L16" s="290"/>
      <c r="M16" s="291"/>
      <c r="N16" s="156"/>
      <c r="O16" s="289"/>
      <c r="P16" s="290"/>
      <c r="Q16" s="291"/>
    </row>
    <row r="17" spans="1:17" ht="16.5" thickBot="1" x14ac:dyDescent="0.3">
      <c r="A17" s="193"/>
      <c r="B17" s="299" t="s">
        <v>151</v>
      </c>
      <c r="C17" s="163">
        <f>'PRIME CPIF LABOR INPUTS'!D301</f>
        <v>0</v>
      </c>
      <c r="D17" s="205"/>
      <c r="E17" s="164">
        <f>'PRIME CPIF LABOR INPUTS'!F301</f>
        <v>0</v>
      </c>
      <c r="F17" s="165"/>
      <c r="G17" s="163">
        <f>'PRIME CPIF LABOR INPUTS'!H301</f>
        <v>0</v>
      </c>
      <c r="H17" s="205"/>
      <c r="I17" s="164">
        <f>'PRIME CPIF LABOR INPUTS'!J301</f>
        <v>0</v>
      </c>
      <c r="J17" s="165"/>
      <c r="K17" s="163">
        <f>'PRIME CPIF LABOR INPUTS'!L301</f>
        <v>0</v>
      </c>
      <c r="L17" s="205"/>
      <c r="M17" s="164">
        <f>'PRIME CPIF LABOR INPUTS'!N301</f>
        <v>0</v>
      </c>
      <c r="N17" s="165"/>
      <c r="O17" s="163">
        <f>'PRIME CPIF LABOR INPUTS'!P301</f>
        <v>0</v>
      </c>
      <c r="P17" s="205"/>
      <c r="Q17" s="164">
        <f>'PRIME CPIF LABOR INPUTS'!R301</f>
        <v>0</v>
      </c>
    </row>
    <row r="18" spans="1:17" x14ac:dyDescent="0.25">
      <c r="A18" s="193"/>
      <c r="B18" s="204"/>
      <c r="C18" s="153" t="s">
        <v>399</v>
      </c>
      <c r="D18" s="154" t="s">
        <v>396</v>
      </c>
      <c r="E18" s="155" t="s">
        <v>398</v>
      </c>
      <c r="F18" s="166"/>
      <c r="G18" s="153" t="s">
        <v>399</v>
      </c>
      <c r="H18" s="154" t="s">
        <v>396</v>
      </c>
      <c r="I18" s="155" t="s">
        <v>398</v>
      </c>
      <c r="J18" s="166"/>
      <c r="K18" s="153" t="s">
        <v>399</v>
      </c>
      <c r="L18" s="154" t="s">
        <v>396</v>
      </c>
      <c r="M18" s="155" t="s">
        <v>398</v>
      </c>
      <c r="N18" s="166"/>
      <c r="O18" s="153" t="s">
        <v>399</v>
      </c>
      <c r="P18" s="154" t="s">
        <v>396</v>
      </c>
      <c r="Q18" s="155" t="s">
        <v>398</v>
      </c>
    </row>
    <row r="19" spans="1:17" ht="64.5" x14ac:dyDescent="0.25">
      <c r="A19" s="193"/>
      <c r="B19" s="344" t="s">
        <v>611</v>
      </c>
      <c r="C19" s="289"/>
      <c r="D19" s="290"/>
      <c r="E19" s="291"/>
      <c r="F19" s="202"/>
      <c r="G19" s="289"/>
      <c r="H19" s="290"/>
      <c r="I19" s="291"/>
      <c r="J19" s="202"/>
      <c r="K19" s="289"/>
      <c r="L19" s="290"/>
      <c r="M19" s="291"/>
      <c r="N19" s="202"/>
      <c r="O19" s="289"/>
      <c r="P19" s="290"/>
      <c r="Q19" s="291"/>
    </row>
    <row r="20" spans="1:17" x14ac:dyDescent="0.25">
      <c r="A20" s="193"/>
      <c r="B20" s="167" t="str">
        <f>'PRIME CPIF RATES (ALL)'!B35</f>
        <v>Indirect Labor Category:  [Labor Fringe]</v>
      </c>
      <c r="C20" s="215">
        <f>+E17</f>
        <v>0</v>
      </c>
      <c r="D20" s="243">
        <f>'PRIME CPIF RATES (ALL)'!C35</f>
        <v>0</v>
      </c>
      <c r="E20" s="168">
        <f>ROUND(C20*D20,2)</f>
        <v>0</v>
      </c>
      <c r="F20" s="165"/>
      <c r="G20" s="215">
        <f>+I17</f>
        <v>0</v>
      </c>
      <c r="H20" s="243">
        <f>'PRIME CPIF RATES (ALL)'!D35</f>
        <v>0</v>
      </c>
      <c r="I20" s="168">
        <f>ROUND(G20*H20,2)</f>
        <v>0</v>
      </c>
      <c r="J20" s="165"/>
      <c r="K20" s="215">
        <f>+M17</f>
        <v>0</v>
      </c>
      <c r="L20" s="243">
        <f>'PRIME CPIF RATES (ALL)'!E35</f>
        <v>0</v>
      </c>
      <c r="M20" s="168">
        <f>ROUND(K20*L20,2)</f>
        <v>0</v>
      </c>
      <c r="N20" s="165"/>
      <c r="O20" s="215">
        <f>+Q17</f>
        <v>0</v>
      </c>
      <c r="P20" s="243">
        <f>'PRIME CPIF RATES (ALL)'!F35</f>
        <v>0</v>
      </c>
      <c r="Q20" s="168">
        <f>ROUND(O20*P20,2)</f>
        <v>0</v>
      </c>
    </row>
    <row r="21" spans="1:17" x14ac:dyDescent="0.25">
      <c r="A21" s="193"/>
      <c r="B21" s="167" t="str">
        <f>'PRIME CPIF RATES (ALL)'!B36</f>
        <v>Indirect Labor Category: [Labor Overhead]</v>
      </c>
      <c r="C21" s="215">
        <f>+C20+E20</f>
        <v>0</v>
      </c>
      <c r="D21" s="243">
        <f>'PRIME CPIF RATES (ALL)'!C36</f>
        <v>0</v>
      </c>
      <c r="E21" s="168">
        <f>ROUND(C21*D21,2)</f>
        <v>0</v>
      </c>
      <c r="F21" s="165"/>
      <c r="G21" s="215">
        <f>+G20+I20</f>
        <v>0</v>
      </c>
      <c r="H21" s="243">
        <f>'PRIME CPIF RATES (ALL)'!D36</f>
        <v>0</v>
      </c>
      <c r="I21" s="168">
        <f>ROUND(G21*H21,2)</f>
        <v>0</v>
      </c>
      <c r="J21" s="165"/>
      <c r="K21" s="215">
        <f>+K20+M20</f>
        <v>0</v>
      </c>
      <c r="L21" s="243">
        <f>'PRIME CPIF RATES (ALL)'!E36</f>
        <v>0</v>
      </c>
      <c r="M21" s="168">
        <f>ROUND(K21*L21,2)</f>
        <v>0</v>
      </c>
      <c r="N21" s="165"/>
      <c r="O21" s="215">
        <f>+O20+Q20</f>
        <v>0</v>
      </c>
      <c r="P21" s="243">
        <f>'PRIME CPIF RATES (ALL)'!F36</f>
        <v>0</v>
      </c>
      <c r="Q21" s="168">
        <f>ROUND(O21*P21,2)</f>
        <v>0</v>
      </c>
    </row>
    <row r="22" spans="1:17" x14ac:dyDescent="0.25">
      <c r="A22" s="193"/>
      <c r="B22" s="167" t="str">
        <f>'PRIME CPIF RATES (ALL)'!B37</f>
        <v>Indirect Labor Category: [G&amp;A]</v>
      </c>
      <c r="C22" s="215">
        <f>+C21+E21</f>
        <v>0</v>
      </c>
      <c r="D22" s="243">
        <f>'PRIME CPIF RATES (ALL)'!C37</f>
        <v>0</v>
      </c>
      <c r="E22" s="168">
        <f>ROUND(C22*D22,2)</f>
        <v>0</v>
      </c>
      <c r="F22" s="165"/>
      <c r="G22" s="215">
        <f>+G21+I21</f>
        <v>0</v>
      </c>
      <c r="H22" s="243">
        <f>'PRIME CPIF RATES (ALL)'!D37</f>
        <v>0</v>
      </c>
      <c r="I22" s="168">
        <f>ROUND(G22*H22,2)</f>
        <v>0</v>
      </c>
      <c r="J22" s="165"/>
      <c r="K22" s="215">
        <f>+K21+M21</f>
        <v>0</v>
      </c>
      <c r="L22" s="243">
        <f>'PRIME CPIF RATES (ALL)'!E37</f>
        <v>0</v>
      </c>
      <c r="M22" s="168">
        <f>ROUND(K22*L22,2)</f>
        <v>0</v>
      </c>
      <c r="N22" s="165"/>
      <c r="O22" s="215">
        <f>+O21+Q21</f>
        <v>0</v>
      </c>
      <c r="P22" s="243">
        <f>'PRIME CPIF RATES (ALL)'!F37</f>
        <v>0</v>
      </c>
      <c r="Q22" s="168">
        <f>ROUND(O22*P22,2)</f>
        <v>0</v>
      </c>
    </row>
    <row r="23" spans="1:17" x14ac:dyDescent="0.25">
      <c r="A23" s="193"/>
      <c r="B23" s="167" t="str">
        <f>'PRIME CPIF RATES (ALL)'!B38</f>
        <v>Indirect Labor Category: [FCCOM]</v>
      </c>
      <c r="C23" s="215">
        <f>C22+E22</f>
        <v>0</v>
      </c>
      <c r="D23" s="243">
        <f>'PRIME CPIF RATES (ALL)'!C38</f>
        <v>0</v>
      </c>
      <c r="E23" s="168">
        <f>ROUND(C23*D23,2)</f>
        <v>0</v>
      </c>
      <c r="F23" s="165"/>
      <c r="G23" s="215">
        <f>G22+I22</f>
        <v>0</v>
      </c>
      <c r="H23" s="243">
        <f>'PRIME CPIF RATES (ALL)'!D38</f>
        <v>0</v>
      </c>
      <c r="I23" s="168">
        <f>ROUND(G23*H23,2)</f>
        <v>0</v>
      </c>
      <c r="J23" s="165"/>
      <c r="K23" s="215">
        <f>K22+M22</f>
        <v>0</v>
      </c>
      <c r="L23" s="243">
        <f>'PRIME CPIF RATES (ALL)'!E38</f>
        <v>0</v>
      </c>
      <c r="M23" s="168">
        <f>ROUND(K23*L23,2)</f>
        <v>0</v>
      </c>
      <c r="N23" s="165"/>
      <c r="O23" s="215">
        <f>O22+Q22</f>
        <v>0</v>
      </c>
      <c r="P23" s="243">
        <f>'PRIME CPIF RATES (ALL)'!F38</f>
        <v>0</v>
      </c>
      <c r="Q23" s="168">
        <f>ROUND(O23*P23,2)</f>
        <v>0</v>
      </c>
    </row>
    <row r="24" spans="1:17" x14ac:dyDescent="0.25">
      <c r="A24" s="193"/>
      <c r="B24" s="167" t="str">
        <f>'PRIME CPIF RATES (ALL)'!B39</f>
        <v>Indirect Labor Category: [Target Fee]</v>
      </c>
      <c r="C24" s="215">
        <f>+C22+E22</f>
        <v>0</v>
      </c>
      <c r="D24" s="243">
        <f>'PRIME CPIF RATES (ALL)'!C39</f>
        <v>0</v>
      </c>
      <c r="E24" s="168">
        <f>ROUND(C24*D24,2)</f>
        <v>0</v>
      </c>
      <c r="F24" s="165"/>
      <c r="G24" s="215">
        <f>+G22+I22</f>
        <v>0</v>
      </c>
      <c r="H24" s="243">
        <f>'PRIME CPIF RATES (ALL)'!D39</f>
        <v>0</v>
      </c>
      <c r="I24" s="168">
        <f>ROUND(G24*H24,2)</f>
        <v>0</v>
      </c>
      <c r="J24" s="165"/>
      <c r="K24" s="215">
        <f>+K22+M22</f>
        <v>0</v>
      </c>
      <c r="L24" s="243">
        <f>'PRIME CPIF RATES (ALL)'!E39</f>
        <v>0</v>
      </c>
      <c r="M24" s="168">
        <f>ROUND(K24*L24,2)</f>
        <v>0</v>
      </c>
      <c r="N24" s="165"/>
      <c r="O24" s="215">
        <f>+O22+Q22</f>
        <v>0</v>
      </c>
      <c r="P24" s="243">
        <f>'PRIME CPIF RATES (ALL)'!F39</f>
        <v>0</v>
      </c>
      <c r="Q24" s="168">
        <f>ROUND(O24*P24,2)</f>
        <v>0</v>
      </c>
    </row>
    <row r="25" spans="1:17" x14ac:dyDescent="0.25">
      <c r="A25" s="193"/>
      <c r="B25" s="262" t="s">
        <v>258</v>
      </c>
      <c r="C25" s="210"/>
      <c r="D25" s="211"/>
      <c r="E25" s="230">
        <f>ROUND(SUM(E17,E20,E21,E22),2)</f>
        <v>0</v>
      </c>
      <c r="F25" s="165"/>
      <c r="G25" s="206"/>
      <c r="H25" s="207"/>
      <c r="I25" s="230">
        <f>ROUND(SUM(I17,I20,I21,I22),2)</f>
        <v>0</v>
      </c>
      <c r="J25" s="165"/>
      <c r="K25" s="206"/>
      <c r="L25" s="207"/>
      <c r="M25" s="230">
        <f>ROUND(SUM(M17,M20,M21,M22),2)</f>
        <v>0</v>
      </c>
      <c r="N25" s="165"/>
      <c r="O25" s="206"/>
      <c r="P25" s="207"/>
      <c r="Q25" s="230">
        <f>ROUND(SUM(Q17,Q20,Q21,Q22),2)</f>
        <v>0</v>
      </c>
    </row>
    <row r="26" spans="1:17" x14ac:dyDescent="0.25">
      <c r="A26" s="193"/>
      <c r="B26" s="262" t="s">
        <v>137</v>
      </c>
      <c r="C26" s="210"/>
      <c r="D26" s="211"/>
      <c r="E26" s="230">
        <f>ROUND(E23,2)</f>
        <v>0</v>
      </c>
      <c r="F26" s="165"/>
      <c r="G26" s="206"/>
      <c r="H26" s="207"/>
      <c r="I26" s="230">
        <f>ROUND(I23,2)</f>
        <v>0</v>
      </c>
      <c r="J26" s="165"/>
      <c r="K26" s="206"/>
      <c r="L26" s="207"/>
      <c r="M26" s="230">
        <f>ROUND(M23,2)</f>
        <v>0</v>
      </c>
      <c r="N26" s="165"/>
      <c r="O26" s="206"/>
      <c r="P26" s="207"/>
      <c r="Q26" s="230">
        <f>ROUND(Q23,2)</f>
        <v>0</v>
      </c>
    </row>
    <row r="27" spans="1:17" x14ac:dyDescent="0.25">
      <c r="A27" s="193"/>
      <c r="B27" s="262" t="s">
        <v>136</v>
      </c>
      <c r="C27" s="210"/>
      <c r="D27" s="211"/>
      <c r="E27" s="245">
        <f>ROUND(E24,2)</f>
        <v>0</v>
      </c>
      <c r="F27" s="170"/>
      <c r="G27" s="206"/>
      <c r="H27" s="207"/>
      <c r="I27" s="245">
        <f>ROUND(I24,2)</f>
        <v>0</v>
      </c>
      <c r="J27" s="170"/>
      <c r="K27" s="206"/>
      <c r="L27" s="207"/>
      <c r="M27" s="245">
        <f>ROUND(M24,2)</f>
        <v>0</v>
      </c>
      <c r="N27" s="170"/>
      <c r="O27" s="206"/>
      <c r="P27" s="207"/>
      <c r="Q27" s="245">
        <f>ROUND(Q24,2)</f>
        <v>0</v>
      </c>
    </row>
    <row r="28" spans="1:17" ht="16.5" thickBot="1" x14ac:dyDescent="0.3">
      <c r="A28" s="193"/>
      <c r="B28" s="263" t="s">
        <v>138</v>
      </c>
      <c r="C28" s="212"/>
      <c r="D28" s="213"/>
      <c r="E28" s="246">
        <f>SUM(E25:E27)</f>
        <v>0</v>
      </c>
      <c r="F28" s="171"/>
      <c r="G28" s="208"/>
      <c r="H28" s="209"/>
      <c r="I28" s="246">
        <f>SUM(I25:I27)</f>
        <v>0</v>
      </c>
      <c r="J28" s="171"/>
      <c r="K28" s="208"/>
      <c r="L28" s="209"/>
      <c r="M28" s="246">
        <f>SUM(M25:M27)</f>
        <v>0</v>
      </c>
      <c r="N28" s="171"/>
      <c r="O28" s="208"/>
      <c r="P28" s="209"/>
      <c r="Q28" s="246">
        <f>SUM(Q25:Q27)</f>
        <v>0</v>
      </c>
    </row>
    <row r="29" spans="1:17" ht="16.5" thickBot="1" x14ac:dyDescent="0.3">
      <c r="A29" s="193"/>
      <c r="B29" s="172"/>
      <c r="C29" s="173"/>
      <c r="D29" s="173"/>
      <c r="E29" s="256"/>
      <c r="F29" s="256"/>
      <c r="G29" s="256"/>
      <c r="H29" s="256"/>
      <c r="I29" s="256"/>
      <c r="J29" s="256"/>
      <c r="K29" s="256"/>
      <c r="L29" s="173"/>
      <c r="M29" s="173"/>
      <c r="N29" s="165"/>
      <c r="O29" s="256"/>
      <c r="P29" s="173"/>
      <c r="Q29" s="173"/>
    </row>
    <row r="30" spans="1:17" ht="16.5" customHeight="1" thickBot="1" x14ac:dyDescent="0.3">
      <c r="A30" s="193"/>
      <c r="B30" s="620" t="str">
        <f>B13</f>
        <v>CLIN 0002 (CPIF)                                                     TASK 1.03 DELIVERY OF MATERIAL TO SIMULATOR SPO</v>
      </c>
      <c r="C30" s="594" t="s">
        <v>145</v>
      </c>
      <c r="D30" s="595"/>
      <c r="E30" s="596"/>
      <c r="F30" s="175"/>
      <c r="G30" s="594" t="s">
        <v>145</v>
      </c>
      <c r="H30" s="595"/>
      <c r="I30" s="596"/>
      <c r="J30" s="175"/>
      <c r="K30" s="594" t="s">
        <v>145</v>
      </c>
      <c r="L30" s="595"/>
      <c r="M30" s="596"/>
      <c r="N30" s="175"/>
      <c r="O30" s="594" t="s">
        <v>145</v>
      </c>
      <c r="P30" s="595"/>
      <c r="Q30" s="596"/>
    </row>
    <row r="31" spans="1:17" ht="32.25" customHeight="1" thickBot="1" x14ac:dyDescent="0.3">
      <c r="A31" s="193"/>
      <c r="B31" s="621"/>
      <c r="C31" s="617" t="str">
        <f>C14</f>
        <v>CLIN 0002 - Basic Period (Year 1)</v>
      </c>
      <c r="D31" s="618"/>
      <c r="E31" s="619"/>
      <c r="F31" s="176"/>
      <c r="G31" s="617" t="str">
        <f>G14</f>
        <v>CLIN 0002 - Basic Period (Year 2)</v>
      </c>
      <c r="H31" s="618"/>
      <c r="I31" s="619"/>
      <c r="J31" s="176"/>
      <c r="K31" s="617" t="str">
        <f>K14</f>
        <v>CLIN 0002 - Basic Period (Year 3)</v>
      </c>
      <c r="L31" s="618"/>
      <c r="M31" s="619"/>
      <c r="N31" s="176"/>
      <c r="O31" s="617" t="str">
        <f>O14</f>
        <v>CLIN 0002 - Basic Period (Year 4)</v>
      </c>
      <c r="P31" s="618"/>
      <c r="Q31" s="619"/>
    </row>
    <row r="32" spans="1:17" x14ac:dyDescent="0.25">
      <c r="A32" s="193"/>
      <c r="B32" s="247"/>
      <c r="C32" s="153" t="s">
        <v>399</v>
      </c>
      <c r="D32" s="154" t="s">
        <v>396</v>
      </c>
      <c r="E32" s="155" t="s">
        <v>152</v>
      </c>
      <c r="F32" s="166"/>
      <c r="G32" s="153" t="s">
        <v>399</v>
      </c>
      <c r="H32" s="154" t="s">
        <v>396</v>
      </c>
      <c r="I32" s="155" t="s">
        <v>152</v>
      </c>
      <c r="J32" s="166"/>
      <c r="K32" s="153" t="s">
        <v>399</v>
      </c>
      <c r="L32" s="154" t="s">
        <v>396</v>
      </c>
      <c r="M32" s="155" t="s">
        <v>152</v>
      </c>
      <c r="N32" s="166"/>
      <c r="O32" s="153" t="s">
        <v>399</v>
      </c>
      <c r="P32" s="154" t="s">
        <v>396</v>
      </c>
      <c r="Q32" s="155" t="s">
        <v>152</v>
      </c>
    </row>
    <row r="33" spans="1:17" ht="51.75" x14ac:dyDescent="0.25">
      <c r="A33" s="193"/>
      <c r="B33" s="300" t="s">
        <v>612</v>
      </c>
      <c r="C33" s="231"/>
      <c r="D33" s="232"/>
      <c r="E33" s="400">
        <f>'PRIME CPIF TOTAL MATERIAL'!E26</f>
        <v>0</v>
      </c>
      <c r="F33" s="165"/>
      <c r="G33" s="231"/>
      <c r="H33" s="232"/>
      <c r="I33" s="400">
        <f>'PRIME CPIF TOTAL MATERIAL'!G26</f>
        <v>0</v>
      </c>
      <c r="J33" s="165"/>
      <c r="K33" s="231"/>
      <c r="L33" s="232"/>
      <c r="M33" s="400">
        <f>'PRIME CPIF TOTAL MATERIAL'!I26</f>
        <v>0</v>
      </c>
      <c r="N33" s="165"/>
      <c r="O33" s="231"/>
      <c r="P33" s="232"/>
      <c r="Q33" s="400">
        <f>'PRIME CPIF TOTAL MATERIAL'!K26</f>
        <v>0</v>
      </c>
    </row>
    <row r="34" spans="1:17" ht="67.5" customHeight="1" x14ac:dyDescent="0.25">
      <c r="A34" s="193"/>
      <c r="B34" s="344" t="s">
        <v>389</v>
      </c>
      <c r="C34" s="405"/>
      <c r="D34" s="406"/>
      <c r="E34" s="400"/>
      <c r="F34" s="165"/>
      <c r="G34" s="405"/>
      <c r="H34" s="406"/>
      <c r="I34" s="400"/>
      <c r="J34" s="165"/>
      <c r="K34" s="405"/>
      <c r="L34" s="406"/>
      <c r="M34" s="400"/>
      <c r="N34" s="165"/>
      <c r="O34" s="405"/>
      <c r="P34" s="406"/>
      <c r="Q34" s="400"/>
    </row>
    <row r="35" spans="1:17" x14ac:dyDescent="0.25">
      <c r="A35" s="193"/>
      <c r="B35" s="167" t="str">
        <f>'PRIME CPIF RATES (ALL)'!B52</f>
        <v>Indirect Category: [Material Overhead]</v>
      </c>
      <c r="C35" s="215">
        <f>+E33</f>
        <v>0</v>
      </c>
      <c r="D35" s="243">
        <f>'PRIME CPIF RATES (ALL)'!C52</f>
        <v>0</v>
      </c>
      <c r="E35" s="168">
        <f>ROUND(C35*D35,2)</f>
        <v>0</v>
      </c>
      <c r="F35" s="178"/>
      <c r="G35" s="215">
        <f>+I33</f>
        <v>0</v>
      </c>
      <c r="H35" s="243">
        <f>'PRIME CPIF RATES (ALL)'!D52</f>
        <v>0</v>
      </c>
      <c r="I35" s="168">
        <f>ROUND(G35*H35,2)</f>
        <v>0</v>
      </c>
      <c r="J35" s="178"/>
      <c r="K35" s="215">
        <f>+M33</f>
        <v>0</v>
      </c>
      <c r="L35" s="243">
        <f>'PRIME CPIF RATES (ALL)'!E52</f>
        <v>0</v>
      </c>
      <c r="M35" s="168">
        <f>ROUND(K35*L35,2)</f>
        <v>0</v>
      </c>
      <c r="N35" s="178"/>
      <c r="O35" s="215">
        <f>+Q33</f>
        <v>0</v>
      </c>
      <c r="P35" s="243">
        <f>'PRIME CPIF RATES (ALL)'!F52</f>
        <v>0</v>
      </c>
      <c r="Q35" s="168">
        <f>ROUND(O35*P35,2)</f>
        <v>0</v>
      </c>
    </row>
    <row r="36" spans="1:17" x14ac:dyDescent="0.25">
      <c r="A36" s="193"/>
      <c r="B36" s="167" t="str">
        <f>'PRIME CPIF RATES (ALL)'!B53</f>
        <v>Indirect Category: [G&amp;A]</v>
      </c>
      <c r="C36" s="215">
        <f>+C35+E35</f>
        <v>0</v>
      </c>
      <c r="D36" s="243">
        <f>'PRIME CPIF RATES (ALL)'!C53</f>
        <v>0</v>
      </c>
      <c r="E36" s="168">
        <f>ROUND(C36*D36,2)</f>
        <v>0</v>
      </c>
      <c r="F36" s="178"/>
      <c r="G36" s="215">
        <f>+G35+I35</f>
        <v>0</v>
      </c>
      <c r="H36" s="243">
        <f>'PRIME CPIF RATES (ALL)'!D53</f>
        <v>0</v>
      </c>
      <c r="I36" s="168">
        <f>ROUND(G36*H36,2)</f>
        <v>0</v>
      </c>
      <c r="J36" s="178"/>
      <c r="K36" s="215">
        <f>+K35+M35</f>
        <v>0</v>
      </c>
      <c r="L36" s="243">
        <f>'PRIME CPIF RATES (ALL)'!E53</f>
        <v>0</v>
      </c>
      <c r="M36" s="168">
        <f>ROUND(K36*L36,2)</f>
        <v>0</v>
      </c>
      <c r="N36" s="178"/>
      <c r="O36" s="215">
        <f>+O35+Q35</f>
        <v>0</v>
      </c>
      <c r="P36" s="243">
        <f>'PRIME CPIF RATES (ALL)'!F53</f>
        <v>0</v>
      </c>
      <c r="Q36" s="168">
        <f>ROUND(O36*P36,2)</f>
        <v>0</v>
      </c>
    </row>
    <row r="37" spans="1:17" x14ac:dyDescent="0.25">
      <c r="A37" s="193"/>
      <c r="B37" s="167" t="str">
        <f>'PRIME CPIF RATES (ALL)'!B54</f>
        <v>Indirect Category: [FCCOM]</v>
      </c>
      <c r="C37" s="215">
        <f>C36+E36</f>
        <v>0</v>
      </c>
      <c r="D37" s="243">
        <f>'PRIME CPIF RATES (ALL)'!C54</f>
        <v>0</v>
      </c>
      <c r="E37" s="168">
        <f>ROUND(C37*D37,2)</f>
        <v>0</v>
      </c>
      <c r="F37" s="165"/>
      <c r="G37" s="215">
        <f>G36+I36</f>
        <v>0</v>
      </c>
      <c r="H37" s="243">
        <f>'PRIME CPIF RATES (ALL)'!D54</f>
        <v>0</v>
      </c>
      <c r="I37" s="168">
        <f>ROUND(G37*H37,2)</f>
        <v>0</v>
      </c>
      <c r="J37" s="165"/>
      <c r="K37" s="215">
        <f>K36+M36</f>
        <v>0</v>
      </c>
      <c r="L37" s="243">
        <f>'PRIME CPIF RATES (ALL)'!E54</f>
        <v>0</v>
      </c>
      <c r="M37" s="168">
        <f>ROUND(K37*L37,2)</f>
        <v>0</v>
      </c>
      <c r="N37" s="165"/>
      <c r="O37" s="215">
        <f>O36+Q36</f>
        <v>0</v>
      </c>
      <c r="P37" s="243">
        <f>'PRIME CPIF RATES (ALL)'!F54</f>
        <v>0</v>
      </c>
      <c r="Q37" s="168">
        <f>ROUND(O37*P37,2)</f>
        <v>0</v>
      </c>
    </row>
    <row r="38" spans="1:17" x14ac:dyDescent="0.25">
      <c r="A38" s="193"/>
      <c r="B38" s="167" t="str">
        <f>'PRIME CPIF RATES (ALL)'!B55</f>
        <v>Indirect Category: [Target Fee]</v>
      </c>
      <c r="C38" s="215">
        <f>+C36+E36</f>
        <v>0</v>
      </c>
      <c r="D38" s="243">
        <f>'PRIME CPIF RATES (ALL)'!C55</f>
        <v>0</v>
      </c>
      <c r="E38" s="168">
        <f>ROUND(C38*D38,2)</f>
        <v>0</v>
      </c>
      <c r="F38" s="165"/>
      <c r="G38" s="215">
        <f>+G36+I36</f>
        <v>0</v>
      </c>
      <c r="H38" s="243">
        <f>'PRIME CPIF RATES (ALL)'!D55</f>
        <v>0</v>
      </c>
      <c r="I38" s="168">
        <f>ROUND(G38*H38,2)</f>
        <v>0</v>
      </c>
      <c r="J38" s="165"/>
      <c r="K38" s="215">
        <f>+K36+M36</f>
        <v>0</v>
      </c>
      <c r="L38" s="243">
        <f>'PRIME CPIF RATES (ALL)'!E55</f>
        <v>0</v>
      </c>
      <c r="M38" s="168">
        <f>ROUND(K38*L38,2)</f>
        <v>0</v>
      </c>
      <c r="N38" s="165"/>
      <c r="O38" s="215">
        <f>+O36+Q36</f>
        <v>0</v>
      </c>
      <c r="P38" s="243">
        <f>'PRIME CPIF RATES (ALL)'!F55</f>
        <v>0</v>
      </c>
      <c r="Q38" s="168">
        <f>ROUND(O38*P38,2)</f>
        <v>0</v>
      </c>
    </row>
    <row r="39" spans="1:17" x14ac:dyDescent="0.25">
      <c r="A39" s="193"/>
      <c r="B39" s="241" t="s">
        <v>259</v>
      </c>
      <c r="C39" s="233"/>
      <c r="D39" s="234"/>
      <c r="E39" s="168">
        <f>ROUND(SUM(E33:E36),2)</f>
        <v>0</v>
      </c>
      <c r="F39" s="165"/>
      <c r="G39" s="233"/>
      <c r="H39" s="234"/>
      <c r="I39" s="168">
        <f>ROUND(SUM(I33:I36),2)</f>
        <v>0</v>
      </c>
      <c r="J39" s="165"/>
      <c r="K39" s="233"/>
      <c r="L39" s="234"/>
      <c r="M39" s="168">
        <f>ROUND(SUM(M33:M36),2)</f>
        <v>0</v>
      </c>
      <c r="N39" s="165"/>
      <c r="O39" s="233"/>
      <c r="P39" s="234"/>
      <c r="Q39" s="168">
        <f>ROUND(SUM(Q33:Q36),2)</f>
        <v>0</v>
      </c>
    </row>
    <row r="40" spans="1:17" x14ac:dyDescent="0.25">
      <c r="A40" s="193"/>
      <c r="B40" s="241" t="s">
        <v>137</v>
      </c>
      <c r="C40" s="231"/>
      <c r="D40" s="235"/>
      <c r="E40" s="168">
        <f>ROUND(E37,2)</f>
        <v>0</v>
      </c>
      <c r="F40" s="165"/>
      <c r="G40" s="231"/>
      <c r="H40" s="235"/>
      <c r="I40" s="168">
        <f>ROUND(I37,2)</f>
        <v>0</v>
      </c>
      <c r="J40" s="165"/>
      <c r="K40" s="231"/>
      <c r="L40" s="235"/>
      <c r="M40" s="168">
        <f>ROUND(M37,2)</f>
        <v>0</v>
      </c>
      <c r="N40" s="165"/>
      <c r="O40" s="231"/>
      <c r="P40" s="235"/>
      <c r="Q40" s="168">
        <f>ROUND(Q37,2)</f>
        <v>0</v>
      </c>
    </row>
    <row r="41" spans="1:17" x14ac:dyDescent="0.2">
      <c r="B41" s="241" t="s">
        <v>136</v>
      </c>
      <c r="C41" s="231"/>
      <c r="D41" s="235"/>
      <c r="E41" s="182">
        <f>ROUND(E38,2)</f>
        <v>0</v>
      </c>
      <c r="F41" s="183"/>
      <c r="G41" s="231"/>
      <c r="H41" s="235"/>
      <c r="I41" s="182">
        <f>ROUND(I38,2)</f>
        <v>0</v>
      </c>
      <c r="J41" s="183"/>
      <c r="K41" s="231"/>
      <c r="L41" s="235"/>
      <c r="M41" s="182">
        <f>ROUND(M38,2)</f>
        <v>0</v>
      </c>
      <c r="N41" s="183"/>
      <c r="O41" s="231"/>
      <c r="P41" s="235"/>
      <c r="Q41" s="182">
        <f>ROUND(Q38,2)</f>
        <v>0</v>
      </c>
    </row>
    <row r="42" spans="1:17" ht="16.5" thickBot="1" x14ac:dyDescent="0.25">
      <c r="B42" s="242" t="s">
        <v>243</v>
      </c>
      <c r="C42" s="236"/>
      <c r="D42" s="237"/>
      <c r="E42" s="160">
        <f t="shared" ref="E42" si="0">SUM(E39:E41)</f>
        <v>0</v>
      </c>
      <c r="F42" s="161"/>
      <c r="G42" s="236"/>
      <c r="H42" s="237"/>
      <c r="I42" s="160">
        <f t="shared" ref="I42" si="1">SUM(I39:I41)</f>
        <v>0</v>
      </c>
      <c r="J42" s="161"/>
      <c r="K42" s="236"/>
      <c r="L42" s="237"/>
      <c r="M42" s="160">
        <f t="shared" ref="M42" si="2">SUM(M39:M41)</f>
        <v>0</v>
      </c>
      <c r="N42" s="161"/>
      <c r="O42" s="236"/>
      <c r="P42" s="237"/>
      <c r="Q42" s="160">
        <f t="shared" ref="Q42" si="3">SUM(Q39:Q41)</f>
        <v>0</v>
      </c>
    </row>
    <row r="43" spans="1:17" ht="16.5" thickBot="1" x14ac:dyDescent="0.25">
      <c r="B43" s="172"/>
      <c r="E43" s="251"/>
      <c r="F43" s="251"/>
      <c r="G43" s="251"/>
      <c r="H43" s="251"/>
      <c r="I43" s="251"/>
      <c r="J43" s="251"/>
      <c r="K43" s="251"/>
      <c r="N43" s="187"/>
      <c r="O43" s="251"/>
    </row>
    <row r="44" spans="1:17" ht="16.5" thickBot="1" x14ac:dyDescent="0.3">
      <c r="B44" s="620" t="str">
        <f>B13</f>
        <v>CLIN 0002 (CPIF)                                                     TASK 1.03 DELIVERY OF MATERIAL TO SIMULATOR SPO</v>
      </c>
      <c r="C44" s="594" t="s">
        <v>318</v>
      </c>
      <c r="D44" s="595"/>
      <c r="E44" s="596"/>
      <c r="F44" s="175"/>
      <c r="G44" s="594" t="s">
        <v>318</v>
      </c>
      <c r="H44" s="595"/>
      <c r="I44" s="596"/>
      <c r="J44" s="175"/>
      <c r="K44" s="594" t="s">
        <v>318</v>
      </c>
      <c r="L44" s="595"/>
      <c r="M44" s="596"/>
      <c r="N44" s="175"/>
      <c r="O44" s="594" t="s">
        <v>318</v>
      </c>
      <c r="P44" s="595"/>
      <c r="Q44" s="596"/>
    </row>
    <row r="45" spans="1:17" ht="27.75" customHeight="1" thickBot="1" x14ac:dyDescent="0.3">
      <c r="B45" s="621"/>
      <c r="C45" s="617" t="str">
        <f>C31</f>
        <v>CLIN 0002 - Basic Period (Year 1)</v>
      </c>
      <c r="D45" s="618"/>
      <c r="E45" s="619"/>
      <c r="F45" s="176"/>
      <c r="G45" s="617" t="str">
        <f>G31</f>
        <v>CLIN 0002 - Basic Period (Year 2)</v>
      </c>
      <c r="H45" s="618"/>
      <c r="I45" s="619"/>
      <c r="J45" s="176"/>
      <c r="K45" s="617" t="str">
        <f>K31</f>
        <v>CLIN 0002 - Basic Period (Year 3)</v>
      </c>
      <c r="L45" s="618"/>
      <c r="M45" s="619"/>
      <c r="N45" s="176"/>
      <c r="O45" s="617" t="str">
        <f>O31</f>
        <v>CLIN 0002 - Basic Period (Year 4)</v>
      </c>
      <c r="P45" s="618"/>
      <c r="Q45" s="619"/>
    </row>
    <row r="46" spans="1:17" x14ac:dyDescent="0.25">
      <c r="B46" s="248"/>
      <c r="C46" s="153" t="s">
        <v>399</v>
      </c>
      <c r="D46" s="154" t="s">
        <v>396</v>
      </c>
      <c r="E46" s="155" t="s">
        <v>397</v>
      </c>
      <c r="F46" s="166"/>
      <c r="G46" s="153" t="s">
        <v>399</v>
      </c>
      <c r="H46" s="154" t="s">
        <v>396</v>
      </c>
      <c r="I46" s="155" t="s">
        <v>397</v>
      </c>
      <c r="J46" s="166"/>
      <c r="K46" s="153" t="s">
        <v>399</v>
      </c>
      <c r="L46" s="154" t="s">
        <v>396</v>
      </c>
      <c r="M46" s="155" t="s">
        <v>397</v>
      </c>
      <c r="N46" s="166"/>
      <c r="O46" s="153" t="s">
        <v>399</v>
      </c>
      <c r="P46" s="154" t="s">
        <v>396</v>
      </c>
      <c r="Q46" s="155" t="s">
        <v>397</v>
      </c>
    </row>
    <row r="47" spans="1:17" ht="25.5" x14ac:dyDescent="0.2">
      <c r="B47" s="300" t="s">
        <v>560</v>
      </c>
      <c r="C47" s="285"/>
      <c r="D47" s="285"/>
      <c r="E47" s="345">
        <f>'PRIME CPIF TOTAL SUB'!E26</f>
        <v>0</v>
      </c>
      <c r="F47" s="288"/>
      <c r="G47" s="231"/>
      <c r="H47" s="285"/>
      <c r="I47" s="345">
        <f>'PRIME CPIF TOTAL SUB'!G26</f>
        <v>0</v>
      </c>
      <c r="J47" s="288"/>
      <c r="K47" s="231"/>
      <c r="L47" s="285"/>
      <c r="M47" s="345">
        <f>'PRIME CPIF TOTAL SUB'!I26</f>
        <v>0</v>
      </c>
      <c r="N47" s="165"/>
      <c r="O47" s="231"/>
      <c r="P47" s="285"/>
      <c r="Q47" s="345">
        <f>'PRIME CPIF TOTAL SUB'!K26</f>
        <v>0</v>
      </c>
    </row>
    <row r="48" spans="1:17" ht="76.5" x14ac:dyDescent="0.2">
      <c r="B48" s="344" t="s">
        <v>613</v>
      </c>
      <c r="C48" s="624" t="s">
        <v>5</v>
      </c>
      <c r="D48" s="625"/>
      <c r="E48" s="626"/>
      <c r="F48" s="178"/>
      <c r="G48" s="627"/>
      <c r="H48" s="625"/>
      <c r="I48" s="626"/>
      <c r="J48" s="178"/>
      <c r="K48" s="627"/>
      <c r="L48" s="625"/>
      <c r="M48" s="626"/>
      <c r="N48" s="178"/>
      <c r="O48" s="627"/>
      <c r="P48" s="625"/>
      <c r="Q48" s="626"/>
    </row>
    <row r="49" spans="1:17" x14ac:dyDescent="0.2">
      <c r="B49" s="287" t="str">
        <f>'PRIME CPIF RATES (ALL)'!B44</f>
        <v>Indirect Category: [Overhead]</v>
      </c>
      <c r="C49" s="286">
        <f>E47</f>
        <v>0</v>
      </c>
      <c r="D49" s="243">
        <f>'PRIME CPIF RATES (ALL)'!C44</f>
        <v>0</v>
      </c>
      <c r="E49" s="168">
        <f>ROUND(C49*D49,2)</f>
        <v>0</v>
      </c>
      <c r="F49" s="178"/>
      <c r="G49" s="215">
        <f>I47</f>
        <v>0</v>
      </c>
      <c r="H49" s="243">
        <f>'PRIME CPIF RATES (ALL)'!D44</f>
        <v>0</v>
      </c>
      <c r="I49" s="168">
        <f>ROUND(G49*H49,2)</f>
        <v>0</v>
      </c>
      <c r="J49" s="178"/>
      <c r="K49" s="215">
        <f>M47</f>
        <v>0</v>
      </c>
      <c r="L49" s="243">
        <f>'PRIME CPIF RATES (ALL)'!E44</f>
        <v>0</v>
      </c>
      <c r="M49" s="168">
        <f>ROUND(K49*L49,2)</f>
        <v>0</v>
      </c>
      <c r="N49" s="178"/>
      <c r="O49" s="215">
        <f>Q47</f>
        <v>0</v>
      </c>
      <c r="P49" s="243">
        <f>'PRIME CPIF RATES (ALL)'!F44</f>
        <v>0</v>
      </c>
      <c r="Q49" s="168">
        <f>ROUND(O49*P49,2)</f>
        <v>0</v>
      </c>
    </row>
    <row r="50" spans="1:17" x14ac:dyDescent="0.2">
      <c r="B50" s="287" t="str">
        <f>'PRIME CPIF RATES (ALL)'!B45</f>
        <v>Indirect Category: [G&amp;A]</v>
      </c>
      <c r="C50" s="286">
        <f>C49+E49</f>
        <v>0</v>
      </c>
      <c r="D50" s="243">
        <f>'PRIME CPIF RATES (ALL)'!C45</f>
        <v>0</v>
      </c>
      <c r="E50" s="168">
        <f>ROUND(C50*D50,2)</f>
        <v>0</v>
      </c>
      <c r="F50" s="288"/>
      <c r="G50" s="286">
        <f>G49+I49</f>
        <v>0</v>
      </c>
      <c r="H50" s="243">
        <f>'PRIME CPIF RATES (ALL)'!D45</f>
        <v>0</v>
      </c>
      <c r="I50" s="168">
        <f>ROUND(G50*H50,2)</f>
        <v>0</v>
      </c>
      <c r="J50" s="288"/>
      <c r="K50" s="286">
        <f>K49+M49</f>
        <v>0</v>
      </c>
      <c r="L50" s="243">
        <f>'PRIME CPIF RATES (ALL)'!E45</f>
        <v>0</v>
      </c>
      <c r="M50" s="168">
        <f>ROUND(K50*L50,2)</f>
        <v>0</v>
      </c>
      <c r="N50" s="165"/>
      <c r="O50" s="286">
        <f>O49+Q49</f>
        <v>0</v>
      </c>
      <c r="P50" s="243">
        <f>'PRIME CPIF RATES (ALL)'!F45</f>
        <v>0</v>
      </c>
      <c r="Q50" s="168">
        <f>ROUND(O50*P50,2)</f>
        <v>0</v>
      </c>
    </row>
    <row r="51" spans="1:17" x14ac:dyDescent="0.2">
      <c r="B51" s="351" t="str">
        <f>'PRIME CPIF RATES (ALL)'!B46</f>
        <v>Indirect Category: [FCCOM]</v>
      </c>
      <c r="C51" s="215">
        <f>C50+E50</f>
        <v>0</v>
      </c>
      <c r="D51" s="243">
        <f>'PRIME CPIF RATES (ALL)'!C46</f>
        <v>0</v>
      </c>
      <c r="E51" s="353">
        <f>ROUND(C51*D51,2)</f>
        <v>0</v>
      </c>
      <c r="F51" s="288"/>
      <c r="G51" s="215">
        <f>G50+I50</f>
        <v>0</v>
      </c>
      <c r="H51" s="243">
        <f>'PRIME CPIF RATES (ALL)'!D46</f>
        <v>0</v>
      </c>
      <c r="I51" s="353">
        <f>ROUND(G51*H51,2)</f>
        <v>0</v>
      </c>
      <c r="J51" s="288"/>
      <c r="K51" s="215">
        <f>K50+M50</f>
        <v>0</v>
      </c>
      <c r="L51" s="243">
        <f>'PRIME CPIF RATES (ALL)'!E46</f>
        <v>0</v>
      </c>
      <c r="M51" s="168">
        <f>ROUND(K51*L51,2)</f>
        <v>0</v>
      </c>
      <c r="N51" s="165"/>
      <c r="O51" s="215">
        <f>O50+Q50</f>
        <v>0</v>
      </c>
      <c r="P51" s="243">
        <f>'PRIME CPIF RATES (ALL)'!F46</f>
        <v>0</v>
      </c>
      <c r="Q51" s="168">
        <f>ROUND(O51*P51,2)</f>
        <v>0</v>
      </c>
    </row>
    <row r="52" spans="1:17" x14ac:dyDescent="0.2">
      <c r="B52" s="167" t="str">
        <f>'PRIME CPIF RATES (ALL)'!B47</f>
        <v>Indirect Category: [Target Fee]</v>
      </c>
      <c r="C52" s="214">
        <f>C50+E50</f>
        <v>0</v>
      </c>
      <c r="D52" s="354">
        <f>'PRIME CPIF RATES (ALL)'!C47</f>
        <v>0</v>
      </c>
      <c r="E52" s="353">
        <f>ROUND(C52*D52,2)</f>
        <v>0</v>
      </c>
      <c r="F52" s="288"/>
      <c r="G52" s="214">
        <f>G50+I50</f>
        <v>0</v>
      </c>
      <c r="H52" s="354">
        <f>'PRIME CPIF RATES (ALL)'!D47</f>
        <v>0</v>
      </c>
      <c r="I52" s="353">
        <f>ROUND(G52*H52,2)</f>
        <v>0</v>
      </c>
      <c r="J52" s="288"/>
      <c r="K52" s="214">
        <f>K50+M50</f>
        <v>0</v>
      </c>
      <c r="L52" s="354">
        <f>'PRIME CPIF RATES (ALL)'!E47</f>
        <v>0</v>
      </c>
      <c r="M52" s="353">
        <f>ROUND(K52*L52,2)</f>
        <v>0</v>
      </c>
      <c r="N52" s="165"/>
      <c r="O52" s="214">
        <f>O50+Q50</f>
        <v>0</v>
      </c>
      <c r="P52" s="354">
        <f>'PRIME CPIF RATES (ALL)'!F47</f>
        <v>0</v>
      </c>
      <c r="Q52" s="353">
        <f>ROUND(O52*P52,2)</f>
        <v>0</v>
      </c>
    </row>
    <row r="53" spans="1:17" x14ac:dyDescent="0.2">
      <c r="B53" s="241" t="s">
        <v>320</v>
      </c>
      <c r="C53" s="233"/>
      <c r="D53" s="234"/>
      <c r="E53" s="168">
        <f>ROUND(E47+E49+E50,2)</f>
        <v>0</v>
      </c>
      <c r="F53" s="288"/>
      <c r="G53" s="233"/>
      <c r="H53" s="234"/>
      <c r="I53" s="168">
        <f>ROUND(I47+I49+I50,2)</f>
        <v>0</v>
      </c>
      <c r="J53" s="288"/>
      <c r="K53" s="233"/>
      <c r="L53" s="234"/>
      <c r="M53" s="168">
        <f>ROUND(M47+M49+M50,2)</f>
        <v>0</v>
      </c>
      <c r="N53" s="165"/>
      <c r="O53" s="233"/>
      <c r="P53" s="234"/>
      <c r="Q53" s="168">
        <f>ROUND(Q47+Q49+Q50,2)</f>
        <v>0</v>
      </c>
    </row>
    <row r="54" spans="1:17" x14ac:dyDescent="0.2">
      <c r="B54" s="241" t="s">
        <v>298</v>
      </c>
      <c r="C54" s="231"/>
      <c r="D54" s="235"/>
      <c r="E54" s="168">
        <f>ROUND(E51,2)</f>
        <v>0</v>
      </c>
      <c r="F54" s="288"/>
      <c r="G54" s="231"/>
      <c r="H54" s="235"/>
      <c r="I54" s="168">
        <f>ROUND(I51,2)</f>
        <v>0</v>
      </c>
      <c r="J54" s="288"/>
      <c r="K54" s="231"/>
      <c r="L54" s="235"/>
      <c r="M54" s="168">
        <f>ROUND(M51,2)</f>
        <v>0</v>
      </c>
      <c r="N54" s="165"/>
      <c r="O54" s="231"/>
      <c r="P54" s="235"/>
      <c r="Q54" s="168">
        <f>ROUND(Q51,2)</f>
        <v>0</v>
      </c>
    </row>
    <row r="55" spans="1:17" x14ac:dyDescent="0.2">
      <c r="B55" s="241" t="s">
        <v>136</v>
      </c>
      <c r="C55" s="231"/>
      <c r="D55" s="235"/>
      <c r="E55" s="182">
        <f>ROUND(E52,2)</f>
        <v>0</v>
      </c>
      <c r="F55" s="183"/>
      <c r="G55" s="231"/>
      <c r="H55" s="235"/>
      <c r="I55" s="182">
        <f>ROUND(I52,2)</f>
        <v>0</v>
      </c>
      <c r="J55" s="183"/>
      <c r="K55" s="231"/>
      <c r="L55" s="235"/>
      <c r="M55" s="182">
        <f>ROUND(M52,2)</f>
        <v>0</v>
      </c>
      <c r="N55" s="183"/>
      <c r="O55" s="231"/>
      <c r="P55" s="235"/>
      <c r="Q55" s="182">
        <f>ROUND(Q52,2)</f>
        <v>0</v>
      </c>
    </row>
    <row r="56" spans="1:17" ht="16.5" thickBot="1" x14ac:dyDescent="0.25">
      <c r="B56" s="242" t="s">
        <v>321</v>
      </c>
      <c r="C56" s="236"/>
      <c r="D56" s="237"/>
      <c r="E56" s="160">
        <f>SUM(E53:E55)</f>
        <v>0</v>
      </c>
      <c r="F56" s="161"/>
      <c r="G56" s="236"/>
      <c r="H56" s="237"/>
      <c r="I56" s="160">
        <f>SUM(I53:I55)</f>
        <v>0</v>
      </c>
      <c r="J56" s="161"/>
      <c r="K56" s="236"/>
      <c r="L56" s="237"/>
      <c r="M56" s="160">
        <f>SUM(M53:M55)</f>
        <v>0</v>
      </c>
      <c r="N56" s="161"/>
      <c r="O56" s="236"/>
      <c r="P56" s="237"/>
      <c r="Q56" s="160">
        <f>SUM(Q53:Q55)</f>
        <v>0</v>
      </c>
    </row>
    <row r="57" spans="1:17" ht="16.5" thickBot="1" x14ac:dyDescent="0.25">
      <c r="B57" s="172"/>
      <c r="E57" s="251"/>
      <c r="F57" s="251"/>
      <c r="G57" s="251"/>
      <c r="H57" s="251"/>
      <c r="I57" s="251"/>
      <c r="J57" s="251"/>
      <c r="K57" s="251"/>
      <c r="N57" s="187"/>
      <c r="O57" s="251"/>
    </row>
    <row r="58" spans="1:17" ht="16.5" customHeight="1" thickBot="1" x14ac:dyDescent="0.3">
      <c r="A58" s="193"/>
      <c r="B58" s="620" t="str">
        <f>B30</f>
        <v>CLIN 0002 (CPIF)                                                     TASK 1.03 DELIVERY OF MATERIAL TO SIMULATOR SPO</v>
      </c>
      <c r="C58" s="594" t="s">
        <v>146</v>
      </c>
      <c r="D58" s="595"/>
      <c r="E58" s="596"/>
      <c r="F58" s="175"/>
      <c r="G58" s="594" t="s">
        <v>147</v>
      </c>
      <c r="H58" s="595"/>
      <c r="I58" s="596"/>
      <c r="J58" s="175"/>
      <c r="K58" s="594" t="s">
        <v>147</v>
      </c>
      <c r="L58" s="595"/>
      <c r="M58" s="596"/>
      <c r="N58" s="175"/>
      <c r="O58" s="594" t="s">
        <v>147</v>
      </c>
      <c r="P58" s="595"/>
      <c r="Q58" s="596"/>
    </row>
    <row r="59" spans="1:17" ht="33.75" customHeight="1" thickBot="1" x14ac:dyDescent="0.3">
      <c r="A59" s="193"/>
      <c r="B59" s="621"/>
      <c r="C59" s="617" t="str">
        <f>C31</f>
        <v>CLIN 0002 - Basic Period (Year 1)</v>
      </c>
      <c r="D59" s="618"/>
      <c r="E59" s="619"/>
      <c r="F59" s="176"/>
      <c r="G59" s="617" t="str">
        <f>G31</f>
        <v>CLIN 0002 - Basic Period (Year 2)</v>
      </c>
      <c r="H59" s="618"/>
      <c r="I59" s="619"/>
      <c r="J59" s="176"/>
      <c r="K59" s="617" t="str">
        <f>K31</f>
        <v>CLIN 0002 - Basic Period (Year 3)</v>
      </c>
      <c r="L59" s="618"/>
      <c r="M59" s="619"/>
      <c r="N59" s="176"/>
      <c r="O59" s="617" t="str">
        <f>O31</f>
        <v>CLIN 0002 - Basic Period (Year 4)</v>
      </c>
      <c r="P59" s="618"/>
      <c r="Q59" s="619"/>
    </row>
    <row r="60" spans="1:17" x14ac:dyDescent="0.25">
      <c r="A60" s="193"/>
      <c r="B60" s="248"/>
      <c r="C60" s="153" t="s">
        <v>399</v>
      </c>
      <c r="D60" s="154" t="s">
        <v>396</v>
      </c>
      <c r="E60" s="155" t="s">
        <v>153</v>
      </c>
      <c r="F60" s="166"/>
      <c r="G60" s="153" t="s">
        <v>399</v>
      </c>
      <c r="H60" s="154" t="s">
        <v>396</v>
      </c>
      <c r="I60" s="155" t="s">
        <v>153</v>
      </c>
      <c r="J60" s="166"/>
      <c r="K60" s="153" t="s">
        <v>399</v>
      </c>
      <c r="L60" s="154" t="s">
        <v>396</v>
      </c>
      <c r="M60" s="155" t="s">
        <v>153</v>
      </c>
      <c r="N60" s="166"/>
      <c r="O60" s="153" t="s">
        <v>399</v>
      </c>
      <c r="P60" s="154" t="s">
        <v>396</v>
      </c>
      <c r="Q60" s="155" t="s">
        <v>153</v>
      </c>
    </row>
    <row r="61" spans="1:17" ht="26.25" x14ac:dyDescent="0.25">
      <c r="A61" s="193"/>
      <c r="B61" s="300" t="s">
        <v>561</v>
      </c>
      <c r="C61" s="231"/>
      <c r="D61" s="232"/>
      <c r="E61" s="345">
        <f>'PRIME CPIF TOTAL ODC'!E26</f>
        <v>0</v>
      </c>
      <c r="F61" s="165"/>
      <c r="G61" s="231"/>
      <c r="H61" s="232"/>
      <c r="I61" s="345">
        <f>'PRIME CPIF TOTAL ODC'!G26</f>
        <v>0</v>
      </c>
      <c r="J61" s="165"/>
      <c r="K61" s="231"/>
      <c r="L61" s="232"/>
      <c r="M61" s="400">
        <f>'PRIME CPIF TOTAL ODC'!I26</f>
        <v>0</v>
      </c>
      <c r="N61" s="165"/>
      <c r="O61" s="231"/>
      <c r="P61" s="232"/>
      <c r="Q61" s="400">
        <f>'PRIME CPIF TOTAL ODC'!K26</f>
        <v>0</v>
      </c>
    </row>
    <row r="62" spans="1:17" ht="66" customHeight="1" x14ac:dyDescent="0.25">
      <c r="A62" s="193"/>
      <c r="B62" s="490" t="s">
        <v>614</v>
      </c>
      <c r="C62" s="404"/>
      <c r="D62" s="404"/>
      <c r="E62" s="403"/>
      <c r="F62" s="288"/>
      <c r="G62" s="405"/>
      <c r="H62" s="404"/>
      <c r="I62" s="403"/>
      <c r="J62" s="288"/>
      <c r="K62" s="405"/>
      <c r="L62" s="404"/>
      <c r="M62" s="400"/>
      <c r="N62" s="165"/>
      <c r="O62" s="405"/>
      <c r="P62" s="404"/>
      <c r="Q62" s="400"/>
    </row>
    <row r="63" spans="1:17" x14ac:dyDescent="0.25">
      <c r="A63" s="193"/>
      <c r="B63" s="167" t="s">
        <v>125</v>
      </c>
      <c r="C63" s="215">
        <f>+E61</f>
        <v>0</v>
      </c>
      <c r="D63" s="243">
        <f>'PRIME CPIF RATES (ALL)'!C60</f>
        <v>0</v>
      </c>
      <c r="E63" s="168">
        <f>ROUND(C63*D63,2)</f>
        <v>0</v>
      </c>
      <c r="F63" s="178"/>
      <c r="G63" s="215">
        <f>+I61</f>
        <v>0</v>
      </c>
      <c r="H63" s="243">
        <f>'PRIME CPIF RATES (ALL)'!D60</f>
        <v>0</v>
      </c>
      <c r="I63" s="168">
        <f>ROUND(G63*H63,2)</f>
        <v>0</v>
      </c>
      <c r="J63" s="178"/>
      <c r="K63" s="215">
        <f>+M61</f>
        <v>0</v>
      </c>
      <c r="L63" s="243">
        <f>'PRIME CPIF RATES (ALL)'!E60</f>
        <v>0</v>
      </c>
      <c r="M63" s="168">
        <f>ROUND(K63*L63,2)</f>
        <v>0</v>
      </c>
      <c r="N63" s="178"/>
      <c r="O63" s="215">
        <f>+Q61</f>
        <v>0</v>
      </c>
      <c r="P63" s="243">
        <f>'PRIME CPIF RATES (ALL)'!F60</f>
        <v>0</v>
      </c>
      <c r="Q63" s="168">
        <f>ROUND(O63*P63,2)</f>
        <v>0</v>
      </c>
    </row>
    <row r="64" spans="1:17" x14ac:dyDescent="0.25">
      <c r="A64" s="193"/>
      <c r="B64" s="167" t="s">
        <v>126</v>
      </c>
      <c r="C64" s="215">
        <f>+C63+E63</f>
        <v>0</v>
      </c>
      <c r="D64" s="243">
        <f>'PRIME CPIF RATES (ALL)'!C61</f>
        <v>0</v>
      </c>
      <c r="E64" s="168">
        <f>ROUND(C64*D64,2)</f>
        <v>0</v>
      </c>
      <c r="F64" s="178"/>
      <c r="G64" s="215">
        <f>+G63+I63</f>
        <v>0</v>
      </c>
      <c r="H64" s="243">
        <f>'PRIME CPIF RATES (ALL)'!D61</f>
        <v>0</v>
      </c>
      <c r="I64" s="168">
        <f>ROUND(G64*H64,2)</f>
        <v>0</v>
      </c>
      <c r="J64" s="178"/>
      <c r="K64" s="215">
        <f>+K63+M63</f>
        <v>0</v>
      </c>
      <c r="L64" s="243">
        <f>'PRIME CPIF RATES (ALL)'!E61</f>
        <v>0</v>
      </c>
      <c r="M64" s="168">
        <f>ROUND(K64*L64,2)</f>
        <v>0</v>
      </c>
      <c r="N64" s="178"/>
      <c r="O64" s="215">
        <f>+O63+Q63</f>
        <v>0</v>
      </c>
      <c r="P64" s="243">
        <f>'PRIME CPIF RATES (ALL)'!F61</f>
        <v>0</v>
      </c>
      <c r="Q64" s="168">
        <f>ROUND(O64*P64,2)</f>
        <v>0</v>
      </c>
    </row>
    <row r="65" spans="1:17" x14ac:dyDescent="0.25">
      <c r="A65" s="193"/>
      <c r="B65" s="167" t="s">
        <v>566</v>
      </c>
      <c r="C65" s="215">
        <f>C64+E64</f>
        <v>0</v>
      </c>
      <c r="D65" s="243">
        <f>'PRIME CPIF RATES (ALL)'!C62</f>
        <v>0</v>
      </c>
      <c r="E65" s="168">
        <f>ROUND(C65*D65,2)</f>
        <v>0</v>
      </c>
      <c r="F65" s="165"/>
      <c r="G65" s="215">
        <f>G64+I64</f>
        <v>0</v>
      </c>
      <c r="H65" s="243">
        <f>'PRIME CPIF RATES (ALL)'!D62</f>
        <v>0</v>
      </c>
      <c r="I65" s="168">
        <f>ROUND(G65*H65,2)</f>
        <v>0</v>
      </c>
      <c r="J65" s="165"/>
      <c r="K65" s="215">
        <f>K64+M64</f>
        <v>0</v>
      </c>
      <c r="L65" s="243">
        <f>'PRIME CPIF RATES (ALL)'!E62</f>
        <v>0</v>
      </c>
      <c r="M65" s="168">
        <f>ROUND(K65*L65,2)</f>
        <v>0</v>
      </c>
      <c r="N65" s="165"/>
      <c r="O65" s="215">
        <f>O64+Q64</f>
        <v>0</v>
      </c>
      <c r="P65" s="243">
        <f>'PRIME CPIF RATES (ALL)'!F62</f>
        <v>0</v>
      </c>
      <c r="Q65" s="168">
        <f>ROUND(O65*P65,2)</f>
        <v>0</v>
      </c>
    </row>
    <row r="66" spans="1:17" x14ac:dyDescent="0.25">
      <c r="A66" s="193"/>
      <c r="B66" s="167" t="s">
        <v>127</v>
      </c>
      <c r="C66" s="215">
        <f>+C64+E64</f>
        <v>0</v>
      </c>
      <c r="D66" s="354">
        <f>'PRIME CPIF RATES (ALL)'!C63</f>
        <v>0</v>
      </c>
      <c r="E66" s="168">
        <f>ROUND(C66*D66,2)</f>
        <v>0</v>
      </c>
      <c r="F66" s="165"/>
      <c r="G66" s="215">
        <f>+G64+I64</f>
        <v>0</v>
      </c>
      <c r="H66" s="354">
        <f>'PRIME CPIF RATES (ALL)'!D63</f>
        <v>0</v>
      </c>
      <c r="I66" s="168">
        <f>ROUND(G66*H66,2)</f>
        <v>0</v>
      </c>
      <c r="J66" s="165"/>
      <c r="K66" s="215">
        <f>+K64+M64</f>
        <v>0</v>
      </c>
      <c r="L66" s="354">
        <f>'PRIME CPIF RATES (ALL)'!E63</f>
        <v>0</v>
      </c>
      <c r="M66" s="168">
        <f>ROUND(K66*L66,2)</f>
        <v>0</v>
      </c>
      <c r="N66" s="165"/>
      <c r="O66" s="215">
        <f>+O64+Q64</f>
        <v>0</v>
      </c>
      <c r="P66" s="354">
        <f>'PRIME CPIF RATES (ALL)'!F63</f>
        <v>0</v>
      </c>
      <c r="Q66" s="168">
        <f>ROUND(O66*P66,2)</f>
        <v>0</v>
      </c>
    </row>
    <row r="67" spans="1:17" x14ac:dyDescent="0.25">
      <c r="A67" s="193"/>
      <c r="B67" s="241" t="s">
        <v>260</v>
      </c>
      <c r="C67" s="233"/>
      <c r="D67" s="234"/>
      <c r="E67" s="168">
        <f>ROUND(SUM(E61:E64),2)</f>
        <v>0</v>
      </c>
      <c r="F67" s="165"/>
      <c r="G67" s="233"/>
      <c r="H67" s="234"/>
      <c r="I67" s="168">
        <f>ROUND(SUM(I61:I64),2)</f>
        <v>0</v>
      </c>
      <c r="J67" s="165"/>
      <c r="K67" s="233"/>
      <c r="L67" s="234"/>
      <c r="M67" s="168">
        <f>ROUND(SUM(M61:M64),2)</f>
        <v>0</v>
      </c>
      <c r="N67" s="165"/>
      <c r="O67" s="233"/>
      <c r="P67" s="234"/>
      <c r="Q67" s="168">
        <f>ROUND(SUM(Q61:Q64),2)</f>
        <v>0</v>
      </c>
    </row>
    <row r="68" spans="1:17" x14ac:dyDescent="0.25">
      <c r="A68" s="193"/>
      <c r="B68" s="241" t="s">
        <v>137</v>
      </c>
      <c r="C68" s="231"/>
      <c r="D68" s="235"/>
      <c r="E68" s="168">
        <f>ROUND(E65,2)</f>
        <v>0</v>
      </c>
      <c r="F68" s="165"/>
      <c r="G68" s="231"/>
      <c r="H68" s="235"/>
      <c r="I68" s="168">
        <f>ROUND(I65,2)</f>
        <v>0</v>
      </c>
      <c r="J68" s="165"/>
      <c r="K68" s="231"/>
      <c r="L68" s="235"/>
      <c r="M68" s="168">
        <f>ROUND(M65,2)</f>
        <v>0</v>
      </c>
      <c r="N68" s="165"/>
      <c r="O68" s="231"/>
      <c r="P68" s="235"/>
      <c r="Q68" s="168">
        <f>ROUND(Q65,2)</f>
        <v>0</v>
      </c>
    </row>
    <row r="69" spans="1:17" x14ac:dyDescent="0.2">
      <c r="A69" s="186"/>
      <c r="B69" s="241" t="s">
        <v>136</v>
      </c>
      <c r="C69" s="231"/>
      <c r="D69" s="235"/>
      <c r="E69" s="182">
        <f>ROUND(E66,2)</f>
        <v>0</v>
      </c>
      <c r="F69" s="183"/>
      <c r="G69" s="231"/>
      <c r="H69" s="235"/>
      <c r="I69" s="182">
        <f>ROUND(I66,2)</f>
        <v>0</v>
      </c>
      <c r="J69" s="183"/>
      <c r="K69" s="231"/>
      <c r="L69" s="235"/>
      <c r="M69" s="182">
        <f>ROUND(M66,2)</f>
        <v>0</v>
      </c>
      <c r="N69" s="183"/>
      <c r="O69" s="231"/>
      <c r="P69" s="235"/>
      <c r="Q69" s="182">
        <f>ROUND(Q66,2)</f>
        <v>0</v>
      </c>
    </row>
    <row r="70" spans="1:17" ht="16.5" thickBot="1" x14ac:dyDescent="0.25">
      <c r="A70" s="186"/>
      <c r="B70" s="242" t="s">
        <v>244</v>
      </c>
      <c r="C70" s="236"/>
      <c r="D70" s="237"/>
      <c r="E70" s="160">
        <f t="shared" ref="E70" si="4">SUM(E67:E69)</f>
        <v>0</v>
      </c>
      <c r="F70" s="161"/>
      <c r="G70" s="236"/>
      <c r="H70" s="237"/>
      <c r="I70" s="160">
        <f t="shared" ref="I70" si="5">SUM(I67:I69)</f>
        <v>0</v>
      </c>
      <c r="J70" s="161"/>
      <c r="K70" s="236"/>
      <c r="L70" s="237"/>
      <c r="M70" s="160">
        <f t="shared" ref="M70" si="6">SUM(M67:M69)</f>
        <v>0</v>
      </c>
      <c r="N70" s="161"/>
      <c r="O70" s="236"/>
      <c r="P70" s="237"/>
      <c r="Q70" s="160">
        <f t="shared" ref="Q70" si="7">SUM(Q67:Q69)</f>
        <v>0</v>
      </c>
    </row>
    <row r="71" spans="1:17" ht="16.5" thickBot="1" x14ac:dyDescent="0.25">
      <c r="A71" s="186"/>
      <c r="B71" s="172"/>
      <c r="E71" s="251"/>
      <c r="F71" s="251"/>
      <c r="G71" s="251"/>
      <c r="H71" s="251"/>
      <c r="I71" s="251"/>
      <c r="J71" s="251"/>
      <c r="K71" s="251"/>
      <c r="N71" s="187"/>
      <c r="O71" s="251"/>
    </row>
    <row r="72" spans="1:17" ht="16.5" thickBot="1" x14ac:dyDescent="0.3">
      <c r="A72" s="186"/>
      <c r="B72" s="628" t="str">
        <f>B58</f>
        <v>CLIN 0002 (CPIF)                                                     TASK 1.03 DELIVERY OF MATERIAL TO SIMULATOR SPO</v>
      </c>
      <c r="C72" s="614" t="s">
        <v>319</v>
      </c>
      <c r="D72" s="615"/>
      <c r="E72" s="616"/>
      <c r="F72" s="175"/>
      <c r="G72" s="614" t="s">
        <v>319</v>
      </c>
      <c r="H72" s="615"/>
      <c r="I72" s="616"/>
      <c r="J72" s="175"/>
      <c r="K72" s="614" t="s">
        <v>319</v>
      </c>
      <c r="L72" s="615"/>
      <c r="M72" s="616"/>
      <c r="N72" s="175"/>
      <c r="O72" s="614" t="s">
        <v>319</v>
      </c>
      <c r="P72" s="615"/>
      <c r="Q72" s="616"/>
    </row>
    <row r="73" spans="1:17" ht="33.75" customHeight="1" thickBot="1" x14ac:dyDescent="0.3">
      <c r="A73" s="186"/>
      <c r="B73" s="629"/>
      <c r="C73" s="280"/>
      <c r="D73" s="281"/>
      <c r="E73" s="188" t="s">
        <v>344</v>
      </c>
      <c r="F73" s="189"/>
      <c r="G73" s="280"/>
      <c r="H73" s="281"/>
      <c r="I73" s="188" t="s">
        <v>347</v>
      </c>
      <c r="J73" s="189"/>
      <c r="K73" s="280"/>
      <c r="L73" s="281"/>
      <c r="M73" s="188" t="s">
        <v>346</v>
      </c>
      <c r="N73" s="189"/>
      <c r="O73" s="280"/>
      <c r="P73" s="281"/>
      <c r="Q73" s="188" t="s">
        <v>345</v>
      </c>
    </row>
    <row r="74" spans="1:17" x14ac:dyDescent="0.2">
      <c r="A74" s="186"/>
      <c r="B74" s="167" t="s">
        <v>261</v>
      </c>
      <c r="C74" s="282"/>
      <c r="D74" s="282"/>
      <c r="E74" s="190">
        <f>+ROUND(E25+E39+E53+E67,2)</f>
        <v>0</v>
      </c>
      <c r="F74" s="165"/>
      <c r="G74" s="282"/>
      <c r="H74" s="282"/>
      <c r="I74" s="190">
        <f>+ROUND(I25+I39+I53+I67,2)</f>
        <v>0</v>
      </c>
      <c r="J74" s="165"/>
      <c r="K74" s="282"/>
      <c r="L74" s="282"/>
      <c r="M74" s="190">
        <f>+ROUND(M25+M39+M53+M67,2)</f>
        <v>0</v>
      </c>
      <c r="N74" s="165"/>
      <c r="O74" s="282"/>
      <c r="P74" s="282"/>
      <c r="Q74" s="190">
        <f>+ROUND(Q25+Q39+Q53+Q67,2)</f>
        <v>0</v>
      </c>
    </row>
    <row r="75" spans="1:17" x14ac:dyDescent="0.2">
      <c r="A75" s="186"/>
      <c r="B75" s="167" t="s">
        <v>137</v>
      </c>
      <c r="C75" s="282"/>
      <c r="D75" s="282"/>
      <c r="E75" s="168">
        <f>+ROUND(E26+E40+E54+E68,2)</f>
        <v>0</v>
      </c>
      <c r="F75" s="165"/>
      <c r="G75" s="282"/>
      <c r="H75" s="282"/>
      <c r="I75" s="168">
        <f>+ROUND(I26+I40+I54+I68,2)</f>
        <v>0</v>
      </c>
      <c r="J75" s="165"/>
      <c r="K75" s="282"/>
      <c r="L75" s="282"/>
      <c r="M75" s="168">
        <f>+ROUND(M26+M40+M54+M68,2)</f>
        <v>0</v>
      </c>
      <c r="N75" s="165"/>
      <c r="O75" s="282"/>
      <c r="P75" s="282"/>
      <c r="Q75" s="168">
        <f>+ROUND(Q26+Q40+Q54+Q68,2)</f>
        <v>0</v>
      </c>
    </row>
    <row r="76" spans="1:17" x14ac:dyDescent="0.2">
      <c r="A76" s="186"/>
      <c r="B76" s="167" t="s">
        <v>136</v>
      </c>
      <c r="C76" s="282"/>
      <c r="D76" s="282"/>
      <c r="E76" s="169">
        <f>+ROUND(E27+E41+E55+E69,2)</f>
        <v>0</v>
      </c>
      <c r="F76" s="170"/>
      <c r="G76" s="282"/>
      <c r="H76" s="282"/>
      <c r="I76" s="169">
        <f>+ROUND(I27+I41+I55+I69,2)</f>
        <v>0</v>
      </c>
      <c r="J76" s="170"/>
      <c r="K76" s="282"/>
      <c r="L76" s="282"/>
      <c r="M76" s="169">
        <f>+ROUND(M27+M41+M55+M69,2)</f>
        <v>0</v>
      </c>
      <c r="N76" s="170"/>
      <c r="O76" s="282"/>
      <c r="P76" s="282"/>
      <c r="Q76" s="169">
        <f>+ROUND(Q27+Q41+Q55+Q69,2)</f>
        <v>0</v>
      </c>
    </row>
    <row r="77" spans="1:17" ht="32.25" thickBot="1" x14ac:dyDescent="0.3">
      <c r="A77" s="186"/>
      <c r="B77" s="265" t="s">
        <v>526</v>
      </c>
      <c r="C77" s="283"/>
      <c r="D77" s="283"/>
      <c r="E77" s="266">
        <f>SUM(E74:E76)</f>
        <v>0</v>
      </c>
      <c r="F77" s="171"/>
      <c r="G77" s="283"/>
      <c r="H77" s="283"/>
      <c r="I77" s="266">
        <f>SUM(I74:I76)</f>
        <v>0</v>
      </c>
      <c r="J77" s="171"/>
      <c r="K77" s="283"/>
      <c r="L77" s="283"/>
      <c r="M77" s="266">
        <f>SUM(M74:M76)</f>
        <v>0</v>
      </c>
      <c r="N77" s="171"/>
      <c r="O77" s="283"/>
      <c r="P77" s="283"/>
      <c r="Q77" s="266">
        <f>SUM(Q74:Q76)</f>
        <v>0</v>
      </c>
    </row>
    <row r="78" spans="1:17" ht="16.5" thickBot="1" x14ac:dyDescent="0.3"/>
    <row r="79" spans="1:17" ht="31.5" x14ac:dyDescent="0.25">
      <c r="Q79" s="411" t="s">
        <v>527</v>
      </c>
    </row>
    <row r="80" spans="1:17" ht="16.5" thickBot="1" x14ac:dyDescent="0.3">
      <c r="Q80" s="410">
        <f>E77+I77+M77+Q77</f>
        <v>0</v>
      </c>
    </row>
  </sheetData>
  <mergeCells count="46">
    <mergeCell ref="O72:Q72"/>
    <mergeCell ref="C48:E48"/>
    <mergeCell ref="G48:I48"/>
    <mergeCell ref="K48:M48"/>
    <mergeCell ref="B72:B73"/>
    <mergeCell ref="C72:E72"/>
    <mergeCell ref="G72:I72"/>
    <mergeCell ref="K72:M72"/>
    <mergeCell ref="B58:B59"/>
    <mergeCell ref="C58:E58"/>
    <mergeCell ref="G58:I58"/>
    <mergeCell ref="K58:M58"/>
    <mergeCell ref="O59:Q59"/>
    <mergeCell ref="C59:E59"/>
    <mergeCell ref="G59:I59"/>
    <mergeCell ref="K59:M59"/>
    <mergeCell ref="B30:B31"/>
    <mergeCell ref="C30:E30"/>
    <mergeCell ref="G30:I30"/>
    <mergeCell ref="K30:M30"/>
    <mergeCell ref="C31:E31"/>
    <mergeCell ref="G31:I31"/>
    <mergeCell ref="K31:M31"/>
    <mergeCell ref="A3:C3"/>
    <mergeCell ref="B13:B14"/>
    <mergeCell ref="C13:E13"/>
    <mergeCell ref="G13:I13"/>
    <mergeCell ref="K13:M13"/>
    <mergeCell ref="C14:E14"/>
    <mergeCell ref="G14:I14"/>
    <mergeCell ref="K14:M14"/>
    <mergeCell ref="O13:Q13"/>
    <mergeCell ref="O14:Q14"/>
    <mergeCell ref="O30:Q30"/>
    <mergeCell ref="O31:Q31"/>
    <mergeCell ref="O58:Q58"/>
    <mergeCell ref="O48:Q48"/>
    <mergeCell ref="B44:B45"/>
    <mergeCell ref="C44:E44"/>
    <mergeCell ref="G44:I44"/>
    <mergeCell ref="K44:M44"/>
    <mergeCell ref="O44:Q44"/>
    <mergeCell ref="C45:E45"/>
    <mergeCell ref="G45:I45"/>
    <mergeCell ref="K45:M45"/>
    <mergeCell ref="O45:Q45"/>
  </mergeCell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64A973-E965-4811-AAD8-7C1531727A6D}">
  <dimension ref="A1:S74"/>
  <sheetViews>
    <sheetView zoomScale="80" zoomScaleNormal="80" workbookViewId="0">
      <pane ySplit="7" topLeftCell="A8" activePane="bottomLeft" state="frozen"/>
      <selection pane="bottomLeft" activeCell="C1" sqref="C1"/>
    </sheetView>
    <sheetView workbookViewId="1"/>
  </sheetViews>
  <sheetFormatPr defaultColWidth="15.85546875" defaultRowHeight="15.75" x14ac:dyDescent="0.25"/>
  <cols>
    <col min="1" max="1" width="9.5703125" style="191" customWidth="1"/>
    <col min="2" max="2" width="49.140625" style="174" customWidth="1"/>
    <col min="3" max="3" width="18.28515625" style="186" bestFit="1" customWidth="1"/>
    <col min="4" max="4" width="12.42578125" style="186" bestFit="1" customWidth="1"/>
    <col min="5" max="5" width="32" style="186" customWidth="1"/>
    <col min="6" max="6" width="1" style="186" customWidth="1"/>
    <col min="7" max="7" width="14.28515625" style="186" customWidth="1"/>
    <col min="8" max="8" width="14.5703125" style="186" customWidth="1"/>
    <col min="9" max="9" width="33.28515625" style="186" customWidth="1"/>
    <col min="10" max="10" width="1" style="186" customWidth="1"/>
    <col min="11" max="11" width="16.7109375" style="186" customWidth="1"/>
    <col min="12" max="12" width="16.28515625" style="186" customWidth="1"/>
    <col min="13" max="13" width="34" style="186" bestFit="1" customWidth="1"/>
    <col min="14" max="14" width="0.85546875" style="186" customWidth="1"/>
    <col min="15" max="15" width="16.7109375" style="186" customWidth="1"/>
    <col min="16" max="16" width="16.28515625" style="186" customWidth="1"/>
    <col min="17" max="17" width="34" style="186" bestFit="1" customWidth="1"/>
    <col min="18" max="18" width="6.28515625" style="186" customWidth="1"/>
    <col min="19" max="16384" width="15.85546875" style="186"/>
  </cols>
  <sheetData>
    <row r="1" spans="1:17" ht="16.5" thickBot="1" x14ac:dyDescent="0.3">
      <c r="B1" s="126" t="s">
        <v>626</v>
      </c>
      <c r="C1" s="494" t="str">
        <f>'FFP CLINs X007-X021'!B1</f>
        <v>NAME</v>
      </c>
    </row>
    <row r="2" spans="1:17" ht="16.5" thickBot="1" x14ac:dyDescent="0.3"/>
    <row r="3" spans="1:17" ht="52.5" customHeight="1" thickBot="1" x14ac:dyDescent="0.3">
      <c r="A3" s="557" t="s">
        <v>164</v>
      </c>
      <c r="B3" s="558"/>
      <c r="C3" s="559"/>
      <c r="E3" s="251" t="s">
        <v>5</v>
      </c>
      <c r="I3" s="251"/>
      <c r="J3" s="251"/>
      <c r="K3" s="251"/>
      <c r="L3" s="251"/>
      <c r="O3" s="251"/>
      <c r="P3" s="251"/>
    </row>
    <row r="4" spans="1:17" x14ac:dyDescent="0.25">
      <c r="I4" s="251"/>
      <c r="J4" s="251"/>
      <c r="K4" s="251"/>
      <c r="L4" s="251"/>
      <c r="O4" s="251" t="s">
        <v>5</v>
      </c>
      <c r="P4" s="251"/>
    </row>
    <row r="5" spans="1:17" x14ac:dyDescent="0.2">
      <c r="B5" s="261" t="s">
        <v>130</v>
      </c>
      <c r="C5" s="194"/>
    </row>
    <row r="6" spans="1:17" x14ac:dyDescent="0.25">
      <c r="A6" s="192"/>
      <c r="B6" s="258" t="s">
        <v>163</v>
      </c>
      <c r="C6" s="194"/>
    </row>
    <row r="7" spans="1:17" x14ac:dyDescent="0.25">
      <c r="A7" s="192"/>
      <c r="B7" s="258" t="s">
        <v>616</v>
      </c>
      <c r="C7" s="194"/>
    </row>
    <row r="8" spans="1:17" ht="16.5" thickBot="1" x14ac:dyDescent="0.3"/>
    <row r="9" spans="1:17" ht="16.5" customHeight="1" thickBot="1" x14ac:dyDescent="0.3">
      <c r="A9" s="193"/>
      <c r="B9" s="633" t="s">
        <v>348</v>
      </c>
      <c r="C9" s="594" t="s">
        <v>134</v>
      </c>
      <c r="D9" s="595"/>
      <c r="E9" s="596"/>
      <c r="F9" s="151"/>
      <c r="G9" s="594" t="s">
        <v>134</v>
      </c>
      <c r="H9" s="595"/>
      <c r="I9" s="596"/>
      <c r="J9" s="151"/>
      <c r="K9" s="594" t="s">
        <v>134</v>
      </c>
      <c r="L9" s="595"/>
      <c r="M9" s="596"/>
      <c r="N9" s="151"/>
      <c r="O9" s="594" t="s">
        <v>134</v>
      </c>
      <c r="P9" s="595"/>
      <c r="Q9" s="596"/>
    </row>
    <row r="10" spans="1:17" ht="32.25" customHeight="1" thickBot="1" x14ac:dyDescent="0.3">
      <c r="A10" s="193"/>
      <c r="B10" s="634"/>
      <c r="C10" s="617" t="s">
        <v>325</v>
      </c>
      <c r="D10" s="618"/>
      <c r="E10" s="619"/>
      <c r="F10" s="152"/>
      <c r="G10" s="617" t="s">
        <v>326</v>
      </c>
      <c r="H10" s="618"/>
      <c r="I10" s="619"/>
      <c r="J10" s="152"/>
      <c r="K10" s="617" t="s">
        <v>327</v>
      </c>
      <c r="L10" s="618"/>
      <c r="M10" s="619"/>
      <c r="N10" s="152"/>
      <c r="O10" s="617" t="s">
        <v>328</v>
      </c>
      <c r="P10" s="618"/>
      <c r="Q10" s="619"/>
    </row>
    <row r="11" spans="1:17" x14ac:dyDescent="0.25">
      <c r="A11" s="193"/>
      <c r="B11" s="153" t="s">
        <v>110</v>
      </c>
      <c r="C11" s="153" t="s">
        <v>91</v>
      </c>
      <c r="D11" s="154" t="s">
        <v>133</v>
      </c>
      <c r="E11" s="155" t="s">
        <v>139</v>
      </c>
      <c r="F11" s="156"/>
      <c r="G11" s="153" t="s">
        <v>91</v>
      </c>
      <c r="H11" s="154" t="s">
        <v>133</v>
      </c>
      <c r="I11" s="155" t="s">
        <v>139</v>
      </c>
      <c r="J11" s="156"/>
      <c r="K11" s="153" t="s">
        <v>91</v>
      </c>
      <c r="L11" s="154" t="s">
        <v>133</v>
      </c>
      <c r="M11" s="155" t="s">
        <v>139</v>
      </c>
      <c r="N11" s="156"/>
      <c r="O11" s="153" t="s">
        <v>91</v>
      </c>
      <c r="P11" s="154" t="s">
        <v>133</v>
      </c>
      <c r="Q11" s="155" t="s">
        <v>139</v>
      </c>
    </row>
    <row r="12" spans="1:17" ht="16.5" thickBot="1" x14ac:dyDescent="0.3">
      <c r="A12" s="193"/>
      <c r="B12" s="203" t="s">
        <v>5</v>
      </c>
      <c r="C12" s="289"/>
      <c r="D12" s="290"/>
      <c r="E12" s="291"/>
      <c r="F12" s="156"/>
      <c r="G12" s="289"/>
      <c r="H12" s="290"/>
      <c r="I12" s="291"/>
      <c r="J12" s="156"/>
      <c r="K12" s="289"/>
      <c r="L12" s="290"/>
      <c r="M12" s="291"/>
      <c r="N12" s="156"/>
      <c r="O12" s="289"/>
      <c r="P12" s="290"/>
      <c r="Q12" s="291"/>
    </row>
    <row r="13" spans="1:17" ht="16.5" thickBot="1" x14ac:dyDescent="0.3">
      <c r="A13" s="193"/>
      <c r="B13" s="299" t="s">
        <v>151</v>
      </c>
      <c r="C13" s="163">
        <f>'CPIF CLIN 0002-TASK 1.01 INPUTS'!C17+'CPIF CLIN 0002-TASK 1.02 INPUTS'!C17+'CPIF CLIN 0002-TASK 1.03 INPUTS'!C17</f>
        <v>0</v>
      </c>
      <c r="D13" s="205"/>
      <c r="E13" s="163">
        <f>'CPIF CLIN 0002-TASK 1.01 INPUTS'!E17+'CPIF CLIN 0002-TASK 1.02 INPUTS'!E17+'CPIF CLIN 0002-TASK 1.03 INPUTS'!E17</f>
        <v>0</v>
      </c>
      <c r="F13" s="165"/>
      <c r="G13" s="163">
        <f>'CPIF CLIN 0002-TASK 1.01 INPUTS'!G17+'CPIF CLIN 0002-TASK 1.02 INPUTS'!G17+'CPIF CLIN 0002-TASK 1.03 INPUTS'!G17</f>
        <v>0</v>
      </c>
      <c r="H13" s="205"/>
      <c r="I13" s="163">
        <f>'CPIF CLIN 0002-TASK 1.01 INPUTS'!I17+'CPIF CLIN 0002-TASK 1.02 INPUTS'!I17+'CPIF CLIN 0002-TASK 1.03 INPUTS'!I17</f>
        <v>0</v>
      </c>
      <c r="J13" s="165"/>
      <c r="K13" s="163">
        <f>'CPIF CLIN 0002-TASK 1.01 INPUTS'!K17+'CPIF CLIN 0002-TASK 1.02 INPUTS'!K17+'CPIF CLIN 0002-TASK 1.03 INPUTS'!K17</f>
        <v>0</v>
      </c>
      <c r="L13" s="205"/>
      <c r="M13" s="163">
        <f>'CPIF CLIN 0002-TASK 1.01 INPUTS'!M17+'CPIF CLIN 0002-TASK 1.02 INPUTS'!M17+'CPIF CLIN 0002-TASK 1.03 INPUTS'!M17</f>
        <v>0</v>
      </c>
      <c r="N13" s="165"/>
      <c r="O13" s="163">
        <f>'CPIF CLIN 0002-TASK 1.01 INPUTS'!O17+'CPIF CLIN 0002-TASK 1.02 INPUTS'!O17+'CPIF CLIN 0002-TASK 1.03 INPUTS'!O17</f>
        <v>0</v>
      </c>
      <c r="P13" s="205"/>
      <c r="Q13" s="163">
        <f>'CPIF CLIN 0002-TASK 1.01 INPUTS'!Q17+'CPIF CLIN 0002-TASK 1.02 INPUTS'!Q17+'CPIF CLIN 0002-TASK 1.03 INPUTS'!Q17</f>
        <v>0</v>
      </c>
    </row>
    <row r="14" spans="1:17" x14ac:dyDescent="0.25">
      <c r="A14" s="193"/>
      <c r="B14" s="204"/>
      <c r="C14" s="153" t="s">
        <v>399</v>
      </c>
      <c r="D14" s="154" t="s">
        <v>396</v>
      </c>
      <c r="E14" s="155" t="s">
        <v>398</v>
      </c>
      <c r="F14" s="166"/>
      <c r="G14" s="153" t="s">
        <v>399</v>
      </c>
      <c r="H14" s="154" t="s">
        <v>396</v>
      </c>
      <c r="I14" s="155" t="s">
        <v>398</v>
      </c>
      <c r="J14" s="166"/>
      <c r="K14" s="153" t="s">
        <v>399</v>
      </c>
      <c r="L14" s="154" t="s">
        <v>396</v>
      </c>
      <c r="M14" s="155" t="s">
        <v>398</v>
      </c>
      <c r="N14" s="166"/>
      <c r="O14" s="153" t="s">
        <v>399</v>
      </c>
      <c r="P14" s="154" t="s">
        <v>396</v>
      </c>
      <c r="Q14" s="155" t="s">
        <v>398</v>
      </c>
    </row>
    <row r="15" spans="1:17" x14ac:dyDescent="0.25">
      <c r="A15" s="193"/>
      <c r="B15" s="203" t="s">
        <v>5</v>
      </c>
      <c r="C15" s="289"/>
      <c r="D15" s="290"/>
      <c r="E15" s="291"/>
      <c r="F15" s="202"/>
      <c r="G15" s="289"/>
      <c r="H15" s="290"/>
      <c r="I15" s="291"/>
      <c r="J15" s="202"/>
      <c r="K15" s="289"/>
      <c r="L15" s="290"/>
      <c r="M15" s="291"/>
      <c r="N15" s="202"/>
      <c r="O15" s="289"/>
      <c r="P15" s="290"/>
      <c r="Q15" s="291"/>
    </row>
    <row r="16" spans="1:17" x14ac:dyDescent="0.25">
      <c r="A16" s="193"/>
      <c r="B16" s="167" t="str">
        <f>'PRIME CPIF RATES (ALL)'!B35</f>
        <v>Indirect Labor Category:  [Labor Fringe]</v>
      </c>
      <c r="C16" s="215"/>
      <c r="D16" s="243"/>
      <c r="E16" s="168">
        <f>'CPIF CLIN 0002-TASK 1.01 INPUTS'!E20+'CPIF CLIN 0002-TASK 1.02 INPUTS'!E20+'CPIF CLIN 0002-TASK 1.03 INPUTS'!E20</f>
        <v>0</v>
      </c>
      <c r="F16" s="165"/>
      <c r="G16" s="215"/>
      <c r="H16" s="243"/>
      <c r="I16" s="168">
        <f>'CPIF CLIN 0002-TASK 1.01 INPUTS'!I20+'CPIF CLIN 0002-TASK 1.02 INPUTS'!I20+'CPIF CLIN 0002-TASK 1.03 INPUTS'!I20</f>
        <v>0</v>
      </c>
      <c r="J16" s="165"/>
      <c r="K16" s="215"/>
      <c r="L16" s="243"/>
      <c r="M16" s="168">
        <f>'CPIF CLIN 0002-TASK 1.01 INPUTS'!M20+'CPIF CLIN 0002-TASK 1.02 INPUTS'!M20+'CPIF CLIN 0002-TASK 1.03 INPUTS'!M20</f>
        <v>0</v>
      </c>
      <c r="N16" s="165"/>
      <c r="O16" s="215"/>
      <c r="P16" s="243"/>
      <c r="Q16" s="168">
        <f>'CPIF CLIN 0002-TASK 1.01 INPUTS'!Q20+'CPIF CLIN 0002-TASK 1.02 INPUTS'!Q20+'CPIF CLIN 0002-TASK 1.03 INPUTS'!Q20</f>
        <v>0</v>
      </c>
    </row>
    <row r="17" spans="1:17" x14ac:dyDescent="0.25">
      <c r="A17" s="193"/>
      <c r="B17" s="167" t="str">
        <f>'PRIME CPIF RATES (ALL)'!B36</f>
        <v>Indirect Labor Category: [Labor Overhead]</v>
      </c>
      <c r="C17" s="215"/>
      <c r="D17" s="243"/>
      <c r="E17" s="168">
        <f>'CPIF CLIN 0002-TASK 1.01 INPUTS'!E21+'CPIF CLIN 0002-TASK 1.02 INPUTS'!E21+'CPIF CLIN 0002-TASK 1.03 INPUTS'!E21</f>
        <v>0</v>
      </c>
      <c r="F17" s="165"/>
      <c r="G17" s="215"/>
      <c r="H17" s="243"/>
      <c r="I17" s="168">
        <f>'CPIF CLIN 0002-TASK 1.01 INPUTS'!I21+'CPIF CLIN 0002-TASK 1.02 INPUTS'!I21+'CPIF CLIN 0002-TASK 1.03 INPUTS'!I21</f>
        <v>0</v>
      </c>
      <c r="J17" s="165"/>
      <c r="K17" s="215"/>
      <c r="L17" s="243"/>
      <c r="M17" s="168">
        <f>'CPIF CLIN 0002-TASK 1.01 INPUTS'!M21+'CPIF CLIN 0002-TASK 1.02 INPUTS'!M21+'CPIF CLIN 0002-TASK 1.03 INPUTS'!M21</f>
        <v>0</v>
      </c>
      <c r="N17" s="165"/>
      <c r="O17" s="215"/>
      <c r="P17" s="243"/>
      <c r="Q17" s="168">
        <f>'CPIF CLIN 0002-TASK 1.01 INPUTS'!Q21+'CPIF CLIN 0002-TASK 1.02 INPUTS'!Q21+'CPIF CLIN 0002-TASK 1.03 INPUTS'!Q21</f>
        <v>0</v>
      </c>
    </row>
    <row r="18" spans="1:17" x14ac:dyDescent="0.25">
      <c r="A18" s="193"/>
      <c r="B18" s="167" t="str">
        <f>'PRIME CPIF RATES (ALL)'!B37</f>
        <v>Indirect Labor Category: [G&amp;A]</v>
      </c>
      <c r="C18" s="215"/>
      <c r="D18" s="243"/>
      <c r="E18" s="168">
        <f>'CPIF CLIN 0002-TASK 1.01 INPUTS'!E22+'CPIF CLIN 0002-TASK 1.02 INPUTS'!E22+'CPIF CLIN 0002-TASK 1.03 INPUTS'!E22</f>
        <v>0</v>
      </c>
      <c r="F18" s="165"/>
      <c r="G18" s="215"/>
      <c r="H18" s="243"/>
      <c r="I18" s="168">
        <f>'CPIF CLIN 0002-TASK 1.01 INPUTS'!I22+'CPIF CLIN 0002-TASK 1.02 INPUTS'!I22+'CPIF CLIN 0002-TASK 1.03 INPUTS'!I22</f>
        <v>0</v>
      </c>
      <c r="J18" s="165"/>
      <c r="K18" s="215"/>
      <c r="L18" s="243"/>
      <c r="M18" s="168">
        <f>'CPIF CLIN 0002-TASK 1.01 INPUTS'!M22+'CPIF CLIN 0002-TASK 1.02 INPUTS'!M22+'CPIF CLIN 0002-TASK 1.03 INPUTS'!M22</f>
        <v>0</v>
      </c>
      <c r="N18" s="165"/>
      <c r="O18" s="215"/>
      <c r="P18" s="243"/>
      <c r="Q18" s="168">
        <f>'CPIF CLIN 0002-TASK 1.01 INPUTS'!Q22+'CPIF CLIN 0002-TASK 1.02 INPUTS'!Q22+'CPIF CLIN 0002-TASK 1.03 INPUTS'!Q22</f>
        <v>0</v>
      </c>
    </row>
    <row r="19" spans="1:17" x14ac:dyDescent="0.25">
      <c r="A19" s="193"/>
      <c r="B19" s="167" t="str">
        <f>'PRIME CPIF RATES (ALL)'!B38</f>
        <v>Indirect Labor Category: [FCCOM]</v>
      </c>
      <c r="C19" s="215"/>
      <c r="D19" s="471"/>
      <c r="E19" s="168">
        <f>'CPIF CLIN 0002-TASK 1.01 INPUTS'!E23+'CPIF CLIN 0002-TASK 1.02 INPUTS'!E23+'CPIF CLIN 0002-TASK 1.03 INPUTS'!E23</f>
        <v>0</v>
      </c>
      <c r="F19" s="165"/>
      <c r="G19" s="215"/>
      <c r="H19" s="473"/>
      <c r="I19" s="168">
        <f>'CPIF CLIN 0002-TASK 1.01 INPUTS'!I23+'CPIF CLIN 0002-TASK 1.02 INPUTS'!I23+'CPIF CLIN 0002-TASK 1.03 INPUTS'!I23</f>
        <v>0</v>
      </c>
      <c r="J19" s="165"/>
      <c r="K19" s="215"/>
      <c r="L19" s="473"/>
      <c r="M19" s="168">
        <f>'CPIF CLIN 0002-TASK 1.01 INPUTS'!M23+'CPIF CLIN 0002-TASK 1.02 INPUTS'!M23+'CPIF CLIN 0002-TASK 1.03 INPUTS'!M23</f>
        <v>0</v>
      </c>
      <c r="N19" s="165"/>
      <c r="O19" s="215"/>
      <c r="P19" s="473"/>
      <c r="Q19" s="168">
        <f>'CPIF CLIN 0002-TASK 1.01 INPUTS'!Q23+'CPIF CLIN 0002-TASK 1.02 INPUTS'!Q23+'CPIF CLIN 0002-TASK 1.03 INPUTS'!Q23</f>
        <v>0</v>
      </c>
    </row>
    <row r="20" spans="1:17" x14ac:dyDescent="0.25">
      <c r="A20" s="193"/>
      <c r="B20" s="167" t="str">
        <f>'PRIME CPIF RATES (ALL)'!B39</f>
        <v>Indirect Labor Category: [Target Fee]</v>
      </c>
      <c r="C20" s="215"/>
      <c r="D20" s="243"/>
      <c r="E20" s="168">
        <f>'CPIF CLIN 0002-TASK 1.01 INPUTS'!E24+'CPIF CLIN 0002-TASK 1.02 INPUTS'!E24+'CPIF CLIN 0002-TASK 1.03 INPUTS'!E24</f>
        <v>0</v>
      </c>
      <c r="F20" s="165"/>
      <c r="G20" s="215"/>
      <c r="H20" s="243"/>
      <c r="I20" s="168">
        <f>'CPIF CLIN 0002-TASK 1.01 INPUTS'!I24+'CPIF CLIN 0002-TASK 1.02 INPUTS'!I24+'CPIF CLIN 0002-TASK 1.03 INPUTS'!I24</f>
        <v>0</v>
      </c>
      <c r="J20" s="165"/>
      <c r="K20" s="215"/>
      <c r="L20" s="243"/>
      <c r="M20" s="168">
        <f>'CPIF CLIN 0002-TASK 1.01 INPUTS'!M24+'CPIF CLIN 0002-TASK 1.02 INPUTS'!M24+'CPIF CLIN 0002-TASK 1.03 INPUTS'!M24</f>
        <v>0</v>
      </c>
      <c r="N20" s="165"/>
      <c r="O20" s="215"/>
      <c r="P20" s="243"/>
      <c r="Q20" s="168">
        <f>'CPIF CLIN 0002-TASK 1.01 INPUTS'!Q24+'CPIF CLIN 0002-TASK 1.02 INPUTS'!Q24+'CPIF CLIN 0002-TASK 1.03 INPUTS'!Q24</f>
        <v>0</v>
      </c>
    </row>
    <row r="21" spans="1:17" x14ac:dyDescent="0.25">
      <c r="A21" s="193"/>
      <c r="B21" s="262" t="s">
        <v>258</v>
      </c>
      <c r="C21" s="210"/>
      <c r="D21" s="211"/>
      <c r="E21" s="230">
        <f>ROUND(SUM(E13,E16,E17,E18),2)</f>
        <v>0</v>
      </c>
      <c r="F21" s="165"/>
      <c r="G21" s="206"/>
      <c r="H21" s="207"/>
      <c r="I21" s="230">
        <f>ROUND(SUM(I13,I16,I17,I18),2)</f>
        <v>0</v>
      </c>
      <c r="J21" s="165"/>
      <c r="K21" s="206"/>
      <c r="L21" s="207"/>
      <c r="M21" s="230">
        <f>ROUND(SUM(M13,M16,M17,M18),2)</f>
        <v>0</v>
      </c>
      <c r="N21" s="165"/>
      <c r="O21" s="206"/>
      <c r="P21" s="207"/>
      <c r="Q21" s="230">
        <f>ROUND(SUM(Q13,Q16,Q17,Q18),2)</f>
        <v>0</v>
      </c>
    </row>
    <row r="22" spans="1:17" x14ac:dyDescent="0.25">
      <c r="A22" s="193"/>
      <c r="B22" s="262" t="s">
        <v>137</v>
      </c>
      <c r="C22" s="210"/>
      <c r="D22" s="211"/>
      <c r="E22" s="230">
        <f>ROUND(E19,2)</f>
        <v>0</v>
      </c>
      <c r="F22" s="165"/>
      <c r="G22" s="206"/>
      <c r="H22" s="207"/>
      <c r="I22" s="230">
        <f>ROUND(I19,2)</f>
        <v>0</v>
      </c>
      <c r="J22" s="165"/>
      <c r="K22" s="206"/>
      <c r="L22" s="207"/>
      <c r="M22" s="230">
        <f>ROUND(M19,2)</f>
        <v>0</v>
      </c>
      <c r="N22" s="165"/>
      <c r="O22" s="206"/>
      <c r="P22" s="207"/>
      <c r="Q22" s="230">
        <f>ROUND(Q19,2)</f>
        <v>0</v>
      </c>
    </row>
    <row r="23" spans="1:17" x14ac:dyDescent="0.25">
      <c r="A23" s="193"/>
      <c r="B23" s="262" t="s">
        <v>136</v>
      </c>
      <c r="C23" s="210"/>
      <c r="D23" s="211"/>
      <c r="E23" s="245">
        <f>ROUND(E20,2)</f>
        <v>0</v>
      </c>
      <c r="F23" s="170"/>
      <c r="G23" s="206"/>
      <c r="H23" s="207"/>
      <c r="I23" s="245">
        <f>ROUND(I20,2)</f>
        <v>0</v>
      </c>
      <c r="J23" s="170"/>
      <c r="K23" s="206"/>
      <c r="L23" s="207"/>
      <c r="M23" s="245">
        <f>ROUND(M20,2)</f>
        <v>0</v>
      </c>
      <c r="N23" s="170"/>
      <c r="O23" s="206"/>
      <c r="P23" s="207"/>
      <c r="Q23" s="245">
        <f>ROUND(Q20,2)</f>
        <v>0</v>
      </c>
    </row>
    <row r="24" spans="1:17" ht="16.5" thickBot="1" x14ac:dyDescent="0.3">
      <c r="A24" s="193"/>
      <c r="B24" s="263" t="s">
        <v>138</v>
      </c>
      <c r="C24" s="212"/>
      <c r="D24" s="213"/>
      <c r="E24" s="246">
        <f>SUM(E21:E23)</f>
        <v>0</v>
      </c>
      <c r="F24" s="171"/>
      <c r="G24" s="208"/>
      <c r="H24" s="209"/>
      <c r="I24" s="246">
        <f>SUM(I21:I23)</f>
        <v>0</v>
      </c>
      <c r="J24" s="171"/>
      <c r="K24" s="208"/>
      <c r="L24" s="209"/>
      <c r="M24" s="246">
        <f>SUM(M21:M23)</f>
        <v>0</v>
      </c>
      <c r="N24" s="171"/>
      <c r="O24" s="208"/>
      <c r="P24" s="209"/>
      <c r="Q24" s="246">
        <f>SUM(Q21:Q23)</f>
        <v>0</v>
      </c>
    </row>
    <row r="25" spans="1:17" ht="16.5" thickBot="1" x14ac:dyDescent="0.3">
      <c r="A25" s="193"/>
      <c r="B25" s="172"/>
      <c r="C25" s="173"/>
      <c r="D25" s="173"/>
      <c r="E25" s="173" t="s">
        <v>5</v>
      </c>
      <c r="F25" s="165"/>
      <c r="G25" s="173"/>
      <c r="H25" s="173"/>
      <c r="I25" s="477" t="s">
        <v>5</v>
      </c>
      <c r="J25" s="165"/>
      <c r="K25" s="173"/>
      <c r="L25" s="173"/>
      <c r="M25" s="173"/>
      <c r="N25" s="165"/>
      <c r="O25" s="173"/>
      <c r="P25" s="173"/>
      <c r="Q25" s="173"/>
    </row>
    <row r="26" spans="1:17" ht="16.5" customHeight="1" thickBot="1" x14ac:dyDescent="0.3">
      <c r="A26" s="193"/>
      <c r="B26" s="620" t="str">
        <f>B9</f>
        <v>CLIN 0002 (CPIF)                                                     TOTAL</v>
      </c>
      <c r="C26" s="594" t="s">
        <v>145</v>
      </c>
      <c r="D26" s="595"/>
      <c r="E26" s="596"/>
      <c r="F26" s="175"/>
      <c r="G26" s="594" t="s">
        <v>145</v>
      </c>
      <c r="H26" s="595"/>
      <c r="I26" s="596"/>
      <c r="J26" s="175"/>
      <c r="K26" s="594" t="s">
        <v>145</v>
      </c>
      <c r="L26" s="595"/>
      <c r="M26" s="596"/>
      <c r="N26" s="175"/>
      <c r="O26" s="594" t="s">
        <v>145</v>
      </c>
      <c r="P26" s="595"/>
      <c r="Q26" s="596"/>
    </row>
    <row r="27" spans="1:17" ht="32.25" customHeight="1" thickBot="1" x14ac:dyDescent="0.3">
      <c r="A27" s="193"/>
      <c r="B27" s="621"/>
      <c r="C27" s="617" t="str">
        <f>C10</f>
        <v>CLIN 0002 - Basic Period (Year 1)</v>
      </c>
      <c r="D27" s="618"/>
      <c r="E27" s="619"/>
      <c r="F27" s="176"/>
      <c r="G27" s="617" t="str">
        <f>G10</f>
        <v>CLIN 0002 - Basic Period (Year 2)</v>
      </c>
      <c r="H27" s="618"/>
      <c r="I27" s="619"/>
      <c r="J27" s="176"/>
      <c r="K27" s="617" t="str">
        <f>K10</f>
        <v>CLIN 0002 - Basic Period (Year 3)</v>
      </c>
      <c r="L27" s="618"/>
      <c r="M27" s="619"/>
      <c r="N27" s="176"/>
      <c r="O27" s="617" t="str">
        <f>O10</f>
        <v>CLIN 0002 - Basic Period (Year 4)</v>
      </c>
      <c r="P27" s="618"/>
      <c r="Q27" s="619"/>
    </row>
    <row r="28" spans="1:17" x14ac:dyDescent="0.25">
      <c r="A28" s="193"/>
      <c r="B28" s="247"/>
      <c r="C28" s="153" t="s">
        <v>399</v>
      </c>
      <c r="D28" s="154" t="s">
        <v>396</v>
      </c>
      <c r="E28" s="155" t="s">
        <v>152</v>
      </c>
      <c r="F28" s="166"/>
      <c r="G28" s="153" t="s">
        <v>399</v>
      </c>
      <c r="H28" s="154" t="s">
        <v>396</v>
      </c>
      <c r="I28" s="155" t="s">
        <v>152</v>
      </c>
      <c r="J28" s="166"/>
      <c r="K28" s="153" t="s">
        <v>399</v>
      </c>
      <c r="L28" s="154" t="s">
        <v>396</v>
      </c>
      <c r="M28" s="155" t="s">
        <v>152</v>
      </c>
      <c r="N28" s="166"/>
      <c r="O28" s="153" t="s">
        <v>399</v>
      </c>
      <c r="P28" s="154" t="s">
        <v>396</v>
      </c>
      <c r="Q28" s="155" t="s">
        <v>152</v>
      </c>
    </row>
    <row r="29" spans="1:17" x14ac:dyDescent="0.25">
      <c r="A29" s="193"/>
      <c r="B29" s="274" t="s">
        <v>5</v>
      </c>
      <c r="C29" s="231"/>
      <c r="D29" s="232"/>
      <c r="E29" s="216">
        <f>'CPIF CLIN 0002-TASK 1.01 INPUTS'!E33+'CPIF CLIN 0002-TASK 1.02 INPUTS'!E33+'CPIF CLIN 0002-TASK 1.03 INPUTS'!E33</f>
        <v>0</v>
      </c>
      <c r="F29" s="165"/>
      <c r="G29" s="231"/>
      <c r="H29" s="232"/>
      <c r="I29" s="216">
        <f>'CPIF CLIN 0002-TASK 1.01 INPUTS'!I33+'CPIF CLIN 0002-TASK 1.02 INPUTS'!I33+'CPIF CLIN 0002-TASK 1.03 INPUTS'!I33</f>
        <v>0</v>
      </c>
      <c r="J29" s="165"/>
      <c r="K29" s="231"/>
      <c r="L29" s="232"/>
      <c r="M29" s="216">
        <f>'CPIF CLIN 0002-TASK 1.01 INPUTS'!M33+'CPIF CLIN 0002-TASK 1.02 INPUTS'!M33+'CPIF CLIN 0002-TASK 1.03 INPUTS'!M33</f>
        <v>0</v>
      </c>
      <c r="N29" s="165"/>
      <c r="O29" s="231"/>
      <c r="P29" s="232"/>
      <c r="Q29" s="216">
        <f>'CPIF CLIN 0002-TASK 1.01 INPUTS'!Q33+'CPIF CLIN 0002-TASK 1.02 INPUTS'!Q33+'CPIF CLIN 0002-TASK 1.03 INPUTS'!Q33</f>
        <v>0</v>
      </c>
    </row>
    <row r="30" spans="1:17" x14ac:dyDescent="0.25">
      <c r="A30" s="193"/>
      <c r="B30" s="167" t="str">
        <f>'PRIME CPIF RATES (ALL)'!B52</f>
        <v>Indirect Category: [Material Overhead]</v>
      </c>
      <c r="C30" s="215"/>
      <c r="D30" s="243"/>
      <c r="E30" s="168">
        <f>'CPIF CLIN 0002-TASK 1.01 INPUTS'!E35+'CPIF CLIN 0002-TASK 1.02 INPUTS'!E35+'CPIF CLIN 0002-TASK 1.03 INPUTS'!E35</f>
        <v>0</v>
      </c>
      <c r="F30" s="178"/>
      <c r="G30" s="215"/>
      <c r="H30" s="243"/>
      <c r="I30" s="168">
        <f>'CPIF CLIN 0002-TASK 1.01 INPUTS'!I35+'CPIF CLIN 0002-TASK 1.02 INPUTS'!I35+'CPIF CLIN 0002-TASK 1.03 INPUTS'!I35</f>
        <v>0</v>
      </c>
      <c r="J30" s="178"/>
      <c r="K30" s="215"/>
      <c r="L30" s="243"/>
      <c r="M30" s="168">
        <f>'CPIF CLIN 0002-TASK 1.01 INPUTS'!M35+'CPIF CLIN 0002-TASK 1.02 INPUTS'!M35+'CPIF CLIN 0002-TASK 1.03 INPUTS'!M35</f>
        <v>0</v>
      </c>
      <c r="N30" s="178"/>
      <c r="O30" s="215"/>
      <c r="P30" s="243"/>
      <c r="Q30" s="168">
        <f>'CPIF CLIN 0002-TASK 1.01 INPUTS'!Q35+'CPIF CLIN 0002-TASK 1.02 INPUTS'!Q35+'CPIF CLIN 0002-TASK 1.03 INPUTS'!Q35</f>
        <v>0</v>
      </c>
    </row>
    <row r="31" spans="1:17" x14ac:dyDescent="0.25">
      <c r="A31" s="193"/>
      <c r="B31" s="167" t="str">
        <f>'PRIME CPIF RATES (ALL)'!B53</f>
        <v>Indirect Category: [G&amp;A]</v>
      </c>
      <c r="C31" s="215"/>
      <c r="D31" s="243"/>
      <c r="E31" s="168">
        <f>'CPIF CLIN 0002-TASK 1.01 INPUTS'!E36+'CPIF CLIN 0002-TASK 1.02 INPUTS'!E36+'CPIF CLIN 0002-TASK 1.03 INPUTS'!E36</f>
        <v>0</v>
      </c>
      <c r="F31" s="178"/>
      <c r="G31" s="215"/>
      <c r="H31" s="243"/>
      <c r="I31" s="168">
        <f>'CPIF CLIN 0002-TASK 1.01 INPUTS'!I36+'CPIF CLIN 0002-TASK 1.02 INPUTS'!I36+'CPIF CLIN 0002-TASK 1.03 INPUTS'!I36</f>
        <v>0</v>
      </c>
      <c r="J31" s="178"/>
      <c r="K31" s="215"/>
      <c r="L31" s="243"/>
      <c r="M31" s="168">
        <f>'CPIF CLIN 0002-TASK 1.01 INPUTS'!M36+'CPIF CLIN 0002-TASK 1.02 INPUTS'!M36+'CPIF CLIN 0002-TASK 1.03 INPUTS'!M36</f>
        <v>0</v>
      </c>
      <c r="N31" s="178"/>
      <c r="O31" s="215"/>
      <c r="P31" s="243"/>
      <c r="Q31" s="168">
        <f>'CPIF CLIN 0002-TASK 1.01 INPUTS'!Q36+'CPIF CLIN 0002-TASK 1.02 INPUTS'!Q36+'CPIF CLIN 0002-TASK 1.03 INPUTS'!Q36</f>
        <v>0</v>
      </c>
    </row>
    <row r="32" spans="1:17" x14ac:dyDescent="0.25">
      <c r="A32" s="193"/>
      <c r="B32" s="167" t="str">
        <f>'PRIME CPIF RATES (ALL)'!B54</f>
        <v>Indirect Category: [FCCOM]</v>
      </c>
      <c r="C32" s="215"/>
      <c r="D32" s="473"/>
      <c r="E32" s="168">
        <f>'CPIF CLIN 0002-TASK 1.01 INPUTS'!E37+'CPIF CLIN 0002-TASK 1.02 INPUTS'!E37+'CPIF CLIN 0002-TASK 1.03 INPUTS'!E37</f>
        <v>0</v>
      </c>
      <c r="F32" s="165"/>
      <c r="G32" s="215"/>
      <c r="H32" s="473"/>
      <c r="I32" s="168">
        <f>'CPIF CLIN 0002-TASK 1.01 INPUTS'!I37+'CPIF CLIN 0002-TASK 1.02 INPUTS'!I37+'CPIF CLIN 0002-TASK 1.03 INPUTS'!I37</f>
        <v>0</v>
      </c>
      <c r="J32" s="165"/>
      <c r="K32" s="215"/>
      <c r="L32" s="473"/>
      <c r="M32" s="168">
        <f>'CPIF CLIN 0002-TASK 1.01 INPUTS'!M37+'CPIF CLIN 0002-TASK 1.02 INPUTS'!M37+'CPIF CLIN 0002-TASK 1.03 INPUTS'!M37</f>
        <v>0</v>
      </c>
      <c r="N32" s="165"/>
      <c r="O32" s="215"/>
      <c r="P32" s="473"/>
      <c r="Q32" s="168">
        <f>'CPIF CLIN 0002-TASK 1.01 INPUTS'!Q37+'CPIF CLIN 0002-TASK 1.02 INPUTS'!Q37+'CPIF CLIN 0002-TASK 1.03 INPUTS'!Q37</f>
        <v>0</v>
      </c>
    </row>
    <row r="33" spans="1:17" x14ac:dyDescent="0.25">
      <c r="A33" s="193"/>
      <c r="B33" s="167" t="str">
        <f>'PRIME CPIF RATES (ALL)'!B55</f>
        <v>Indirect Category: [Target Fee]</v>
      </c>
      <c r="C33" s="215"/>
      <c r="D33" s="243"/>
      <c r="E33" s="168">
        <f>'CPIF CLIN 0002-TASK 1.01 INPUTS'!E38+'CPIF CLIN 0002-TASK 1.02 INPUTS'!E38+'CPIF CLIN 0002-TASK 1.03 INPUTS'!E38</f>
        <v>0</v>
      </c>
      <c r="F33" s="165"/>
      <c r="G33" s="215"/>
      <c r="H33" s="243"/>
      <c r="I33" s="168">
        <f>'CPIF CLIN 0002-TASK 1.01 INPUTS'!I38+'CPIF CLIN 0002-TASK 1.02 INPUTS'!I38+'CPIF CLIN 0002-TASK 1.03 INPUTS'!I38</f>
        <v>0</v>
      </c>
      <c r="J33" s="165"/>
      <c r="K33" s="215"/>
      <c r="L33" s="243"/>
      <c r="M33" s="168">
        <f>'CPIF CLIN 0002-TASK 1.01 INPUTS'!M38+'CPIF CLIN 0002-TASK 1.02 INPUTS'!M38+'CPIF CLIN 0002-TASK 1.03 INPUTS'!M38</f>
        <v>0</v>
      </c>
      <c r="N33" s="165"/>
      <c r="O33" s="215"/>
      <c r="P33" s="243"/>
      <c r="Q33" s="168">
        <f>'CPIF CLIN 0002-TASK 1.01 INPUTS'!Q38+'CPIF CLIN 0002-TASK 1.02 INPUTS'!Q38+'CPIF CLIN 0002-TASK 1.03 INPUTS'!Q38</f>
        <v>0</v>
      </c>
    </row>
    <row r="34" spans="1:17" x14ac:dyDescent="0.25">
      <c r="A34" s="193"/>
      <c r="B34" s="241" t="s">
        <v>259</v>
      </c>
      <c r="C34" s="233"/>
      <c r="D34" s="234"/>
      <c r="E34" s="168">
        <f>ROUND(SUM(E29:E31),2)</f>
        <v>0</v>
      </c>
      <c r="F34" s="165"/>
      <c r="G34" s="233"/>
      <c r="H34" s="234"/>
      <c r="I34" s="168">
        <f>ROUND(SUM(I29:I31),2)</f>
        <v>0</v>
      </c>
      <c r="J34" s="165"/>
      <c r="K34" s="233"/>
      <c r="L34" s="234"/>
      <c r="M34" s="168">
        <f>ROUND(SUM(M29:M31),2)</f>
        <v>0</v>
      </c>
      <c r="N34" s="165"/>
      <c r="O34" s="233"/>
      <c r="P34" s="234"/>
      <c r="Q34" s="168">
        <f>ROUND(SUM(Q29:Q31),2)</f>
        <v>0</v>
      </c>
    </row>
    <row r="35" spans="1:17" x14ac:dyDescent="0.25">
      <c r="A35" s="193"/>
      <c r="B35" s="241" t="s">
        <v>137</v>
      </c>
      <c r="C35" s="231"/>
      <c r="D35" s="235"/>
      <c r="E35" s="168">
        <f>ROUND(E32,2)</f>
        <v>0</v>
      </c>
      <c r="F35" s="165"/>
      <c r="G35" s="231"/>
      <c r="H35" s="235"/>
      <c r="I35" s="168">
        <f>ROUND(I32,2)</f>
        <v>0</v>
      </c>
      <c r="J35" s="165"/>
      <c r="K35" s="231"/>
      <c r="L35" s="235"/>
      <c r="M35" s="168">
        <f>ROUND(M32,2)</f>
        <v>0</v>
      </c>
      <c r="N35" s="165"/>
      <c r="O35" s="231"/>
      <c r="P35" s="235"/>
      <c r="Q35" s="168">
        <f>ROUND(Q32,2)</f>
        <v>0</v>
      </c>
    </row>
    <row r="36" spans="1:17" x14ac:dyDescent="0.2">
      <c r="B36" s="241" t="s">
        <v>136</v>
      </c>
      <c r="C36" s="231"/>
      <c r="D36" s="235"/>
      <c r="E36" s="182">
        <f>ROUND(E33,2)</f>
        <v>0</v>
      </c>
      <c r="F36" s="183"/>
      <c r="G36" s="231"/>
      <c r="H36" s="235"/>
      <c r="I36" s="182">
        <f>ROUND(I33,2)</f>
        <v>0</v>
      </c>
      <c r="J36" s="183"/>
      <c r="K36" s="231"/>
      <c r="L36" s="235"/>
      <c r="M36" s="182">
        <f>ROUND(M33,2)</f>
        <v>0</v>
      </c>
      <c r="N36" s="183"/>
      <c r="O36" s="231"/>
      <c r="P36" s="235"/>
      <c r="Q36" s="182">
        <f>ROUND(Q33,2)</f>
        <v>0</v>
      </c>
    </row>
    <row r="37" spans="1:17" ht="16.5" thickBot="1" x14ac:dyDescent="0.25">
      <c r="B37" s="242" t="s">
        <v>243</v>
      </c>
      <c r="C37" s="236"/>
      <c r="D37" s="237"/>
      <c r="E37" s="160">
        <f>SUM(E34:E36)</f>
        <v>0</v>
      </c>
      <c r="F37" s="161"/>
      <c r="G37" s="236"/>
      <c r="H37" s="237"/>
      <c r="I37" s="160">
        <f>SUM(I34:I36)</f>
        <v>0</v>
      </c>
      <c r="J37" s="161"/>
      <c r="K37" s="236"/>
      <c r="L37" s="237"/>
      <c r="M37" s="160">
        <f>SUM(M34:M36)</f>
        <v>0</v>
      </c>
      <c r="N37" s="161"/>
      <c r="O37" s="236"/>
      <c r="P37" s="237"/>
      <c r="Q37" s="160">
        <f>SUM(Q34:Q36)</f>
        <v>0</v>
      </c>
    </row>
    <row r="38" spans="1:17" ht="16.5" thickBot="1" x14ac:dyDescent="0.25">
      <c r="B38" s="172"/>
      <c r="E38" s="475" t="s">
        <v>5</v>
      </c>
      <c r="F38" s="187"/>
      <c r="I38" s="194" t="s">
        <v>5</v>
      </c>
      <c r="J38" s="187"/>
      <c r="N38" s="187"/>
    </row>
    <row r="39" spans="1:17" ht="16.5" thickBot="1" x14ac:dyDescent="0.3">
      <c r="B39" s="620" t="str">
        <f>B9</f>
        <v>CLIN 0002 (CPIF)                                                     TOTAL</v>
      </c>
      <c r="C39" s="594" t="s">
        <v>318</v>
      </c>
      <c r="D39" s="595"/>
      <c r="E39" s="596"/>
      <c r="F39" s="175"/>
      <c r="G39" s="594" t="s">
        <v>318</v>
      </c>
      <c r="H39" s="595"/>
      <c r="I39" s="596"/>
      <c r="J39" s="175"/>
      <c r="K39" s="594" t="s">
        <v>318</v>
      </c>
      <c r="L39" s="595"/>
      <c r="M39" s="596"/>
      <c r="N39" s="175"/>
      <c r="O39" s="594" t="s">
        <v>318</v>
      </c>
      <c r="P39" s="595"/>
      <c r="Q39" s="596"/>
    </row>
    <row r="40" spans="1:17" ht="27.75" customHeight="1" thickBot="1" x14ac:dyDescent="0.3">
      <c r="B40" s="621"/>
      <c r="C40" s="617" t="str">
        <f>C27</f>
        <v>CLIN 0002 - Basic Period (Year 1)</v>
      </c>
      <c r="D40" s="618"/>
      <c r="E40" s="619"/>
      <c r="F40" s="176"/>
      <c r="G40" s="617" t="str">
        <f>G27</f>
        <v>CLIN 0002 - Basic Period (Year 2)</v>
      </c>
      <c r="H40" s="618"/>
      <c r="I40" s="619"/>
      <c r="J40" s="176"/>
      <c r="K40" s="617" t="str">
        <f>K27</f>
        <v>CLIN 0002 - Basic Period (Year 3)</v>
      </c>
      <c r="L40" s="618"/>
      <c r="M40" s="619"/>
      <c r="N40" s="176"/>
      <c r="O40" s="617" t="str">
        <f>O27</f>
        <v>CLIN 0002 - Basic Period (Year 4)</v>
      </c>
      <c r="P40" s="618"/>
      <c r="Q40" s="619"/>
    </row>
    <row r="41" spans="1:17" x14ac:dyDescent="0.25">
      <c r="B41" s="248"/>
      <c r="C41" s="153" t="s">
        <v>399</v>
      </c>
      <c r="D41" s="154" t="s">
        <v>396</v>
      </c>
      <c r="E41" s="155" t="s">
        <v>397</v>
      </c>
      <c r="F41" s="166"/>
      <c r="G41" s="153" t="s">
        <v>399</v>
      </c>
      <c r="H41" s="154" t="s">
        <v>396</v>
      </c>
      <c r="I41" s="155" t="s">
        <v>397</v>
      </c>
      <c r="J41" s="166"/>
      <c r="K41" s="153" t="s">
        <v>399</v>
      </c>
      <c r="L41" s="154" t="s">
        <v>396</v>
      </c>
      <c r="M41" s="155" t="s">
        <v>397</v>
      </c>
      <c r="N41" s="166"/>
      <c r="O41" s="153" t="s">
        <v>399</v>
      </c>
      <c r="P41" s="154" t="s">
        <v>396</v>
      </c>
      <c r="Q41" s="155" t="s">
        <v>397</v>
      </c>
    </row>
    <row r="42" spans="1:17" x14ac:dyDescent="0.2">
      <c r="B42" s="344" t="s">
        <v>5</v>
      </c>
      <c r="C42" s="285"/>
      <c r="D42" s="285"/>
      <c r="E42" s="345">
        <f>'PRIME CPIF TOTAL SUB'!E27</f>
        <v>0</v>
      </c>
      <c r="F42" s="288"/>
      <c r="G42" s="231"/>
      <c r="H42" s="285"/>
      <c r="I42" s="345">
        <f>'PRIME CPIF TOTAL SUB'!G27</f>
        <v>0</v>
      </c>
      <c r="J42" s="288"/>
      <c r="K42" s="231"/>
      <c r="L42" s="285"/>
      <c r="M42" s="345">
        <f>'PRIME CPIF TOTAL SUB'!I27</f>
        <v>0</v>
      </c>
      <c r="N42" s="165"/>
      <c r="O42" s="231"/>
      <c r="P42" s="285"/>
      <c r="Q42" s="345">
        <f>'PRIME CPIF TOTAL SUB'!K27</f>
        <v>0</v>
      </c>
    </row>
    <row r="43" spans="1:17" x14ac:dyDescent="0.2">
      <c r="A43" s="191" t="s">
        <v>5</v>
      </c>
      <c r="B43" s="287" t="str">
        <f>'PRIME CPIF RATES (ALL)'!B44</f>
        <v>Indirect Category: [Overhead]</v>
      </c>
      <c r="C43" s="286"/>
      <c r="D43" s="243"/>
      <c r="E43" s="168">
        <f>'CPIF CLIN 0002-TASK 1.01 INPUTS'!E49+'CPIF CLIN 0002-TASK 1.02 INPUTS'!E49+'CPIF CLIN 0002-TASK 1.03 INPUTS'!E49</f>
        <v>0</v>
      </c>
      <c r="F43" s="178"/>
      <c r="G43" s="215"/>
      <c r="H43" s="243"/>
      <c r="I43" s="168">
        <f>'CPIF CLIN 0002-TASK 1.01 INPUTS'!I49+'CPIF CLIN 0002-TASK 1.02 INPUTS'!I49+'CPIF CLIN 0002-TASK 1.03 INPUTS'!I49</f>
        <v>0</v>
      </c>
      <c r="J43" s="178"/>
      <c r="K43" s="215"/>
      <c r="L43" s="243"/>
      <c r="M43" s="168">
        <f>'CPIF CLIN 0002-TASK 1.01 INPUTS'!M49+'CPIF CLIN 0002-TASK 1.02 INPUTS'!M49+'CPIF CLIN 0002-TASK 1.03 INPUTS'!M49</f>
        <v>0</v>
      </c>
      <c r="N43" s="178"/>
      <c r="O43" s="215"/>
      <c r="P43" s="243"/>
      <c r="Q43" s="168">
        <f>'CPIF CLIN 0002-TASK 1.01 INPUTS'!Q49+'CPIF CLIN 0002-TASK 1.02 INPUTS'!Q49+'CPIF CLIN 0002-TASK 1.03 INPUTS'!Q49</f>
        <v>0</v>
      </c>
    </row>
    <row r="44" spans="1:17" x14ac:dyDescent="0.2">
      <c r="B44" s="287" t="str">
        <f>'PRIME CPIF RATES (ALL)'!B45</f>
        <v>Indirect Category: [G&amp;A]</v>
      </c>
      <c r="C44" s="286"/>
      <c r="D44" s="243"/>
      <c r="E44" s="168">
        <f>'CPIF CLIN 0002-TASK 1.01 INPUTS'!E50+'CPIF CLIN 0002-TASK 1.02 INPUTS'!E50+'CPIF CLIN 0002-TASK 1.03 INPUTS'!E50</f>
        <v>0</v>
      </c>
      <c r="F44" s="288"/>
      <c r="G44" s="286"/>
      <c r="H44" s="243"/>
      <c r="I44" s="168">
        <f>'CPIF CLIN 0002-TASK 1.01 INPUTS'!I50+'CPIF CLIN 0002-TASK 1.02 INPUTS'!I50+'CPIF CLIN 0002-TASK 1.03 INPUTS'!I50</f>
        <v>0</v>
      </c>
      <c r="J44" s="288"/>
      <c r="K44" s="286"/>
      <c r="L44" s="243"/>
      <c r="M44" s="168">
        <f>'CPIF CLIN 0002-TASK 1.01 INPUTS'!M50+'CPIF CLIN 0002-TASK 1.02 INPUTS'!M50+'CPIF CLIN 0002-TASK 1.03 INPUTS'!M50</f>
        <v>0</v>
      </c>
      <c r="N44" s="165"/>
      <c r="O44" s="286"/>
      <c r="P44" s="243"/>
      <c r="Q44" s="168">
        <f>'CPIF CLIN 0002-TASK 1.01 INPUTS'!Q50+'CPIF CLIN 0002-TASK 1.02 INPUTS'!Q50+'CPIF CLIN 0002-TASK 1.03 INPUTS'!Q50</f>
        <v>0</v>
      </c>
    </row>
    <row r="45" spans="1:17" x14ac:dyDescent="0.2">
      <c r="B45" s="351" t="str">
        <f>'PRIME CPIF RATES (ALL)'!B46</f>
        <v>Indirect Category: [FCCOM]</v>
      </c>
      <c r="C45" s="215"/>
      <c r="D45" s="474"/>
      <c r="E45" s="168">
        <f>'CPIF CLIN 0002-TASK 1.01 INPUTS'!E51+'CPIF CLIN 0002-TASK 1.02 INPUTS'!E51+'CPIF CLIN 0002-TASK 1.03 INPUTS'!E51</f>
        <v>0</v>
      </c>
      <c r="F45" s="288"/>
      <c r="G45" s="215"/>
      <c r="H45" s="474"/>
      <c r="I45" s="168">
        <f>'CPIF CLIN 0002-TASK 1.01 INPUTS'!I51+'CPIF CLIN 0002-TASK 1.02 INPUTS'!I51+'CPIF CLIN 0002-TASK 1.03 INPUTS'!I51</f>
        <v>0</v>
      </c>
      <c r="J45" s="288"/>
      <c r="K45" s="215"/>
      <c r="L45" s="474"/>
      <c r="M45" s="168">
        <f>'CPIF CLIN 0002-TASK 1.01 INPUTS'!M51+'CPIF CLIN 0002-TASK 1.02 INPUTS'!M51+'CPIF CLIN 0002-TASK 1.03 INPUTS'!M51</f>
        <v>0</v>
      </c>
      <c r="N45" s="165"/>
      <c r="O45" s="215"/>
      <c r="P45" s="474"/>
      <c r="Q45" s="168">
        <f>'CPIF CLIN 0002-TASK 1.01 INPUTS'!Q51+'CPIF CLIN 0002-TASK 1.02 INPUTS'!Q51+'CPIF CLIN 0002-TASK 1.03 INPUTS'!Q51</f>
        <v>0</v>
      </c>
    </row>
    <row r="46" spans="1:17" x14ac:dyDescent="0.2">
      <c r="B46" s="167" t="str">
        <f>'PRIME CPIF RATES (ALL)'!B47</f>
        <v>Indirect Category: [Target Fee]</v>
      </c>
      <c r="C46" s="214"/>
      <c r="D46" s="354"/>
      <c r="E46" s="168">
        <f>'CPIF CLIN 0002-TASK 1.01 INPUTS'!E52+'CPIF CLIN 0002-TASK 1.02 INPUTS'!E52+'CPIF CLIN 0002-TASK 1.03 INPUTS'!E52</f>
        <v>0</v>
      </c>
      <c r="F46" s="288"/>
      <c r="G46" s="214"/>
      <c r="H46" s="354"/>
      <c r="I46" s="168">
        <f>'CPIF CLIN 0002-TASK 1.01 INPUTS'!I52+'CPIF CLIN 0002-TASK 1.02 INPUTS'!I52+'CPIF CLIN 0002-TASK 1.03 INPUTS'!I52</f>
        <v>0</v>
      </c>
      <c r="J46" s="288"/>
      <c r="K46" s="214"/>
      <c r="L46" s="354"/>
      <c r="M46" s="168">
        <f>'CPIF CLIN 0002-TASK 1.01 INPUTS'!M52+'CPIF CLIN 0002-TASK 1.02 INPUTS'!M52+'CPIF CLIN 0002-TASK 1.03 INPUTS'!M52</f>
        <v>0</v>
      </c>
      <c r="N46" s="165"/>
      <c r="O46" s="214"/>
      <c r="P46" s="354"/>
      <c r="Q46" s="168">
        <f>'CPIF CLIN 0002-TASK 1.01 INPUTS'!Q52+'CPIF CLIN 0002-TASK 1.02 INPUTS'!Q52+'CPIF CLIN 0002-TASK 1.03 INPUTS'!Q52</f>
        <v>0</v>
      </c>
    </row>
    <row r="47" spans="1:17" x14ac:dyDescent="0.2">
      <c r="B47" s="241" t="s">
        <v>320</v>
      </c>
      <c r="C47" s="233"/>
      <c r="D47" s="234"/>
      <c r="E47" s="168">
        <f>ROUND(E42+E43+E44,2)</f>
        <v>0</v>
      </c>
      <c r="F47" s="288"/>
      <c r="G47" s="233"/>
      <c r="H47" s="234"/>
      <c r="I47" s="168">
        <f>ROUND(I42+I43+I44,2)</f>
        <v>0</v>
      </c>
      <c r="J47" s="288"/>
      <c r="K47" s="233"/>
      <c r="L47" s="234"/>
      <c r="M47" s="168">
        <f>ROUND(M42+M43+M44,2)</f>
        <v>0</v>
      </c>
      <c r="N47" s="165"/>
      <c r="O47" s="233"/>
      <c r="P47" s="234"/>
      <c r="Q47" s="168">
        <f>ROUND(Q42+Q43+Q44,2)</f>
        <v>0</v>
      </c>
    </row>
    <row r="48" spans="1:17" x14ac:dyDescent="0.2">
      <c r="B48" s="241" t="s">
        <v>298</v>
      </c>
      <c r="C48" s="231"/>
      <c r="D48" s="235"/>
      <c r="E48" s="168">
        <f>ROUND(E45,2)</f>
        <v>0</v>
      </c>
      <c r="F48" s="288"/>
      <c r="G48" s="231"/>
      <c r="H48" s="235"/>
      <c r="I48" s="168">
        <f>ROUND(I45,2)</f>
        <v>0</v>
      </c>
      <c r="J48" s="288"/>
      <c r="K48" s="231"/>
      <c r="L48" s="235"/>
      <c r="M48" s="168">
        <f>ROUND(M45,2)</f>
        <v>0</v>
      </c>
      <c r="N48" s="165"/>
      <c r="O48" s="231"/>
      <c r="P48" s="235"/>
      <c r="Q48" s="168">
        <f>ROUND(Q45,2)</f>
        <v>0</v>
      </c>
    </row>
    <row r="49" spans="1:17" x14ac:dyDescent="0.2">
      <c r="B49" s="241" t="s">
        <v>136</v>
      </c>
      <c r="C49" s="231"/>
      <c r="D49" s="235"/>
      <c r="E49" s="182">
        <f>ROUND(E46,2)</f>
        <v>0</v>
      </c>
      <c r="F49" s="183"/>
      <c r="G49" s="231"/>
      <c r="H49" s="235"/>
      <c r="I49" s="182">
        <f>ROUND(I46,2)</f>
        <v>0</v>
      </c>
      <c r="J49" s="183"/>
      <c r="K49" s="231"/>
      <c r="L49" s="235"/>
      <c r="M49" s="182">
        <f>ROUND(M46,2)</f>
        <v>0</v>
      </c>
      <c r="N49" s="183"/>
      <c r="O49" s="231"/>
      <c r="P49" s="235"/>
      <c r="Q49" s="182">
        <f>ROUND(Q46,2)</f>
        <v>0</v>
      </c>
    </row>
    <row r="50" spans="1:17" ht="16.5" thickBot="1" x14ac:dyDescent="0.25">
      <c r="B50" s="242" t="s">
        <v>321</v>
      </c>
      <c r="C50" s="236"/>
      <c r="D50" s="237"/>
      <c r="E50" s="160">
        <f>SUM(E47:E49)</f>
        <v>0</v>
      </c>
      <c r="F50" s="161"/>
      <c r="G50" s="236"/>
      <c r="H50" s="237"/>
      <c r="I50" s="160">
        <f>SUM(I47:I49)</f>
        <v>0</v>
      </c>
      <c r="J50" s="161"/>
      <c r="K50" s="236"/>
      <c r="L50" s="237"/>
      <c r="M50" s="160">
        <f>SUM(M47:M49)</f>
        <v>0</v>
      </c>
      <c r="N50" s="161"/>
      <c r="O50" s="236"/>
      <c r="P50" s="237"/>
      <c r="Q50" s="160">
        <f>SUM(Q47:Q49)</f>
        <v>0</v>
      </c>
    </row>
    <row r="51" spans="1:17" ht="16.5" thickBot="1" x14ac:dyDescent="0.25">
      <c r="B51" s="172"/>
      <c r="E51" s="194" t="s">
        <v>5</v>
      </c>
      <c r="F51" s="187"/>
      <c r="I51" s="194" t="s">
        <v>5</v>
      </c>
      <c r="J51" s="187"/>
      <c r="N51" s="187"/>
    </row>
    <row r="52" spans="1:17" ht="16.5" customHeight="1" thickBot="1" x14ac:dyDescent="0.3">
      <c r="A52" s="193"/>
      <c r="B52" s="620" t="str">
        <f>B26</f>
        <v>CLIN 0002 (CPIF)                                                     TOTAL</v>
      </c>
      <c r="C52" s="594" t="s">
        <v>146</v>
      </c>
      <c r="D52" s="595"/>
      <c r="E52" s="596"/>
      <c r="F52" s="175"/>
      <c r="G52" s="594" t="s">
        <v>147</v>
      </c>
      <c r="H52" s="595"/>
      <c r="I52" s="596"/>
      <c r="J52" s="175"/>
      <c r="K52" s="594" t="s">
        <v>147</v>
      </c>
      <c r="L52" s="595"/>
      <c r="M52" s="596"/>
      <c r="N52" s="175"/>
      <c r="O52" s="594" t="s">
        <v>147</v>
      </c>
      <c r="P52" s="595"/>
      <c r="Q52" s="596"/>
    </row>
    <row r="53" spans="1:17" ht="33.75" customHeight="1" thickBot="1" x14ac:dyDescent="0.3">
      <c r="A53" s="193"/>
      <c r="B53" s="621"/>
      <c r="C53" s="617" t="str">
        <f>C27</f>
        <v>CLIN 0002 - Basic Period (Year 1)</v>
      </c>
      <c r="D53" s="618"/>
      <c r="E53" s="619"/>
      <c r="F53" s="176"/>
      <c r="G53" s="617" t="str">
        <f>G27</f>
        <v>CLIN 0002 - Basic Period (Year 2)</v>
      </c>
      <c r="H53" s="618"/>
      <c r="I53" s="619"/>
      <c r="J53" s="176"/>
      <c r="K53" s="617" t="str">
        <f>K27</f>
        <v>CLIN 0002 - Basic Period (Year 3)</v>
      </c>
      <c r="L53" s="618"/>
      <c r="M53" s="619"/>
      <c r="N53" s="176"/>
      <c r="O53" s="617" t="str">
        <f>O27</f>
        <v>CLIN 0002 - Basic Period (Year 4)</v>
      </c>
      <c r="P53" s="618"/>
      <c r="Q53" s="619"/>
    </row>
    <row r="54" spans="1:17" x14ac:dyDescent="0.25">
      <c r="A54" s="193"/>
      <c r="B54" s="248"/>
      <c r="C54" s="153" t="s">
        <v>399</v>
      </c>
      <c r="D54" s="154" t="s">
        <v>396</v>
      </c>
      <c r="E54" s="155" t="s">
        <v>153</v>
      </c>
      <c r="F54" s="166"/>
      <c r="G54" s="153" t="s">
        <v>399</v>
      </c>
      <c r="H54" s="154" t="s">
        <v>396</v>
      </c>
      <c r="I54" s="155" t="s">
        <v>153</v>
      </c>
      <c r="J54" s="166"/>
      <c r="K54" s="153" t="s">
        <v>399</v>
      </c>
      <c r="L54" s="154" t="s">
        <v>396</v>
      </c>
      <c r="M54" s="155" t="s">
        <v>153</v>
      </c>
      <c r="N54" s="166"/>
      <c r="O54" s="153" t="s">
        <v>399</v>
      </c>
      <c r="P54" s="154" t="s">
        <v>396</v>
      </c>
      <c r="Q54" s="155" t="s">
        <v>153</v>
      </c>
    </row>
    <row r="55" spans="1:17" x14ac:dyDescent="0.25">
      <c r="A55" s="193"/>
      <c r="B55" s="300" t="s">
        <v>5</v>
      </c>
      <c r="C55" s="231"/>
      <c r="D55" s="232"/>
      <c r="E55" s="214">
        <f>'CPIF CLIN 0002-TASK 1.01 INPUTS'!E61+'CPIF CLIN 0002-TASK 1.02 INPUTS'!E61+'CPIF CLIN 0002-TASK 1.03 INPUTS'!E61</f>
        <v>0</v>
      </c>
      <c r="F55" s="165"/>
      <c r="G55" s="231"/>
      <c r="H55" s="232"/>
      <c r="I55" s="214">
        <f>'CPIF CLIN 0002-TASK 1.01 INPUTS'!I61+'CPIF CLIN 0002-TASK 1.02 INPUTS'!I61+'CPIF CLIN 0002-TASK 1.03 INPUTS'!I61</f>
        <v>0</v>
      </c>
      <c r="J55" s="165"/>
      <c r="K55" s="231"/>
      <c r="L55" s="232"/>
      <c r="M55" s="216">
        <f>'CPIF CLIN 0002-TASK 1.01 INPUTS'!M61+'CPIF CLIN 0002-TASK 1.02 INPUTS'!M61+'CPIF CLIN 0002-TASK 1.03 INPUTS'!M61</f>
        <v>0</v>
      </c>
      <c r="N55" s="165"/>
      <c r="O55" s="231"/>
      <c r="P55" s="232"/>
      <c r="Q55" s="216">
        <f>'CPIF CLIN 0002-TASK 1.01 INPUTS'!Q61+'CPIF CLIN 0002-TASK 1.02 INPUTS'!Q61+'CPIF CLIN 0002-TASK 1.03 INPUTS'!Q61</f>
        <v>0</v>
      </c>
    </row>
    <row r="56" spans="1:17" x14ac:dyDescent="0.25">
      <c r="A56" s="193"/>
      <c r="B56" s="167" t="s">
        <v>125</v>
      </c>
      <c r="C56" s="215"/>
      <c r="D56" s="243"/>
      <c r="E56" s="168">
        <f>'CPIF CLIN 0002-TASK 1.01 INPUTS'!E63+'CPIF CLIN 0002-TASK 1.02 INPUTS'!E63+'CPIF CLIN 0002-TASK 1.03 INPUTS'!E63</f>
        <v>0</v>
      </c>
      <c r="F56" s="178"/>
      <c r="G56" s="215"/>
      <c r="H56" s="243"/>
      <c r="I56" s="168">
        <f>'CPIF CLIN 0002-TASK 1.01 INPUTS'!I63+'CPIF CLIN 0002-TASK 1.02 INPUTS'!I63+'CPIF CLIN 0002-TASK 1.03 INPUTS'!I63</f>
        <v>0</v>
      </c>
      <c r="J56" s="178"/>
      <c r="K56" s="215"/>
      <c r="L56" s="243"/>
      <c r="M56" s="168">
        <f>'CPIF CLIN 0002-TASK 1.01 INPUTS'!M63+'CPIF CLIN 0002-TASK 1.02 INPUTS'!M63+'CPIF CLIN 0002-TASK 1.03 INPUTS'!M63</f>
        <v>0</v>
      </c>
      <c r="N56" s="178"/>
      <c r="O56" s="215"/>
      <c r="P56" s="243"/>
      <c r="Q56" s="168">
        <f>'CPIF CLIN 0002-TASK 1.01 INPUTS'!Q63+'CPIF CLIN 0002-TASK 1.02 INPUTS'!Q63+'CPIF CLIN 0002-TASK 1.03 INPUTS'!Q63</f>
        <v>0</v>
      </c>
    </row>
    <row r="57" spans="1:17" x14ac:dyDescent="0.25">
      <c r="A57" s="193"/>
      <c r="B57" s="167" t="s">
        <v>126</v>
      </c>
      <c r="C57" s="215"/>
      <c r="D57" s="243"/>
      <c r="E57" s="168">
        <f>'CPIF CLIN 0002-TASK 1.01 INPUTS'!E64+'CPIF CLIN 0002-TASK 1.02 INPUTS'!E64+'CPIF CLIN 0002-TASK 1.03 INPUTS'!E64</f>
        <v>0</v>
      </c>
      <c r="F57" s="178"/>
      <c r="G57" s="215"/>
      <c r="H57" s="243"/>
      <c r="I57" s="168">
        <f>'CPIF CLIN 0002-TASK 1.01 INPUTS'!I64+'CPIF CLIN 0002-TASK 1.02 INPUTS'!I64+'CPIF CLIN 0002-TASK 1.03 INPUTS'!I64</f>
        <v>0</v>
      </c>
      <c r="J57" s="178"/>
      <c r="K57" s="215"/>
      <c r="L57" s="243"/>
      <c r="M57" s="168">
        <f>'CPIF CLIN 0002-TASK 1.01 INPUTS'!M64+'CPIF CLIN 0002-TASK 1.02 INPUTS'!M64+'CPIF CLIN 0002-TASK 1.03 INPUTS'!M64</f>
        <v>0</v>
      </c>
      <c r="N57" s="178"/>
      <c r="O57" s="215"/>
      <c r="P57" s="243"/>
      <c r="Q57" s="168">
        <f>'CPIF CLIN 0002-TASK 1.01 INPUTS'!Q64+'CPIF CLIN 0002-TASK 1.02 INPUTS'!Q64+'CPIF CLIN 0002-TASK 1.03 INPUTS'!Q64</f>
        <v>0</v>
      </c>
    </row>
    <row r="58" spans="1:17" x14ac:dyDescent="0.25">
      <c r="A58" s="193"/>
      <c r="B58" s="167" t="s">
        <v>566</v>
      </c>
      <c r="C58" s="215"/>
      <c r="D58" s="472"/>
      <c r="E58" s="168">
        <f>'CPIF CLIN 0002-TASK 1.01 INPUTS'!E65+'CPIF CLIN 0002-TASK 1.02 INPUTS'!E65+'CPIF CLIN 0002-TASK 1.03 INPUTS'!E65</f>
        <v>0</v>
      </c>
      <c r="F58" s="165"/>
      <c r="G58" s="215"/>
      <c r="H58" s="472"/>
      <c r="I58" s="168">
        <f>'CPIF CLIN 0002-TASK 1.01 INPUTS'!I65+'CPIF CLIN 0002-TASK 1.02 INPUTS'!I65+'CPIF CLIN 0002-TASK 1.03 INPUTS'!I65</f>
        <v>0</v>
      </c>
      <c r="J58" s="165"/>
      <c r="K58" s="215"/>
      <c r="L58" s="472"/>
      <c r="M58" s="168">
        <f>'CPIF CLIN 0002-TASK 1.01 INPUTS'!M65+'CPIF CLIN 0002-TASK 1.02 INPUTS'!M65+'CPIF CLIN 0002-TASK 1.03 INPUTS'!M65</f>
        <v>0</v>
      </c>
      <c r="N58" s="165"/>
      <c r="O58" s="215"/>
      <c r="P58" s="472"/>
      <c r="Q58" s="168">
        <f>'CPIF CLIN 0002-TASK 1.01 INPUTS'!Q65+'CPIF CLIN 0002-TASK 1.02 INPUTS'!Q65+'CPIF CLIN 0002-TASK 1.03 INPUTS'!Q65</f>
        <v>0</v>
      </c>
    </row>
    <row r="59" spans="1:17" x14ac:dyDescent="0.25">
      <c r="A59" s="193"/>
      <c r="B59" s="167" t="s">
        <v>127</v>
      </c>
      <c r="C59" s="215"/>
      <c r="D59" s="354"/>
      <c r="E59" s="168">
        <f>'CPIF CLIN 0002-TASK 1.01 INPUTS'!E66+'CPIF CLIN 0002-TASK 1.02 INPUTS'!E66+'CPIF CLIN 0002-TASK 1.03 INPUTS'!E66</f>
        <v>0</v>
      </c>
      <c r="F59" s="165"/>
      <c r="G59" s="215"/>
      <c r="H59" s="354"/>
      <c r="I59" s="168">
        <f>'CPIF CLIN 0002-TASK 1.01 INPUTS'!I66+'CPIF CLIN 0002-TASK 1.02 INPUTS'!I66+'CPIF CLIN 0002-TASK 1.03 INPUTS'!I66</f>
        <v>0</v>
      </c>
      <c r="J59" s="165"/>
      <c r="K59" s="215"/>
      <c r="L59" s="354"/>
      <c r="M59" s="168">
        <f>'CPIF CLIN 0002-TASK 1.01 INPUTS'!M66+'CPIF CLIN 0002-TASK 1.02 INPUTS'!M66+'CPIF CLIN 0002-TASK 1.03 INPUTS'!M66</f>
        <v>0</v>
      </c>
      <c r="N59" s="165"/>
      <c r="O59" s="215"/>
      <c r="P59" s="354"/>
      <c r="Q59" s="168">
        <f>'CPIF CLIN 0002-TASK 1.01 INPUTS'!Q66+'CPIF CLIN 0002-TASK 1.02 INPUTS'!Q66+'CPIF CLIN 0002-TASK 1.03 INPUTS'!Q66</f>
        <v>0</v>
      </c>
    </row>
    <row r="60" spans="1:17" x14ac:dyDescent="0.25">
      <c r="A60" s="193"/>
      <c r="B60" s="241" t="s">
        <v>260</v>
      </c>
      <c r="C60" s="233"/>
      <c r="D60" s="234"/>
      <c r="E60" s="168">
        <f>ROUND(SUM(E55:E57),2)</f>
        <v>0</v>
      </c>
      <c r="F60" s="165"/>
      <c r="G60" s="233"/>
      <c r="H60" s="234"/>
      <c r="I60" s="168">
        <f>ROUND(SUM(I55:I57),2)</f>
        <v>0</v>
      </c>
      <c r="J60" s="165"/>
      <c r="K60" s="233"/>
      <c r="L60" s="234"/>
      <c r="M60" s="168">
        <f>ROUND(SUM(M55:M57),2)</f>
        <v>0</v>
      </c>
      <c r="N60" s="165"/>
      <c r="O60" s="233"/>
      <c r="P60" s="234"/>
      <c r="Q60" s="168">
        <f>ROUND(SUM(Q55:Q57),2)</f>
        <v>0</v>
      </c>
    </row>
    <row r="61" spans="1:17" x14ac:dyDescent="0.25">
      <c r="A61" s="193"/>
      <c r="B61" s="241" t="s">
        <v>137</v>
      </c>
      <c r="C61" s="231"/>
      <c r="D61" s="235"/>
      <c r="E61" s="168">
        <f>ROUND(E58,2)</f>
        <v>0</v>
      </c>
      <c r="F61" s="165"/>
      <c r="G61" s="231"/>
      <c r="H61" s="235"/>
      <c r="I61" s="168">
        <f>ROUND(I58,2)</f>
        <v>0</v>
      </c>
      <c r="J61" s="165"/>
      <c r="K61" s="231"/>
      <c r="L61" s="235"/>
      <c r="M61" s="168">
        <f>ROUND(M58,2)</f>
        <v>0</v>
      </c>
      <c r="N61" s="165"/>
      <c r="O61" s="231"/>
      <c r="P61" s="235"/>
      <c r="Q61" s="168">
        <f>ROUND(Q58,2)</f>
        <v>0</v>
      </c>
    </row>
    <row r="62" spans="1:17" x14ac:dyDescent="0.2">
      <c r="A62" s="186"/>
      <c r="B62" s="241" t="s">
        <v>136</v>
      </c>
      <c r="C62" s="231"/>
      <c r="D62" s="235"/>
      <c r="E62" s="182">
        <f>ROUND(E59,2)</f>
        <v>0</v>
      </c>
      <c r="F62" s="183"/>
      <c r="G62" s="231"/>
      <c r="H62" s="235"/>
      <c r="I62" s="182">
        <f>ROUND(I59,2)</f>
        <v>0</v>
      </c>
      <c r="J62" s="183"/>
      <c r="K62" s="231"/>
      <c r="L62" s="235"/>
      <c r="M62" s="182">
        <f>ROUND(M59,2)</f>
        <v>0</v>
      </c>
      <c r="N62" s="183"/>
      <c r="O62" s="231"/>
      <c r="P62" s="235"/>
      <c r="Q62" s="182">
        <f>ROUND(Q59,2)</f>
        <v>0</v>
      </c>
    </row>
    <row r="63" spans="1:17" ht="16.5" thickBot="1" x14ac:dyDescent="0.25">
      <c r="A63" s="186"/>
      <c r="B63" s="242" t="s">
        <v>244</v>
      </c>
      <c r="C63" s="236"/>
      <c r="D63" s="237"/>
      <c r="E63" s="160">
        <f t="shared" ref="E63" si="0">SUM(E60:E62)</f>
        <v>0</v>
      </c>
      <c r="F63" s="161"/>
      <c r="G63" s="236"/>
      <c r="H63" s="237"/>
      <c r="I63" s="160">
        <f t="shared" ref="I63" si="1">SUM(I60:I62)</f>
        <v>0</v>
      </c>
      <c r="J63" s="161"/>
      <c r="K63" s="236"/>
      <c r="L63" s="237"/>
      <c r="M63" s="160">
        <f t="shared" ref="M63" si="2">SUM(M60:M62)</f>
        <v>0</v>
      </c>
      <c r="N63" s="161"/>
      <c r="O63" s="236"/>
      <c r="P63" s="237"/>
      <c r="Q63" s="160">
        <f t="shared" ref="Q63" si="3">SUM(Q60:Q62)</f>
        <v>0</v>
      </c>
    </row>
    <row r="64" spans="1:17" ht="16.5" thickBot="1" x14ac:dyDescent="0.25">
      <c r="A64" s="186"/>
      <c r="B64" s="172"/>
      <c r="E64" s="194" t="s">
        <v>5</v>
      </c>
      <c r="F64" s="187"/>
      <c r="I64" s="194" t="s">
        <v>5</v>
      </c>
      <c r="J64" s="187"/>
      <c r="N64" s="187"/>
    </row>
    <row r="65" spans="1:19" ht="16.5" thickBot="1" x14ac:dyDescent="0.3">
      <c r="A65" s="186"/>
      <c r="B65" s="628" t="str">
        <f>B52</f>
        <v>CLIN 0002 (CPIF)                                                     TOTAL</v>
      </c>
      <c r="C65" s="614" t="s">
        <v>319</v>
      </c>
      <c r="D65" s="615"/>
      <c r="E65" s="616"/>
      <c r="F65" s="175"/>
      <c r="G65" s="614" t="s">
        <v>319</v>
      </c>
      <c r="H65" s="615"/>
      <c r="I65" s="616"/>
      <c r="J65" s="175"/>
      <c r="K65" s="614" t="s">
        <v>319</v>
      </c>
      <c r="L65" s="615"/>
      <c r="M65" s="616"/>
      <c r="N65" s="175"/>
      <c r="O65" s="614" t="s">
        <v>319</v>
      </c>
      <c r="P65" s="615"/>
      <c r="Q65" s="616"/>
    </row>
    <row r="66" spans="1:19" ht="33.75" customHeight="1" thickBot="1" x14ac:dyDescent="0.3">
      <c r="A66" s="186"/>
      <c r="B66" s="629"/>
      <c r="C66" s="280"/>
      <c r="D66" s="281"/>
      <c r="E66" s="188" t="s">
        <v>344</v>
      </c>
      <c r="F66" s="189"/>
      <c r="G66" s="280"/>
      <c r="H66" s="281"/>
      <c r="I66" s="188" t="s">
        <v>347</v>
      </c>
      <c r="J66" s="189"/>
      <c r="K66" s="280"/>
      <c r="L66" s="281"/>
      <c r="M66" s="188" t="s">
        <v>346</v>
      </c>
      <c r="N66" s="189"/>
      <c r="O66" s="280"/>
      <c r="P66" s="281"/>
      <c r="Q66" s="188" t="s">
        <v>345</v>
      </c>
      <c r="S66" s="480" t="s">
        <v>21</v>
      </c>
    </row>
    <row r="67" spans="1:19" x14ac:dyDescent="0.2">
      <c r="A67" s="186"/>
      <c r="B67" s="167" t="s">
        <v>261</v>
      </c>
      <c r="C67" s="282"/>
      <c r="D67" s="282"/>
      <c r="E67" s="190">
        <f>+ROUND(E21+E34+E47+E60,2)</f>
        <v>0</v>
      </c>
      <c r="F67" s="165"/>
      <c r="G67" s="282"/>
      <c r="H67" s="282"/>
      <c r="I67" s="190">
        <f>+ROUND(I21+I34+I47+I60,2)</f>
        <v>0</v>
      </c>
      <c r="J67" s="165"/>
      <c r="K67" s="282"/>
      <c r="L67" s="282"/>
      <c r="M67" s="190">
        <f>+ROUND(M21+M34+M47+M60,2)</f>
        <v>0</v>
      </c>
      <c r="N67" s="165"/>
      <c r="O67" s="282"/>
      <c r="P67" s="282"/>
      <c r="Q67" s="190">
        <f>+ROUND(Q21+Q34+Q47+Q60,2)</f>
        <v>0</v>
      </c>
      <c r="S67" s="470">
        <f>E67+I67+M67+Q67</f>
        <v>0</v>
      </c>
    </row>
    <row r="68" spans="1:19" x14ac:dyDescent="0.2">
      <c r="A68" s="186"/>
      <c r="B68" s="167" t="s">
        <v>137</v>
      </c>
      <c r="C68" s="282"/>
      <c r="D68" s="282"/>
      <c r="E68" s="168">
        <f>+ROUND(E22+E35+E48+E61,2)</f>
        <v>0</v>
      </c>
      <c r="F68" s="165"/>
      <c r="G68" s="282"/>
      <c r="H68" s="282"/>
      <c r="I68" s="168">
        <f>+ROUND(I22+I35+I48+I61,2)</f>
        <v>0</v>
      </c>
      <c r="J68" s="165"/>
      <c r="K68" s="282"/>
      <c r="L68" s="282"/>
      <c r="M68" s="168">
        <f>+ROUND(M22+M35+M48+M61,2)</f>
        <v>0</v>
      </c>
      <c r="N68" s="165"/>
      <c r="O68" s="282"/>
      <c r="P68" s="282"/>
      <c r="Q68" s="168">
        <f>+ROUND(Q22+Q35+Q48+Q61,2)</f>
        <v>0</v>
      </c>
      <c r="S68" s="470">
        <f t="shared" ref="S68:S70" si="4">E68+I68+M68+Q68</f>
        <v>0</v>
      </c>
    </row>
    <row r="69" spans="1:19" x14ac:dyDescent="0.2">
      <c r="A69" s="186"/>
      <c r="B69" s="167" t="s">
        <v>136</v>
      </c>
      <c r="C69" s="282"/>
      <c r="D69" s="282"/>
      <c r="E69" s="169">
        <f>+ROUND(E23+E36+E49+E62,2)</f>
        <v>0</v>
      </c>
      <c r="F69" s="170"/>
      <c r="G69" s="282"/>
      <c r="H69" s="282"/>
      <c r="I69" s="169">
        <f>+ROUND(I23+I36+I49+I62,2)</f>
        <v>0</v>
      </c>
      <c r="J69" s="170"/>
      <c r="K69" s="282"/>
      <c r="L69" s="282"/>
      <c r="M69" s="169">
        <f>+ROUND(M23+M36+M49+M62,2)</f>
        <v>0</v>
      </c>
      <c r="N69" s="170"/>
      <c r="O69" s="282"/>
      <c r="P69" s="282"/>
      <c r="Q69" s="169">
        <f>+ROUND(Q23+Q36+Q49+Q62,2)</f>
        <v>0</v>
      </c>
      <c r="S69" s="470">
        <f t="shared" si="4"/>
        <v>0</v>
      </c>
    </row>
    <row r="70" spans="1:19" ht="18" customHeight="1" thickBot="1" x14ac:dyDescent="0.3">
      <c r="A70" s="186"/>
      <c r="B70" s="267" t="s">
        <v>351</v>
      </c>
      <c r="C70" s="283"/>
      <c r="D70" s="283"/>
      <c r="E70" s="266">
        <f>SUM(E67:E69)</f>
        <v>0</v>
      </c>
      <c r="F70" s="171"/>
      <c r="G70" s="283"/>
      <c r="H70" s="283"/>
      <c r="I70" s="266">
        <f>SUM(I67:I69)</f>
        <v>0</v>
      </c>
      <c r="J70" s="171"/>
      <c r="K70" s="283"/>
      <c r="L70" s="283"/>
      <c r="M70" s="266">
        <f>SUM(M67:M69)</f>
        <v>0</v>
      </c>
      <c r="N70" s="171"/>
      <c r="O70" s="283"/>
      <c r="P70" s="283"/>
      <c r="Q70" s="266">
        <f>SUM(Q67:Q69)</f>
        <v>0</v>
      </c>
      <c r="S70" s="479">
        <f t="shared" si="4"/>
        <v>0</v>
      </c>
    </row>
    <row r="71" spans="1:19" ht="16.5" thickBot="1" x14ac:dyDescent="0.3"/>
    <row r="72" spans="1:19" ht="95.25" thickBot="1" x14ac:dyDescent="0.3">
      <c r="D72" s="194"/>
      <c r="P72" s="408" t="s">
        <v>392</v>
      </c>
      <c r="Q72" s="409">
        <f>E70+I70+M70+Q70</f>
        <v>0</v>
      </c>
    </row>
    <row r="73" spans="1:19" x14ac:dyDescent="0.25">
      <c r="E73" s="194"/>
      <c r="F73" s="194"/>
      <c r="G73" s="194"/>
      <c r="H73" s="194"/>
      <c r="I73" s="194"/>
      <c r="J73" s="194"/>
      <c r="K73" s="194"/>
      <c r="L73" s="194"/>
      <c r="M73" s="194"/>
      <c r="N73" s="194"/>
      <c r="O73" s="194"/>
      <c r="P73" s="194"/>
      <c r="Q73" s="194" t="s">
        <v>5</v>
      </c>
      <c r="R73" s="470" t="s">
        <v>5</v>
      </c>
    </row>
    <row r="74" spans="1:19" x14ac:dyDescent="0.25">
      <c r="E74" s="470"/>
      <c r="I74" s="470"/>
      <c r="M74" s="470"/>
      <c r="P74" s="481" t="s">
        <v>22</v>
      </c>
      <c r="Q74" s="482">
        <f>'CPIF CLIN 0002-TASK 1.01 INPUTS'!Q80+'CPIF CLIN 0002-TASK 1.02 INPUTS'!Q80+'CPIF CLIN 0002-TASK 1.03 INPUTS'!Q80</f>
        <v>0</v>
      </c>
    </row>
  </sheetData>
  <mergeCells count="42">
    <mergeCell ref="B52:B53"/>
    <mergeCell ref="C52:E52"/>
    <mergeCell ref="G52:I52"/>
    <mergeCell ref="K52:M52"/>
    <mergeCell ref="B65:B66"/>
    <mergeCell ref="C65:E65"/>
    <mergeCell ref="G65:I65"/>
    <mergeCell ref="K65:M65"/>
    <mergeCell ref="C53:E53"/>
    <mergeCell ref="G53:I53"/>
    <mergeCell ref="K53:M53"/>
    <mergeCell ref="B26:B27"/>
    <mergeCell ref="C26:E26"/>
    <mergeCell ref="G26:I26"/>
    <mergeCell ref="K26:M26"/>
    <mergeCell ref="C27:E27"/>
    <mergeCell ref="G27:I27"/>
    <mergeCell ref="K27:M27"/>
    <mergeCell ref="C10:E10"/>
    <mergeCell ref="G10:I10"/>
    <mergeCell ref="K10:M10"/>
    <mergeCell ref="A3:C3"/>
    <mergeCell ref="B9:B10"/>
    <mergeCell ref="C9:E9"/>
    <mergeCell ref="G9:I9"/>
    <mergeCell ref="K9:M9"/>
    <mergeCell ref="B39:B40"/>
    <mergeCell ref="C39:E39"/>
    <mergeCell ref="G39:I39"/>
    <mergeCell ref="K39:M39"/>
    <mergeCell ref="C40:E40"/>
    <mergeCell ref="G40:I40"/>
    <mergeCell ref="K40:M40"/>
    <mergeCell ref="O52:Q52"/>
    <mergeCell ref="O53:Q53"/>
    <mergeCell ref="O65:Q65"/>
    <mergeCell ref="O9:Q9"/>
    <mergeCell ref="O10:Q10"/>
    <mergeCell ref="O26:Q26"/>
    <mergeCell ref="O27:Q27"/>
    <mergeCell ref="O39:Q39"/>
    <mergeCell ref="O40:Q40"/>
  </mergeCell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A39316-14C3-4A79-8884-7F7406022B60}">
  <dimension ref="A1:W740"/>
  <sheetViews>
    <sheetView zoomScale="90" zoomScaleNormal="90" workbookViewId="0">
      <pane xSplit="3" topLeftCell="D1" activePane="topRight" state="frozen"/>
      <selection pane="topRight" activeCell="I23" sqref="I23"/>
    </sheetView>
    <sheetView workbookViewId="1"/>
  </sheetViews>
  <sheetFormatPr defaultColWidth="9.140625" defaultRowHeight="15" x14ac:dyDescent="0.25"/>
  <cols>
    <col min="1" max="1" width="20.5703125" style="47" customWidth="1"/>
    <col min="2" max="2" width="9.28515625" style="48" customWidth="1"/>
    <col min="3" max="3" width="52.28515625" style="48" bestFit="1" customWidth="1"/>
    <col min="4" max="4" width="7.5703125" style="5" customWidth="1"/>
    <col min="5" max="5" width="12.28515625" style="10" customWidth="1"/>
    <col min="6" max="6" width="15.7109375" style="10" customWidth="1"/>
    <col min="7" max="7" width="18.140625" style="10" customWidth="1"/>
    <col min="8" max="8" width="2.42578125" style="5" customWidth="1"/>
    <col min="9" max="9" width="12.28515625" style="10" bestFit="1" customWidth="1"/>
    <col min="10" max="10" width="15.7109375" style="49" customWidth="1"/>
    <col min="11" max="11" width="17" style="50" customWidth="1"/>
    <col min="12" max="12" width="1.7109375" style="5" customWidth="1"/>
    <col min="13" max="13" width="12.28515625" style="10" bestFit="1" customWidth="1"/>
    <col min="14" max="14" width="15.7109375" style="49" customWidth="1"/>
    <col min="15" max="15" width="20.7109375" style="50" customWidth="1"/>
    <col min="16" max="16" width="1.7109375" style="5" customWidth="1"/>
    <col min="17" max="17" width="12.28515625" style="10" customWidth="1"/>
    <col min="18" max="18" width="15.7109375" style="49" customWidth="1"/>
    <col min="19" max="19" width="20.7109375" style="50" customWidth="1"/>
    <col min="20" max="20" width="1.140625" style="30" customWidth="1"/>
    <col min="21" max="21" width="22.7109375" style="10" customWidth="1"/>
    <col min="22" max="22" width="18.28515625" style="51" customWidth="1"/>
    <col min="23" max="23" width="15.7109375" style="10" customWidth="1"/>
    <col min="24" max="16384" width="9.140625" style="10"/>
  </cols>
  <sheetData>
    <row r="1" spans="1:23" ht="15.75" thickBot="1" x14ac:dyDescent="0.3">
      <c r="B1" s="126" t="s">
        <v>626</v>
      </c>
      <c r="C1" s="492" t="str">
        <f>'FFP CLINs X007-X021'!B1</f>
        <v>NAME</v>
      </c>
      <c r="J1" s="32"/>
      <c r="N1" s="32"/>
      <c r="R1" s="32"/>
      <c r="V1" s="30"/>
    </row>
    <row r="2" spans="1:23" x14ac:dyDescent="0.25">
      <c r="A2" s="126"/>
      <c r="B2" s="270"/>
      <c r="C2" s="270"/>
      <c r="J2" s="32"/>
      <c r="N2" s="32"/>
      <c r="R2" s="32"/>
      <c r="V2" s="30"/>
    </row>
    <row r="3" spans="1:23" x14ac:dyDescent="0.25">
      <c r="A3" s="402" t="s">
        <v>528</v>
      </c>
      <c r="B3" s="270"/>
      <c r="C3" s="270"/>
      <c r="J3" s="32"/>
      <c r="N3" s="32"/>
      <c r="R3" s="32"/>
      <c r="V3" s="30"/>
    </row>
    <row r="4" spans="1:23" ht="15.75" thickBot="1" x14ac:dyDescent="0.3">
      <c r="J4" s="32"/>
      <c r="N4" s="32"/>
      <c r="R4" s="32"/>
      <c r="V4" s="30"/>
    </row>
    <row r="5" spans="1:23" ht="48" customHeight="1" thickBot="1" x14ac:dyDescent="0.3">
      <c r="A5" s="557" t="s">
        <v>361</v>
      </c>
      <c r="B5" s="558"/>
      <c r="C5" s="559"/>
      <c r="D5" s="8"/>
      <c r="E5" s="571" t="s">
        <v>291</v>
      </c>
      <c r="F5" s="572"/>
      <c r="G5" s="573"/>
      <c r="H5" s="8"/>
      <c r="I5" s="571" t="s">
        <v>305</v>
      </c>
      <c r="J5" s="572"/>
      <c r="K5" s="573"/>
      <c r="L5" s="8"/>
      <c r="M5" s="571" t="s">
        <v>292</v>
      </c>
      <c r="N5" s="572"/>
      <c r="O5" s="573"/>
      <c r="P5" s="8"/>
      <c r="Q5" s="571" t="s">
        <v>293</v>
      </c>
      <c r="R5" s="572"/>
      <c r="S5" s="573"/>
      <c r="T5" s="6"/>
      <c r="U5" s="8"/>
      <c r="V5" s="9"/>
    </row>
    <row r="6" spans="1:23" ht="45" x14ac:dyDescent="0.25">
      <c r="A6" s="430" t="s">
        <v>559</v>
      </c>
      <c r="B6" s="68" t="s">
        <v>5</v>
      </c>
      <c r="C6" s="69"/>
      <c r="D6" s="98" t="s">
        <v>150</v>
      </c>
      <c r="E6" s="103" t="s">
        <v>254</v>
      </c>
      <c r="F6" s="72" t="s">
        <v>11</v>
      </c>
      <c r="G6" s="322" t="s">
        <v>131</v>
      </c>
      <c r="H6" s="99"/>
      <c r="I6" s="103" t="s">
        <v>254</v>
      </c>
      <c r="J6" s="72" t="s">
        <v>11</v>
      </c>
      <c r="K6" s="322" t="s">
        <v>131</v>
      </c>
      <c r="L6" s="99"/>
      <c r="M6" s="103" t="s">
        <v>254</v>
      </c>
      <c r="N6" s="72" t="s">
        <v>11</v>
      </c>
      <c r="O6" s="383" t="s">
        <v>131</v>
      </c>
      <c r="P6" s="99"/>
      <c r="Q6" s="103" t="s">
        <v>254</v>
      </c>
      <c r="R6" s="72" t="s">
        <v>11</v>
      </c>
      <c r="S6" s="383" t="s">
        <v>131</v>
      </c>
      <c r="T6" s="6"/>
      <c r="U6" s="94" t="s">
        <v>362</v>
      </c>
      <c r="V6" s="10"/>
    </row>
    <row r="7" spans="1:23" ht="17.25" customHeight="1" x14ac:dyDescent="0.25">
      <c r="A7" s="371" t="s">
        <v>109</v>
      </c>
      <c r="B7" s="458" t="s">
        <v>276</v>
      </c>
      <c r="C7" s="119" t="s">
        <v>256</v>
      </c>
      <c r="D7" s="99"/>
      <c r="E7" s="103"/>
      <c r="F7" s="72"/>
      <c r="G7" s="322"/>
      <c r="H7" s="99"/>
      <c r="I7" s="103"/>
      <c r="J7" s="72"/>
      <c r="K7" s="322"/>
      <c r="L7" s="99"/>
      <c r="M7" s="103"/>
      <c r="N7" s="72"/>
      <c r="O7" s="322"/>
      <c r="P7" s="99"/>
      <c r="Q7" s="103"/>
      <c r="R7" s="391"/>
      <c r="S7" s="322"/>
      <c r="T7" s="6"/>
      <c r="U7" s="268"/>
      <c r="V7" s="10"/>
    </row>
    <row r="8" spans="1:23" x14ac:dyDescent="0.25">
      <c r="A8" s="122">
        <v>1.01</v>
      </c>
      <c r="B8" s="17"/>
      <c r="C8" s="125" t="s">
        <v>160</v>
      </c>
      <c r="D8" s="320" t="s">
        <v>70</v>
      </c>
      <c r="E8" s="323">
        <v>1</v>
      </c>
      <c r="F8" s="89">
        <f>'CPIF CLIN 0003-TASK 1.01 INPUTS'!E77</f>
        <v>0</v>
      </c>
      <c r="G8" s="106">
        <f>ROUND(E8*F8,2)</f>
        <v>0</v>
      </c>
      <c r="H8" s="390"/>
      <c r="I8" s="323">
        <v>1</v>
      </c>
      <c r="J8" s="89">
        <f>'CPIF CLIN 0003-TASK 1.01 INPUTS'!I77</f>
        <v>0</v>
      </c>
      <c r="K8" s="106">
        <f>ROUND(I8*J8,2)</f>
        <v>0</v>
      </c>
      <c r="L8" s="390"/>
      <c r="M8" s="323">
        <v>1</v>
      </c>
      <c r="N8" s="89">
        <f>'CPIF CLIN 0003-TASK 1.01 INPUTS'!M77</f>
        <v>0</v>
      </c>
      <c r="O8" s="106">
        <f>ROUND(M8*N8,2)</f>
        <v>0</v>
      </c>
      <c r="P8" s="384"/>
      <c r="Q8" s="385">
        <v>1</v>
      </c>
      <c r="R8" s="382">
        <f>'CPIF CLIN 0003-TASK 1.01 INPUTS'!Q77</f>
        <v>0</v>
      </c>
      <c r="S8" s="106">
        <f>ROUND(Q8*R8,2)</f>
        <v>0</v>
      </c>
      <c r="T8" s="6"/>
      <c r="U8" s="19">
        <f>G8+K8+O8+S8</f>
        <v>0</v>
      </c>
      <c r="V8" s="10"/>
    </row>
    <row r="9" spans="1:23" x14ac:dyDescent="0.25">
      <c r="A9" s="121">
        <v>1.02</v>
      </c>
      <c r="B9" s="119"/>
      <c r="C9" s="125" t="s">
        <v>161</v>
      </c>
      <c r="D9" s="321" t="s">
        <v>70</v>
      </c>
      <c r="E9" s="323">
        <v>1</v>
      </c>
      <c r="F9" s="89">
        <f>'CPIF CLIN 0003-TASK 1.02 INPUTS'!E77</f>
        <v>0</v>
      </c>
      <c r="G9" s="106">
        <f>ROUND(E9*F9,2)</f>
        <v>0</v>
      </c>
      <c r="H9" s="390"/>
      <c r="I9" s="323">
        <v>1</v>
      </c>
      <c r="J9" s="89">
        <f>'CPIF CLIN 0003-TASK 1.02 INPUTS'!I77</f>
        <v>0</v>
      </c>
      <c r="K9" s="106">
        <f>ROUND(I9*J9,2)</f>
        <v>0</v>
      </c>
      <c r="L9" s="390"/>
      <c r="M9" s="323">
        <v>1</v>
      </c>
      <c r="N9" s="89">
        <f>'CPIF CLIN 0003-TASK 1.02 INPUTS'!M77</f>
        <v>0</v>
      </c>
      <c r="O9" s="106">
        <f>ROUND(M9*N9,2)</f>
        <v>0</v>
      </c>
      <c r="P9" s="384"/>
      <c r="Q9" s="385">
        <v>1</v>
      </c>
      <c r="R9" s="382">
        <f>'CPIF CLIN 0003-TASK 1.02 INPUTS'!Q77</f>
        <v>0</v>
      </c>
      <c r="S9" s="106">
        <f>ROUND(Q9*R9,2)</f>
        <v>0</v>
      </c>
      <c r="T9" s="6"/>
      <c r="U9" s="19">
        <f t="shared" ref="U9:U11" si="0">G9+K9+O9+S9</f>
        <v>0</v>
      </c>
      <c r="V9" s="10"/>
    </row>
    <row r="10" spans="1:23" x14ac:dyDescent="0.25">
      <c r="A10" s="123">
        <v>1.03</v>
      </c>
      <c r="B10" s="65"/>
      <c r="C10" s="125" t="s">
        <v>162</v>
      </c>
      <c r="D10" s="313" t="s">
        <v>70</v>
      </c>
      <c r="E10" s="323">
        <v>1</v>
      </c>
      <c r="F10" s="89">
        <f>'CPIF CLIN 0003-TASK 1.03 INPUTS'!E77</f>
        <v>0</v>
      </c>
      <c r="G10" s="106">
        <f>ROUND(E10*F10,2)</f>
        <v>0</v>
      </c>
      <c r="H10" s="390"/>
      <c r="I10" s="323">
        <v>1</v>
      </c>
      <c r="J10" s="89">
        <f>'CPIF CLIN 0003-TASK 1.03 INPUTS'!I77</f>
        <v>0</v>
      </c>
      <c r="K10" s="106">
        <f>ROUND(I10*J10,2)</f>
        <v>0</v>
      </c>
      <c r="L10" s="390"/>
      <c r="M10" s="323">
        <v>1</v>
      </c>
      <c r="N10" s="89">
        <f>'CPIF CLIN 0003-TASK 1.03 INPUTS'!M77</f>
        <v>0</v>
      </c>
      <c r="O10" s="106">
        <f>ROUND(M10*N10,2)</f>
        <v>0</v>
      </c>
      <c r="P10" s="384"/>
      <c r="Q10" s="385">
        <v>1</v>
      </c>
      <c r="R10" s="382">
        <f>'CPIF CLIN 0003-TASK 1.03 INPUTS'!Q77</f>
        <v>0</v>
      </c>
      <c r="S10" s="106">
        <f>ROUND(Q10*R10,2)</f>
        <v>0</v>
      </c>
      <c r="T10" s="6"/>
      <c r="U10" s="19">
        <f t="shared" si="0"/>
        <v>0</v>
      </c>
      <c r="V10" s="10"/>
    </row>
    <row r="11" spans="1:23" ht="15.75" thickBot="1" x14ac:dyDescent="0.3">
      <c r="A11" s="123">
        <v>1.04</v>
      </c>
      <c r="B11" s="65"/>
      <c r="C11" s="125" t="s">
        <v>106</v>
      </c>
      <c r="D11" s="313" t="s">
        <v>70</v>
      </c>
      <c r="E11" s="324">
        <v>1</v>
      </c>
      <c r="F11" s="110">
        <f>'CPIF CLIN 0003-TASK 1.04 INPUTS'!E77</f>
        <v>0</v>
      </c>
      <c r="G11" s="111">
        <f>ROUND(E11*F11,2)</f>
        <v>0</v>
      </c>
      <c r="H11" s="390"/>
      <c r="I11" s="324">
        <v>1</v>
      </c>
      <c r="J11" s="110">
        <f>'CPIF CLIN 0003-TASK 1.04 INPUTS'!I77</f>
        <v>0</v>
      </c>
      <c r="K11" s="111">
        <f>ROUND(I11*J11,2)</f>
        <v>0</v>
      </c>
      <c r="L11" s="390"/>
      <c r="M11" s="324">
        <v>1</v>
      </c>
      <c r="N11" s="110">
        <f>'CPIF CLIN 0003-TASK 1.04 INPUTS'!M77</f>
        <v>0</v>
      </c>
      <c r="O11" s="111">
        <f>ROUND(M11*N11,2)</f>
        <v>0</v>
      </c>
      <c r="P11" s="384"/>
      <c r="Q11" s="385">
        <v>1</v>
      </c>
      <c r="R11" s="389">
        <f>'CPIF CLIN 0003-TASK 1.04 INPUTS'!Q77</f>
        <v>0</v>
      </c>
      <c r="S11" s="111">
        <f>ROUND(Q11*R11,2)</f>
        <v>0</v>
      </c>
      <c r="T11" s="6"/>
      <c r="U11" s="19">
        <f t="shared" si="0"/>
        <v>0</v>
      </c>
      <c r="V11" s="10"/>
    </row>
    <row r="12" spans="1:23" ht="31.5" customHeight="1" thickBot="1" x14ac:dyDescent="0.3">
      <c r="A12" s="7"/>
      <c r="B12" s="21"/>
      <c r="C12" s="11"/>
      <c r="D12" s="22"/>
      <c r="E12" s="20"/>
      <c r="F12" s="327" t="s">
        <v>363</v>
      </c>
      <c r="G12" s="102">
        <f>SUM(G8:G11)</f>
        <v>0</v>
      </c>
      <c r="H12" s="22"/>
      <c r="J12" s="327" t="s">
        <v>364</v>
      </c>
      <c r="K12" s="102">
        <f>SUM(K8:K11)</f>
        <v>0</v>
      </c>
      <c r="L12" s="22"/>
      <c r="M12" s="25"/>
      <c r="N12" s="327" t="s">
        <v>365</v>
      </c>
      <c r="O12" s="102">
        <f>SUM(O8:O11)</f>
        <v>0</v>
      </c>
      <c r="P12" s="22"/>
      <c r="R12" s="327" t="s">
        <v>366</v>
      </c>
      <c r="S12" s="102">
        <f>SUM(S8:S11)</f>
        <v>0</v>
      </c>
      <c r="T12" s="27"/>
      <c r="U12" s="90">
        <f>SUM(U8:U11)</f>
        <v>0</v>
      </c>
      <c r="V12" s="370" t="s">
        <v>362</v>
      </c>
      <c r="W12" s="30"/>
    </row>
    <row r="13" spans="1:23" s="30" customFormat="1" ht="15.75" thickBot="1" x14ac:dyDescent="0.3">
      <c r="A13" s="36"/>
      <c r="B13" s="31"/>
      <c r="C13" s="31"/>
      <c r="D13" s="32"/>
      <c r="H13" s="32"/>
      <c r="J13" s="32"/>
      <c r="K13" s="41"/>
      <c r="L13" s="32"/>
      <c r="N13" s="32"/>
      <c r="O13" s="41"/>
      <c r="P13" s="32"/>
      <c r="R13" s="32"/>
      <c r="S13" s="41"/>
    </row>
    <row r="14" spans="1:23" s="30" customFormat="1" ht="15.75" thickBot="1" x14ac:dyDescent="0.3">
      <c r="A14" s="36"/>
      <c r="B14" s="31"/>
      <c r="C14" s="31"/>
      <c r="D14" s="32"/>
      <c r="H14" s="32"/>
      <c r="J14" s="32"/>
      <c r="K14" s="41"/>
      <c r="L14" s="32"/>
      <c r="N14" s="32"/>
      <c r="O14" s="41"/>
      <c r="P14" s="32"/>
      <c r="R14" s="32"/>
      <c r="S14" s="41"/>
      <c r="U14" s="90">
        <f>G12+K12+O12+S12</f>
        <v>0</v>
      </c>
      <c r="V14" s="91" t="s">
        <v>22</v>
      </c>
    </row>
    <row r="15" spans="1:23" s="30" customFormat="1" x14ac:dyDescent="0.25">
      <c r="A15" s="36"/>
      <c r="B15" s="31"/>
      <c r="C15" s="31"/>
      <c r="D15" s="32"/>
      <c r="H15" s="32"/>
      <c r="J15" s="32"/>
      <c r="K15" s="41"/>
      <c r="L15" s="32"/>
      <c r="N15" s="32"/>
      <c r="O15" s="41"/>
      <c r="P15" s="32"/>
      <c r="R15" s="32"/>
      <c r="S15" s="41"/>
      <c r="U15" s="44">
        <f>U12-U14</f>
        <v>0</v>
      </c>
      <c r="V15" s="45" t="s">
        <v>23</v>
      </c>
    </row>
    <row r="16" spans="1:23" s="30" customFormat="1" x14ac:dyDescent="0.25">
      <c r="A16" s="36"/>
      <c r="B16" s="31"/>
      <c r="C16" s="31"/>
      <c r="D16" s="32"/>
      <c r="H16" s="32"/>
      <c r="J16" s="32"/>
      <c r="K16" s="41"/>
      <c r="L16" s="32"/>
      <c r="N16" s="32"/>
      <c r="O16" s="41"/>
      <c r="P16" s="32"/>
      <c r="R16" s="32"/>
      <c r="S16" s="41"/>
    </row>
    <row r="17" spans="1:19" s="30" customFormat="1" x14ac:dyDescent="0.25">
      <c r="A17" s="36"/>
      <c r="B17" s="31"/>
      <c r="C17" s="31"/>
      <c r="D17" s="32"/>
      <c r="H17" s="32"/>
      <c r="J17" s="32"/>
      <c r="K17" s="41"/>
      <c r="L17" s="32"/>
      <c r="N17" s="32"/>
      <c r="O17" s="41"/>
      <c r="P17" s="32"/>
      <c r="R17" s="32"/>
      <c r="S17" s="41"/>
    </row>
    <row r="18" spans="1:19" s="30" customFormat="1" x14ac:dyDescent="0.25">
      <c r="A18" s="36"/>
      <c r="B18" s="31"/>
      <c r="C18" s="31"/>
      <c r="D18" s="32"/>
      <c r="H18" s="32"/>
      <c r="J18" s="32"/>
      <c r="K18" s="41"/>
      <c r="L18" s="32"/>
      <c r="N18" s="32"/>
      <c r="O18" s="41"/>
      <c r="P18" s="32"/>
      <c r="R18" s="32"/>
      <c r="S18" s="41"/>
    </row>
    <row r="19" spans="1:19" s="30" customFormat="1" x14ac:dyDescent="0.25">
      <c r="A19" s="36"/>
      <c r="B19" s="31"/>
      <c r="C19" s="31"/>
      <c r="D19" s="32"/>
      <c r="H19" s="32"/>
      <c r="J19" s="32"/>
      <c r="K19" s="41"/>
      <c r="L19" s="32"/>
      <c r="N19" s="32"/>
      <c r="O19" s="41"/>
      <c r="P19" s="32"/>
      <c r="R19" s="32"/>
      <c r="S19" s="41"/>
    </row>
    <row r="20" spans="1:19" s="30" customFormat="1" x14ac:dyDescent="0.25">
      <c r="A20" s="36"/>
      <c r="B20" s="31"/>
      <c r="C20" s="31"/>
      <c r="D20" s="32"/>
      <c r="H20" s="32"/>
      <c r="J20" s="32"/>
      <c r="K20" s="41"/>
      <c r="L20" s="32"/>
      <c r="N20" s="32"/>
      <c r="O20" s="41"/>
      <c r="P20" s="32"/>
      <c r="R20" s="32"/>
      <c r="S20" s="41"/>
    </row>
    <row r="21" spans="1:19" s="30" customFormat="1" x14ac:dyDescent="0.25">
      <c r="A21" s="36"/>
      <c r="B21" s="31"/>
      <c r="C21" s="31"/>
      <c r="D21" s="32"/>
      <c r="H21" s="32"/>
      <c r="J21" s="32"/>
      <c r="K21" s="41"/>
      <c r="L21" s="32"/>
      <c r="N21" s="32"/>
      <c r="O21" s="41"/>
      <c r="P21" s="32"/>
      <c r="R21" s="32"/>
      <c r="S21" s="41"/>
    </row>
    <row r="22" spans="1:19" s="30" customFormat="1" x14ac:dyDescent="0.25">
      <c r="A22" s="36"/>
      <c r="B22" s="31"/>
      <c r="C22" s="31"/>
      <c r="D22" s="32"/>
      <c r="H22" s="32"/>
      <c r="J22" s="32"/>
      <c r="K22" s="41"/>
      <c r="L22" s="32"/>
      <c r="N22" s="32"/>
      <c r="O22" s="41"/>
      <c r="P22" s="32"/>
      <c r="R22" s="32"/>
      <c r="S22" s="41"/>
    </row>
    <row r="23" spans="1:19" s="30" customFormat="1" x14ac:dyDescent="0.25">
      <c r="A23" s="36"/>
      <c r="B23" s="31"/>
      <c r="C23" s="31"/>
      <c r="D23" s="32"/>
      <c r="H23" s="32"/>
      <c r="J23" s="32"/>
      <c r="K23" s="41"/>
      <c r="L23" s="32"/>
      <c r="N23" s="32"/>
      <c r="O23" s="41"/>
      <c r="P23" s="32"/>
      <c r="R23" s="32"/>
      <c r="S23" s="41"/>
    </row>
    <row r="24" spans="1:19" s="30" customFormat="1" x14ac:dyDescent="0.25">
      <c r="A24" s="36"/>
      <c r="B24" s="31"/>
      <c r="C24" s="31"/>
      <c r="D24" s="32"/>
      <c r="H24" s="32"/>
      <c r="J24" s="32"/>
      <c r="K24" s="41"/>
      <c r="L24" s="32"/>
      <c r="N24" s="32"/>
      <c r="O24" s="41"/>
      <c r="P24" s="32"/>
      <c r="R24" s="32"/>
      <c r="S24" s="41"/>
    </row>
    <row r="25" spans="1:19" s="30" customFormat="1" x14ac:dyDescent="0.25">
      <c r="A25" s="36"/>
      <c r="B25" s="31"/>
      <c r="C25" s="31"/>
      <c r="D25" s="32"/>
      <c r="H25" s="32"/>
      <c r="J25" s="32"/>
      <c r="K25" s="41"/>
      <c r="L25" s="32"/>
      <c r="N25" s="32"/>
      <c r="O25" s="41"/>
      <c r="P25" s="32"/>
      <c r="R25" s="32"/>
      <c r="S25" s="41"/>
    </row>
    <row r="26" spans="1:19" s="30" customFormat="1" x14ac:dyDescent="0.25">
      <c r="A26" s="36"/>
      <c r="B26" s="31"/>
      <c r="C26" s="31"/>
      <c r="D26" s="32"/>
      <c r="H26" s="32"/>
      <c r="J26" s="32"/>
      <c r="K26" s="41"/>
      <c r="L26" s="32"/>
      <c r="N26" s="32"/>
      <c r="O26" s="41"/>
      <c r="P26" s="32"/>
      <c r="R26" s="32"/>
      <c r="S26" s="41"/>
    </row>
    <row r="27" spans="1:19" s="30" customFormat="1" x14ac:dyDescent="0.25">
      <c r="A27" s="36"/>
      <c r="B27" s="31"/>
      <c r="C27" s="31"/>
      <c r="D27" s="32"/>
      <c r="H27" s="32"/>
      <c r="J27" s="32"/>
      <c r="K27" s="41"/>
      <c r="L27" s="32"/>
      <c r="N27" s="32"/>
      <c r="O27" s="41"/>
      <c r="P27" s="32"/>
      <c r="R27" s="32"/>
      <c r="S27" s="41"/>
    </row>
    <row r="28" spans="1:19" s="30" customFormat="1" x14ac:dyDescent="0.25">
      <c r="A28" s="36"/>
      <c r="B28" s="31"/>
      <c r="C28" s="31"/>
      <c r="D28" s="32"/>
      <c r="H28" s="32"/>
      <c r="J28" s="32"/>
      <c r="K28" s="41"/>
      <c r="L28" s="32"/>
      <c r="N28" s="32"/>
      <c r="O28" s="41"/>
      <c r="P28" s="32"/>
      <c r="R28" s="32"/>
      <c r="S28" s="41"/>
    </row>
    <row r="29" spans="1:19" s="30" customFormat="1" x14ac:dyDescent="0.25">
      <c r="A29" s="36"/>
      <c r="B29" s="31"/>
      <c r="C29" s="31"/>
      <c r="D29" s="32"/>
      <c r="H29" s="32"/>
      <c r="J29" s="32"/>
      <c r="K29" s="41"/>
      <c r="L29" s="32"/>
      <c r="N29" s="32"/>
      <c r="O29" s="41"/>
      <c r="P29" s="32"/>
      <c r="R29" s="32"/>
      <c r="S29" s="41"/>
    </row>
    <row r="30" spans="1:19" s="30" customFormat="1" x14ac:dyDescent="0.25">
      <c r="A30" s="36"/>
      <c r="B30" s="31"/>
      <c r="C30" s="31"/>
      <c r="D30" s="32"/>
      <c r="H30" s="32"/>
      <c r="J30" s="32"/>
      <c r="K30" s="41"/>
      <c r="L30" s="32"/>
      <c r="N30" s="32"/>
      <c r="O30" s="41"/>
      <c r="P30" s="32"/>
      <c r="R30" s="32"/>
      <c r="S30" s="41"/>
    </row>
    <row r="31" spans="1:19" s="30" customFormat="1" x14ac:dyDescent="0.25">
      <c r="A31" s="36"/>
      <c r="B31" s="31"/>
      <c r="C31" s="31"/>
      <c r="D31" s="32"/>
      <c r="H31" s="32"/>
      <c r="J31" s="32"/>
      <c r="K31" s="41"/>
      <c r="L31" s="32"/>
      <c r="N31" s="32"/>
      <c r="O31" s="41"/>
      <c r="P31" s="32"/>
      <c r="R31" s="32"/>
      <c r="S31" s="41"/>
    </row>
    <row r="32" spans="1:19" s="30" customFormat="1" x14ac:dyDescent="0.25">
      <c r="A32" s="36"/>
      <c r="B32" s="31"/>
      <c r="C32" s="31"/>
      <c r="D32" s="32"/>
      <c r="H32" s="32"/>
      <c r="J32" s="32"/>
      <c r="K32" s="41"/>
      <c r="L32" s="32"/>
      <c r="N32" s="32"/>
      <c r="O32" s="41"/>
      <c r="P32" s="32"/>
      <c r="R32" s="32"/>
      <c r="S32" s="41"/>
    </row>
    <row r="33" spans="1:19" s="30" customFormat="1" x14ac:dyDescent="0.25">
      <c r="A33" s="36"/>
      <c r="B33" s="31"/>
      <c r="C33" s="31"/>
      <c r="D33" s="32"/>
      <c r="H33" s="32"/>
      <c r="J33" s="32"/>
      <c r="K33" s="41"/>
      <c r="L33" s="32"/>
      <c r="N33" s="32"/>
      <c r="O33" s="41"/>
      <c r="P33" s="32"/>
      <c r="R33" s="32"/>
      <c r="S33" s="41"/>
    </row>
    <row r="34" spans="1:19" s="30" customFormat="1" x14ac:dyDescent="0.25">
      <c r="A34" s="36"/>
      <c r="B34" s="31"/>
      <c r="C34" s="31"/>
      <c r="D34" s="32"/>
      <c r="H34" s="32"/>
      <c r="J34" s="32"/>
      <c r="K34" s="41"/>
      <c r="L34" s="32"/>
      <c r="N34" s="32"/>
      <c r="O34" s="41"/>
      <c r="P34" s="32"/>
      <c r="R34" s="32"/>
      <c r="S34" s="41"/>
    </row>
    <row r="35" spans="1:19" s="30" customFormat="1" x14ac:dyDescent="0.25">
      <c r="A35" s="36"/>
      <c r="B35" s="31"/>
      <c r="C35" s="31"/>
      <c r="D35" s="32"/>
      <c r="H35" s="32"/>
      <c r="J35" s="32"/>
      <c r="K35" s="41"/>
      <c r="L35" s="32"/>
      <c r="N35" s="32"/>
      <c r="O35" s="41"/>
      <c r="P35" s="32"/>
      <c r="R35" s="32"/>
      <c r="S35" s="41"/>
    </row>
    <row r="36" spans="1:19" s="30" customFormat="1" x14ac:dyDescent="0.25">
      <c r="A36" s="36"/>
      <c r="B36" s="31"/>
      <c r="C36" s="31"/>
      <c r="D36" s="32"/>
      <c r="H36" s="32"/>
      <c r="J36" s="32"/>
      <c r="K36" s="41"/>
      <c r="L36" s="32"/>
      <c r="N36" s="32"/>
      <c r="O36" s="41"/>
      <c r="P36" s="32"/>
      <c r="R36" s="32"/>
      <c r="S36" s="41"/>
    </row>
    <row r="37" spans="1:19" s="30" customFormat="1" x14ac:dyDescent="0.25">
      <c r="A37" s="36"/>
      <c r="B37" s="31"/>
      <c r="C37" s="31"/>
      <c r="D37" s="32"/>
      <c r="H37" s="32"/>
      <c r="J37" s="32"/>
      <c r="K37" s="41"/>
      <c r="L37" s="32"/>
      <c r="N37" s="32"/>
      <c r="O37" s="41"/>
      <c r="P37" s="32"/>
      <c r="R37" s="32"/>
      <c r="S37" s="41"/>
    </row>
    <row r="38" spans="1:19" s="30" customFormat="1" x14ac:dyDescent="0.25">
      <c r="A38" s="36"/>
      <c r="B38" s="31"/>
      <c r="C38" s="31"/>
      <c r="D38" s="32"/>
      <c r="H38" s="32"/>
      <c r="J38" s="32"/>
      <c r="K38" s="41"/>
      <c r="L38" s="32"/>
      <c r="N38" s="32"/>
      <c r="O38" s="41"/>
      <c r="P38" s="32"/>
      <c r="R38" s="32"/>
      <c r="S38" s="41"/>
    </row>
    <row r="39" spans="1:19" s="30" customFormat="1" x14ac:dyDescent="0.25">
      <c r="A39" s="36"/>
      <c r="B39" s="31"/>
      <c r="C39" s="31"/>
      <c r="D39" s="32"/>
      <c r="H39" s="32"/>
      <c r="J39" s="32"/>
      <c r="K39" s="41"/>
      <c r="L39" s="32"/>
      <c r="N39" s="32"/>
      <c r="O39" s="41"/>
      <c r="P39" s="32"/>
      <c r="R39" s="32"/>
      <c r="S39" s="41"/>
    </row>
    <row r="40" spans="1:19" s="30" customFormat="1" x14ac:dyDescent="0.25">
      <c r="A40" s="36"/>
      <c r="B40" s="31"/>
      <c r="C40" s="31"/>
      <c r="D40" s="32"/>
      <c r="H40" s="32"/>
      <c r="J40" s="32"/>
      <c r="K40" s="41"/>
      <c r="L40" s="32"/>
      <c r="N40" s="32"/>
      <c r="O40" s="41"/>
      <c r="P40" s="32"/>
      <c r="R40" s="32"/>
      <c r="S40" s="41"/>
    </row>
    <row r="41" spans="1:19" s="30" customFormat="1" x14ac:dyDescent="0.25">
      <c r="A41" s="36"/>
      <c r="B41" s="31"/>
      <c r="C41" s="31"/>
      <c r="D41" s="32"/>
      <c r="H41" s="32"/>
      <c r="J41" s="32"/>
      <c r="K41" s="41"/>
      <c r="L41" s="32"/>
      <c r="N41" s="32"/>
      <c r="O41" s="41"/>
      <c r="P41" s="32"/>
      <c r="R41" s="32"/>
      <c r="S41" s="41"/>
    </row>
    <row r="42" spans="1:19" s="30" customFormat="1" x14ac:dyDescent="0.25">
      <c r="A42" s="36"/>
      <c r="B42" s="31"/>
      <c r="C42" s="31"/>
      <c r="D42" s="32"/>
      <c r="H42" s="32"/>
      <c r="J42" s="32"/>
      <c r="K42" s="41"/>
      <c r="L42" s="32"/>
      <c r="N42" s="32"/>
      <c r="O42" s="41"/>
      <c r="P42" s="32"/>
      <c r="R42" s="32"/>
      <c r="S42" s="41"/>
    </row>
    <row r="43" spans="1:19" s="30" customFormat="1" x14ac:dyDescent="0.25">
      <c r="A43" s="36"/>
      <c r="B43" s="31"/>
      <c r="C43" s="31"/>
      <c r="D43" s="32"/>
      <c r="H43" s="32"/>
      <c r="J43" s="32"/>
      <c r="K43" s="41"/>
      <c r="L43" s="32"/>
      <c r="N43" s="32"/>
      <c r="O43" s="41"/>
      <c r="P43" s="32"/>
      <c r="R43" s="32"/>
      <c r="S43" s="41"/>
    </row>
    <row r="44" spans="1:19" s="30" customFormat="1" x14ac:dyDescent="0.25">
      <c r="A44" s="36"/>
      <c r="B44" s="31"/>
      <c r="C44" s="31"/>
      <c r="D44" s="32"/>
      <c r="H44" s="32"/>
      <c r="J44" s="32"/>
      <c r="K44" s="41"/>
      <c r="L44" s="32"/>
      <c r="N44" s="32"/>
      <c r="O44" s="41"/>
      <c r="P44" s="32"/>
      <c r="R44" s="32"/>
      <c r="S44" s="41"/>
    </row>
    <row r="45" spans="1:19" s="30" customFormat="1" x14ac:dyDescent="0.25">
      <c r="A45" s="36"/>
      <c r="B45" s="31"/>
      <c r="C45" s="31"/>
      <c r="D45" s="32"/>
      <c r="H45" s="32"/>
      <c r="J45" s="32"/>
      <c r="K45" s="41"/>
      <c r="L45" s="32"/>
      <c r="N45" s="32"/>
      <c r="O45" s="41"/>
      <c r="P45" s="32"/>
      <c r="R45" s="32"/>
      <c r="S45" s="41"/>
    </row>
    <row r="46" spans="1:19" s="30" customFormat="1" x14ac:dyDescent="0.25">
      <c r="A46" s="36"/>
      <c r="B46" s="31"/>
      <c r="C46" s="31"/>
      <c r="D46" s="32"/>
      <c r="H46" s="32"/>
      <c r="J46" s="32"/>
      <c r="K46" s="41"/>
      <c r="L46" s="32"/>
      <c r="N46" s="32"/>
      <c r="O46" s="41"/>
      <c r="P46" s="32"/>
      <c r="R46" s="32"/>
      <c r="S46" s="41"/>
    </row>
    <row r="47" spans="1:19" s="30" customFormat="1" x14ac:dyDescent="0.25">
      <c r="A47" s="36"/>
      <c r="B47" s="31"/>
      <c r="C47" s="31"/>
      <c r="D47" s="32"/>
      <c r="H47" s="32"/>
      <c r="J47" s="32"/>
      <c r="K47" s="41"/>
      <c r="L47" s="32"/>
      <c r="N47" s="32"/>
      <c r="O47" s="41"/>
      <c r="P47" s="32"/>
      <c r="R47" s="32"/>
      <c r="S47" s="41"/>
    </row>
    <row r="48" spans="1:19" s="30" customFormat="1" x14ac:dyDescent="0.25">
      <c r="A48" s="36"/>
      <c r="B48" s="31"/>
      <c r="C48" s="31"/>
      <c r="D48" s="32"/>
      <c r="H48" s="32"/>
      <c r="J48" s="32"/>
      <c r="K48" s="41"/>
      <c r="L48" s="32"/>
      <c r="N48" s="32"/>
      <c r="O48" s="41"/>
      <c r="P48" s="32"/>
      <c r="R48" s="32"/>
      <c r="S48" s="41"/>
    </row>
    <row r="49" spans="1:19" s="30" customFormat="1" x14ac:dyDescent="0.25">
      <c r="A49" s="36"/>
      <c r="B49" s="31"/>
      <c r="C49" s="31"/>
      <c r="D49" s="32"/>
      <c r="H49" s="32"/>
      <c r="J49" s="32"/>
      <c r="K49" s="41"/>
      <c r="L49" s="32"/>
      <c r="N49" s="32"/>
      <c r="O49" s="41"/>
      <c r="P49" s="32"/>
      <c r="R49" s="32"/>
      <c r="S49" s="41"/>
    </row>
    <row r="50" spans="1:19" s="30" customFormat="1" x14ac:dyDescent="0.25">
      <c r="A50" s="36"/>
      <c r="B50" s="31"/>
      <c r="C50" s="31"/>
      <c r="D50" s="32"/>
      <c r="H50" s="32"/>
      <c r="J50" s="32"/>
      <c r="K50" s="41"/>
      <c r="L50" s="32"/>
      <c r="N50" s="32"/>
      <c r="O50" s="41"/>
      <c r="P50" s="32"/>
      <c r="R50" s="32"/>
      <c r="S50" s="41"/>
    </row>
    <row r="51" spans="1:19" s="30" customFormat="1" x14ac:dyDescent="0.25">
      <c r="A51" s="36"/>
      <c r="B51" s="31"/>
      <c r="C51" s="31"/>
      <c r="D51" s="32"/>
      <c r="H51" s="32"/>
      <c r="J51" s="32"/>
      <c r="K51" s="41"/>
      <c r="L51" s="32"/>
      <c r="N51" s="32"/>
      <c r="O51" s="41"/>
      <c r="P51" s="32"/>
      <c r="R51" s="32"/>
      <c r="S51" s="41"/>
    </row>
    <row r="52" spans="1:19" s="30" customFormat="1" x14ac:dyDescent="0.25">
      <c r="A52" s="36"/>
      <c r="B52" s="31"/>
      <c r="C52" s="31"/>
      <c r="D52" s="32"/>
      <c r="H52" s="32"/>
      <c r="J52" s="32"/>
      <c r="K52" s="41"/>
      <c r="L52" s="32"/>
      <c r="N52" s="32"/>
      <c r="O52" s="41"/>
      <c r="P52" s="32"/>
      <c r="R52" s="32"/>
      <c r="S52" s="41"/>
    </row>
    <row r="53" spans="1:19" s="30" customFormat="1" x14ac:dyDescent="0.25">
      <c r="A53" s="36"/>
      <c r="B53" s="31"/>
      <c r="C53" s="31"/>
      <c r="D53" s="32"/>
      <c r="H53" s="32"/>
      <c r="J53" s="32"/>
      <c r="K53" s="41"/>
      <c r="L53" s="32"/>
      <c r="N53" s="32"/>
      <c r="O53" s="41"/>
      <c r="P53" s="32"/>
      <c r="R53" s="32"/>
      <c r="S53" s="41"/>
    </row>
    <row r="54" spans="1:19" s="30" customFormat="1" x14ac:dyDescent="0.25">
      <c r="A54" s="36"/>
      <c r="B54" s="31"/>
      <c r="C54" s="31"/>
      <c r="D54" s="32"/>
      <c r="H54" s="32"/>
      <c r="J54" s="32"/>
      <c r="K54" s="41"/>
      <c r="L54" s="32"/>
      <c r="N54" s="32"/>
      <c r="O54" s="41"/>
      <c r="P54" s="32"/>
      <c r="R54" s="32"/>
      <c r="S54" s="41"/>
    </row>
    <row r="55" spans="1:19" s="30" customFormat="1" x14ac:dyDescent="0.25">
      <c r="A55" s="36"/>
      <c r="B55" s="31"/>
      <c r="C55" s="31"/>
      <c r="D55" s="32"/>
      <c r="H55" s="32"/>
      <c r="J55" s="32"/>
      <c r="K55" s="41"/>
      <c r="L55" s="32"/>
      <c r="N55" s="32"/>
      <c r="O55" s="41"/>
      <c r="P55" s="32"/>
      <c r="R55" s="32"/>
      <c r="S55" s="41"/>
    </row>
    <row r="56" spans="1:19" s="30" customFormat="1" x14ac:dyDescent="0.25">
      <c r="A56" s="36"/>
      <c r="B56" s="31"/>
      <c r="C56" s="31"/>
      <c r="D56" s="32"/>
      <c r="H56" s="32"/>
      <c r="J56" s="32"/>
      <c r="K56" s="41"/>
      <c r="L56" s="32"/>
      <c r="N56" s="32"/>
      <c r="O56" s="41"/>
      <c r="P56" s="32"/>
      <c r="R56" s="32"/>
      <c r="S56" s="41"/>
    </row>
    <row r="57" spans="1:19" s="30" customFormat="1" x14ac:dyDescent="0.25">
      <c r="A57" s="36"/>
      <c r="B57" s="31"/>
      <c r="C57" s="31"/>
      <c r="D57" s="32"/>
      <c r="H57" s="32"/>
      <c r="J57" s="32"/>
      <c r="K57" s="41"/>
      <c r="L57" s="32"/>
      <c r="N57" s="32"/>
      <c r="O57" s="41"/>
      <c r="P57" s="32"/>
      <c r="R57" s="32"/>
      <c r="S57" s="41"/>
    </row>
    <row r="58" spans="1:19" s="30" customFormat="1" x14ac:dyDescent="0.25">
      <c r="A58" s="36"/>
      <c r="B58" s="31"/>
      <c r="C58" s="31"/>
      <c r="D58" s="32"/>
      <c r="H58" s="32"/>
      <c r="J58" s="32"/>
      <c r="K58" s="41"/>
      <c r="L58" s="32"/>
      <c r="N58" s="32"/>
      <c r="O58" s="41"/>
      <c r="P58" s="32"/>
      <c r="R58" s="32"/>
      <c r="S58" s="41"/>
    </row>
    <row r="59" spans="1:19" s="30" customFormat="1" x14ac:dyDescent="0.25">
      <c r="A59" s="36"/>
      <c r="B59" s="31"/>
      <c r="C59" s="31"/>
      <c r="D59" s="32"/>
      <c r="H59" s="32"/>
      <c r="J59" s="32"/>
      <c r="K59" s="41"/>
      <c r="L59" s="32"/>
      <c r="N59" s="32"/>
      <c r="O59" s="41"/>
      <c r="P59" s="32"/>
      <c r="R59" s="32"/>
      <c r="S59" s="41"/>
    </row>
    <row r="60" spans="1:19" s="30" customFormat="1" x14ac:dyDescent="0.25">
      <c r="A60" s="36"/>
      <c r="B60" s="31"/>
      <c r="C60" s="31"/>
      <c r="D60" s="32"/>
      <c r="H60" s="32"/>
      <c r="J60" s="32"/>
      <c r="K60" s="41"/>
      <c r="L60" s="32"/>
      <c r="N60" s="32"/>
      <c r="O60" s="41"/>
      <c r="P60" s="32"/>
      <c r="R60" s="32"/>
      <c r="S60" s="41"/>
    </row>
    <row r="61" spans="1:19" s="30" customFormat="1" x14ac:dyDescent="0.25">
      <c r="A61" s="36"/>
      <c r="B61" s="31"/>
      <c r="C61" s="31"/>
      <c r="D61" s="32"/>
      <c r="H61" s="32"/>
      <c r="J61" s="32"/>
      <c r="K61" s="41"/>
      <c r="L61" s="32"/>
      <c r="N61" s="32"/>
      <c r="O61" s="41"/>
      <c r="P61" s="32"/>
      <c r="R61" s="32"/>
      <c r="S61" s="41"/>
    </row>
    <row r="62" spans="1:19" s="30" customFormat="1" x14ac:dyDescent="0.25">
      <c r="A62" s="36"/>
      <c r="B62" s="31"/>
      <c r="C62" s="31"/>
      <c r="D62" s="32"/>
      <c r="H62" s="32"/>
      <c r="J62" s="32"/>
      <c r="K62" s="41"/>
      <c r="L62" s="32"/>
      <c r="N62" s="32"/>
      <c r="O62" s="41"/>
      <c r="P62" s="32"/>
      <c r="R62" s="32"/>
      <c r="S62" s="41"/>
    </row>
    <row r="63" spans="1:19" s="30" customFormat="1" x14ac:dyDescent="0.25">
      <c r="A63" s="36"/>
      <c r="B63" s="31"/>
      <c r="C63" s="31"/>
      <c r="D63" s="32"/>
      <c r="H63" s="32"/>
      <c r="J63" s="32"/>
      <c r="K63" s="41"/>
      <c r="L63" s="32"/>
      <c r="N63" s="32"/>
      <c r="O63" s="41"/>
      <c r="P63" s="32"/>
      <c r="R63" s="32"/>
      <c r="S63" s="41"/>
    </row>
    <row r="64" spans="1:19" s="30" customFormat="1" x14ac:dyDescent="0.25">
      <c r="A64" s="36"/>
      <c r="B64" s="31"/>
      <c r="C64" s="31"/>
      <c r="D64" s="32"/>
      <c r="H64" s="32"/>
      <c r="J64" s="32"/>
      <c r="K64" s="41"/>
      <c r="L64" s="32"/>
      <c r="N64" s="32"/>
      <c r="O64" s="41"/>
      <c r="P64" s="32"/>
      <c r="R64" s="32"/>
      <c r="S64" s="41"/>
    </row>
    <row r="65" spans="1:19" s="30" customFormat="1" x14ac:dyDescent="0.25">
      <c r="A65" s="36"/>
      <c r="B65" s="31"/>
      <c r="C65" s="31"/>
      <c r="D65" s="32"/>
      <c r="H65" s="32"/>
      <c r="J65" s="32"/>
      <c r="K65" s="41"/>
      <c r="L65" s="32"/>
      <c r="N65" s="32"/>
      <c r="O65" s="41"/>
      <c r="P65" s="32"/>
      <c r="R65" s="32"/>
      <c r="S65" s="41"/>
    </row>
    <row r="66" spans="1:19" s="30" customFormat="1" x14ac:dyDescent="0.25">
      <c r="A66" s="36"/>
      <c r="B66" s="31"/>
      <c r="C66" s="31"/>
      <c r="D66" s="32"/>
      <c r="H66" s="32"/>
      <c r="J66" s="32"/>
      <c r="K66" s="41"/>
      <c r="L66" s="32"/>
      <c r="N66" s="32"/>
      <c r="O66" s="41"/>
      <c r="P66" s="32"/>
      <c r="R66" s="32"/>
      <c r="S66" s="41"/>
    </row>
    <row r="67" spans="1:19" s="30" customFormat="1" x14ac:dyDescent="0.25">
      <c r="A67" s="36"/>
      <c r="B67" s="31"/>
      <c r="C67" s="31"/>
      <c r="D67" s="32"/>
      <c r="H67" s="32"/>
      <c r="J67" s="32"/>
      <c r="K67" s="41"/>
      <c r="L67" s="32"/>
      <c r="N67" s="32"/>
      <c r="O67" s="41"/>
      <c r="P67" s="32"/>
      <c r="R67" s="32"/>
      <c r="S67" s="41"/>
    </row>
    <row r="68" spans="1:19" s="30" customFormat="1" x14ac:dyDescent="0.25">
      <c r="A68" s="36"/>
      <c r="B68" s="31"/>
      <c r="C68" s="31"/>
      <c r="D68" s="32"/>
      <c r="H68" s="32"/>
      <c r="J68" s="32"/>
      <c r="K68" s="41"/>
      <c r="L68" s="32"/>
      <c r="N68" s="32"/>
      <c r="O68" s="41"/>
      <c r="P68" s="32"/>
      <c r="R68" s="32"/>
      <c r="S68" s="41"/>
    </row>
    <row r="69" spans="1:19" s="30" customFormat="1" x14ac:dyDescent="0.25">
      <c r="A69" s="36"/>
      <c r="B69" s="31"/>
      <c r="C69" s="31"/>
      <c r="D69" s="32"/>
      <c r="H69" s="32"/>
      <c r="J69" s="32"/>
      <c r="K69" s="41"/>
      <c r="L69" s="32"/>
      <c r="N69" s="32"/>
      <c r="O69" s="41"/>
      <c r="P69" s="32"/>
      <c r="R69" s="32"/>
      <c r="S69" s="41"/>
    </row>
    <row r="70" spans="1:19" s="30" customFormat="1" x14ac:dyDescent="0.25">
      <c r="A70" s="36"/>
      <c r="B70" s="31"/>
      <c r="C70" s="31"/>
      <c r="D70" s="32"/>
      <c r="H70" s="32"/>
      <c r="J70" s="32"/>
      <c r="K70" s="41"/>
      <c r="L70" s="32"/>
      <c r="N70" s="32"/>
      <c r="O70" s="41"/>
      <c r="P70" s="32"/>
      <c r="R70" s="32"/>
      <c r="S70" s="41"/>
    </row>
    <row r="71" spans="1:19" s="30" customFormat="1" x14ac:dyDescent="0.25">
      <c r="A71" s="36"/>
      <c r="B71" s="31"/>
      <c r="C71" s="31"/>
      <c r="D71" s="32"/>
      <c r="H71" s="32"/>
      <c r="J71" s="32"/>
      <c r="K71" s="41"/>
      <c r="L71" s="32"/>
      <c r="N71" s="32"/>
      <c r="O71" s="41"/>
      <c r="P71" s="32"/>
      <c r="R71" s="32"/>
      <c r="S71" s="41"/>
    </row>
    <row r="72" spans="1:19" s="30" customFormat="1" x14ac:dyDescent="0.25">
      <c r="A72" s="36"/>
      <c r="B72" s="31"/>
      <c r="C72" s="31"/>
      <c r="D72" s="32"/>
      <c r="H72" s="32"/>
      <c r="J72" s="32"/>
      <c r="K72" s="41"/>
      <c r="L72" s="32"/>
      <c r="N72" s="32"/>
      <c r="O72" s="41"/>
      <c r="P72" s="32"/>
      <c r="R72" s="32"/>
      <c r="S72" s="41"/>
    </row>
    <row r="73" spans="1:19" s="30" customFormat="1" x14ac:dyDescent="0.25">
      <c r="A73" s="36"/>
      <c r="B73" s="31"/>
      <c r="C73" s="31"/>
      <c r="D73" s="32"/>
      <c r="H73" s="32"/>
      <c r="J73" s="32"/>
      <c r="K73" s="41"/>
      <c r="L73" s="32"/>
      <c r="N73" s="32"/>
      <c r="O73" s="41"/>
      <c r="P73" s="32"/>
      <c r="R73" s="32"/>
      <c r="S73" s="41"/>
    </row>
    <row r="74" spans="1:19" s="30" customFormat="1" x14ac:dyDescent="0.25">
      <c r="A74" s="36"/>
      <c r="B74" s="31"/>
      <c r="C74" s="31"/>
      <c r="D74" s="32"/>
      <c r="H74" s="32"/>
      <c r="J74" s="32"/>
      <c r="K74" s="41"/>
      <c r="L74" s="32"/>
      <c r="N74" s="32"/>
      <c r="O74" s="41"/>
      <c r="P74" s="32"/>
      <c r="R74" s="32"/>
      <c r="S74" s="41"/>
    </row>
    <row r="75" spans="1:19" s="30" customFormat="1" x14ac:dyDescent="0.25">
      <c r="A75" s="36"/>
      <c r="B75" s="31"/>
      <c r="C75" s="31"/>
      <c r="D75" s="32"/>
      <c r="H75" s="32"/>
      <c r="J75" s="32"/>
      <c r="K75" s="41"/>
      <c r="L75" s="32"/>
      <c r="N75" s="32"/>
      <c r="O75" s="41"/>
      <c r="P75" s="32"/>
      <c r="R75" s="32"/>
      <c r="S75" s="41"/>
    </row>
    <row r="76" spans="1:19" s="30" customFormat="1" x14ac:dyDescent="0.25">
      <c r="A76" s="36"/>
      <c r="B76" s="31"/>
      <c r="C76" s="31"/>
      <c r="D76" s="32"/>
      <c r="H76" s="32"/>
      <c r="J76" s="32"/>
      <c r="K76" s="41"/>
      <c r="L76" s="32"/>
      <c r="N76" s="32"/>
      <c r="O76" s="41"/>
      <c r="P76" s="32"/>
      <c r="R76" s="32"/>
      <c r="S76" s="41"/>
    </row>
    <row r="77" spans="1:19" s="30" customFormat="1" x14ac:dyDescent="0.25">
      <c r="A77" s="36"/>
      <c r="B77" s="31"/>
      <c r="C77" s="31"/>
      <c r="D77" s="32"/>
      <c r="H77" s="32"/>
      <c r="J77" s="32"/>
      <c r="K77" s="41"/>
      <c r="L77" s="32"/>
      <c r="N77" s="32"/>
      <c r="O77" s="41"/>
      <c r="P77" s="32"/>
      <c r="R77" s="32"/>
      <c r="S77" s="41"/>
    </row>
    <row r="78" spans="1:19" s="30" customFormat="1" x14ac:dyDescent="0.25">
      <c r="A78" s="36"/>
      <c r="B78" s="31"/>
      <c r="C78" s="31"/>
      <c r="D78" s="32"/>
      <c r="H78" s="32"/>
      <c r="J78" s="32"/>
      <c r="K78" s="41"/>
      <c r="L78" s="32"/>
      <c r="N78" s="32"/>
      <c r="O78" s="41"/>
      <c r="P78" s="32"/>
      <c r="R78" s="32"/>
      <c r="S78" s="41"/>
    </row>
    <row r="79" spans="1:19" s="30" customFormat="1" x14ac:dyDescent="0.25">
      <c r="A79" s="36"/>
      <c r="B79" s="31"/>
      <c r="C79" s="31"/>
      <c r="D79" s="32"/>
      <c r="H79" s="32"/>
      <c r="J79" s="32"/>
      <c r="K79" s="41"/>
      <c r="L79" s="32"/>
      <c r="N79" s="32"/>
      <c r="O79" s="41"/>
      <c r="P79" s="32"/>
      <c r="R79" s="32"/>
      <c r="S79" s="41"/>
    </row>
    <row r="80" spans="1:19" s="30" customFormat="1" x14ac:dyDescent="0.25">
      <c r="A80" s="36"/>
      <c r="B80" s="31"/>
      <c r="C80" s="31"/>
      <c r="D80" s="32"/>
      <c r="H80" s="32"/>
      <c r="J80" s="32"/>
      <c r="K80" s="41"/>
      <c r="L80" s="32"/>
      <c r="N80" s="32"/>
      <c r="O80" s="41"/>
      <c r="P80" s="32"/>
      <c r="R80" s="32"/>
      <c r="S80" s="41"/>
    </row>
    <row r="81" spans="1:19" s="30" customFormat="1" x14ac:dyDescent="0.25">
      <c r="A81" s="36"/>
      <c r="B81" s="31"/>
      <c r="C81" s="31"/>
      <c r="D81" s="32"/>
      <c r="H81" s="32"/>
      <c r="J81" s="32"/>
      <c r="K81" s="41"/>
      <c r="L81" s="32"/>
      <c r="N81" s="32"/>
      <c r="O81" s="41"/>
      <c r="P81" s="32"/>
      <c r="R81" s="32"/>
      <c r="S81" s="41"/>
    </row>
    <row r="82" spans="1:19" s="30" customFormat="1" x14ac:dyDescent="0.25">
      <c r="A82" s="36"/>
      <c r="B82" s="31"/>
      <c r="C82" s="31"/>
      <c r="D82" s="32"/>
      <c r="H82" s="32"/>
      <c r="J82" s="32"/>
      <c r="K82" s="41"/>
      <c r="L82" s="32"/>
      <c r="N82" s="32"/>
      <c r="O82" s="41"/>
      <c r="P82" s="32"/>
      <c r="R82" s="32"/>
      <c r="S82" s="41"/>
    </row>
    <row r="83" spans="1:19" s="30" customFormat="1" x14ac:dyDescent="0.25">
      <c r="A83" s="36"/>
      <c r="B83" s="31"/>
      <c r="C83" s="31"/>
      <c r="D83" s="32"/>
      <c r="H83" s="32"/>
      <c r="J83" s="32"/>
      <c r="K83" s="41"/>
      <c r="L83" s="32"/>
      <c r="N83" s="32"/>
      <c r="O83" s="41"/>
      <c r="P83" s="32"/>
      <c r="R83" s="32"/>
      <c r="S83" s="41"/>
    </row>
    <row r="84" spans="1:19" s="30" customFormat="1" x14ac:dyDescent="0.25">
      <c r="A84" s="36"/>
      <c r="B84" s="31"/>
      <c r="C84" s="31"/>
      <c r="D84" s="32"/>
      <c r="H84" s="32"/>
      <c r="J84" s="32"/>
      <c r="K84" s="41"/>
      <c r="L84" s="32"/>
      <c r="N84" s="32"/>
      <c r="O84" s="41"/>
      <c r="P84" s="32"/>
      <c r="R84" s="32"/>
      <c r="S84" s="41"/>
    </row>
    <row r="85" spans="1:19" s="30" customFormat="1" x14ac:dyDescent="0.25">
      <c r="A85" s="36"/>
      <c r="B85" s="31"/>
      <c r="C85" s="31"/>
      <c r="D85" s="32"/>
      <c r="H85" s="32"/>
      <c r="J85" s="32"/>
      <c r="K85" s="41"/>
      <c r="L85" s="32"/>
      <c r="N85" s="32"/>
      <c r="O85" s="41"/>
      <c r="P85" s="32"/>
      <c r="R85" s="32"/>
      <c r="S85" s="41"/>
    </row>
    <row r="86" spans="1:19" s="30" customFormat="1" x14ac:dyDescent="0.25">
      <c r="A86" s="36"/>
      <c r="B86" s="31"/>
      <c r="C86" s="31"/>
      <c r="D86" s="32"/>
      <c r="H86" s="32"/>
      <c r="J86" s="32"/>
      <c r="K86" s="41"/>
      <c r="L86" s="32"/>
      <c r="N86" s="32"/>
      <c r="O86" s="41"/>
      <c r="P86" s="32"/>
      <c r="R86" s="32"/>
      <c r="S86" s="41"/>
    </row>
    <row r="87" spans="1:19" s="30" customFormat="1" x14ac:dyDescent="0.25">
      <c r="A87" s="36"/>
      <c r="B87" s="31"/>
      <c r="C87" s="31"/>
      <c r="D87" s="32"/>
      <c r="H87" s="32"/>
      <c r="J87" s="32"/>
      <c r="K87" s="41"/>
      <c r="L87" s="32"/>
      <c r="N87" s="32"/>
      <c r="O87" s="41"/>
      <c r="P87" s="32"/>
      <c r="R87" s="32"/>
      <c r="S87" s="41"/>
    </row>
    <row r="88" spans="1:19" s="30" customFormat="1" x14ac:dyDescent="0.25">
      <c r="A88" s="36"/>
      <c r="B88" s="31"/>
      <c r="C88" s="31"/>
      <c r="D88" s="32"/>
      <c r="H88" s="32"/>
      <c r="J88" s="32"/>
      <c r="K88" s="41"/>
      <c r="L88" s="32"/>
      <c r="N88" s="32"/>
      <c r="O88" s="41"/>
      <c r="P88" s="32"/>
      <c r="R88" s="32"/>
      <c r="S88" s="41"/>
    </row>
    <row r="89" spans="1:19" s="30" customFormat="1" x14ac:dyDescent="0.25">
      <c r="A89" s="36"/>
      <c r="B89" s="31"/>
      <c r="C89" s="31"/>
      <c r="D89" s="32"/>
      <c r="H89" s="32"/>
      <c r="J89" s="32"/>
      <c r="K89" s="41"/>
      <c r="L89" s="32"/>
      <c r="N89" s="32"/>
      <c r="O89" s="41"/>
      <c r="P89" s="32"/>
      <c r="R89" s="32"/>
      <c r="S89" s="41"/>
    </row>
    <row r="90" spans="1:19" s="30" customFormat="1" x14ac:dyDescent="0.25">
      <c r="A90" s="36"/>
      <c r="B90" s="31"/>
      <c r="C90" s="31"/>
      <c r="D90" s="32"/>
      <c r="H90" s="32"/>
      <c r="J90" s="32"/>
      <c r="K90" s="41"/>
      <c r="L90" s="32"/>
      <c r="N90" s="32"/>
      <c r="O90" s="41"/>
      <c r="P90" s="32"/>
      <c r="R90" s="32"/>
      <c r="S90" s="41"/>
    </row>
    <row r="91" spans="1:19" s="30" customFormat="1" x14ac:dyDescent="0.25">
      <c r="A91" s="36"/>
      <c r="B91" s="31"/>
      <c r="C91" s="31"/>
      <c r="D91" s="32"/>
      <c r="H91" s="32"/>
      <c r="J91" s="32"/>
      <c r="K91" s="41"/>
      <c r="L91" s="32"/>
      <c r="N91" s="32"/>
      <c r="O91" s="41"/>
      <c r="P91" s="32"/>
      <c r="R91" s="32"/>
      <c r="S91" s="41"/>
    </row>
    <row r="92" spans="1:19" s="30" customFormat="1" x14ac:dyDescent="0.25">
      <c r="A92" s="36"/>
      <c r="B92" s="31"/>
      <c r="C92" s="31"/>
      <c r="D92" s="32"/>
      <c r="H92" s="32"/>
      <c r="J92" s="32"/>
      <c r="K92" s="41"/>
      <c r="L92" s="32"/>
      <c r="N92" s="32"/>
      <c r="O92" s="41"/>
      <c r="P92" s="32"/>
      <c r="R92" s="32"/>
      <c r="S92" s="41"/>
    </row>
    <row r="93" spans="1:19" s="30" customFormat="1" x14ac:dyDescent="0.25">
      <c r="A93" s="36"/>
      <c r="B93" s="31"/>
      <c r="C93" s="31"/>
      <c r="D93" s="32"/>
      <c r="H93" s="32"/>
      <c r="J93" s="32"/>
      <c r="K93" s="41"/>
      <c r="L93" s="32"/>
      <c r="N93" s="32"/>
      <c r="O93" s="41"/>
      <c r="P93" s="32"/>
      <c r="R93" s="32"/>
      <c r="S93" s="41"/>
    </row>
    <row r="94" spans="1:19" s="30" customFormat="1" x14ac:dyDescent="0.25">
      <c r="A94" s="36"/>
      <c r="B94" s="31"/>
      <c r="C94" s="31"/>
      <c r="D94" s="32"/>
      <c r="H94" s="32"/>
      <c r="J94" s="32"/>
      <c r="K94" s="41"/>
      <c r="L94" s="32"/>
      <c r="N94" s="32"/>
      <c r="O94" s="41"/>
      <c r="P94" s="32"/>
      <c r="R94" s="32"/>
      <c r="S94" s="41"/>
    </row>
    <row r="95" spans="1:19" s="30" customFormat="1" x14ac:dyDescent="0.25">
      <c r="A95" s="36"/>
      <c r="B95" s="31"/>
      <c r="C95" s="31"/>
      <c r="D95" s="32"/>
      <c r="H95" s="32"/>
      <c r="J95" s="32"/>
      <c r="K95" s="41"/>
      <c r="L95" s="32"/>
      <c r="N95" s="32"/>
      <c r="O95" s="41"/>
      <c r="P95" s="32"/>
      <c r="R95" s="32"/>
      <c r="S95" s="41"/>
    </row>
    <row r="96" spans="1:19" s="30" customFormat="1" x14ac:dyDescent="0.25">
      <c r="A96" s="36"/>
      <c r="B96" s="31"/>
      <c r="C96" s="31"/>
      <c r="D96" s="32"/>
      <c r="H96" s="32"/>
      <c r="J96" s="32"/>
      <c r="K96" s="41"/>
      <c r="L96" s="32"/>
      <c r="N96" s="32"/>
      <c r="O96" s="41"/>
      <c r="P96" s="32"/>
      <c r="R96" s="32"/>
      <c r="S96" s="41"/>
    </row>
    <row r="97" spans="1:19" s="30" customFormat="1" x14ac:dyDescent="0.25">
      <c r="A97" s="36"/>
      <c r="B97" s="31"/>
      <c r="C97" s="31"/>
      <c r="D97" s="32"/>
      <c r="H97" s="32"/>
      <c r="J97" s="32"/>
      <c r="K97" s="41"/>
      <c r="L97" s="32"/>
      <c r="N97" s="32"/>
      <c r="O97" s="41"/>
      <c r="P97" s="32"/>
      <c r="R97" s="32"/>
      <c r="S97" s="41"/>
    </row>
    <row r="98" spans="1:19" s="30" customFormat="1" x14ac:dyDescent="0.25">
      <c r="A98" s="36"/>
      <c r="B98" s="31"/>
      <c r="C98" s="31"/>
      <c r="D98" s="32"/>
      <c r="H98" s="32"/>
      <c r="J98" s="32"/>
      <c r="K98" s="41"/>
      <c r="L98" s="32"/>
      <c r="N98" s="32"/>
      <c r="O98" s="41"/>
      <c r="P98" s="32"/>
      <c r="R98" s="32"/>
      <c r="S98" s="41"/>
    </row>
    <row r="99" spans="1:19" s="30" customFormat="1" x14ac:dyDescent="0.25">
      <c r="A99" s="36"/>
      <c r="B99" s="31"/>
      <c r="C99" s="31"/>
      <c r="D99" s="32"/>
      <c r="H99" s="32"/>
      <c r="J99" s="32"/>
      <c r="K99" s="41"/>
      <c r="L99" s="32"/>
      <c r="N99" s="32"/>
      <c r="O99" s="41"/>
      <c r="P99" s="32"/>
      <c r="R99" s="32"/>
      <c r="S99" s="41"/>
    </row>
    <row r="100" spans="1:19" s="30" customFormat="1" x14ac:dyDescent="0.25">
      <c r="A100" s="36"/>
      <c r="B100" s="31"/>
      <c r="C100" s="31"/>
      <c r="D100" s="32"/>
      <c r="H100" s="32"/>
      <c r="J100" s="32"/>
      <c r="K100" s="41"/>
      <c r="L100" s="32"/>
      <c r="N100" s="32"/>
      <c r="O100" s="41"/>
      <c r="P100" s="32"/>
      <c r="R100" s="32"/>
      <c r="S100" s="41"/>
    </row>
    <row r="101" spans="1:19" s="30" customFormat="1" x14ac:dyDescent="0.25">
      <c r="A101" s="36"/>
      <c r="B101" s="31"/>
      <c r="C101" s="31"/>
      <c r="D101" s="32"/>
      <c r="H101" s="32"/>
      <c r="J101" s="32"/>
      <c r="K101" s="41"/>
      <c r="L101" s="32"/>
      <c r="N101" s="32"/>
      <c r="O101" s="41"/>
      <c r="P101" s="32"/>
      <c r="R101" s="32"/>
      <c r="S101" s="41"/>
    </row>
    <row r="102" spans="1:19" s="30" customFormat="1" x14ac:dyDescent="0.25">
      <c r="A102" s="36"/>
      <c r="B102" s="31"/>
      <c r="C102" s="31"/>
      <c r="D102" s="32"/>
      <c r="H102" s="32"/>
      <c r="J102" s="32"/>
      <c r="K102" s="41"/>
      <c r="L102" s="32"/>
      <c r="N102" s="32"/>
      <c r="O102" s="41"/>
      <c r="P102" s="32"/>
      <c r="R102" s="32"/>
      <c r="S102" s="41"/>
    </row>
    <row r="103" spans="1:19" s="30" customFormat="1" x14ac:dyDescent="0.25">
      <c r="A103" s="36"/>
      <c r="B103" s="31"/>
      <c r="C103" s="31"/>
      <c r="D103" s="32"/>
      <c r="H103" s="32"/>
      <c r="J103" s="32"/>
      <c r="K103" s="41"/>
      <c r="L103" s="32"/>
      <c r="N103" s="32"/>
      <c r="O103" s="41"/>
      <c r="P103" s="32"/>
      <c r="R103" s="32"/>
      <c r="S103" s="41"/>
    </row>
    <row r="104" spans="1:19" s="30" customFormat="1" x14ac:dyDescent="0.25">
      <c r="A104" s="36"/>
      <c r="B104" s="31"/>
      <c r="C104" s="31"/>
      <c r="D104" s="32"/>
      <c r="H104" s="32"/>
      <c r="J104" s="32"/>
      <c r="K104" s="41"/>
      <c r="L104" s="32"/>
      <c r="N104" s="32"/>
      <c r="O104" s="41"/>
      <c r="P104" s="32"/>
      <c r="R104" s="32"/>
      <c r="S104" s="41"/>
    </row>
    <row r="105" spans="1:19" s="30" customFormat="1" x14ac:dyDescent="0.25">
      <c r="A105" s="36"/>
      <c r="B105" s="31"/>
      <c r="C105" s="31"/>
      <c r="D105" s="32"/>
      <c r="H105" s="32"/>
      <c r="J105" s="32"/>
      <c r="K105" s="41"/>
      <c r="L105" s="32"/>
      <c r="N105" s="32"/>
      <c r="O105" s="41"/>
      <c r="P105" s="32"/>
      <c r="R105" s="32"/>
      <c r="S105" s="41"/>
    </row>
    <row r="106" spans="1:19" s="30" customFormat="1" x14ac:dyDescent="0.25">
      <c r="A106" s="36"/>
      <c r="B106" s="31"/>
      <c r="C106" s="31"/>
      <c r="D106" s="32"/>
      <c r="H106" s="32"/>
      <c r="J106" s="32"/>
      <c r="K106" s="41"/>
      <c r="L106" s="32"/>
      <c r="N106" s="32"/>
      <c r="O106" s="41"/>
      <c r="P106" s="32"/>
      <c r="R106" s="32"/>
      <c r="S106" s="41"/>
    </row>
    <row r="107" spans="1:19" s="30" customFormat="1" x14ac:dyDescent="0.25">
      <c r="A107" s="36"/>
      <c r="B107" s="31"/>
      <c r="C107" s="31"/>
      <c r="D107" s="32"/>
      <c r="H107" s="32"/>
      <c r="J107" s="32"/>
      <c r="K107" s="41"/>
      <c r="L107" s="32"/>
      <c r="N107" s="32"/>
      <c r="O107" s="41"/>
      <c r="P107" s="32"/>
      <c r="R107" s="32"/>
      <c r="S107" s="41"/>
    </row>
    <row r="108" spans="1:19" s="30" customFormat="1" x14ac:dyDescent="0.25">
      <c r="A108" s="36"/>
      <c r="B108" s="31"/>
      <c r="C108" s="31"/>
      <c r="D108" s="32"/>
      <c r="H108" s="32"/>
      <c r="J108" s="32"/>
      <c r="K108" s="41"/>
      <c r="L108" s="32"/>
      <c r="N108" s="32"/>
      <c r="O108" s="41"/>
      <c r="P108" s="32"/>
      <c r="R108" s="32"/>
      <c r="S108" s="41"/>
    </row>
    <row r="109" spans="1:19" s="30" customFormat="1" x14ac:dyDescent="0.25">
      <c r="A109" s="36"/>
      <c r="B109" s="31"/>
      <c r="C109" s="31"/>
      <c r="D109" s="32"/>
      <c r="H109" s="32"/>
      <c r="J109" s="32"/>
      <c r="K109" s="41"/>
      <c r="L109" s="32"/>
      <c r="N109" s="32"/>
      <c r="O109" s="41"/>
      <c r="P109" s="32"/>
      <c r="R109" s="32"/>
      <c r="S109" s="41"/>
    </row>
    <row r="110" spans="1:19" s="30" customFormat="1" x14ac:dyDescent="0.25">
      <c r="A110" s="36"/>
      <c r="B110" s="31"/>
      <c r="C110" s="31"/>
      <c r="D110" s="32"/>
      <c r="H110" s="32"/>
      <c r="J110" s="32"/>
      <c r="K110" s="41"/>
      <c r="L110" s="32"/>
      <c r="N110" s="32"/>
      <c r="O110" s="41"/>
      <c r="P110" s="32"/>
      <c r="R110" s="32"/>
      <c r="S110" s="41"/>
    </row>
    <row r="111" spans="1:19" s="30" customFormat="1" x14ac:dyDescent="0.25">
      <c r="A111" s="36"/>
      <c r="B111" s="31"/>
      <c r="C111" s="31"/>
      <c r="D111" s="32"/>
      <c r="H111" s="32"/>
      <c r="J111" s="32"/>
      <c r="K111" s="41"/>
      <c r="L111" s="32"/>
      <c r="N111" s="32"/>
      <c r="O111" s="41"/>
      <c r="P111" s="32"/>
      <c r="R111" s="32"/>
      <c r="S111" s="41"/>
    </row>
    <row r="112" spans="1:19" s="30" customFormat="1" x14ac:dyDescent="0.25">
      <c r="A112" s="36"/>
      <c r="B112" s="31"/>
      <c r="C112" s="31"/>
      <c r="D112" s="32"/>
      <c r="H112" s="32"/>
      <c r="J112" s="32"/>
      <c r="K112" s="41"/>
      <c r="L112" s="32"/>
      <c r="N112" s="32"/>
      <c r="O112" s="41"/>
      <c r="P112" s="32"/>
      <c r="R112" s="32"/>
      <c r="S112" s="41"/>
    </row>
    <row r="113" spans="1:19" s="30" customFormat="1" x14ac:dyDescent="0.25">
      <c r="A113" s="36"/>
      <c r="B113" s="31"/>
      <c r="C113" s="31"/>
      <c r="D113" s="32"/>
      <c r="H113" s="32"/>
      <c r="J113" s="32"/>
      <c r="K113" s="41"/>
      <c r="L113" s="32"/>
      <c r="N113" s="32"/>
      <c r="O113" s="41"/>
      <c r="P113" s="32"/>
      <c r="R113" s="32"/>
      <c r="S113" s="41"/>
    </row>
    <row r="114" spans="1:19" s="30" customFormat="1" x14ac:dyDescent="0.25">
      <c r="A114" s="36"/>
      <c r="B114" s="31"/>
      <c r="C114" s="31"/>
      <c r="D114" s="32"/>
      <c r="H114" s="32"/>
      <c r="J114" s="32"/>
      <c r="K114" s="41"/>
      <c r="L114" s="32"/>
      <c r="N114" s="32"/>
      <c r="O114" s="41"/>
      <c r="P114" s="32"/>
      <c r="R114" s="32"/>
      <c r="S114" s="41"/>
    </row>
    <row r="115" spans="1:19" s="30" customFormat="1" x14ac:dyDescent="0.25">
      <c r="A115" s="36"/>
      <c r="B115" s="31"/>
      <c r="C115" s="31"/>
      <c r="D115" s="32"/>
      <c r="H115" s="32"/>
      <c r="J115" s="32"/>
      <c r="K115" s="41"/>
      <c r="L115" s="32"/>
      <c r="N115" s="32"/>
      <c r="O115" s="41"/>
      <c r="P115" s="32"/>
      <c r="R115" s="32"/>
      <c r="S115" s="41"/>
    </row>
    <row r="116" spans="1:19" s="30" customFormat="1" x14ac:dyDescent="0.25">
      <c r="A116" s="36"/>
      <c r="B116" s="31"/>
      <c r="C116" s="31"/>
      <c r="D116" s="32"/>
      <c r="H116" s="32"/>
      <c r="J116" s="32"/>
      <c r="K116" s="41"/>
      <c r="L116" s="32"/>
      <c r="N116" s="32"/>
      <c r="O116" s="41"/>
      <c r="P116" s="32"/>
      <c r="R116" s="32"/>
      <c r="S116" s="41"/>
    </row>
    <row r="117" spans="1:19" s="30" customFormat="1" x14ac:dyDescent="0.25">
      <c r="A117" s="36"/>
      <c r="B117" s="31"/>
      <c r="C117" s="31"/>
      <c r="D117" s="32"/>
      <c r="H117" s="32"/>
      <c r="J117" s="32"/>
      <c r="K117" s="41"/>
      <c r="L117" s="32"/>
      <c r="N117" s="32"/>
      <c r="O117" s="41"/>
      <c r="P117" s="32"/>
      <c r="R117" s="32"/>
      <c r="S117" s="41"/>
    </row>
    <row r="118" spans="1:19" s="30" customFormat="1" x14ac:dyDescent="0.25">
      <c r="A118" s="36"/>
      <c r="B118" s="31"/>
      <c r="C118" s="31"/>
      <c r="D118" s="32"/>
      <c r="H118" s="32"/>
      <c r="J118" s="32"/>
      <c r="K118" s="41"/>
      <c r="L118" s="32"/>
      <c r="N118" s="32"/>
      <c r="O118" s="41"/>
      <c r="P118" s="32"/>
      <c r="R118" s="32"/>
      <c r="S118" s="41"/>
    </row>
    <row r="119" spans="1:19" s="30" customFormat="1" x14ac:dyDescent="0.25">
      <c r="A119" s="36"/>
      <c r="B119" s="31"/>
      <c r="C119" s="31"/>
      <c r="D119" s="32"/>
      <c r="H119" s="32"/>
      <c r="J119" s="32"/>
      <c r="K119" s="41"/>
      <c r="L119" s="32"/>
      <c r="N119" s="32"/>
      <c r="O119" s="41"/>
      <c r="P119" s="32"/>
      <c r="R119" s="32"/>
      <c r="S119" s="41"/>
    </row>
    <row r="120" spans="1:19" s="30" customFormat="1" x14ac:dyDescent="0.25">
      <c r="A120" s="36"/>
      <c r="B120" s="31"/>
      <c r="C120" s="31"/>
      <c r="D120" s="32"/>
      <c r="H120" s="32"/>
      <c r="J120" s="32"/>
      <c r="K120" s="41"/>
      <c r="L120" s="32"/>
      <c r="N120" s="32"/>
      <c r="O120" s="41"/>
      <c r="P120" s="32"/>
      <c r="R120" s="32"/>
      <c r="S120" s="41"/>
    </row>
    <row r="121" spans="1:19" s="30" customFormat="1" x14ac:dyDescent="0.25">
      <c r="A121" s="36"/>
      <c r="B121" s="31"/>
      <c r="C121" s="31"/>
      <c r="D121" s="32"/>
      <c r="H121" s="32"/>
      <c r="J121" s="32"/>
      <c r="K121" s="41"/>
      <c r="L121" s="32"/>
      <c r="N121" s="32"/>
      <c r="O121" s="41"/>
      <c r="P121" s="32"/>
      <c r="R121" s="32"/>
      <c r="S121" s="41"/>
    </row>
    <row r="122" spans="1:19" s="30" customFormat="1" x14ac:dyDescent="0.25">
      <c r="A122" s="36"/>
      <c r="B122" s="31"/>
      <c r="C122" s="31"/>
      <c r="D122" s="32"/>
      <c r="H122" s="32"/>
      <c r="J122" s="32"/>
      <c r="K122" s="41"/>
      <c r="L122" s="32"/>
      <c r="N122" s="32"/>
      <c r="O122" s="41"/>
      <c r="P122" s="32"/>
      <c r="R122" s="32"/>
      <c r="S122" s="41"/>
    </row>
    <row r="123" spans="1:19" s="30" customFormat="1" x14ac:dyDescent="0.25">
      <c r="A123" s="36"/>
      <c r="B123" s="31"/>
      <c r="C123" s="31"/>
      <c r="D123" s="32"/>
      <c r="H123" s="32"/>
      <c r="J123" s="32"/>
      <c r="K123" s="41"/>
      <c r="L123" s="32"/>
      <c r="N123" s="32"/>
      <c r="O123" s="41"/>
      <c r="P123" s="32"/>
      <c r="R123" s="32"/>
      <c r="S123" s="41"/>
    </row>
    <row r="124" spans="1:19" s="30" customFormat="1" x14ac:dyDescent="0.25">
      <c r="A124" s="36"/>
      <c r="B124" s="31"/>
      <c r="C124" s="31"/>
      <c r="D124" s="32"/>
      <c r="H124" s="32"/>
      <c r="J124" s="32"/>
      <c r="K124" s="41"/>
      <c r="L124" s="32"/>
      <c r="N124" s="32"/>
      <c r="O124" s="41"/>
      <c r="P124" s="32"/>
      <c r="R124" s="32"/>
      <c r="S124" s="41"/>
    </row>
    <row r="125" spans="1:19" s="30" customFormat="1" x14ac:dyDescent="0.25">
      <c r="A125" s="36"/>
      <c r="B125" s="31"/>
      <c r="C125" s="31"/>
      <c r="D125" s="32"/>
      <c r="H125" s="32"/>
      <c r="J125" s="32"/>
      <c r="K125" s="41"/>
      <c r="L125" s="32"/>
      <c r="N125" s="32"/>
      <c r="O125" s="41"/>
      <c r="P125" s="32"/>
      <c r="R125" s="32"/>
      <c r="S125" s="41"/>
    </row>
    <row r="126" spans="1:19" s="30" customFormat="1" x14ac:dyDescent="0.25">
      <c r="A126" s="36"/>
      <c r="B126" s="31"/>
      <c r="C126" s="31"/>
      <c r="D126" s="32"/>
      <c r="H126" s="32"/>
      <c r="J126" s="32"/>
      <c r="K126" s="41"/>
      <c r="L126" s="32"/>
      <c r="N126" s="32"/>
      <c r="O126" s="41"/>
      <c r="P126" s="32"/>
      <c r="R126" s="32"/>
      <c r="S126" s="41"/>
    </row>
    <row r="127" spans="1:19" s="30" customFormat="1" x14ac:dyDescent="0.25">
      <c r="A127" s="36"/>
      <c r="B127" s="31"/>
      <c r="C127" s="31"/>
      <c r="D127" s="32"/>
      <c r="H127" s="32"/>
      <c r="J127" s="32"/>
      <c r="K127" s="41"/>
      <c r="L127" s="32"/>
      <c r="N127" s="32"/>
      <c r="O127" s="41"/>
      <c r="P127" s="32"/>
      <c r="R127" s="32"/>
      <c r="S127" s="41"/>
    </row>
    <row r="128" spans="1:19" s="30" customFormat="1" x14ac:dyDescent="0.25">
      <c r="A128" s="36"/>
      <c r="B128" s="31"/>
      <c r="C128" s="31"/>
      <c r="D128" s="32"/>
      <c r="H128" s="32"/>
      <c r="J128" s="32"/>
      <c r="K128" s="41"/>
      <c r="L128" s="32"/>
      <c r="N128" s="32"/>
      <c r="O128" s="41"/>
      <c r="P128" s="32"/>
      <c r="R128" s="32"/>
      <c r="S128" s="41"/>
    </row>
    <row r="129" spans="1:19" s="30" customFormat="1" x14ac:dyDescent="0.25">
      <c r="A129" s="36"/>
      <c r="B129" s="31"/>
      <c r="C129" s="31"/>
      <c r="D129" s="32"/>
      <c r="H129" s="32"/>
      <c r="J129" s="32"/>
      <c r="K129" s="41"/>
      <c r="L129" s="32"/>
      <c r="N129" s="32"/>
      <c r="O129" s="41"/>
      <c r="P129" s="32"/>
      <c r="R129" s="32"/>
      <c r="S129" s="41"/>
    </row>
    <row r="130" spans="1:19" s="30" customFormat="1" x14ac:dyDescent="0.25">
      <c r="A130" s="36"/>
      <c r="B130" s="31"/>
      <c r="C130" s="31"/>
      <c r="D130" s="32"/>
      <c r="H130" s="32"/>
      <c r="J130" s="32"/>
      <c r="K130" s="41"/>
      <c r="L130" s="32"/>
      <c r="N130" s="32"/>
      <c r="O130" s="41"/>
      <c r="P130" s="32"/>
      <c r="R130" s="32"/>
      <c r="S130" s="41"/>
    </row>
    <row r="131" spans="1:19" s="30" customFormat="1" x14ac:dyDescent="0.25">
      <c r="A131" s="36"/>
      <c r="B131" s="31"/>
      <c r="C131" s="31"/>
      <c r="D131" s="32"/>
      <c r="H131" s="32"/>
      <c r="J131" s="32"/>
      <c r="K131" s="41"/>
      <c r="L131" s="32"/>
      <c r="N131" s="32"/>
      <c r="O131" s="41"/>
      <c r="P131" s="32"/>
      <c r="R131" s="32"/>
      <c r="S131" s="41"/>
    </row>
    <row r="132" spans="1:19" s="30" customFormat="1" x14ac:dyDescent="0.25">
      <c r="A132" s="36"/>
      <c r="B132" s="31"/>
      <c r="C132" s="31"/>
      <c r="D132" s="32"/>
      <c r="H132" s="32"/>
      <c r="J132" s="32"/>
      <c r="K132" s="41"/>
      <c r="L132" s="32"/>
      <c r="N132" s="32"/>
      <c r="O132" s="41"/>
      <c r="P132" s="32"/>
      <c r="R132" s="32"/>
      <c r="S132" s="41"/>
    </row>
    <row r="133" spans="1:19" s="30" customFormat="1" x14ac:dyDescent="0.25">
      <c r="A133" s="36"/>
      <c r="B133" s="31"/>
      <c r="C133" s="31"/>
      <c r="D133" s="32"/>
      <c r="H133" s="32"/>
      <c r="J133" s="32"/>
      <c r="K133" s="41"/>
      <c r="L133" s="32"/>
      <c r="N133" s="32"/>
      <c r="O133" s="41"/>
      <c r="P133" s="32"/>
      <c r="R133" s="32"/>
      <c r="S133" s="41"/>
    </row>
    <row r="134" spans="1:19" s="30" customFormat="1" x14ac:dyDescent="0.25">
      <c r="A134" s="36"/>
      <c r="B134" s="31"/>
      <c r="C134" s="31"/>
      <c r="D134" s="32"/>
      <c r="H134" s="32"/>
      <c r="J134" s="32"/>
      <c r="K134" s="41"/>
      <c r="L134" s="32"/>
      <c r="N134" s="32"/>
      <c r="O134" s="41"/>
      <c r="P134" s="32"/>
      <c r="R134" s="32"/>
      <c r="S134" s="41"/>
    </row>
    <row r="135" spans="1:19" s="30" customFormat="1" x14ac:dyDescent="0.25">
      <c r="A135" s="36"/>
      <c r="B135" s="31"/>
      <c r="C135" s="31"/>
      <c r="D135" s="32"/>
      <c r="H135" s="32"/>
      <c r="J135" s="32"/>
      <c r="K135" s="41"/>
      <c r="L135" s="32"/>
      <c r="N135" s="32"/>
      <c r="O135" s="41"/>
      <c r="P135" s="32"/>
      <c r="R135" s="32"/>
      <c r="S135" s="41"/>
    </row>
    <row r="136" spans="1:19" s="30" customFormat="1" x14ac:dyDescent="0.25">
      <c r="A136" s="36"/>
      <c r="B136" s="31"/>
      <c r="C136" s="31"/>
      <c r="D136" s="32"/>
      <c r="H136" s="32"/>
      <c r="J136" s="32"/>
      <c r="K136" s="41"/>
      <c r="L136" s="32"/>
      <c r="N136" s="32"/>
      <c r="O136" s="41"/>
      <c r="P136" s="32"/>
      <c r="R136" s="32"/>
      <c r="S136" s="41"/>
    </row>
    <row r="137" spans="1:19" s="30" customFormat="1" x14ac:dyDescent="0.25">
      <c r="A137" s="36"/>
      <c r="B137" s="31"/>
      <c r="C137" s="31"/>
      <c r="D137" s="32"/>
      <c r="H137" s="32"/>
      <c r="J137" s="32"/>
      <c r="K137" s="41"/>
      <c r="L137" s="32"/>
      <c r="N137" s="32"/>
      <c r="O137" s="41"/>
      <c r="P137" s="32"/>
      <c r="R137" s="32"/>
      <c r="S137" s="41"/>
    </row>
    <row r="138" spans="1:19" s="30" customFormat="1" x14ac:dyDescent="0.25">
      <c r="A138" s="36"/>
      <c r="B138" s="31"/>
      <c r="C138" s="31"/>
      <c r="D138" s="32"/>
      <c r="H138" s="32"/>
      <c r="J138" s="32"/>
      <c r="K138" s="41"/>
      <c r="L138" s="32"/>
      <c r="N138" s="32"/>
      <c r="O138" s="41"/>
      <c r="P138" s="32"/>
      <c r="R138" s="32"/>
      <c r="S138" s="41"/>
    </row>
    <row r="139" spans="1:19" s="30" customFormat="1" x14ac:dyDescent="0.25">
      <c r="A139" s="36"/>
      <c r="B139" s="31"/>
      <c r="C139" s="31"/>
      <c r="D139" s="32"/>
      <c r="H139" s="32"/>
      <c r="J139" s="32"/>
      <c r="K139" s="41"/>
      <c r="L139" s="32"/>
      <c r="N139" s="32"/>
      <c r="O139" s="41"/>
      <c r="P139" s="32"/>
      <c r="R139" s="32"/>
      <c r="S139" s="41"/>
    </row>
    <row r="140" spans="1:19" s="30" customFormat="1" x14ac:dyDescent="0.25">
      <c r="A140" s="36"/>
      <c r="B140" s="31"/>
      <c r="C140" s="31"/>
      <c r="D140" s="32"/>
      <c r="H140" s="32"/>
      <c r="J140" s="32"/>
      <c r="K140" s="41"/>
      <c r="L140" s="32"/>
      <c r="N140" s="32"/>
      <c r="O140" s="41"/>
      <c r="P140" s="32"/>
      <c r="R140" s="32"/>
      <c r="S140" s="41"/>
    </row>
    <row r="141" spans="1:19" s="30" customFormat="1" x14ac:dyDescent="0.25">
      <c r="A141" s="36"/>
      <c r="B141" s="31"/>
      <c r="C141" s="31"/>
      <c r="D141" s="32"/>
      <c r="H141" s="32"/>
      <c r="J141" s="32"/>
      <c r="K141" s="41"/>
      <c r="L141" s="32"/>
      <c r="N141" s="32"/>
      <c r="O141" s="41"/>
      <c r="P141" s="32"/>
      <c r="R141" s="32"/>
      <c r="S141" s="41"/>
    </row>
    <row r="142" spans="1:19" s="30" customFormat="1" x14ac:dyDescent="0.25">
      <c r="A142" s="36"/>
      <c r="B142" s="31"/>
      <c r="C142" s="31"/>
      <c r="D142" s="32"/>
      <c r="H142" s="32"/>
      <c r="J142" s="32"/>
      <c r="K142" s="41"/>
      <c r="L142" s="32"/>
      <c r="N142" s="32"/>
      <c r="O142" s="41"/>
      <c r="P142" s="32"/>
      <c r="R142" s="32"/>
      <c r="S142" s="41"/>
    </row>
    <row r="143" spans="1:19" s="30" customFormat="1" x14ac:dyDescent="0.25">
      <c r="A143" s="36"/>
      <c r="B143" s="31"/>
      <c r="C143" s="31"/>
      <c r="D143" s="32"/>
      <c r="H143" s="32"/>
      <c r="J143" s="32"/>
      <c r="K143" s="41"/>
      <c r="L143" s="32"/>
      <c r="N143" s="32"/>
      <c r="O143" s="41"/>
      <c r="P143" s="32"/>
      <c r="R143" s="32"/>
      <c r="S143" s="41"/>
    </row>
    <row r="144" spans="1:19" s="30" customFormat="1" x14ac:dyDescent="0.25">
      <c r="A144" s="36"/>
      <c r="B144" s="31"/>
      <c r="C144" s="31"/>
      <c r="D144" s="32"/>
      <c r="H144" s="32"/>
      <c r="J144" s="32"/>
      <c r="K144" s="41"/>
      <c r="L144" s="32"/>
      <c r="N144" s="32"/>
      <c r="O144" s="41"/>
      <c r="P144" s="32"/>
      <c r="R144" s="32"/>
      <c r="S144" s="41"/>
    </row>
    <row r="145" spans="1:19" s="30" customFormat="1" x14ac:dyDescent="0.25">
      <c r="A145" s="36"/>
      <c r="B145" s="31"/>
      <c r="C145" s="31"/>
      <c r="D145" s="32"/>
      <c r="H145" s="32"/>
      <c r="J145" s="32"/>
      <c r="K145" s="41"/>
      <c r="L145" s="32"/>
      <c r="N145" s="32"/>
      <c r="O145" s="41"/>
      <c r="P145" s="32"/>
      <c r="R145" s="32"/>
      <c r="S145" s="41"/>
    </row>
    <row r="146" spans="1:19" s="30" customFormat="1" x14ac:dyDescent="0.25">
      <c r="A146" s="36"/>
      <c r="B146" s="31"/>
      <c r="C146" s="31"/>
      <c r="D146" s="32"/>
      <c r="H146" s="32"/>
      <c r="J146" s="32"/>
      <c r="K146" s="41"/>
      <c r="L146" s="32"/>
      <c r="N146" s="32"/>
      <c r="O146" s="41"/>
      <c r="P146" s="32"/>
      <c r="R146" s="32"/>
      <c r="S146" s="41"/>
    </row>
    <row r="147" spans="1:19" s="30" customFormat="1" x14ac:dyDescent="0.25">
      <c r="A147" s="36"/>
      <c r="B147" s="31"/>
      <c r="C147" s="31"/>
      <c r="D147" s="32"/>
      <c r="H147" s="32"/>
      <c r="J147" s="32"/>
      <c r="K147" s="41"/>
      <c r="L147" s="32"/>
      <c r="N147" s="32"/>
      <c r="O147" s="41"/>
      <c r="P147" s="32"/>
      <c r="R147" s="32"/>
      <c r="S147" s="41"/>
    </row>
    <row r="148" spans="1:19" s="30" customFormat="1" x14ac:dyDescent="0.25">
      <c r="A148" s="36"/>
      <c r="B148" s="31"/>
      <c r="C148" s="31"/>
      <c r="D148" s="32"/>
      <c r="H148" s="32"/>
      <c r="J148" s="32"/>
      <c r="K148" s="41"/>
      <c r="L148" s="32"/>
      <c r="N148" s="32"/>
      <c r="O148" s="41"/>
      <c r="P148" s="32"/>
      <c r="R148" s="32"/>
      <c r="S148" s="41"/>
    </row>
    <row r="149" spans="1:19" s="30" customFormat="1" x14ac:dyDescent="0.25">
      <c r="A149" s="36"/>
      <c r="B149" s="31"/>
      <c r="C149" s="31"/>
      <c r="D149" s="32"/>
      <c r="H149" s="32"/>
      <c r="J149" s="32"/>
      <c r="K149" s="41"/>
      <c r="L149" s="32"/>
      <c r="N149" s="32"/>
      <c r="O149" s="41"/>
      <c r="P149" s="32"/>
      <c r="R149" s="32"/>
      <c r="S149" s="41"/>
    </row>
    <row r="150" spans="1:19" s="30" customFormat="1" x14ac:dyDescent="0.25">
      <c r="A150" s="36"/>
      <c r="B150" s="31"/>
      <c r="C150" s="31"/>
      <c r="D150" s="32"/>
      <c r="H150" s="32"/>
      <c r="J150" s="32"/>
      <c r="K150" s="41"/>
      <c r="L150" s="32"/>
      <c r="N150" s="32"/>
      <c r="O150" s="41"/>
      <c r="P150" s="32"/>
      <c r="R150" s="32"/>
      <c r="S150" s="41"/>
    </row>
    <row r="151" spans="1:19" s="30" customFormat="1" x14ac:dyDescent="0.25">
      <c r="A151" s="36"/>
      <c r="B151" s="31"/>
      <c r="C151" s="31"/>
      <c r="D151" s="32"/>
      <c r="H151" s="32"/>
      <c r="J151" s="32"/>
      <c r="K151" s="41"/>
      <c r="L151" s="32"/>
      <c r="N151" s="32"/>
      <c r="O151" s="41"/>
      <c r="P151" s="32"/>
      <c r="R151" s="32"/>
      <c r="S151" s="41"/>
    </row>
    <row r="152" spans="1:19" s="30" customFormat="1" x14ac:dyDescent="0.25">
      <c r="A152" s="36"/>
      <c r="B152" s="31"/>
      <c r="C152" s="31"/>
      <c r="D152" s="32"/>
      <c r="H152" s="32"/>
      <c r="J152" s="32"/>
      <c r="K152" s="41"/>
      <c r="L152" s="32"/>
      <c r="N152" s="32"/>
      <c r="O152" s="41"/>
      <c r="P152" s="32"/>
      <c r="R152" s="32"/>
      <c r="S152" s="41"/>
    </row>
    <row r="153" spans="1:19" s="30" customFormat="1" x14ac:dyDescent="0.25">
      <c r="A153" s="36"/>
      <c r="B153" s="31"/>
      <c r="C153" s="31"/>
      <c r="D153" s="32"/>
      <c r="H153" s="32"/>
      <c r="J153" s="32"/>
      <c r="K153" s="41"/>
      <c r="L153" s="32"/>
      <c r="N153" s="32"/>
      <c r="O153" s="41"/>
      <c r="P153" s="32"/>
      <c r="R153" s="32"/>
      <c r="S153" s="41"/>
    </row>
    <row r="154" spans="1:19" s="30" customFormat="1" x14ac:dyDescent="0.25">
      <c r="A154" s="36"/>
      <c r="B154" s="31"/>
      <c r="C154" s="31"/>
      <c r="D154" s="32"/>
      <c r="H154" s="32"/>
      <c r="J154" s="32"/>
      <c r="K154" s="41"/>
      <c r="L154" s="32"/>
      <c r="N154" s="32"/>
      <c r="O154" s="41"/>
      <c r="P154" s="32"/>
      <c r="R154" s="32"/>
      <c r="S154" s="41"/>
    </row>
    <row r="155" spans="1:19" s="30" customFormat="1" x14ac:dyDescent="0.25">
      <c r="A155" s="36"/>
      <c r="B155" s="31"/>
      <c r="C155" s="31"/>
      <c r="D155" s="32"/>
      <c r="H155" s="32"/>
      <c r="J155" s="32"/>
      <c r="K155" s="41"/>
      <c r="L155" s="32"/>
      <c r="N155" s="32"/>
      <c r="O155" s="41"/>
      <c r="P155" s="32"/>
      <c r="R155" s="32"/>
      <c r="S155" s="41"/>
    </row>
    <row r="156" spans="1:19" s="30" customFormat="1" x14ac:dyDescent="0.25">
      <c r="A156" s="36"/>
      <c r="B156" s="31"/>
      <c r="C156" s="31"/>
      <c r="D156" s="32"/>
      <c r="H156" s="32"/>
      <c r="J156" s="32"/>
      <c r="K156" s="41"/>
      <c r="L156" s="32"/>
      <c r="N156" s="32"/>
      <c r="O156" s="41"/>
      <c r="P156" s="32"/>
      <c r="R156" s="32"/>
      <c r="S156" s="41"/>
    </row>
    <row r="157" spans="1:19" s="30" customFormat="1" x14ac:dyDescent="0.25">
      <c r="A157" s="36"/>
      <c r="B157" s="31"/>
      <c r="C157" s="31"/>
      <c r="D157" s="32"/>
      <c r="H157" s="32"/>
      <c r="J157" s="32"/>
      <c r="K157" s="41"/>
      <c r="L157" s="32"/>
      <c r="N157" s="32"/>
      <c r="O157" s="41"/>
      <c r="P157" s="32"/>
      <c r="R157" s="32"/>
      <c r="S157" s="41"/>
    </row>
    <row r="158" spans="1:19" s="30" customFormat="1" x14ac:dyDescent="0.25">
      <c r="A158" s="36"/>
      <c r="B158" s="31"/>
      <c r="C158" s="31"/>
      <c r="D158" s="32"/>
      <c r="H158" s="32"/>
      <c r="J158" s="32"/>
      <c r="K158" s="41"/>
      <c r="L158" s="32"/>
      <c r="N158" s="32"/>
      <c r="O158" s="41"/>
      <c r="P158" s="32"/>
      <c r="R158" s="32"/>
      <c r="S158" s="41"/>
    </row>
    <row r="159" spans="1:19" s="30" customFormat="1" x14ac:dyDescent="0.25">
      <c r="A159" s="36"/>
      <c r="B159" s="31"/>
      <c r="C159" s="31"/>
      <c r="D159" s="32"/>
      <c r="H159" s="32"/>
      <c r="J159" s="32"/>
      <c r="K159" s="41"/>
      <c r="L159" s="32"/>
      <c r="N159" s="32"/>
      <c r="O159" s="41"/>
      <c r="P159" s="32"/>
      <c r="R159" s="32"/>
      <c r="S159" s="41"/>
    </row>
    <row r="160" spans="1:19" s="30" customFormat="1" x14ac:dyDescent="0.25">
      <c r="A160" s="36"/>
      <c r="B160" s="31"/>
      <c r="C160" s="31"/>
      <c r="D160" s="32"/>
      <c r="H160" s="32"/>
      <c r="J160" s="32"/>
      <c r="K160" s="41"/>
      <c r="L160" s="32"/>
      <c r="N160" s="32"/>
      <c r="O160" s="41"/>
      <c r="P160" s="32"/>
      <c r="R160" s="32"/>
      <c r="S160" s="41"/>
    </row>
    <row r="161" spans="1:19" s="30" customFormat="1" x14ac:dyDescent="0.25">
      <c r="A161" s="36"/>
      <c r="B161" s="31"/>
      <c r="C161" s="31"/>
      <c r="D161" s="32"/>
      <c r="H161" s="32"/>
      <c r="J161" s="32"/>
      <c r="K161" s="41"/>
      <c r="L161" s="32"/>
      <c r="N161" s="32"/>
      <c r="O161" s="41"/>
      <c r="P161" s="32"/>
      <c r="R161" s="32"/>
      <c r="S161" s="41"/>
    </row>
    <row r="162" spans="1:19" s="30" customFormat="1" x14ac:dyDescent="0.25">
      <c r="A162" s="36"/>
      <c r="B162" s="31"/>
      <c r="C162" s="31"/>
      <c r="D162" s="32"/>
      <c r="H162" s="32"/>
      <c r="J162" s="32"/>
      <c r="K162" s="41"/>
      <c r="L162" s="32"/>
      <c r="N162" s="32"/>
      <c r="O162" s="41"/>
      <c r="P162" s="32"/>
      <c r="R162" s="32"/>
      <c r="S162" s="41"/>
    </row>
    <row r="163" spans="1:19" s="30" customFormat="1" x14ac:dyDescent="0.25">
      <c r="A163" s="36"/>
      <c r="B163" s="31"/>
      <c r="C163" s="31"/>
      <c r="D163" s="32"/>
      <c r="H163" s="32"/>
      <c r="J163" s="32"/>
      <c r="K163" s="41"/>
      <c r="L163" s="32"/>
      <c r="N163" s="32"/>
      <c r="O163" s="41"/>
      <c r="P163" s="32"/>
      <c r="R163" s="32"/>
      <c r="S163" s="41"/>
    </row>
    <row r="164" spans="1:19" s="30" customFormat="1" x14ac:dyDescent="0.25">
      <c r="A164" s="36"/>
      <c r="B164" s="31"/>
      <c r="C164" s="31"/>
      <c r="D164" s="32"/>
      <c r="H164" s="32"/>
      <c r="J164" s="32"/>
      <c r="K164" s="41"/>
      <c r="L164" s="32"/>
      <c r="N164" s="32"/>
      <c r="O164" s="41"/>
      <c r="P164" s="32"/>
      <c r="R164" s="32"/>
      <c r="S164" s="41"/>
    </row>
    <row r="165" spans="1:19" s="30" customFormat="1" x14ac:dyDescent="0.25">
      <c r="A165" s="36"/>
      <c r="B165" s="31"/>
      <c r="C165" s="31"/>
      <c r="D165" s="32"/>
      <c r="H165" s="32"/>
      <c r="J165" s="32"/>
      <c r="K165" s="41"/>
      <c r="L165" s="32"/>
      <c r="N165" s="32"/>
      <c r="O165" s="41"/>
      <c r="P165" s="32"/>
      <c r="R165" s="32"/>
      <c r="S165" s="41"/>
    </row>
    <row r="166" spans="1:19" s="30" customFormat="1" x14ac:dyDescent="0.25">
      <c r="A166" s="36"/>
      <c r="B166" s="31"/>
      <c r="C166" s="31"/>
      <c r="D166" s="32"/>
      <c r="H166" s="32"/>
      <c r="J166" s="32"/>
      <c r="K166" s="41"/>
      <c r="L166" s="32"/>
      <c r="N166" s="32"/>
      <c r="O166" s="41"/>
      <c r="P166" s="32"/>
      <c r="R166" s="32"/>
      <c r="S166" s="41"/>
    </row>
    <row r="167" spans="1:19" s="30" customFormat="1" x14ac:dyDescent="0.25">
      <c r="A167" s="36"/>
      <c r="B167" s="31"/>
      <c r="C167" s="31"/>
      <c r="D167" s="32"/>
      <c r="H167" s="32"/>
      <c r="J167" s="32"/>
      <c r="K167" s="41"/>
      <c r="L167" s="32"/>
      <c r="N167" s="32"/>
      <c r="O167" s="41"/>
      <c r="P167" s="32"/>
      <c r="R167" s="32"/>
      <c r="S167" s="41"/>
    </row>
    <row r="168" spans="1:19" s="30" customFormat="1" x14ac:dyDescent="0.25">
      <c r="A168" s="36"/>
      <c r="B168" s="31"/>
      <c r="C168" s="31"/>
      <c r="D168" s="32"/>
      <c r="H168" s="32"/>
      <c r="J168" s="32"/>
      <c r="K168" s="41"/>
      <c r="L168" s="32"/>
      <c r="N168" s="32"/>
      <c r="O168" s="41"/>
      <c r="P168" s="32"/>
      <c r="R168" s="32"/>
      <c r="S168" s="41"/>
    </row>
    <row r="169" spans="1:19" s="30" customFormat="1" x14ac:dyDescent="0.25">
      <c r="A169" s="36"/>
      <c r="B169" s="31"/>
      <c r="C169" s="31"/>
      <c r="D169" s="32"/>
      <c r="H169" s="32"/>
      <c r="J169" s="32"/>
      <c r="K169" s="41"/>
      <c r="L169" s="32"/>
      <c r="N169" s="32"/>
      <c r="O169" s="41"/>
      <c r="P169" s="32"/>
      <c r="R169" s="32"/>
      <c r="S169" s="41"/>
    </row>
    <row r="170" spans="1:19" s="30" customFormat="1" x14ac:dyDescent="0.25">
      <c r="A170" s="36"/>
      <c r="B170" s="31"/>
      <c r="C170" s="31"/>
      <c r="D170" s="32"/>
      <c r="H170" s="32"/>
      <c r="J170" s="32"/>
      <c r="K170" s="41"/>
      <c r="L170" s="32"/>
      <c r="N170" s="32"/>
      <c r="O170" s="41"/>
      <c r="P170" s="32"/>
      <c r="R170" s="32"/>
      <c r="S170" s="41"/>
    </row>
    <row r="171" spans="1:19" s="30" customFormat="1" x14ac:dyDescent="0.25">
      <c r="A171" s="36"/>
      <c r="B171" s="31"/>
      <c r="C171" s="31"/>
      <c r="D171" s="32"/>
      <c r="H171" s="32"/>
      <c r="J171" s="32"/>
      <c r="K171" s="41"/>
      <c r="L171" s="32"/>
      <c r="N171" s="32"/>
      <c r="O171" s="41"/>
      <c r="P171" s="32"/>
      <c r="R171" s="32"/>
      <c r="S171" s="41"/>
    </row>
    <row r="172" spans="1:19" s="30" customFormat="1" x14ac:dyDescent="0.25">
      <c r="A172" s="36"/>
      <c r="B172" s="31"/>
      <c r="C172" s="31"/>
      <c r="D172" s="32"/>
      <c r="H172" s="32"/>
      <c r="J172" s="32"/>
      <c r="K172" s="41"/>
      <c r="L172" s="32"/>
      <c r="N172" s="32"/>
      <c r="O172" s="41"/>
      <c r="P172" s="32"/>
      <c r="R172" s="32"/>
      <c r="S172" s="41"/>
    </row>
    <row r="173" spans="1:19" s="30" customFormat="1" x14ac:dyDescent="0.25">
      <c r="A173" s="36"/>
      <c r="B173" s="31"/>
      <c r="C173" s="31"/>
      <c r="D173" s="32"/>
      <c r="H173" s="32"/>
      <c r="J173" s="32"/>
      <c r="K173" s="41"/>
      <c r="L173" s="32"/>
      <c r="N173" s="32"/>
      <c r="O173" s="41"/>
      <c r="P173" s="32"/>
      <c r="R173" s="32"/>
      <c r="S173" s="41"/>
    </row>
    <row r="174" spans="1:19" s="30" customFormat="1" x14ac:dyDescent="0.25">
      <c r="A174" s="36"/>
      <c r="B174" s="31"/>
      <c r="C174" s="31"/>
      <c r="D174" s="32"/>
      <c r="H174" s="32"/>
      <c r="J174" s="32"/>
      <c r="K174" s="41"/>
      <c r="L174" s="32"/>
      <c r="N174" s="32"/>
      <c r="O174" s="41"/>
      <c r="P174" s="32"/>
      <c r="R174" s="32"/>
      <c r="S174" s="41"/>
    </row>
    <row r="175" spans="1:19" s="30" customFormat="1" x14ac:dyDescent="0.25">
      <c r="A175" s="36"/>
      <c r="B175" s="31"/>
      <c r="C175" s="31"/>
      <c r="D175" s="32"/>
      <c r="H175" s="32"/>
      <c r="J175" s="32"/>
      <c r="K175" s="41"/>
      <c r="L175" s="32"/>
      <c r="N175" s="32"/>
      <c r="O175" s="41"/>
      <c r="P175" s="32"/>
      <c r="R175" s="32"/>
      <c r="S175" s="41"/>
    </row>
    <row r="176" spans="1:19" s="30" customFormat="1" x14ac:dyDescent="0.25">
      <c r="A176" s="36"/>
      <c r="B176" s="31"/>
      <c r="C176" s="31"/>
      <c r="D176" s="32"/>
      <c r="H176" s="32"/>
      <c r="J176" s="32"/>
      <c r="K176" s="41"/>
      <c r="L176" s="32"/>
      <c r="N176" s="32"/>
      <c r="O176" s="41"/>
      <c r="P176" s="32"/>
      <c r="R176" s="32"/>
      <c r="S176" s="41"/>
    </row>
    <row r="177" spans="1:19" s="30" customFormat="1" x14ac:dyDescent="0.25">
      <c r="A177" s="36"/>
      <c r="B177" s="31"/>
      <c r="C177" s="31"/>
      <c r="D177" s="32"/>
      <c r="H177" s="32"/>
      <c r="J177" s="32"/>
      <c r="K177" s="41"/>
      <c r="L177" s="32"/>
      <c r="N177" s="32"/>
      <c r="O177" s="41"/>
      <c r="P177" s="32"/>
      <c r="R177" s="32"/>
      <c r="S177" s="41"/>
    </row>
    <row r="178" spans="1:19" s="30" customFormat="1" x14ac:dyDescent="0.25">
      <c r="A178" s="36"/>
      <c r="B178" s="31"/>
      <c r="C178" s="31"/>
      <c r="D178" s="32"/>
      <c r="H178" s="32"/>
      <c r="J178" s="32"/>
      <c r="K178" s="41"/>
      <c r="L178" s="32"/>
      <c r="N178" s="32"/>
      <c r="O178" s="41"/>
      <c r="P178" s="32"/>
      <c r="R178" s="32"/>
      <c r="S178" s="41"/>
    </row>
    <row r="179" spans="1:19" s="30" customFormat="1" x14ac:dyDescent="0.25">
      <c r="A179" s="36"/>
      <c r="B179" s="31"/>
      <c r="C179" s="31"/>
      <c r="D179" s="32"/>
      <c r="H179" s="32"/>
      <c r="J179" s="32"/>
      <c r="K179" s="41"/>
      <c r="L179" s="32"/>
      <c r="N179" s="32"/>
      <c r="O179" s="41"/>
      <c r="P179" s="32"/>
      <c r="R179" s="32"/>
      <c r="S179" s="41"/>
    </row>
    <row r="180" spans="1:19" s="30" customFormat="1" x14ac:dyDescent="0.25">
      <c r="A180" s="36"/>
      <c r="B180" s="31"/>
      <c r="C180" s="31"/>
      <c r="D180" s="32"/>
      <c r="H180" s="32"/>
      <c r="J180" s="32"/>
      <c r="K180" s="41"/>
      <c r="L180" s="32"/>
      <c r="N180" s="32"/>
      <c r="O180" s="41"/>
      <c r="P180" s="32"/>
      <c r="R180" s="32"/>
      <c r="S180" s="41"/>
    </row>
    <row r="181" spans="1:19" s="30" customFormat="1" x14ac:dyDescent="0.25">
      <c r="A181" s="36"/>
      <c r="B181" s="31"/>
      <c r="C181" s="31"/>
      <c r="D181" s="32"/>
      <c r="H181" s="32"/>
      <c r="J181" s="32"/>
      <c r="K181" s="41"/>
      <c r="L181" s="32"/>
      <c r="N181" s="32"/>
      <c r="O181" s="41"/>
      <c r="P181" s="32"/>
      <c r="R181" s="32"/>
      <c r="S181" s="41"/>
    </row>
    <row r="182" spans="1:19" s="30" customFormat="1" x14ac:dyDescent="0.25">
      <c r="A182" s="36"/>
      <c r="B182" s="31"/>
      <c r="C182" s="31"/>
      <c r="D182" s="32"/>
      <c r="H182" s="32"/>
      <c r="J182" s="32"/>
      <c r="K182" s="41"/>
      <c r="L182" s="32"/>
      <c r="N182" s="32"/>
      <c r="O182" s="41"/>
      <c r="P182" s="32"/>
      <c r="R182" s="32"/>
      <c r="S182" s="41"/>
    </row>
    <row r="183" spans="1:19" s="30" customFormat="1" x14ac:dyDescent="0.25">
      <c r="A183" s="36"/>
      <c r="B183" s="31"/>
      <c r="C183" s="31"/>
      <c r="D183" s="32"/>
      <c r="H183" s="32"/>
      <c r="J183" s="32"/>
      <c r="K183" s="41"/>
      <c r="L183" s="32"/>
      <c r="N183" s="32"/>
      <c r="O183" s="41"/>
      <c r="P183" s="32"/>
      <c r="R183" s="32"/>
      <c r="S183" s="41"/>
    </row>
    <row r="184" spans="1:19" s="30" customFormat="1" x14ac:dyDescent="0.25">
      <c r="A184" s="36"/>
      <c r="B184" s="31"/>
      <c r="C184" s="31"/>
      <c r="D184" s="32"/>
      <c r="H184" s="32"/>
      <c r="J184" s="32"/>
      <c r="K184" s="41"/>
      <c r="L184" s="32"/>
      <c r="N184" s="32"/>
      <c r="O184" s="41"/>
      <c r="P184" s="32"/>
      <c r="R184" s="32"/>
      <c r="S184" s="41"/>
    </row>
    <row r="185" spans="1:19" s="30" customFormat="1" x14ac:dyDescent="0.25">
      <c r="A185" s="36"/>
      <c r="B185" s="31"/>
      <c r="C185" s="31"/>
      <c r="D185" s="32"/>
      <c r="H185" s="32"/>
      <c r="J185" s="32"/>
      <c r="K185" s="41"/>
      <c r="L185" s="32"/>
      <c r="N185" s="32"/>
      <c r="O185" s="41"/>
      <c r="P185" s="32"/>
      <c r="R185" s="32"/>
      <c r="S185" s="41"/>
    </row>
    <row r="186" spans="1:19" s="30" customFormat="1" x14ac:dyDescent="0.25">
      <c r="A186" s="36"/>
      <c r="B186" s="31"/>
      <c r="C186" s="31"/>
      <c r="D186" s="32"/>
      <c r="H186" s="32"/>
      <c r="J186" s="32"/>
      <c r="K186" s="41"/>
      <c r="L186" s="32"/>
      <c r="N186" s="32"/>
      <c r="O186" s="41"/>
      <c r="P186" s="32"/>
      <c r="R186" s="32"/>
      <c r="S186" s="41"/>
    </row>
    <row r="187" spans="1:19" s="30" customFormat="1" x14ac:dyDescent="0.25">
      <c r="A187" s="36"/>
      <c r="B187" s="31"/>
      <c r="C187" s="31"/>
      <c r="D187" s="32"/>
      <c r="H187" s="32"/>
      <c r="J187" s="32"/>
      <c r="K187" s="41"/>
      <c r="L187" s="32"/>
      <c r="N187" s="32"/>
      <c r="O187" s="41"/>
      <c r="P187" s="32"/>
      <c r="R187" s="32"/>
      <c r="S187" s="41"/>
    </row>
    <row r="188" spans="1:19" s="30" customFormat="1" x14ac:dyDescent="0.25">
      <c r="A188" s="36"/>
      <c r="B188" s="31"/>
      <c r="C188" s="31"/>
      <c r="D188" s="32"/>
      <c r="H188" s="32"/>
      <c r="J188" s="32"/>
      <c r="K188" s="41"/>
      <c r="L188" s="32"/>
      <c r="N188" s="32"/>
      <c r="O188" s="41"/>
      <c r="P188" s="32"/>
      <c r="R188" s="32"/>
      <c r="S188" s="41"/>
    </row>
    <row r="189" spans="1:19" s="30" customFormat="1" x14ac:dyDescent="0.25">
      <c r="A189" s="36"/>
      <c r="B189" s="31"/>
      <c r="C189" s="31"/>
      <c r="D189" s="32"/>
      <c r="H189" s="32"/>
      <c r="J189" s="32"/>
      <c r="K189" s="41"/>
      <c r="L189" s="32"/>
      <c r="N189" s="32"/>
      <c r="O189" s="41"/>
      <c r="P189" s="32"/>
      <c r="R189" s="32"/>
      <c r="S189" s="41"/>
    </row>
    <row r="190" spans="1:19" s="30" customFormat="1" x14ac:dyDescent="0.25">
      <c r="A190" s="36"/>
      <c r="B190" s="31"/>
      <c r="C190" s="31"/>
      <c r="D190" s="32"/>
      <c r="H190" s="32"/>
      <c r="J190" s="32"/>
      <c r="K190" s="41"/>
      <c r="L190" s="32"/>
      <c r="N190" s="32"/>
      <c r="O190" s="41"/>
      <c r="P190" s="32"/>
      <c r="R190" s="32"/>
      <c r="S190" s="41"/>
    </row>
    <row r="191" spans="1:19" s="30" customFormat="1" x14ac:dyDescent="0.25">
      <c r="A191" s="36"/>
      <c r="B191" s="31"/>
      <c r="C191" s="31"/>
      <c r="D191" s="32"/>
      <c r="H191" s="32"/>
      <c r="J191" s="32"/>
      <c r="K191" s="41"/>
      <c r="L191" s="32"/>
      <c r="N191" s="32"/>
      <c r="O191" s="41"/>
      <c r="P191" s="32"/>
      <c r="R191" s="32"/>
      <c r="S191" s="41"/>
    </row>
    <row r="192" spans="1:19" s="30" customFormat="1" x14ac:dyDescent="0.25">
      <c r="A192" s="36"/>
      <c r="B192" s="31"/>
      <c r="C192" s="31"/>
      <c r="D192" s="32"/>
      <c r="H192" s="32"/>
      <c r="J192" s="32"/>
      <c r="K192" s="41"/>
      <c r="L192" s="32"/>
      <c r="N192" s="32"/>
      <c r="O192" s="41"/>
      <c r="P192" s="32"/>
      <c r="R192" s="32"/>
      <c r="S192" s="41"/>
    </row>
    <row r="193" spans="1:19" s="30" customFormat="1" x14ac:dyDescent="0.25">
      <c r="A193" s="36"/>
      <c r="B193" s="31"/>
      <c r="C193" s="31"/>
      <c r="D193" s="32"/>
      <c r="H193" s="32"/>
      <c r="J193" s="32"/>
      <c r="K193" s="41"/>
      <c r="L193" s="32"/>
      <c r="N193" s="32"/>
      <c r="O193" s="41"/>
      <c r="P193" s="32"/>
      <c r="R193" s="32"/>
      <c r="S193" s="41"/>
    </row>
    <row r="194" spans="1:19" s="30" customFormat="1" x14ac:dyDescent="0.25">
      <c r="A194" s="36"/>
      <c r="B194" s="31"/>
      <c r="C194" s="31"/>
      <c r="D194" s="32"/>
      <c r="H194" s="32"/>
      <c r="J194" s="32"/>
      <c r="K194" s="41"/>
      <c r="L194" s="32"/>
      <c r="N194" s="32"/>
      <c r="O194" s="41"/>
      <c r="P194" s="32"/>
      <c r="R194" s="32"/>
      <c r="S194" s="41"/>
    </row>
    <row r="195" spans="1:19" s="30" customFormat="1" x14ac:dyDescent="0.25">
      <c r="A195" s="36"/>
      <c r="B195" s="31"/>
      <c r="C195" s="31"/>
      <c r="D195" s="32"/>
      <c r="H195" s="32"/>
      <c r="J195" s="32"/>
      <c r="K195" s="41"/>
      <c r="L195" s="32"/>
      <c r="N195" s="32"/>
      <c r="O195" s="41"/>
      <c r="P195" s="32"/>
      <c r="R195" s="32"/>
      <c r="S195" s="41"/>
    </row>
    <row r="196" spans="1:19" s="30" customFormat="1" x14ac:dyDescent="0.25">
      <c r="A196" s="36"/>
      <c r="B196" s="31"/>
      <c r="C196" s="31"/>
      <c r="D196" s="32"/>
      <c r="H196" s="32"/>
      <c r="J196" s="32"/>
      <c r="K196" s="41"/>
      <c r="L196" s="32"/>
      <c r="N196" s="32"/>
      <c r="O196" s="41"/>
      <c r="P196" s="32"/>
      <c r="R196" s="32"/>
      <c r="S196" s="41"/>
    </row>
    <row r="197" spans="1:19" s="30" customFormat="1" x14ac:dyDescent="0.25">
      <c r="A197" s="36"/>
      <c r="B197" s="31"/>
      <c r="C197" s="31"/>
      <c r="D197" s="32"/>
      <c r="H197" s="32"/>
      <c r="J197" s="32"/>
      <c r="K197" s="41"/>
      <c r="L197" s="32"/>
      <c r="N197" s="32"/>
      <c r="O197" s="41"/>
      <c r="P197" s="32"/>
      <c r="R197" s="32"/>
      <c r="S197" s="41"/>
    </row>
    <row r="198" spans="1:19" s="30" customFormat="1" x14ac:dyDescent="0.25">
      <c r="A198" s="36"/>
      <c r="B198" s="31"/>
      <c r="C198" s="31"/>
      <c r="D198" s="32"/>
      <c r="H198" s="32"/>
      <c r="J198" s="32"/>
      <c r="K198" s="41"/>
      <c r="L198" s="32"/>
      <c r="N198" s="32"/>
      <c r="O198" s="41"/>
      <c r="P198" s="32"/>
      <c r="R198" s="32"/>
      <c r="S198" s="41"/>
    </row>
    <row r="199" spans="1:19" s="30" customFormat="1" x14ac:dyDescent="0.25">
      <c r="A199" s="36"/>
      <c r="B199" s="31"/>
      <c r="C199" s="31"/>
      <c r="D199" s="32"/>
      <c r="H199" s="32"/>
      <c r="J199" s="32"/>
      <c r="K199" s="41"/>
      <c r="L199" s="32"/>
      <c r="N199" s="32"/>
      <c r="O199" s="41"/>
      <c r="P199" s="32"/>
      <c r="R199" s="32"/>
      <c r="S199" s="41"/>
    </row>
    <row r="200" spans="1:19" s="30" customFormat="1" x14ac:dyDescent="0.25">
      <c r="A200" s="36"/>
      <c r="B200" s="31"/>
      <c r="C200" s="31"/>
      <c r="D200" s="32"/>
      <c r="H200" s="32"/>
      <c r="J200" s="32"/>
      <c r="K200" s="41"/>
      <c r="L200" s="32"/>
      <c r="N200" s="32"/>
      <c r="O200" s="41"/>
      <c r="P200" s="32"/>
      <c r="R200" s="32"/>
      <c r="S200" s="41"/>
    </row>
    <row r="201" spans="1:19" s="30" customFormat="1" x14ac:dyDescent="0.25">
      <c r="A201" s="36"/>
      <c r="B201" s="31"/>
      <c r="C201" s="31"/>
      <c r="D201" s="32"/>
      <c r="H201" s="32"/>
      <c r="J201" s="32"/>
      <c r="K201" s="41"/>
      <c r="L201" s="32"/>
      <c r="N201" s="32"/>
      <c r="O201" s="41"/>
      <c r="P201" s="32"/>
      <c r="R201" s="32"/>
      <c r="S201" s="41"/>
    </row>
    <row r="202" spans="1:19" s="30" customFormat="1" x14ac:dyDescent="0.25">
      <c r="A202" s="36"/>
      <c r="B202" s="31"/>
      <c r="C202" s="31"/>
      <c r="D202" s="32"/>
      <c r="H202" s="32"/>
      <c r="J202" s="32"/>
      <c r="K202" s="41"/>
      <c r="L202" s="32"/>
      <c r="N202" s="32"/>
      <c r="O202" s="41"/>
      <c r="P202" s="32"/>
      <c r="R202" s="32"/>
      <c r="S202" s="41"/>
    </row>
    <row r="203" spans="1:19" s="30" customFormat="1" x14ac:dyDescent="0.25">
      <c r="A203" s="36"/>
      <c r="B203" s="31"/>
      <c r="C203" s="31"/>
      <c r="D203" s="32"/>
      <c r="H203" s="32"/>
      <c r="J203" s="32"/>
      <c r="K203" s="41"/>
      <c r="L203" s="32"/>
      <c r="N203" s="32"/>
      <c r="O203" s="41"/>
      <c r="P203" s="32"/>
      <c r="R203" s="32"/>
      <c r="S203" s="41"/>
    </row>
    <row r="204" spans="1:19" s="30" customFormat="1" x14ac:dyDescent="0.25">
      <c r="A204" s="36"/>
      <c r="B204" s="31"/>
      <c r="C204" s="31"/>
      <c r="D204" s="32"/>
      <c r="H204" s="32"/>
      <c r="J204" s="32"/>
      <c r="K204" s="41"/>
      <c r="L204" s="32"/>
      <c r="N204" s="32"/>
      <c r="O204" s="41"/>
      <c r="P204" s="32"/>
      <c r="R204" s="32"/>
      <c r="S204" s="41"/>
    </row>
    <row r="205" spans="1:19" s="30" customFormat="1" x14ac:dyDescent="0.25">
      <c r="A205" s="36"/>
      <c r="B205" s="31"/>
      <c r="C205" s="31"/>
      <c r="D205" s="32"/>
      <c r="H205" s="32"/>
      <c r="J205" s="32"/>
      <c r="K205" s="41"/>
      <c r="L205" s="32"/>
      <c r="N205" s="32"/>
      <c r="O205" s="41"/>
      <c r="P205" s="32"/>
      <c r="R205" s="32"/>
      <c r="S205" s="41"/>
    </row>
    <row r="206" spans="1:19" s="30" customFormat="1" x14ac:dyDescent="0.25">
      <c r="A206" s="36"/>
      <c r="B206" s="31"/>
      <c r="C206" s="31"/>
      <c r="D206" s="32"/>
      <c r="H206" s="32"/>
      <c r="J206" s="32"/>
      <c r="K206" s="41"/>
      <c r="L206" s="32"/>
      <c r="N206" s="32"/>
      <c r="O206" s="41"/>
      <c r="P206" s="32"/>
      <c r="R206" s="32"/>
      <c r="S206" s="41"/>
    </row>
    <row r="207" spans="1:19" s="30" customFormat="1" x14ac:dyDescent="0.25">
      <c r="A207" s="36"/>
      <c r="B207" s="31"/>
      <c r="C207" s="31"/>
      <c r="D207" s="32"/>
      <c r="H207" s="32"/>
      <c r="J207" s="32"/>
      <c r="K207" s="41"/>
      <c r="L207" s="32"/>
      <c r="N207" s="32"/>
      <c r="O207" s="41"/>
      <c r="P207" s="32"/>
      <c r="R207" s="32"/>
      <c r="S207" s="41"/>
    </row>
    <row r="208" spans="1:19" s="30" customFormat="1" x14ac:dyDescent="0.25">
      <c r="A208" s="36"/>
      <c r="B208" s="31"/>
      <c r="C208" s="31"/>
      <c r="D208" s="32"/>
      <c r="H208" s="32"/>
      <c r="J208" s="32"/>
      <c r="K208" s="41"/>
      <c r="L208" s="32"/>
      <c r="N208" s="32"/>
      <c r="O208" s="41"/>
      <c r="P208" s="32"/>
      <c r="R208" s="32"/>
      <c r="S208" s="41"/>
    </row>
    <row r="209" spans="1:19" s="30" customFormat="1" x14ac:dyDescent="0.25">
      <c r="A209" s="36"/>
      <c r="B209" s="31"/>
      <c r="C209" s="31"/>
      <c r="D209" s="32"/>
      <c r="H209" s="32"/>
      <c r="J209" s="32"/>
      <c r="K209" s="41"/>
      <c r="L209" s="32"/>
      <c r="N209" s="32"/>
      <c r="O209" s="41"/>
      <c r="P209" s="32"/>
      <c r="R209" s="32"/>
      <c r="S209" s="41"/>
    </row>
    <row r="210" spans="1:19" s="30" customFormat="1" x14ac:dyDescent="0.25">
      <c r="A210" s="36"/>
      <c r="B210" s="31"/>
      <c r="C210" s="31"/>
      <c r="D210" s="32"/>
      <c r="H210" s="32"/>
      <c r="J210" s="32"/>
      <c r="K210" s="41"/>
      <c r="L210" s="32"/>
      <c r="N210" s="32"/>
      <c r="O210" s="41"/>
      <c r="P210" s="32"/>
      <c r="R210" s="32"/>
      <c r="S210" s="41"/>
    </row>
    <row r="211" spans="1:19" s="30" customFormat="1" x14ac:dyDescent="0.25">
      <c r="A211" s="36"/>
      <c r="B211" s="31"/>
      <c r="C211" s="31"/>
      <c r="D211" s="32"/>
      <c r="H211" s="32"/>
      <c r="J211" s="32"/>
      <c r="K211" s="41"/>
      <c r="L211" s="32"/>
      <c r="N211" s="32"/>
      <c r="O211" s="41"/>
      <c r="P211" s="32"/>
      <c r="R211" s="32"/>
      <c r="S211" s="41"/>
    </row>
    <row r="212" spans="1:19" s="30" customFormat="1" x14ac:dyDescent="0.25">
      <c r="A212" s="36"/>
      <c r="B212" s="31"/>
      <c r="C212" s="31"/>
      <c r="D212" s="32"/>
      <c r="H212" s="32"/>
      <c r="J212" s="32"/>
      <c r="K212" s="41"/>
      <c r="L212" s="32"/>
      <c r="N212" s="32"/>
      <c r="O212" s="41"/>
      <c r="P212" s="32"/>
      <c r="R212" s="32"/>
      <c r="S212" s="41"/>
    </row>
    <row r="213" spans="1:19" s="30" customFormat="1" x14ac:dyDescent="0.25">
      <c r="A213" s="36"/>
      <c r="B213" s="31"/>
      <c r="C213" s="31"/>
      <c r="D213" s="32"/>
      <c r="H213" s="32"/>
      <c r="J213" s="32"/>
      <c r="K213" s="41"/>
      <c r="L213" s="32"/>
      <c r="N213" s="32"/>
      <c r="O213" s="41"/>
      <c r="P213" s="32"/>
      <c r="R213" s="32"/>
      <c r="S213" s="41"/>
    </row>
    <row r="214" spans="1:19" s="30" customFormat="1" x14ac:dyDescent="0.25">
      <c r="A214" s="36"/>
      <c r="B214" s="31"/>
      <c r="C214" s="31"/>
      <c r="D214" s="32"/>
      <c r="H214" s="32"/>
      <c r="J214" s="32"/>
      <c r="K214" s="41"/>
      <c r="L214" s="32"/>
      <c r="N214" s="32"/>
      <c r="O214" s="41"/>
      <c r="P214" s="32"/>
      <c r="R214" s="32"/>
      <c r="S214" s="41"/>
    </row>
    <row r="215" spans="1:19" s="30" customFormat="1" x14ac:dyDescent="0.25">
      <c r="A215" s="36"/>
      <c r="B215" s="31"/>
      <c r="C215" s="31"/>
      <c r="D215" s="32"/>
      <c r="H215" s="32"/>
      <c r="J215" s="32"/>
      <c r="K215" s="41"/>
      <c r="L215" s="32"/>
      <c r="N215" s="32"/>
      <c r="O215" s="41"/>
      <c r="P215" s="32"/>
      <c r="R215" s="32"/>
      <c r="S215" s="41"/>
    </row>
    <row r="216" spans="1:19" s="30" customFormat="1" x14ac:dyDescent="0.25">
      <c r="A216" s="36"/>
      <c r="B216" s="31"/>
      <c r="C216" s="31"/>
      <c r="D216" s="32"/>
      <c r="H216" s="32"/>
      <c r="J216" s="32"/>
      <c r="K216" s="41"/>
      <c r="L216" s="32"/>
      <c r="N216" s="32"/>
      <c r="O216" s="41"/>
      <c r="P216" s="32"/>
      <c r="R216" s="32"/>
      <c r="S216" s="41"/>
    </row>
    <row r="217" spans="1:19" s="30" customFormat="1" x14ac:dyDescent="0.25">
      <c r="A217" s="36"/>
      <c r="B217" s="31"/>
      <c r="C217" s="31"/>
      <c r="D217" s="32"/>
      <c r="H217" s="32"/>
      <c r="J217" s="32"/>
      <c r="K217" s="41"/>
      <c r="L217" s="32"/>
      <c r="N217" s="32"/>
      <c r="O217" s="41"/>
      <c r="P217" s="32"/>
      <c r="R217" s="32"/>
      <c r="S217" s="41"/>
    </row>
    <row r="218" spans="1:19" s="30" customFormat="1" x14ac:dyDescent="0.25">
      <c r="A218" s="36"/>
      <c r="B218" s="31"/>
      <c r="C218" s="31"/>
      <c r="D218" s="32"/>
      <c r="H218" s="32"/>
      <c r="J218" s="32"/>
      <c r="K218" s="41"/>
      <c r="L218" s="32"/>
      <c r="N218" s="32"/>
      <c r="O218" s="41"/>
      <c r="P218" s="32"/>
      <c r="R218" s="32"/>
      <c r="S218" s="41"/>
    </row>
    <row r="219" spans="1:19" s="30" customFormat="1" x14ac:dyDescent="0.25">
      <c r="A219" s="36"/>
      <c r="B219" s="31"/>
      <c r="C219" s="31"/>
      <c r="D219" s="32"/>
      <c r="H219" s="32"/>
      <c r="J219" s="32"/>
      <c r="K219" s="41"/>
      <c r="L219" s="32"/>
      <c r="N219" s="32"/>
      <c r="O219" s="41"/>
      <c r="P219" s="32"/>
      <c r="R219" s="32"/>
      <c r="S219" s="41"/>
    </row>
    <row r="220" spans="1:19" s="30" customFormat="1" x14ac:dyDescent="0.25">
      <c r="A220" s="36"/>
      <c r="B220" s="31"/>
      <c r="C220" s="31"/>
      <c r="D220" s="32"/>
      <c r="H220" s="32"/>
      <c r="J220" s="32"/>
      <c r="K220" s="41"/>
      <c r="L220" s="32"/>
      <c r="N220" s="32"/>
      <c r="O220" s="41"/>
      <c r="P220" s="32"/>
      <c r="R220" s="32"/>
      <c r="S220" s="41"/>
    </row>
    <row r="221" spans="1:19" s="30" customFormat="1" x14ac:dyDescent="0.25">
      <c r="A221" s="36"/>
      <c r="B221" s="31"/>
      <c r="C221" s="31"/>
      <c r="D221" s="32"/>
      <c r="H221" s="32"/>
      <c r="J221" s="32"/>
      <c r="K221" s="41"/>
      <c r="L221" s="32"/>
      <c r="N221" s="32"/>
      <c r="O221" s="41"/>
      <c r="P221" s="32"/>
      <c r="R221" s="32"/>
      <c r="S221" s="41"/>
    </row>
    <row r="222" spans="1:19" s="30" customFormat="1" x14ac:dyDescent="0.25">
      <c r="A222" s="36"/>
      <c r="B222" s="31"/>
      <c r="C222" s="31"/>
      <c r="D222" s="32"/>
      <c r="H222" s="32"/>
      <c r="J222" s="32"/>
      <c r="K222" s="41"/>
      <c r="L222" s="32"/>
      <c r="N222" s="32"/>
      <c r="O222" s="41"/>
      <c r="P222" s="32"/>
      <c r="R222" s="32"/>
      <c r="S222" s="41"/>
    </row>
    <row r="223" spans="1:19" s="30" customFormat="1" x14ac:dyDescent="0.25">
      <c r="A223" s="36"/>
      <c r="B223" s="31"/>
      <c r="C223" s="31"/>
      <c r="D223" s="32"/>
      <c r="H223" s="32"/>
      <c r="J223" s="32"/>
      <c r="K223" s="41"/>
      <c r="L223" s="32"/>
      <c r="N223" s="32"/>
      <c r="O223" s="41"/>
      <c r="P223" s="32"/>
      <c r="R223" s="32"/>
      <c r="S223" s="41"/>
    </row>
    <row r="224" spans="1:19" s="30" customFormat="1" x14ac:dyDescent="0.25">
      <c r="A224" s="36"/>
      <c r="B224" s="31"/>
      <c r="C224" s="31"/>
      <c r="D224" s="32"/>
      <c r="H224" s="32"/>
      <c r="J224" s="32"/>
      <c r="K224" s="41"/>
      <c r="L224" s="32"/>
      <c r="N224" s="32"/>
      <c r="O224" s="41"/>
      <c r="P224" s="32"/>
      <c r="R224" s="32"/>
      <c r="S224" s="41"/>
    </row>
    <row r="225" spans="1:19" s="30" customFormat="1" x14ac:dyDescent="0.25">
      <c r="A225" s="36"/>
      <c r="B225" s="31"/>
      <c r="C225" s="31"/>
      <c r="D225" s="32"/>
      <c r="H225" s="32"/>
      <c r="J225" s="32"/>
      <c r="K225" s="41"/>
      <c r="L225" s="32"/>
      <c r="N225" s="32"/>
      <c r="O225" s="41"/>
      <c r="P225" s="32"/>
      <c r="R225" s="32"/>
      <c r="S225" s="41"/>
    </row>
    <row r="226" spans="1:19" s="30" customFormat="1" x14ac:dyDescent="0.25">
      <c r="A226" s="36"/>
      <c r="B226" s="31"/>
      <c r="C226" s="31"/>
      <c r="D226" s="32"/>
      <c r="H226" s="32"/>
      <c r="J226" s="32"/>
      <c r="K226" s="41"/>
      <c r="L226" s="32"/>
      <c r="N226" s="32"/>
      <c r="O226" s="41"/>
      <c r="P226" s="32"/>
      <c r="R226" s="32"/>
      <c r="S226" s="41"/>
    </row>
    <row r="227" spans="1:19" s="30" customFormat="1" x14ac:dyDescent="0.25">
      <c r="A227" s="36"/>
      <c r="B227" s="31"/>
      <c r="C227" s="31"/>
      <c r="D227" s="32"/>
      <c r="H227" s="32"/>
      <c r="J227" s="32"/>
      <c r="K227" s="41"/>
      <c r="L227" s="32"/>
      <c r="N227" s="32"/>
      <c r="O227" s="41"/>
      <c r="P227" s="32"/>
      <c r="R227" s="32"/>
      <c r="S227" s="41"/>
    </row>
    <row r="228" spans="1:19" s="30" customFormat="1" x14ac:dyDescent="0.25">
      <c r="A228" s="36"/>
      <c r="B228" s="31"/>
      <c r="C228" s="31"/>
      <c r="D228" s="32"/>
      <c r="H228" s="32"/>
      <c r="J228" s="32"/>
      <c r="K228" s="41"/>
      <c r="L228" s="32"/>
      <c r="N228" s="32"/>
      <c r="O228" s="41"/>
      <c r="P228" s="32"/>
      <c r="R228" s="32"/>
      <c r="S228" s="41"/>
    </row>
    <row r="229" spans="1:19" s="30" customFormat="1" x14ac:dyDescent="0.25">
      <c r="A229" s="36"/>
      <c r="B229" s="31"/>
      <c r="C229" s="31"/>
      <c r="D229" s="32"/>
      <c r="H229" s="32"/>
      <c r="J229" s="32"/>
      <c r="K229" s="41"/>
      <c r="L229" s="32"/>
      <c r="N229" s="32"/>
      <c r="O229" s="41"/>
      <c r="P229" s="32"/>
      <c r="R229" s="32"/>
      <c r="S229" s="41"/>
    </row>
    <row r="230" spans="1:19" s="30" customFormat="1" x14ac:dyDescent="0.25">
      <c r="A230" s="36"/>
      <c r="B230" s="31"/>
      <c r="C230" s="31"/>
      <c r="D230" s="32"/>
      <c r="H230" s="32"/>
      <c r="J230" s="32"/>
      <c r="K230" s="41"/>
      <c r="L230" s="32"/>
      <c r="N230" s="32"/>
      <c r="O230" s="41"/>
      <c r="P230" s="32"/>
      <c r="R230" s="32"/>
      <c r="S230" s="41"/>
    </row>
    <row r="231" spans="1:19" s="30" customFormat="1" x14ac:dyDescent="0.25">
      <c r="A231" s="36"/>
      <c r="B231" s="31"/>
      <c r="C231" s="31"/>
      <c r="D231" s="32"/>
      <c r="H231" s="32"/>
      <c r="J231" s="32"/>
      <c r="K231" s="41"/>
      <c r="L231" s="32"/>
      <c r="N231" s="32"/>
      <c r="O231" s="41"/>
      <c r="P231" s="32"/>
      <c r="R231" s="32"/>
      <c r="S231" s="41"/>
    </row>
    <row r="232" spans="1:19" s="30" customFormat="1" x14ac:dyDescent="0.25">
      <c r="A232" s="36"/>
      <c r="B232" s="31"/>
      <c r="C232" s="31"/>
      <c r="D232" s="32"/>
      <c r="H232" s="32"/>
      <c r="J232" s="32"/>
      <c r="K232" s="41"/>
      <c r="L232" s="32"/>
      <c r="N232" s="32"/>
      <c r="O232" s="41"/>
      <c r="P232" s="32"/>
      <c r="R232" s="32"/>
      <c r="S232" s="41"/>
    </row>
    <row r="233" spans="1:19" s="30" customFormat="1" x14ac:dyDescent="0.25">
      <c r="A233" s="36"/>
      <c r="B233" s="31"/>
      <c r="C233" s="31"/>
      <c r="D233" s="32"/>
      <c r="H233" s="32"/>
      <c r="J233" s="32"/>
      <c r="K233" s="41"/>
      <c r="L233" s="32"/>
      <c r="N233" s="32"/>
      <c r="O233" s="41"/>
      <c r="P233" s="32"/>
      <c r="R233" s="32"/>
      <c r="S233" s="41"/>
    </row>
    <row r="234" spans="1:19" s="30" customFormat="1" x14ac:dyDescent="0.25">
      <c r="A234" s="36"/>
      <c r="B234" s="31"/>
      <c r="C234" s="31"/>
      <c r="D234" s="32"/>
      <c r="H234" s="32"/>
      <c r="J234" s="32"/>
      <c r="K234" s="41"/>
      <c r="L234" s="32"/>
      <c r="N234" s="32"/>
      <c r="O234" s="41"/>
      <c r="P234" s="32"/>
      <c r="R234" s="32"/>
      <c r="S234" s="41"/>
    </row>
    <row r="235" spans="1:19" s="30" customFormat="1" x14ac:dyDescent="0.25">
      <c r="A235" s="36"/>
      <c r="B235" s="31"/>
      <c r="C235" s="31"/>
      <c r="D235" s="32"/>
      <c r="H235" s="32"/>
      <c r="J235" s="32"/>
      <c r="K235" s="41"/>
      <c r="L235" s="32"/>
      <c r="N235" s="32"/>
      <c r="O235" s="41"/>
      <c r="P235" s="32"/>
      <c r="R235" s="32"/>
      <c r="S235" s="41"/>
    </row>
    <row r="236" spans="1:19" s="30" customFormat="1" x14ac:dyDescent="0.25">
      <c r="A236" s="36"/>
      <c r="B236" s="31"/>
      <c r="C236" s="31"/>
      <c r="D236" s="32"/>
      <c r="H236" s="32"/>
      <c r="J236" s="32"/>
      <c r="K236" s="41"/>
      <c r="L236" s="32"/>
      <c r="N236" s="32"/>
      <c r="O236" s="41"/>
      <c r="P236" s="32"/>
      <c r="R236" s="32"/>
      <c r="S236" s="41"/>
    </row>
    <row r="237" spans="1:19" s="30" customFormat="1" x14ac:dyDescent="0.25">
      <c r="A237" s="36"/>
      <c r="B237" s="31"/>
      <c r="C237" s="31"/>
      <c r="D237" s="32"/>
      <c r="H237" s="32"/>
      <c r="J237" s="32"/>
      <c r="K237" s="41"/>
      <c r="L237" s="32"/>
      <c r="N237" s="32"/>
      <c r="O237" s="41"/>
      <c r="P237" s="32"/>
      <c r="R237" s="32"/>
      <c r="S237" s="41"/>
    </row>
    <row r="238" spans="1:19" s="30" customFormat="1" x14ac:dyDescent="0.25">
      <c r="A238" s="36"/>
      <c r="B238" s="31"/>
      <c r="C238" s="31"/>
      <c r="D238" s="32"/>
      <c r="H238" s="32"/>
      <c r="J238" s="32"/>
      <c r="K238" s="41"/>
      <c r="L238" s="32"/>
      <c r="N238" s="32"/>
      <c r="O238" s="41"/>
      <c r="P238" s="32"/>
      <c r="R238" s="32"/>
      <c r="S238" s="41"/>
    </row>
    <row r="239" spans="1:19" s="30" customFormat="1" x14ac:dyDescent="0.25">
      <c r="A239" s="36"/>
      <c r="B239" s="31"/>
      <c r="C239" s="31"/>
      <c r="D239" s="32"/>
      <c r="H239" s="32"/>
      <c r="J239" s="32"/>
      <c r="K239" s="41"/>
      <c r="L239" s="32"/>
      <c r="N239" s="32"/>
      <c r="O239" s="41"/>
      <c r="P239" s="32"/>
      <c r="R239" s="32"/>
      <c r="S239" s="41"/>
    </row>
    <row r="240" spans="1:19" s="30" customFormat="1" x14ac:dyDescent="0.25">
      <c r="A240" s="36"/>
      <c r="B240" s="31"/>
      <c r="C240" s="31"/>
      <c r="D240" s="32"/>
      <c r="H240" s="32"/>
      <c r="J240" s="32"/>
      <c r="K240" s="41"/>
      <c r="L240" s="32"/>
      <c r="N240" s="32"/>
      <c r="O240" s="41"/>
      <c r="P240" s="32"/>
      <c r="R240" s="32"/>
      <c r="S240" s="41"/>
    </row>
    <row r="241" spans="1:19" s="30" customFormat="1" x14ac:dyDescent="0.25">
      <c r="A241" s="36"/>
      <c r="B241" s="31"/>
      <c r="C241" s="31"/>
      <c r="D241" s="32"/>
      <c r="H241" s="32"/>
      <c r="J241" s="32"/>
      <c r="K241" s="41"/>
      <c r="L241" s="32"/>
      <c r="N241" s="32"/>
      <c r="O241" s="41"/>
      <c r="P241" s="32"/>
      <c r="R241" s="32"/>
      <c r="S241" s="41"/>
    </row>
    <row r="242" spans="1:19" s="30" customFormat="1" x14ac:dyDescent="0.25">
      <c r="A242" s="36"/>
      <c r="B242" s="31"/>
      <c r="C242" s="31"/>
      <c r="D242" s="32"/>
      <c r="H242" s="32"/>
      <c r="J242" s="32"/>
      <c r="K242" s="41"/>
      <c r="L242" s="32"/>
      <c r="N242" s="32"/>
      <c r="O242" s="41"/>
      <c r="P242" s="32"/>
      <c r="R242" s="32"/>
      <c r="S242" s="41"/>
    </row>
    <row r="243" spans="1:19" s="30" customFormat="1" x14ac:dyDescent="0.25">
      <c r="A243" s="36"/>
      <c r="B243" s="31"/>
      <c r="C243" s="31"/>
      <c r="D243" s="32"/>
      <c r="H243" s="32"/>
      <c r="J243" s="32"/>
      <c r="K243" s="41"/>
      <c r="L243" s="32"/>
      <c r="N243" s="32"/>
      <c r="O243" s="41"/>
      <c r="P243" s="32"/>
      <c r="R243" s="32"/>
      <c r="S243" s="41"/>
    </row>
    <row r="244" spans="1:19" s="30" customFormat="1" x14ac:dyDescent="0.25">
      <c r="A244" s="36"/>
      <c r="B244" s="31"/>
      <c r="C244" s="31"/>
      <c r="D244" s="32"/>
      <c r="H244" s="32"/>
      <c r="J244" s="32"/>
      <c r="K244" s="41"/>
      <c r="L244" s="32"/>
      <c r="N244" s="32"/>
      <c r="O244" s="41"/>
      <c r="P244" s="32"/>
      <c r="R244" s="32"/>
      <c r="S244" s="41"/>
    </row>
    <row r="245" spans="1:19" s="30" customFormat="1" x14ac:dyDescent="0.25">
      <c r="A245" s="36"/>
      <c r="B245" s="31"/>
      <c r="C245" s="31"/>
      <c r="D245" s="32"/>
      <c r="H245" s="32"/>
      <c r="J245" s="32"/>
      <c r="K245" s="41"/>
      <c r="L245" s="32"/>
      <c r="N245" s="32"/>
      <c r="O245" s="41"/>
      <c r="P245" s="32"/>
      <c r="R245" s="32"/>
      <c r="S245" s="41"/>
    </row>
    <row r="246" spans="1:19" s="30" customFormat="1" x14ac:dyDescent="0.25">
      <c r="A246" s="36"/>
      <c r="B246" s="31"/>
      <c r="C246" s="31"/>
      <c r="D246" s="32"/>
      <c r="H246" s="32"/>
      <c r="J246" s="32"/>
      <c r="K246" s="41"/>
      <c r="L246" s="32"/>
      <c r="N246" s="32"/>
      <c r="O246" s="41"/>
      <c r="P246" s="32"/>
      <c r="R246" s="32"/>
      <c r="S246" s="41"/>
    </row>
    <row r="247" spans="1:19" s="30" customFormat="1" x14ac:dyDescent="0.25">
      <c r="A247" s="36"/>
      <c r="B247" s="31"/>
      <c r="C247" s="31"/>
      <c r="D247" s="32"/>
      <c r="H247" s="32"/>
      <c r="J247" s="32"/>
      <c r="K247" s="41"/>
      <c r="L247" s="32"/>
      <c r="N247" s="32"/>
      <c r="O247" s="41"/>
      <c r="P247" s="32"/>
      <c r="R247" s="32"/>
      <c r="S247" s="41"/>
    </row>
    <row r="248" spans="1:19" s="30" customFormat="1" x14ac:dyDescent="0.25">
      <c r="A248" s="36"/>
      <c r="B248" s="31"/>
      <c r="C248" s="31"/>
      <c r="D248" s="32"/>
      <c r="H248" s="32"/>
      <c r="J248" s="32"/>
      <c r="K248" s="41"/>
      <c r="L248" s="32"/>
      <c r="N248" s="32"/>
      <c r="O248" s="41"/>
      <c r="P248" s="32"/>
      <c r="R248" s="32"/>
      <c r="S248" s="41"/>
    </row>
    <row r="249" spans="1:19" s="30" customFormat="1" x14ac:dyDescent="0.25">
      <c r="A249" s="36"/>
      <c r="B249" s="31"/>
      <c r="C249" s="31"/>
      <c r="D249" s="32"/>
      <c r="H249" s="32"/>
      <c r="J249" s="32"/>
      <c r="K249" s="41"/>
      <c r="L249" s="32"/>
      <c r="N249" s="32"/>
      <c r="O249" s="41"/>
      <c r="P249" s="32"/>
      <c r="R249" s="32"/>
      <c r="S249" s="41"/>
    </row>
    <row r="250" spans="1:19" s="30" customFormat="1" x14ac:dyDescent="0.25">
      <c r="A250" s="36"/>
      <c r="B250" s="31"/>
      <c r="C250" s="31"/>
      <c r="D250" s="32"/>
      <c r="H250" s="32"/>
      <c r="J250" s="32"/>
      <c r="K250" s="41"/>
      <c r="L250" s="32"/>
      <c r="N250" s="32"/>
      <c r="O250" s="41"/>
      <c r="P250" s="32"/>
      <c r="R250" s="32"/>
      <c r="S250" s="41"/>
    </row>
    <row r="251" spans="1:19" s="30" customFormat="1" x14ac:dyDescent="0.25">
      <c r="A251" s="36"/>
      <c r="B251" s="31"/>
      <c r="C251" s="31"/>
      <c r="D251" s="32"/>
      <c r="H251" s="32"/>
      <c r="J251" s="32"/>
      <c r="K251" s="41"/>
      <c r="L251" s="32"/>
      <c r="N251" s="32"/>
      <c r="O251" s="41"/>
      <c r="P251" s="32"/>
      <c r="R251" s="32"/>
      <c r="S251" s="41"/>
    </row>
    <row r="252" spans="1:19" s="30" customFormat="1" x14ac:dyDescent="0.25">
      <c r="A252" s="36"/>
      <c r="B252" s="31"/>
      <c r="C252" s="31"/>
      <c r="D252" s="32"/>
      <c r="H252" s="32"/>
      <c r="J252" s="32"/>
      <c r="K252" s="41"/>
      <c r="L252" s="32"/>
      <c r="N252" s="32"/>
      <c r="O252" s="41"/>
      <c r="P252" s="32"/>
      <c r="R252" s="32"/>
      <c r="S252" s="41"/>
    </row>
    <row r="253" spans="1:19" s="30" customFormat="1" x14ac:dyDescent="0.25">
      <c r="A253" s="36"/>
      <c r="B253" s="31"/>
      <c r="C253" s="31"/>
      <c r="D253" s="32"/>
      <c r="H253" s="32"/>
      <c r="J253" s="32"/>
      <c r="K253" s="41"/>
      <c r="L253" s="32"/>
      <c r="N253" s="32"/>
      <c r="O253" s="41"/>
      <c r="P253" s="32"/>
      <c r="R253" s="32"/>
      <c r="S253" s="41"/>
    </row>
    <row r="254" spans="1:19" s="30" customFormat="1" x14ac:dyDescent="0.25">
      <c r="A254" s="36"/>
      <c r="B254" s="31"/>
      <c r="C254" s="31"/>
      <c r="D254" s="32"/>
      <c r="H254" s="32"/>
      <c r="J254" s="32"/>
      <c r="K254" s="41"/>
      <c r="L254" s="32"/>
      <c r="N254" s="32"/>
      <c r="O254" s="41"/>
      <c r="P254" s="32"/>
      <c r="R254" s="32"/>
      <c r="S254" s="41"/>
    </row>
    <row r="255" spans="1:19" s="30" customFormat="1" x14ac:dyDescent="0.25">
      <c r="A255" s="36"/>
      <c r="B255" s="31"/>
      <c r="C255" s="31"/>
      <c r="D255" s="32"/>
      <c r="H255" s="32"/>
      <c r="J255" s="32"/>
      <c r="K255" s="41"/>
      <c r="L255" s="32"/>
      <c r="N255" s="32"/>
      <c r="O255" s="41"/>
      <c r="P255" s="32"/>
      <c r="R255" s="32"/>
      <c r="S255" s="41"/>
    </row>
    <row r="256" spans="1:19" s="30" customFormat="1" x14ac:dyDescent="0.25">
      <c r="A256" s="36"/>
      <c r="B256" s="31"/>
      <c r="C256" s="31"/>
      <c r="D256" s="32"/>
      <c r="H256" s="32"/>
      <c r="J256" s="32"/>
      <c r="K256" s="41"/>
      <c r="L256" s="32"/>
      <c r="N256" s="32"/>
      <c r="O256" s="41"/>
      <c r="P256" s="32"/>
      <c r="R256" s="32"/>
      <c r="S256" s="41"/>
    </row>
    <row r="257" spans="1:19" s="30" customFormat="1" x14ac:dyDescent="0.25">
      <c r="A257" s="36"/>
      <c r="B257" s="31"/>
      <c r="C257" s="31"/>
      <c r="D257" s="32"/>
      <c r="H257" s="32"/>
      <c r="J257" s="32"/>
      <c r="K257" s="41"/>
      <c r="L257" s="32"/>
      <c r="N257" s="32"/>
      <c r="O257" s="41"/>
      <c r="P257" s="32"/>
      <c r="R257" s="32"/>
      <c r="S257" s="41"/>
    </row>
    <row r="258" spans="1:19" s="30" customFormat="1" x14ac:dyDescent="0.25">
      <c r="A258" s="36"/>
      <c r="B258" s="31"/>
      <c r="C258" s="31"/>
      <c r="D258" s="32"/>
      <c r="H258" s="32"/>
      <c r="J258" s="32"/>
      <c r="K258" s="41"/>
      <c r="L258" s="32"/>
      <c r="N258" s="32"/>
      <c r="O258" s="41"/>
      <c r="P258" s="32"/>
      <c r="R258" s="32"/>
      <c r="S258" s="41"/>
    </row>
    <row r="259" spans="1:19" s="30" customFormat="1" x14ac:dyDescent="0.25">
      <c r="A259" s="36"/>
      <c r="B259" s="31"/>
      <c r="C259" s="31"/>
      <c r="D259" s="32"/>
      <c r="H259" s="32"/>
      <c r="J259" s="32"/>
      <c r="K259" s="41"/>
      <c r="L259" s="32"/>
      <c r="N259" s="32"/>
      <c r="O259" s="41"/>
      <c r="P259" s="32"/>
      <c r="R259" s="32"/>
      <c r="S259" s="41"/>
    </row>
    <row r="260" spans="1:19" s="30" customFormat="1" x14ac:dyDescent="0.25">
      <c r="A260" s="36"/>
      <c r="B260" s="31"/>
      <c r="C260" s="31"/>
      <c r="D260" s="32"/>
      <c r="H260" s="32"/>
      <c r="J260" s="32"/>
      <c r="K260" s="41"/>
      <c r="L260" s="32"/>
      <c r="N260" s="32"/>
      <c r="O260" s="41"/>
      <c r="P260" s="32"/>
      <c r="R260" s="32"/>
      <c r="S260" s="41"/>
    </row>
    <row r="261" spans="1:19" s="30" customFormat="1" x14ac:dyDescent="0.25">
      <c r="A261" s="36"/>
      <c r="B261" s="31"/>
      <c r="C261" s="31"/>
      <c r="D261" s="32"/>
      <c r="H261" s="32"/>
      <c r="J261" s="32"/>
      <c r="K261" s="41"/>
      <c r="L261" s="32"/>
      <c r="N261" s="32"/>
      <c r="O261" s="41"/>
      <c r="P261" s="32"/>
      <c r="R261" s="32"/>
      <c r="S261" s="41"/>
    </row>
    <row r="262" spans="1:19" s="30" customFormat="1" x14ac:dyDescent="0.25">
      <c r="A262" s="36"/>
      <c r="B262" s="31"/>
      <c r="C262" s="31"/>
      <c r="D262" s="32"/>
      <c r="H262" s="32"/>
      <c r="J262" s="32"/>
      <c r="K262" s="41"/>
      <c r="L262" s="32"/>
      <c r="N262" s="32"/>
      <c r="O262" s="41"/>
      <c r="P262" s="32"/>
      <c r="R262" s="32"/>
      <c r="S262" s="41"/>
    </row>
    <row r="263" spans="1:19" s="30" customFormat="1" x14ac:dyDescent="0.25">
      <c r="A263" s="36"/>
      <c r="B263" s="31"/>
      <c r="C263" s="31"/>
      <c r="D263" s="32"/>
      <c r="H263" s="32"/>
      <c r="J263" s="32"/>
      <c r="K263" s="41"/>
      <c r="L263" s="32"/>
      <c r="N263" s="32"/>
      <c r="O263" s="41"/>
      <c r="P263" s="32"/>
      <c r="R263" s="32"/>
      <c r="S263" s="41"/>
    </row>
    <row r="264" spans="1:19" s="30" customFormat="1" x14ac:dyDescent="0.25">
      <c r="A264" s="36"/>
      <c r="B264" s="31"/>
      <c r="C264" s="31"/>
      <c r="D264" s="32"/>
      <c r="H264" s="32"/>
      <c r="J264" s="32"/>
      <c r="K264" s="41"/>
      <c r="L264" s="32"/>
      <c r="N264" s="32"/>
      <c r="O264" s="41"/>
      <c r="P264" s="32"/>
      <c r="R264" s="32"/>
      <c r="S264" s="41"/>
    </row>
    <row r="265" spans="1:19" s="30" customFormat="1" x14ac:dyDescent="0.25">
      <c r="A265" s="36"/>
      <c r="B265" s="31"/>
      <c r="C265" s="31"/>
      <c r="D265" s="32"/>
      <c r="H265" s="32"/>
      <c r="J265" s="32"/>
      <c r="K265" s="41"/>
      <c r="L265" s="32"/>
      <c r="N265" s="32"/>
      <c r="O265" s="41"/>
      <c r="P265" s="32"/>
      <c r="R265" s="32"/>
      <c r="S265" s="41"/>
    </row>
    <row r="266" spans="1:19" s="30" customFormat="1" x14ac:dyDescent="0.25">
      <c r="A266" s="36"/>
      <c r="B266" s="31"/>
      <c r="C266" s="31"/>
      <c r="D266" s="32"/>
      <c r="H266" s="32"/>
      <c r="J266" s="32"/>
      <c r="K266" s="41"/>
      <c r="L266" s="32"/>
      <c r="N266" s="32"/>
      <c r="O266" s="41"/>
      <c r="P266" s="32"/>
      <c r="R266" s="32"/>
      <c r="S266" s="41"/>
    </row>
    <row r="267" spans="1:19" s="30" customFormat="1" x14ac:dyDescent="0.25">
      <c r="A267" s="36"/>
      <c r="B267" s="31"/>
      <c r="C267" s="31"/>
      <c r="D267" s="32"/>
      <c r="H267" s="32"/>
      <c r="J267" s="32"/>
      <c r="K267" s="41"/>
      <c r="L267" s="32"/>
      <c r="N267" s="32"/>
      <c r="O267" s="41"/>
      <c r="P267" s="32"/>
      <c r="R267" s="32"/>
      <c r="S267" s="41"/>
    </row>
    <row r="268" spans="1:19" s="30" customFormat="1" x14ac:dyDescent="0.25">
      <c r="A268" s="36"/>
      <c r="B268" s="31"/>
      <c r="C268" s="31"/>
      <c r="D268" s="32"/>
      <c r="H268" s="32"/>
      <c r="J268" s="32"/>
      <c r="K268" s="41"/>
      <c r="L268" s="32"/>
      <c r="N268" s="32"/>
      <c r="O268" s="41"/>
      <c r="P268" s="32"/>
      <c r="R268" s="32"/>
      <c r="S268" s="41"/>
    </row>
    <row r="269" spans="1:19" s="30" customFormat="1" x14ac:dyDescent="0.25">
      <c r="A269" s="36"/>
      <c r="B269" s="31"/>
      <c r="C269" s="31"/>
      <c r="D269" s="32"/>
      <c r="H269" s="32"/>
      <c r="J269" s="32"/>
      <c r="K269" s="41"/>
      <c r="L269" s="32"/>
      <c r="N269" s="32"/>
      <c r="O269" s="41"/>
      <c r="P269" s="32"/>
      <c r="R269" s="32"/>
      <c r="S269" s="41"/>
    </row>
    <row r="270" spans="1:19" s="30" customFormat="1" x14ac:dyDescent="0.25">
      <c r="A270" s="36"/>
      <c r="B270" s="31"/>
      <c r="C270" s="31"/>
      <c r="D270" s="32"/>
      <c r="H270" s="32"/>
      <c r="J270" s="32"/>
      <c r="K270" s="41"/>
      <c r="L270" s="32"/>
      <c r="N270" s="32"/>
      <c r="O270" s="41"/>
      <c r="P270" s="32"/>
      <c r="R270" s="32"/>
      <c r="S270" s="41"/>
    </row>
    <row r="271" spans="1:19" s="30" customFormat="1" x14ac:dyDescent="0.25">
      <c r="A271" s="36"/>
      <c r="B271" s="31"/>
      <c r="C271" s="31"/>
      <c r="D271" s="32"/>
      <c r="H271" s="32"/>
      <c r="J271" s="32"/>
      <c r="K271" s="41"/>
      <c r="L271" s="32"/>
      <c r="N271" s="32"/>
      <c r="O271" s="41"/>
      <c r="P271" s="32"/>
      <c r="R271" s="32"/>
      <c r="S271" s="41"/>
    </row>
    <row r="272" spans="1:19" s="30" customFormat="1" x14ac:dyDescent="0.25">
      <c r="A272" s="36"/>
      <c r="B272" s="31"/>
      <c r="C272" s="31"/>
      <c r="D272" s="32"/>
      <c r="H272" s="32"/>
      <c r="J272" s="32"/>
      <c r="K272" s="41"/>
      <c r="L272" s="32"/>
      <c r="N272" s="32"/>
      <c r="O272" s="41"/>
      <c r="P272" s="32"/>
      <c r="R272" s="32"/>
      <c r="S272" s="41"/>
    </row>
    <row r="273" spans="1:19" s="30" customFormat="1" x14ac:dyDescent="0.25">
      <c r="A273" s="36"/>
      <c r="B273" s="31"/>
      <c r="C273" s="31"/>
      <c r="D273" s="32"/>
      <c r="H273" s="32"/>
      <c r="J273" s="32"/>
      <c r="K273" s="41"/>
      <c r="L273" s="32"/>
      <c r="N273" s="32"/>
      <c r="O273" s="41"/>
      <c r="P273" s="32"/>
      <c r="R273" s="32"/>
      <c r="S273" s="41"/>
    </row>
    <row r="274" spans="1:19" s="30" customFormat="1" x14ac:dyDescent="0.25">
      <c r="A274" s="36"/>
      <c r="B274" s="31"/>
      <c r="C274" s="31"/>
      <c r="D274" s="32"/>
      <c r="H274" s="32"/>
      <c r="J274" s="32"/>
      <c r="K274" s="41"/>
      <c r="L274" s="32"/>
      <c r="N274" s="32"/>
      <c r="O274" s="41"/>
      <c r="P274" s="32"/>
      <c r="R274" s="32"/>
      <c r="S274" s="41"/>
    </row>
    <row r="275" spans="1:19" s="30" customFormat="1" x14ac:dyDescent="0.25">
      <c r="A275" s="36"/>
      <c r="B275" s="31"/>
      <c r="C275" s="31"/>
      <c r="D275" s="32"/>
      <c r="H275" s="32"/>
      <c r="J275" s="32"/>
      <c r="K275" s="41"/>
      <c r="L275" s="32"/>
      <c r="N275" s="32"/>
      <c r="O275" s="41"/>
      <c r="P275" s="32"/>
      <c r="R275" s="32"/>
      <c r="S275" s="41"/>
    </row>
    <row r="276" spans="1:19" s="30" customFormat="1" x14ac:dyDescent="0.25">
      <c r="A276" s="36"/>
      <c r="B276" s="31"/>
      <c r="C276" s="31"/>
      <c r="D276" s="32"/>
      <c r="H276" s="32"/>
      <c r="J276" s="32"/>
      <c r="K276" s="41"/>
      <c r="L276" s="32"/>
      <c r="N276" s="32"/>
      <c r="O276" s="41"/>
      <c r="P276" s="32"/>
      <c r="R276" s="32"/>
      <c r="S276" s="41"/>
    </row>
    <row r="277" spans="1:19" s="30" customFormat="1" x14ac:dyDescent="0.25">
      <c r="A277" s="36"/>
      <c r="B277" s="31"/>
      <c r="C277" s="31"/>
      <c r="D277" s="32"/>
      <c r="H277" s="32"/>
      <c r="J277" s="32"/>
      <c r="K277" s="41"/>
      <c r="L277" s="32"/>
      <c r="N277" s="32"/>
      <c r="O277" s="41"/>
      <c r="P277" s="32"/>
      <c r="R277" s="32"/>
      <c r="S277" s="41"/>
    </row>
    <row r="278" spans="1:19" s="30" customFormat="1" x14ac:dyDescent="0.25">
      <c r="A278" s="36"/>
      <c r="B278" s="31"/>
      <c r="C278" s="31"/>
      <c r="D278" s="32"/>
      <c r="H278" s="32"/>
      <c r="J278" s="32"/>
      <c r="K278" s="41"/>
      <c r="L278" s="32"/>
      <c r="N278" s="32"/>
      <c r="O278" s="41"/>
      <c r="P278" s="32"/>
      <c r="R278" s="32"/>
      <c r="S278" s="41"/>
    </row>
    <row r="279" spans="1:19" s="30" customFormat="1" x14ac:dyDescent="0.25">
      <c r="A279" s="36"/>
      <c r="B279" s="31"/>
      <c r="C279" s="31"/>
      <c r="D279" s="32"/>
      <c r="H279" s="32"/>
      <c r="J279" s="32"/>
      <c r="K279" s="41"/>
      <c r="L279" s="32"/>
      <c r="N279" s="32"/>
      <c r="O279" s="41"/>
      <c r="P279" s="32"/>
      <c r="R279" s="32"/>
      <c r="S279" s="41"/>
    </row>
    <row r="280" spans="1:19" s="30" customFormat="1" x14ac:dyDescent="0.25">
      <c r="A280" s="36"/>
      <c r="B280" s="31"/>
      <c r="C280" s="31"/>
      <c r="D280" s="32"/>
      <c r="H280" s="32"/>
      <c r="J280" s="32"/>
      <c r="K280" s="41"/>
      <c r="L280" s="32"/>
      <c r="N280" s="32"/>
      <c r="O280" s="41"/>
      <c r="P280" s="32"/>
      <c r="R280" s="32"/>
      <c r="S280" s="41"/>
    </row>
    <row r="281" spans="1:19" s="30" customFormat="1" x14ac:dyDescent="0.25">
      <c r="A281" s="36"/>
      <c r="B281" s="31"/>
      <c r="C281" s="31"/>
      <c r="D281" s="32"/>
      <c r="H281" s="32"/>
      <c r="J281" s="32"/>
      <c r="K281" s="41"/>
      <c r="L281" s="32"/>
      <c r="N281" s="32"/>
      <c r="O281" s="41"/>
      <c r="P281" s="32"/>
      <c r="R281" s="32"/>
      <c r="S281" s="41"/>
    </row>
    <row r="282" spans="1:19" s="30" customFormat="1" x14ac:dyDescent="0.25">
      <c r="A282" s="36"/>
      <c r="B282" s="31"/>
      <c r="C282" s="31"/>
      <c r="D282" s="32"/>
      <c r="H282" s="32"/>
      <c r="J282" s="32"/>
      <c r="K282" s="41"/>
      <c r="L282" s="32"/>
      <c r="N282" s="32"/>
      <c r="O282" s="41"/>
      <c r="P282" s="32"/>
      <c r="R282" s="32"/>
      <c r="S282" s="41"/>
    </row>
    <row r="283" spans="1:19" s="30" customFormat="1" x14ac:dyDescent="0.25">
      <c r="A283" s="36"/>
      <c r="B283" s="31"/>
      <c r="C283" s="31"/>
      <c r="D283" s="32"/>
      <c r="H283" s="32"/>
      <c r="J283" s="32"/>
      <c r="K283" s="41"/>
      <c r="L283" s="32"/>
      <c r="N283" s="32"/>
      <c r="O283" s="41"/>
      <c r="P283" s="32"/>
      <c r="R283" s="32"/>
      <c r="S283" s="41"/>
    </row>
    <row r="284" spans="1:19" s="30" customFormat="1" x14ac:dyDescent="0.25">
      <c r="A284" s="36"/>
      <c r="B284" s="31"/>
      <c r="C284" s="31"/>
      <c r="D284" s="32"/>
      <c r="H284" s="32"/>
      <c r="J284" s="32"/>
      <c r="K284" s="41"/>
      <c r="L284" s="32"/>
      <c r="N284" s="32"/>
      <c r="O284" s="41"/>
      <c r="P284" s="32"/>
      <c r="R284" s="32"/>
      <c r="S284" s="41"/>
    </row>
    <row r="285" spans="1:19" s="30" customFormat="1" x14ac:dyDescent="0.25">
      <c r="A285" s="36"/>
      <c r="B285" s="31"/>
      <c r="C285" s="31"/>
      <c r="D285" s="32"/>
      <c r="H285" s="32"/>
      <c r="J285" s="32"/>
      <c r="K285" s="41"/>
      <c r="L285" s="32"/>
      <c r="N285" s="32"/>
      <c r="O285" s="41"/>
      <c r="P285" s="32"/>
      <c r="R285" s="32"/>
      <c r="S285" s="41"/>
    </row>
    <row r="286" spans="1:19" s="30" customFormat="1" x14ac:dyDescent="0.25">
      <c r="A286" s="36"/>
      <c r="B286" s="31"/>
      <c r="C286" s="31"/>
      <c r="D286" s="32"/>
      <c r="H286" s="32"/>
      <c r="J286" s="32"/>
      <c r="K286" s="41"/>
      <c r="L286" s="32"/>
      <c r="N286" s="32"/>
      <c r="O286" s="41"/>
      <c r="P286" s="32"/>
      <c r="R286" s="32"/>
      <c r="S286" s="41"/>
    </row>
    <row r="287" spans="1:19" s="30" customFormat="1" x14ac:dyDescent="0.25">
      <c r="A287" s="36"/>
      <c r="B287" s="31"/>
      <c r="C287" s="31"/>
      <c r="D287" s="32"/>
      <c r="H287" s="32"/>
      <c r="J287" s="32"/>
      <c r="K287" s="41"/>
      <c r="L287" s="32"/>
      <c r="N287" s="32"/>
      <c r="O287" s="41"/>
      <c r="P287" s="32"/>
      <c r="R287" s="32"/>
      <c r="S287" s="41"/>
    </row>
    <row r="288" spans="1:19" s="30" customFormat="1" x14ac:dyDescent="0.25">
      <c r="A288" s="36"/>
      <c r="B288" s="31"/>
      <c r="C288" s="31"/>
      <c r="D288" s="32"/>
      <c r="H288" s="32"/>
      <c r="J288" s="32"/>
      <c r="K288" s="41"/>
      <c r="L288" s="32"/>
      <c r="N288" s="32"/>
      <c r="O288" s="41"/>
      <c r="P288" s="32"/>
      <c r="R288" s="32"/>
      <c r="S288" s="41"/>
    </row>
    <row r="289" spans="1:19" s="30" customFormat="1" x14ac:dyDescent="0.25">
      <c r="A289" s="36"/>
      <c r="B289" s="31"/>
      <c r="C289" s="31"/>
      <c r="D289" s="32"/>
      <c r="H289" s="32"/>
      <c r="J289" s="32"/>
      <c r="K289" s="41"/>
      <c r="L289" s="32"/>
      <c r="N289" s="32"/>
      <c r="O289" s="41"/>
      <c r="P289" s="32"/>
      <c r="R289" s="32"/>
      <c r="S289" s="41"/>
    </row>
    <row r="290" spans="1:19" s="30" customFormat="1" x14ac:dyDescent="0.25">
      <c r="A290" s="36"/>
      <c r="B290" s="31"/>
      <c r="C290" s="31"/>
      <c r="D290" s="32"/>
      <c r="H290" s="32"/>
      <c r="J290" s="32"/>
      <c r="K290" s="41"/>
      <c r="L290" s="32"/>
      <c r="N290" s="32"/>
      <c r="O290" s="41"/>
      <c r="P290" s="32"/>
      <c r="R290" s="32"/>
      <c r="S290" s="41"/>
    </row>
    <row r="291" spans="1:19" s="30" customFormat="1" x14ac:dyDescent="0.25">
      <c r="A291" s="36"/>
      <c r="B291" s="31"/>
      <c r="C291" s="31"/>
      <c r="D291" s="32"/>
      <c r="H291" s="32"/>
      <c r="J291" s="32"/>
      <c r="K291" s="41"/>
      <c r="L291" s="32"/>
      <c r="N291" s="32"/>
      <c r="O291" s="41"/>
      <c r="P291" s="32"/>
      <c r="R291" s="32"/>
      <c r="S291" s="41"/>
    </row>
    <row r="292" spans="1:19" s="30" customFormat="1" x14ac:dyDescent="0.25">
      <c r="A292" s="36"/>
      <c r="B292" s="31"/>
      <c r="C292" s="31"/>
      <c r="D292" s="32"/>
      <c r="H292" s="32"/>
      <c r="J292" s="32"/>
      <c r="K292" s="41"/>
      <c r="L292" s="32"/>
      <c r="N292" s="32"/>
      <c r="O292" s="41"/>
      <c r="P292" s="32"/>
      <c r="R292" s="32"/>
      <c r="S292" s="41"/>
    </row>
    <row r="293" spans="1:19" s="30" customFormat="1" x14ac:dyDescent="0.25">
      <c r="A293" s="36"/>
      <c r="B293" s="31"/>
      <c r="C293" s="31"/>
      <c r="D293" s="32"/>
      <c r="H293" s="32"/>
      <c r="J293" s="32"/>
      <c r="K293" s="41"/>
      <c r="L293" s="32"/>
      <c r="N293" s="32"/>
      <c r="O293" s="41"/>
      <c r="P293" s="32"/>
      <c r="R293" s="32"/>
      <c r="S293" s="41"/>
    </row>
    <row r="294" spans="1:19" s="30" customFormat="1" x14ac:dyDescent="0.25">
      <c r="A294" s="36"/>
      <c r="B294" s="31"/>
      <c r="C294" s="31"/>
      <c r="D294" s="32"/>
      <c r="H294" s="32"/>
      <c r="J294" s="32"/>
      <c r="K294" s="41"/>
      <c r="L294" s="32"/>
      <c r="N294" s="32"/>
      <c r="O294" s="41"/>
      <c r="P294" s="32"/>
      <c r="R294" s="32"/>
      <c r="S294" s="41"/>
    </row>
    <row r="295" spans="1:19" s="30" customFormat="1" x14ac:dyDescent="0.25">
      <c r="A295" s="36"/>
      <c r="B295" s="31"/>
      <c r="C295" s="31"/>
      <c r="D295" s="32"/>
      <c r="H295" s="32"/>
      <c r="J295" s="32"/>
      <c r="K295" s="41"/>
      <c r="L295" s="32"/>
      <c r="N295" s="32"/>
      <c r="O295" s="41"/>
      <c r="P295" s="32"/>
      <c r="R295" s="32"/>
      <c r="S295" s="41"/>
    </row>
    <row r="296" spans="1:19" s="30" customFormat="1" x14ac:dyDescent="0.25">
      <c r="A296" s="36"/>
      <c r="B296" s="31"/>
      <c r="C296" s="31"/>
      <c r="D296" s="32"/>
      <c r="H296" s="32"/>
      <c r="J296" s="32"/>
      <c r="K296" s="41"/>
      <c r="L296" s="32"/>
      <c r="N296" s="32"/>
      <c r="O296" s="41"/>
      <c r="P296" s="32"/>
      <c r="R296" s="32"/>
      <c r="S296" s="41"/>
    </row>
    <row r="297" spans="1:19" s="30" customFormat="1" x14ac:dyDescent="0.25">
      <c r="A297" s="36"/>
      <c r="B297" s="31"/>
      <c r="C297" s="31"/>
      <c r="D297" s="32"/>
      <c r="H297" s="32"/>
      <c r="J297" s="32"/>
      <c r="K297" s="41"/>
      <c r="L297" s="32"/>
      <c r="N297" s="32"/>
      <c r="O297" s="41"/>
      <c r="P297" s="32"/>
      <c r="R297" s="32"/>
      <c r="S297" s="41"/>
    </row>
    <row r="298" spans="1:19" s="30" customFormat="1" x14ac:dyDescent="0.25">
      <c r="A298" s="36"/>
      <c r="B298" s="31"/>
      <c r="C298" s="31"/>
      <c r="D298" s="32"/>
      <c r="H298" s="32"/>
      <c r="J298" s="32"/>
      <c r="K298" s="41"/>
      <c r="L298" s="32"/>
      <c r="N298" s="32"/>
      <c r="O298" s="41"/>
      <c r="P298" s="32"/>
      <c r="R298" s="32"/>
      <c r="S298" s="41"/>
    </row>
    <row r="299" spans="1:19" s="30" customFormat="1" x14ac:dyDescent="0.25">
      <c r="A299" s="36"/>
      <c r="B299" s="31"/>
      <c r="C299" s="31"/>
      <c r="D299" s="32"/>
      <c r="H299" s="32"/>
      <c r="J299" s="32"/>
      <c r="K299" s="41"/>
      <c r="L299" s="32"/>
      <c r="N299" s="32"/>
      <c r="O299" s="41"/>
      <c r="P299" s="32"/>
      <c r="R299" s="32"/>
      <c r="S299" s="41"/>
    </row>
    <row r="300" spans="1:19" s="30" customFormat="1" x14ac:dyDescent="0.25">
      <c r="A300" s="36"/>
      <c r="B300" s="31"/>
      <c r="C300" s="31"/>
      <c r="D300" s="32"/>
      <c r="H300" s="32"/>
      <c r="J300" s="32"/>
      <c r="K300" s="41"/>
      <c r="L300" s="32"/>
      <c r="N300" s="32"/>
      <c r="O300" s="41"/>
      <c r="P300" s="32"/>
      <c r="R300" s="32"/>
      <c r="S300" s="41"/>
    </row>
    <row r="301" spans="1:19" s="30" customFormat="1" x14ac:dyDescent="0.25">
      <c r="A301" s="36"/>
      <c r="B301" s="31"/>
      <c r="C301" s="31"/>
      <c r="D301" s="32"/>
      <c r="H301" s="32"/>
      <c r="J301" s="32"/>
      <c r="K301" s="41"/>
      <c r="L301" s="32"/>
      <c r="N301" s="32"/>
      <c r="O301" s="41"/>
      <c r="P301" s="32"/>
      <c r="R301" s="32"/>
      <c r="S301" s="41"/>
    </row>
    <row r="302" spans="1:19" s="30" customFormat="1" x14ac:dyDescent="0.25">
      <c r="A302" s="36"/>
      <c r="B302" s="31"/>
      <c r="C302" s="31"/>
      <c r="D302" s="32"/>
      <c r="H302" s="32"/>
      <c r="J302" s="32"/>
      <c r="K302" s="41"/>
      <c r="L302" s="32"/>
      <c r="N302" s="32"/>
      <c r="O302" s="41"/>
      <c r="P302" s="32"/>
      <c r="R302" s="32"/>
      <c r="S302" s="41"/>
    </row>
    <row r="303" spans="1:19" s="30" customFormat="1" x14ac:dyDescent="0.25">
      <c r="A303" s="36"/>
      <c r="B303" s="31"/>
      <c r="C303" s="31"/>
      <c r="D303" s="32"/>
      <c r="H303" s="32"/>
      <c r="J303" s="32"/>
      <c r="K303" s="41"/>
      <c r="L303" s="32"/>
      <c r="N303" s="32"/>
      <c r="O303" s="41"/>
      <c r="P303" s="32"/>
      <c r="R303" s="32"/>
      <c r="S303" s="41"/>
    </row>
    <row r="304" spans="1:19" s="30" customFormat="1" x14ac:dyDescent="0.25">
      <c r="A304" s="36"/>
      <c r="B304" s="31"/>
      <c r="C304" s="31"/>
      <c r="D304" s="32"/>
      <c r="H304" s="32"/>
      <c r="J304" s="32"/>
      <c r="K304" s="41"/>
      <c r="L304" s="32"/>
      <c r="N304" s="32"/>
      <c r="O304" s="41"/>
      <c r="P304" s="32"/>
      <c r="R304" s="32"/>
      <c r="S304" s="41"/>
    </row>
    <row r="305" spans="1:19" s="30" customFormat="1" x14ac:dyDescent="0.25">
      <c r="A305" s="36"/>
      <c r="B305" s="31"/>
      <c r="C305" s="31"/>
      <c r="D305" s="32"/>
      <c r="H305" s="32"/>
      <c r="J305" s="32"/>
      <c r="K305" s="41"/>
      <c r="L305" s="32"/>
      <c r="N305" s="32"/>
      <c r="O305" s="41"/>
      <c r="P305" s="32"/>
      <c r="R305" s="32"/>
      <c r="S305" s="41"/>
    </row>
    <row r="306" spans="1:19" s="30" customFormat="1" x14ac:dyDescent="0.25">
      <c r="A306" s="36"/>
      <c r="B306" s="31"/>
      <c r="C306" s="31"/>
      <c r="D306" s="32"/>
      <c r="H306" s="32"/>
      <c r="J306" s="32"/>
      <c r="K306" s="41"/>
      <c r="L306" s="32"/>
      <c r="N306" s="32"/>
      <c r="O306" s="41"/>
      <c r="P306" s="32"/>
      <c r="R306" s="32"/>
      <c r="S306" s="41"/>
    </row>
    <row r="307" spans="1:19" s="30" customFormat="1" x14ac:dyDescent="0.25">
      <c r="A307" s="36"/>
      <c r="B307" s="31"/>
      <c r="C307" s="31"/>
      <c r="D307" s="32"/>
      <c r="H307" s="32"/>
      <c r="J307" s="32"/>
      <c r="K307" s="41"/>
      <c r="L307" s="32"/>
      <c r="N307" s="32"/>
      <c r="O307" s="41"/>
      <c r="P307" s="32"/>
      <c r="R307" s="32"/>
      <c r="S307" s="41"/>
    </row>
    <row r="308" spans="1:19" s="30" customFormat="1" x14ac:dyDescent="0.25">
      <c r="A308" s="36"/>
      <c r="B308" s="31"/>
      <c r="C308" s="31"/>
      <c r="D308" s="32"/>
      <c r="H308" s="32"/>
      <c r="J308" s="32"/>
      <c r="K308" s="41"/>
      <c r="L308" s="32"/>
      <c r="N308" s="32"/>
      <c r="O308" s="41"/>
      <c r="P308" s="32"/>
      <c r="R308" s="32"/>
      <c r="S308" s="41"/>
    </row>
    <row r="309" spans="1:19" s="30" customFormat="1" x14ac:dyDescent="0.25">
      <c r="A309" s="36"/>
      <c r="B309" s="31"/>
      <c r="C309" s="31"/>
      <c r="D309" s="32"/>
      <c r="H309" s="32"/>
      <c r="J309" s="32"/>
      <c r="K309" s="41"/>
      <c r="L309" s="32"/>
      <c r="N309" s="32"/>
      <c r="O309" s="41"/>
      <c r="P309" s="32"/>
      <c r="R309" s="32"/>
      <c r="S309" s="41"/>
    </row>
    <row r="310" spans="1:19" s="30" customFormat="1" x14ac:dyDescent="0.25">
      <c r="A310" s="36"/>
      <c r="B310" s="31"/>
      <c r="C310" s="31"/>
      <c r="D310" s="32"/>
      <c r="H310" s="32"/>
      <c r="J310" s="32"/>
      <c r="K310" s="41"/>
      <c r="L310" s="32"/>
      <c r="N310" s="32"/>
      <c r="O310" s="41"/>
      <c r="P310" s="32"/>
      <c r="R310" s="32"/>
      <c r="S310" s="41"/>
    </row>
    <row r="311" spans="1:19" s="30" customFormat="1" x14ac:dyDescent="0.25">
      <c r="A311" s="36"/>
      <c r="B311" s="31"/>
      <c r="C311" s="31"/>
      <c r="D311" s="32"/>
      <c r="H311" s="32"/>
      <c r="J311" s="32"/>
      <c r="K311" s="41"/>
      <c r="L311" s="32"/>
      <c r="N311" s="32"/>
      <c r="O311" s="41"/>
      <c r="P311" s="32"/>
      <c r="R311" s="32"/>
      <c r="S311" s="41"/>
    </row>
    <row r="312" spans="1:19" s="30" customFormat="1" x14ac:dyDescent="0.25">
      <c r="A312" s="36"/>
      <c r="B312" s="31"/>
      <c r="C312" s="31"/>
      <c r="D312" s="32"/>
      <c r="H312" s="32"/>
      <c r="J312" s="32"/>
      <c r="K312" s="41"/>
      <c r="L312" s="32"/>
      <c r="N312" s="32"/>
      <c r="O312" s="41"/>
      <c r="P312" s="32"/>
      <c r="R312" s="32"/>
      <c r="S312" s="41"/>
    </row>
    <row r="313" spans="1:19" s="30" customFormat="1" x14ac:dyDescent="0.25">
      <c r="A313" s="36"/>
      <c r="B313" s="31"/>
      <c r="C313" s="31"/>
      <c r="D313" s="32"/>
      <c r="H313" s="32"/>
      <c r="J313" s="32"/>
      <c r="K313" s="41"/>
      <c r="L313" s="32"/>
      <c r="N313" s="32"/>
      <c r="O313" s="41"/>
      <c r="P313" s="32"/>
      <c r="R313" s="32"/>
      <c r="S313" s="41"/>
    </row>
    <row r="314" spans="1:19" s="30" customFormat="1" x14ac:dyDescent="0.25">
      <c r="A314" s="36"/>
      <c r="B314" s="31"/>
      <c r="C314" s="31"/>
      <c r="D314" s="32"/>
      <c r="H314" s="32"/>
      <c r="J314" s="32"/>
      <c r="K314" s="41"/>
      <c r="L314" s="32"/>
      <c r="N314" s="32"/>
      <c r="O314" s="41"/>
      <c r="P314" s="32"/>
      <c r="R314" s="32"/>
      <c r="S314" s="41"/>
    </row>
    <row r="315" spans="1:19" s="30" customFormat="1" x14ac:dyDescent="0.25">
      <c r="A315" s="36"/>
      <c r="B315" s="31"/>
      <c r="C315" s="31"/>
      <c r="D315" s="32"/>
      <c r="H315" s="32"/>
      <c r="J315" s="32"/>
      <c r="K315" s="41"/>
      <c r="L315" s="32"/>
      <c r="N315" s="32"/>
      <c r="O315" s="41"/>
      <c r="P315" s="32"/>
      <c r="R315" s="32"/>
      <c r="S315" s="41"/>
    </row>
    <row r="316" spans="1:19" s="30" customFormat="1" x14ac:dyDescent="0.25">
      <c r="A316" s="36"/>
      <c r="B316" s="31"/>
      <c r="C316" s="31"/>
      <c r="D316" s="32"/>
      <c r="H316" s="32"/>
      <c r="J316" s="32"/>
      <c r="K316" s="41"/>
      <c r="L316" s="32"/>
      <c r="N316" s="32"/>
      <c r="O316" s="41"/>
      <c r="P316" s="32"/>
      <c r="R316" s="32"/>
      <c r="S316" s="41"/>
    </row>
    <row r="317" spans="1:19" s="30" customFormat="1" x14ac:dyDescent="0.25">
      <c r="A317" s="36"/>
      <c r="B317" s="31"/>
      <c r="C317" s="31"/>
      <c r="D317" s="32"/>
      <c r="H317" s="32"/>
      <c r="J317" s="32"/>
      <c r="K317" s="41"/>
      <c r="L317" s="32"/>
      <c r="N317" s="32"/>
      <c r="O317" s="41"/>
      <c r="P317" s="32"/>
      <c r="R317" s="32"/>
      <c r="S317" s="41"/>
    </row>
    <row r="318" spans="1:19" s="30" customFormat="1" x14ac:dyDescent="0.25">
      <c r="A318" s="36"/>
      <c r="B318" s="31"/>
      <c r="C318" s="31"/>
      <c r="D318" s="32"/>
      <c r="H318" s="32"/>
      <c r="J318" s="32"/>
      <c r="K318" s="41"/>
      <c r="L318" s="32"/>
      <c r="N318" s="32"/>
      <c r="O318" s="41"/>
      <c r="P318" s="32"/>
      <c r="R318" s="32"/>
      <c r="S318" s="41"/>
    </row>
    <row r="319" spans="1:19" s="30" customFormat="1" x14ac:dyDescent="0.25">
      <c r="A319" s="36"/>
      <c r="B319" s="31"/>
      <c r="C319" s="31"/>
      <c r="D319" s="32"/>
      <c r="H319" s="32"/>
      <c r="J319" s="32"/>
      <c r="K319" s="41"/>
      <c r="L319" s="32"/>
      <c r="N319" s="32"/>
      <c r="O319" s="41"/>
      <c r="P319" s="32"/>
      <c r="R319" s="32"/>
      <c r="S319" s="41"/>
    </row>
    <row r="320" spans="1:19" s="30" customFormat="1" x14ac:dyDescent="0.25">
      <c r="A320" s="36"/>
      <c r="B320" s="31"/>
      <c r="C320" s="31"/>
      <c r="D320" s="32"/>
      <c r="H320" s="32"/>
      <c r="J320" s="32"/>
      <c r="K320" s="41"/>
      <c r="L320" s="32"/>
      <c r="N320" s="32"/>
      <c r="O320" s="41"/>
      <c r="P320" s="32"/>
      <c r="R320" s="32"/>
      <c r="S320" s="41"/>
    </row>
    <row r="321" spans="1:19" s="30" customFormat="1" x14ac:dyDescent="0.25">
      <c r="A321" s="36"/>
      <c r="B321" s="31"/>
      <c r="C321" s="31"/>
      <c r="D321" s="32"/>
      <c r="H321" s="32"/>
      <c r="J321" s="32"/>
      <c r="K321" s="41"/>
      <c r="L321" s="32"/>
      <c r="N321" s="32"/>
      <c r="O321" s="41"/>
      <c r="P321" s="32"/>
      <c r="R321" s="32"/>
      <c r="S321" s="41"/>
    </row>
    <row r="322" spans="1:19" s="30" customFormat="1" x14ac:dyDescent="0.25">
      <c r="A322" s="36"/>
      <c r="B322" s="31"/>
      <c r="C322" s="31"/>
      <c r="D322" s="32"/>
      <c r="H322" s="32"/>
      <c r="J322" s="32"/>
      <c r="K322" s="41"/>
      <c r="L322" s="32"/>
      <c r="N322" s="32"/>
      <c r="O322" s="41"/>
      <c r="P322" s="32"/>
      <c r="R322" s="32"/>
      <c r="S322" s="41"/>
    </row>
    <row r="323" spans="1:19" s="30" customFormat="1" x14ac:dyDescent="0.25">
      <c r="A323" s="36"/>
      <c r="B323" s="31"/>
      <c r="C323" s="31"/>
      <c r="D323" s="32"/>
      <c r="H323" s="32"/>
      <c r="J323" s="32"/>
      <c r="K323" s="41"/>
      <c r="L323" s="32"/>
      <c r="N323" s="32"/>
      <c r="O323" s="41"/>
      <c r="P323" s="32"/>
      <c r="R323" s="32"/>
      <c r="S323" s="41"/>
    </row>
    <row r="324" spans="1:19" s="30" customFormat="1" x14ac:dyDescent="0.25">
      <c r="A324" s="36"/>
      <c r="B324" s="31"/>
      <c r="C324" s="31"/>
      <c r="D324" s="32"/>
      <c r="H324" s="32"/>
      <c r="J324" s="32"/>
      <c r="K324" s="41"/>
      <c r="L324" s="32"/>
      <c r="N324" s="32"/>
      <c r="O324" s="41"/>
      <c r="P324" s="32"/>
      <c r="R324" s="32"/>
      <c r="S324" s="41"/>
    </row>
    <row r="325" spans="1:19" s="30" customFormat="1" x14ac:dyDescent="0.25">
      <c r="A325" s="36"/>
      <c r="B325" s="31"/>
      <c r="C325" s="31"/>
      <c r="D325" s="32"/>
      <c r="H325" s="32"/>
      <c r="J325" s="32"/>
      <c r="K325" s="41"/>
      <c r="L325" s="32"/>
      <c r="N325" s="32"/>
      <c r="O325" s="41"/>
      <c r="P325" s="32"/>
      <c r="R325" s="32"/>
      <c r="S325" s="41"/>
    </row>
    <row r="326" spans="1:19" s="30" customFormat="1" x14ac:dyDescent="0.25">
      <c r="A326" s="36"/>
      <c r="B326" s="31"/>
      <c r="C326" s="31"/>
      <c r="D326" s="32"/>
      <c r="H326" s="32"/>
      <c r="J326" s="32"/>
      <c r="K326" s="41"/>
      <c r="L326" s="32"/>
      <c r="N326" s="32"/>
      <c r="O326" s="41"/>
      <c r="P326" s="32"/>
      <c r="R326" s="32"/>
      <c r="S326" s="41"/>
    </row>
    <row r="327" spans="1:19" s="30" customFormat="1" x14ac:dyDescent="0.25">
      <c r="A327" s="36"/>
      <c r="B327" s="31"/>
      <c r="C327" s="31"/>
      <c r="D327" s="32"/>
      <c r="H327" s="32"/>
      <c r="J327" s="32"/>
      <c r="K327" s="41"/>
      <c r="L327" s="32"/>
      <c r="N327" s="32"/>
      <c r="O327" s="41"/>
      <c r="P327" s="32"/>
      <c r="R327" s="32"/>
      <c r="S327" s="41"/>
    </row>
    <row r="328" spans="1:19" s="30" customFormat="1" x14ac:dyDescent="0.25">
      <c r="A328" s="36"/>
      <c r="B328" s="31"/>
      <c r="C328" s="31"/>
      <c r="D328" s="32"/>
      <c r="H328" s="32"/>
      <c r="J328" s="32"/>
      <c r="K328" s="41"/>
      <c r="L328" s="32"/>
      <c r="N328" s="32"/>
      <c r="O328" s="41"/>
      <c r="P328" s="32"/>
      <c r="R328" s="32"/>
      <c r="S328" s="41"/>
    </row>
    <row r="329" spans="1:19" s="30" customFormat="1" x14ac:dyDescent="0.25">
      <c r="A329" s="36"/>
      <c r="B329" s="31"/>
      <c r="C329" s="31"/>
      <c r="D329" s="32"/>
      <c r="H329" s="32"/>
      <c r="J329" s="32"/>
      <c r="K329" s="41"/>
      <c r="L329" s="32"/>
      <c r="N329" s="32"/>
      <c r="O329" s="41"/>
      <c r="P329" s="32"/>
      <c r="R329" s="32"/>
      <c r="S329" s="41"/>
    </row>
    <row r="330" spans="1:19" s="30" customFormat="1" x14ac:dyDescent="0.25">
      <c r="A330" s="36"/>
      <c r="B330" s="31"/>
      <c r="C330" s="31"/>
      <c r="D330" s="32"/>
      <c r="H330" s="32"/>
      <c r="J330" s="32"/>
      <c r="K330" s="41"/>
      <c r="L330" s="32"/>
      <c r="N330" s="32"/>
      <c r="O330" s="41"/>
      <c r="P330" s="32"/>
      <c r="R330" s="32"/>
      <c r="S330" s="41"/>
    </row>
    <row r="331" spans="1:19" s="30" customFormat="1" x14ac:dyDescent="0.25">
      <c r="A331" s="36"/>
      <c r="B331" s="31"/>
      <c r="C331" s="31"/>
      <c r="D331" s="32"/>
      <c r="H331" s="32"/>
      <c r="J331" s="32"/>
      <c r="K331" s="41"/>
      <c r="L331" s="32"/>
      <c r="N331" s="32"/>
      <c r="O331" s="41"/>
      <c r="P331" s="32"/>
      <c r="R331" s="32"/>
      <c r="S331" s="41"/>
    </row>
    <row r="332" spans="1:19" s="30" customFormat="1" x14ac:dyDescent="0.25">
      <c r="A332" s="36"/>
      <c r="B332" s="31"/>
      <c r="C332" s="31"/>
      <c r="D332" s="32"/>
      <c r="H332" s="32"/>
      <c r="J332" s="32"/>
      <c r="K332" s="41"/>
      <c r="L332" s="32"/>
      <c r="N332" s="32"/>
      <c r="O332" s="41"/>
      <c r="P332" s="32"/>
      <c r="R332" s="32"/>
      <c r="S332" s="41"/>
    </row>
    <row r="333" spans="1:19" s="30" customFormat="1" x14ac:dyDescent="0.25">
      <c r="A333" s="36"/>
      <c r="B333" s="31"/>
      <c r="C333" s="31"/>
      <c r="D333" s="32"/>
      <c r="H333" s="32"/>
      <c r="J333" s="32"/>
      <c r="K333" s="41"/>
      <c r="L333" s="32"/>
      <c r="N333" s="32"/>
      <c r="O333" s="41"/>
      <c r="P333" s="32"/>
      <c r="R333" s="32"/>
      <c r="S333" s="41"/>
    </row>
    <row r="334" spans="1:19" s="30" customFormat="1" x14ac:dyDescent="0.25">
      <c r="A334" s="36"/>
      <c r="B334" s="31"/>
      <c r="C334" s="31"/>
      <c r="D334" s="32"/>
      <c r="H334" s="32"/>
      <c r="J334" s="32"/>
      <c r="K334" s="41"/>
      <c r="L334" s="32"/>
      <c r="N334" s="32"/>
      <c r="O334" s="41"/>
      <c r="P334" s="32"/>
      <c r="R334" s="32"/>
      <c r="S334" s="41"/>
    </row>
    <row r="335" spans="1:19" s="30" customFormat="1" x14ac:dyDescent="0.25">
      <c r="A335" s="36"/>
      <c r="B335" s="31"/>
      <c r="C335" s="31"/>
      <c r="D335" s="32"/>
      <c r="H335" s="32"/>
      <c r="J335" s="32"/>
      <c r="K335" s="41"/>
      <c r="L335" s="32"/>
      <c r="N335" s="32"/>
      <c r="O335" s="41"/>
      <c r="P335" s="32"/>
      <c r="R335" s="32"/>
      <c r="S335" s="41"/>
    </row>
    <row r="336" spans="1:19" s="30" customFormat="1" x14ac:dyDescent="0.25">
      <c r="A336" s="36"/>
      <c r="B336" s="31"/>
      <c r="C336" s="31"/>
      <c r="D336" s="32"/>
      <c r="H336" s="32"/>
      <c r="J336" s="32"/>
      <c r="K336" s="41"/>
      <c r="L336" s="32"/>
      <c r="N336" s="32"/>
      <c r="O336" s="41"/>
      <c r="P336" s="32"/>
      <c r="R336" s="32"/>
      <c r="S336" s="41"/>
    </row>
    <row r="337" spans="1:19" s="30" customFormat="1" x14ac:dyDescent="0.25">
      <c r="A337" s="36"/>
      <c r="B337" s="31"/>
      <c r="C337" s="31"/>
      <c r="D337" s="32"/>
      <c r="H337" s="32"/>
      <c r="J337" s="32"/>
      <c r="K337" s="41"/>
      <c r="L337" s="32"/>
      <c r="N337" s="32"/>
      <c r="O337" s="41"/>
      <c r="P337" s="32"/>
      <c r="R337" s="32"/>
      <c r="S337" s="41"/>
    </row>
    <row r="338" spans="1:19" s="30" customFormat="1" x14ac:dyDescent="0.25">
      <c r="A338" s="36"/>
      <c r="B338" s="31"/>
      <c r="C338" s="31"/>
      <c r="D338" s="32"/>
      <c r="H338" s="32"/>
      <c r="J338" s="32"/>
      <c r="K338" s="41"/>
      <c r="L338" s="32"/>
      <c r="N338" s="32"/>
      <c r="O338" s="41"/>
      <c r="P338" s="32"/>
      <c r="R338" s="32"/>
      <c r="S338" s="41"/>
    </row>
    <row r="339" spans="1:19" s="30" customFormat="1" x14ac:dyDescent="0.25">
      <c r="A339" s="36"/>
      <c r="B339" s="31"/>
      <c r="C339" s="31"/>
      <c r="D339" s="32"/>
      <c r="H339" s="32"/>
      <c r="J339" s="32"/>
      <c r="K339" s="41"/>
      <c r="L339" s="32"/>
      <c r="N339" s="32"/>
      <c r="O339" s="41"/>
      <c r="P339" s="32"/>
      <c r="R339" s="32"/>
      <c r="S339" s="41"/>
    </row>
    <row r="340" spans="1:19" s="30" customFormat="1" x14ac:dyDescent="0.25">
      <c r="A340" s="36"/>
      <c r="B340" s="31"/>
      <c r="C340" s="31"/>
      <c r="D340" s="32"/>
      <c r="H340" s="32"/>
      <c r="J340" s="32"/>
      <c r="K340" s="41"/>
      <c r="L340" s="32"/>
      <c r="N340" s="32"/>
      <c r="O340" s="41"/>
      <c r="P340" s="32"/>
      <c r="R340" s="32"/>
      <c r="S340" s="41"/>
    </row>
    <row r="341" spans="1:19" s="30" customFormat="1" x14ac:dyDescent="0.25">
      <c r="A341" s="36"/>
      <c r="B341" s="31"/>
      <c r="C341" s="31"/>
      <c r="D341" s="32"/>
      <c r="H341" s="32"/>
      <c r="J341" s="32"/>
      <c r="K341" s="41"/>
      <c r="L341" s="32"/>
      <c r="N341" s="32"/>
      <c r="O341" s="41"/>
      <c r="P341" s="32"/>
      <c r="R341" s="32"/>
      <c r="S341" s="41"/>
    </row>
    <row r="342" spans="1:19" s="30" customFormat="1" x14ac:dyDescent="0.25">
      <c r="A342" s="36"/>
      <c r="B342" s="31"/>
      <c r="C342" s="31"/>
      <c r="D342" s="32"/>
      <c r="H342" s="32"/>
      <c r="J342" s="32"/>
      <c r="K342" s="41"/>
      <c r="L342" s="32"/>
      <c r="N342" s="32"/>
      <c r="O342" s="41"/>
      <c r="P342" s="32"/>
      <c r="R342" s="32"/>
      <c r="S342" s="41"/>
    </row>
    <row r="343" spans="1:19" s="30" customFormat="1" x14ac:dyDescent="0.25">
      <c r="A343" s="36"/>
      <c r="B343" s="31"/>
      <c r="C343" s="31"/>
      <c r="D343" s="32"/>
      <c r="H343" s="32"/>
      <c r="J343" s="32"/>
      <c r="K343" s="41"/>
      <c r="L343" s="32"/>
      <c r="N343" s="32"/>
      <c r="O343" s="41"/>
      <c r="P343" s="32"/>
      <c r="R343" s="32"/>
      <c r="S343" s="41"/>
    </row>
    <row r="344" spans="1:19" s="30" customFormat="1" x14ac:dyDescent="0.25">
      <c r="A344" s="36"/>
      <c r="B344" s="31"/>
      <c r="C344" s="31"/>
      <c r="D344" s="32"/>
      <c r="H344" s="32"/>
      <c r="J344" s="32"/>
      <c r="K344" s="41"/>
      <c r="L344" s="32"/>
      <c r="N344" s="32"/>
      <c r="O344" s="41"/>
      <c r="P344" s="32"/>
      <c r="R344" s="32"/>
      <c r="S344" s="41"/>
    </row>
    <row r="345" spans="1:19" s="30" customFormat="1" x14ac:dyDescent="0.25">
      <c r="A345" s="36"/>
      <c r="B345" s="31"/>
      <c r="C345" s="31"/>
      <c r="D345" s="32"/>
      <c r="H345" s="32"/>
      <c r="J345" s="32"/>
      <c r="K345" s="41"/>
      <c r="L345" s="32"/>
      <c r="N345" s="32"/>
      <c r="O345" s="41"/>
      <c r="P345" s="32"/>
      <c r="R345" s="32"/>
      <c r="S345" s="41"/>
    </row>
    <row r="346" spans="1:19" s="30" customFormat="1" x14ac:dyDescent="0.25">
      <c r="A346" s="36"/>
      <c r="B346" s="31"/>
      <c r="C346" s="31"/>
      <c r="D346" s="32"/>
      <c r="H346" s="32"/>
      <c r="J346" s="32"/>
      <c r="K346" s="41"/>
      <c r="L346" s="32"/>
      <c r="N346" s="32"/>
      <c r="O346" s="41"/>
      <c r="P346" s="32"/>
      <c r="R346" s="32"/>
      <c r="S346" s="41"/>
    </row>
    <row r="347" spans="1:19" s="30" customFormat="1" x14ac:dyDescent="0.25">
      <c r="A347" s="36"/>
      <c r="B347" s="31"/>
      <c r="C347" s="31"/>
      <c r="D347" s="32"/>
      <c r="H347" s="32"/>
      <c r="J347" s="32"/>
      <c r="K347" s="41"/>
      <c r="L347" s="32"/>
      <c r="N347" s="32"/>
      <c r="O347" s="41"/>
      <c r="P347" s="32"/>
      <c r="R347" s="32"/>
      <c r="S347" s="41"/>
    </row>
    <row r="348" spans="1:19" s="30" customFormat="1" x14ac:dyDescent="0.25">
      <c r="A348" s="36"/>
      <c r="B348" s="31"/>
      <c r="C348" s="31"/>
      <c r="D348" s="32"/>
      <c r="H348" s="32"/>
      <c r="J348" s="32"/>
      <c r="K348" s="41"/>
      <c r="L348" s="32"/>
      <c r="N348" s="32"/>
      <c r="O348" s="41"/>
      <c r="P348" s="32"/>
      <c r="R348" s="32"/>
      <c r="S348" s="41"/>
    </row>
    <row r="349" spans="1:19" s="30" customFormat="1" x14ac:dyDescent="0.25">
      <c r="A349" s="36"/>
      <c r="B349" s="31"/>
      <c r="C349" s="31"/>
      <c r="D349" s="32"/>
      <c r="H349" s="32"/>
      <c r="J349" s="32"/>
      <c r="K349" s="41"/>
      <c r="L349" s="32"/>
      <c r="N349" s="32"/>
      <c r="O349" s="41"/>
      <c r="P349" s="32"/>
      <c r="R349" s="32"/>
      <c r="S349" s="41"/>
    </row>
    <row r="350" spans="1:19" s="30" customFormat="1" x14ac:dyDescent="0.25">
      <c r="A350" s="36"/>
      <c r="B350" s="31"/>
      <c r="C350" s="31"/>
      <c r="D350" s="32"/>
      <c r="H350" s="32"/>
      <c r="J350" s="32"/>
      <c r="K350" s="41"/>
      <c r="L350" s="32"/>
      <c r="N350" s="32"/>
      <c r="O350" s="41"/>
      <c r="P350" s="32"/>
      <c r="R350" s="32"/>
      <c r="S350" s="41"/>
    </row>
    <row r="351" spans="1:19" s="30" customFormat="1" x14ac:dyDescent="0.25">
      <c r="A351" s="36"/>
      <c r="B351" s="31"/>
      <c r="C351" s="31"/>
      <c r="D351" s="32"/>
      <c r="H351" s="32"/>
      <c r="J351" s="32"/>
      <c r="K351" s="41"/>
      <c r="L351" s="32"/>
      <c r="N351" s="32"/>
      <c r="O351" s="41"/>
      <c r="P351" s="32"/>
      <c r="R351" s="32"/>
      <c r="S351" s="41"/>
    </row>
    <row r="352" spans="1:19" s="30" customFormat="1" x14ac:dyDescent="0.25">
      <c r="A352" s="36"/>
      <c r="B352" s="31"/>
      <c r="C352" s="31"/>
      <c r="D352" s="32"/>
      <c r="H352" s="32"/>
      <c r="J352" s="32"/>
      <c r="K352" s="41"/>
      <c r="L352" s="32"/>
      <c r="N352" s="32"/>
      <c r="O352" s="41"/>
      <c r="P352" s="32"/>
      <c r="R352" s="32"/>
      <c r="S352" s="41"/>
    </row>
    <row r="353" spans="1:19" s="30" customFormat="1" x14ac:dyDescent="0.25">
      <c r="A353" s="36"/>
      <c r="B353" s="31"/>
      <c r="C353" s="31"/>
      <c r="D353" s="32"/>
      <c r="H353" s="32"/>
      <c r="J353" s="32"/>
      <c r="K353" s="41"/>
      <c r="L353" s="32"/>
      <c r="N353" s="32"/>
      <c r="O353" s="41"/>
      <c r="P353" s="32"/>
      <c r="R353" s="32"/>
      <c r="S353" s="41"/>
    </row>
    <row r="354" spans="1:19" s="30" customFormat="1" x14ac:dyDescent="0.25">
      <c r="A354" s="36"/>
      <c r="B354" s="31"/>
      <c r="C354" s="31"/>
      <c r="D354" s="32"/>
      <c r="H354" s="32"/>
      <c r="J354" s="32"/>
      <c r="K354" s="41"/>
      <c r="L354" s="32"/>
      <c r="N354" s="32"/>
      <c r="O354" s="41"/>
      <c r="P354" s="32"/>
      <c r="R354" s="32"/>
      <c r="S354" s="41"/>
    </row>
    <row r="355" spans="1:19" s="30" customFormat="1" x14ac:dyDescent="0.25">
      <c r="A355" s="36"/>
      <c r="B355" s="31"/>
      <c r="C355" s="31"/>
      <c r="D355" s="32"/>
      <c r="H355" s="32"/>
      <c r="J355" s="32"/>
      <c r="K355" s="41"/>
      <c r="L355" s="32"/>
      <c r="N355" s="32"/>
      <c r="O355" s="41"/>
      <c r="P355" s="32"/>
      <c r="R355" s="32"/>
      <c r="S355" s="41"/>
    </row>
    <row r="356" spans="1:19" s="30" customFormat="1" x14ac:dyDescent="0.25">
      <c r="A356" s="36"/>
      <c r="B356" s="31"/>
      <c r="C356" s="31"/>
      <c r="D356" s="32"/>
      <c r="H356" s="32"/>
      <c r="J356" s="32"/>
      <c r="K356" s="41"/>
      <c r="L356" s="32"/>
      <c r="N356" s="32"/>
      <c r="O356" s="41"/>
      <c r="P356" s="32"/>
      <c r="R356" s="32"/>
      <c r="S356" s="41"/>
    </row>
    <row r="357" spans="1:19" s="30" customFormat="1" x14ac:dyDescent="0.25">
      <c r="A357" s="36"/>
      <c r="B357" s="31"/>
      <c r="C357" s="31"/>
      <c r="D357" s="32"/>
      <c r="H357" s="32"/>
      <c r="J357" s="32"/>
      <c r="K357" s="41"/>
      <c r="L357" s="32"/>
      <c r="N357" s="32"/>
      <c r="O357" s="41"/>
      <c r="P357" s="32"/>
      <c r="R357" s="32"/>
      <c r="S357" s="41"/>
    </row>
    <row r="358" spans="1:19" s="30" customFormat="1" x14ac:dyDescent="0.25">
      <c r="A358" s="36"/>
      <c r="B358" s="31"/>
      <c r="C358" s="31"/>
      <c r="D358" s="32"/>
      <c r="H358" s="32"/>
      <c r="J358" s="32"/>
      <c r="K358" s="41"/>
      <c r="L358" s="32"/>
      <c r="N358" s="32"/>
      <c r="O358" s="41"/>
      <c r="P358" s="32"/>
      <c r="R358" s="32"/>
      <c r="S358" s="41"/>
    </row>
    <row r="359" spans="1:19" s="30" customFormat="1" x14ac:dyDescent="0.25">
      <c r="A359" s="36"/>
      <c r="B359" s="31"/>
      <c r="C359" s="31"/>
      <c r="D359" s="32"/>
      <c r="H359" s="32"/>
      <c r="J359" s="32"/>
      <c r="K359" s="41"/>
      <c r="L359" s="32"/>
      <c r="N359" s="32"/>
      <c r="O359" s="41"/>
      <c r="P359" s="32"/>
      <c r="R359" s="32"/>
      <c r="S359" s="41"/>
    </row>
    <row r="360" spans="1:19" s="30" customFormat="1" x14ac:dyDescent="0.25">
      <c r="A360" s="36"/>
      <c r="B360" s="31"/>
      <c r="C360" s="31"/>
      <c r="D360" s="32"/>
      <c r="H360" s="32"/>
      <c r="J360" s="32"/>
      <c r="K360" s="41"/>
      <c r="L360" s="32"/>
      <c r="N360" s="32"/>
      <c r="O360" s="41"/>
      <c r="P360" s="32"/>
      <c r="R360" s="32"/>
      <c r="S360" s="41"/>
    </row>
    <row r="361" spans="1:19" s="30" customFormat="1" x14ac:dyDescent="0.25">
      <c r="A361" s="36"/>
      <c r="B361" s="31"/>
      <c r="C361" s="31"/>
      <c r="D361" s="32"/>
      <c r="H361" s="32"/>
      <c r="J361" s="32"/>
      <c r="K361" s="41"/>
      <c r="L361" s="32"/>
      <c r="N361" s="32"/>
      <c r="O361" s="41"/>
      <c r="P361" s="32"/>
      <c r="R361" s="32"/>
      <c r="S361" s="41"/>
    </row>
    <row r="362" spans="1:19" s="30" customFormat="1" x14ac:dyDescent="0.25">
      <c r="A362" s="36"/>
      <c r="B362" s="31"/>
      <c r="C362" s="31"/>
      <c r="D362" s="32"/>
      <c r="H362" s="32"/>
      <c r="J362" s="32"/>
      <c r="K362" s="41"/>
      <c r="L362" s="32"/>
      <c r="N362" s="32"/>
      <c r="O362" s="41"/>
      <c r="P362" s="32"/>
      <c r="R362" s="32"/>
      <c r="S362" s="41"/>
    </row>
    <row r="363" spans="1:19" s="30" customFormat="1" x14ac:dyDescent="0.25">
      <c r="A363" s="36"/>
      <c r="B363" s="31"/>
      <c r="C363" s="31"/>
      <c r="D363" s="32"/>
      <c r="H363" s="32"/>
      <c r="J363" s="32"/>
      <c r="K363" s="41"/>
      <c r="L363" s="32"/>
      <c r="N363" s="32"/>
      <c r="O363" s="41"/>
      <c r="P363" s="32"/>
      <c r="R363" s="32"/>
      <c r="S363" s="41"/>
    </row>
    <row r="364" spans="1:19" s="30" customFormat="1" x14ac:dyDescent="0.25">
      <c r="A364" s="36"/>
      <c r="B364" s="31"/>
      <c r="C364" s="31"/>
      <c r="D364" s="32"/>
      <c r="H364" s="32"/>
      <c r="J364" s="32"/>
      <c r="K364" s="41"/>
      <c r="L364" s="32"/>
      <c r="N364" s="32"/>
      <c r="O364" s="41"/>
      <c r="P364" s="32"/>
      <c r="R364" s="32"/>
      <c r="S364" s="41"/>
    </row>
    <row r="365" spans="1:19" s="30" customFormat="1" x14ac:dyDescent="0.25">
      <c r="A365" s="36"/>
      <c r="B365" s="31"/>
      <c r="C365" s="31"/>
      <c r="D365" s="32"/>
      <c r="H365" s="32"/>
      <c r="J365" s="32"/>
      <c r="K365" s="41"/>
      <c r="L365" s="32"/>
      <c r="N365" s="32"/>
      <c r="O365" s="41"/>
      <c r="P365" s="32"/>
      <c r="R365" s="32"/>
      <c r="S365" s="41"/>
    </row>
    <row r="366" spans="1:19" s="30" customFormat="1" x14ac:dyDescent="0.25">
      <c r="A366" s="36"/>
      <c r="B366" s="31"/>
      <c r="C366" s="31"/>
      <c r="D366" s="32"/>
      <c r="H366" s="32"/>
      <c r="J366" s="32"/>
      <c r="K366" s="41"/>
      <c r="L366" s="32"/>
      <c r="N366" s="32"/>
      <c r="O366" s="41"/>
      <c r="P366" s="32"/>
      <c r="R366" s="32"/>
      <c r="S366" s="41"/>
    </row>
    <row r="367" spans="1:19" s="30" customFormat="1" x14ac:dyDescent="0.25">
      <c r="A367" s="36"/>
      <c r="B367" s="31"/>
      <c r="C367" s="31"/>
      <c r="D367" s="32"/>
      <c r="H367" s="32"/>
      <c r="J367" s="32"/>
      <c r="K367" s="41"/>
      <c r="L367" s="32"/>
      <c r="N367" s="32"/>
      <c r="O367" s="41"/>
      <c r="P367" s="32"/>
      <c r="R367" s="32"/>
      <c r="S367" s="41"/>
    </row>
    <row r="368" spans="1:19" s="30" customFormat="1" x14ac:dyDescent="0.25">
      <c r="A368" s="36"/>
      <c r="B368" s="31"/>
      <c r="C368" s="31"/>
      <c r="D368" s="32"/>
      <c r="H368" s="32"/>
      <c r="J368" s="32"/>
      <c r="K368" s="41"/>
      <c r="L368" s="32"/>
      <c r="N368" s="32"/>
      <c r="O368" s="41"/>
      <c r="P368" s="32"/>
      <c r="R368" s="32"/>
      <c r="S368" s="41"/>
    </row>
    <row r="369" spans="1:19" s="30" customFormat="1" x14ac:dyDescent="0.25">
      <c r="A369" s="36"/>
      <c r="B369" s="31"/>
      <c r="C369" s="31"/>
      <c r="D369" s="32"/>
      <c r="H369" s="32"/>
      <c r="J369" s="32"/>
      <c r="K369" s="41"/>
      <c r="L369" s="32"/>
      <c r="N369" s="32"/>
      <c r="O369" s="41"/>
      <c r="P369" s="32"/>
      <c r="R369" s="32"/>
      <c r="S369" s="41"/>
    </row>
    <row r="370" spans="1:19" s="30" customFormat="1" x14ac:dyDescent="0.25">
      <c r="A370" s="36"/>
      <c r="B370" s="31"/>
      <c r="C370" s="31"/>
      <c r="D370" s="32"/>
      <c r="H370" s="32"/>
      <c r="J370" s="32"/>
      <c r="K370" s="41"/>
      <c r="L370" s="32"/>
      <c r="N370" s="32"/>
      <c r="O370" s="41"/>
      <c r="P370" s="32"/>
      <c r="R370" s="32"/>
      <c r="S370" s="41"/>
    </row>
    <row r="371" spans="1:19" s="30" customFormat="1" x14ac:dyDescent="0.25">
      <c r="A371" s="36"/>
      <c r="B371" s="31"/>
      <c r="C371" s="31"/>
      <c r="D371" s="32"/>
      <c r="H371" s="32"/>
      <c r="J371" s="32"/>
      <c r="K371" s="41"/>
      <c r="L371" s="32"/>
      <c r="N371" s="32"/>
      <c r="O371" s="41"/>
      <c r="P371" s="32"/>
      <c r="R371" s="32"/>
      <c r="S371" s="41"/>
    </row>
    <row r="372" spans="1:19" s="30" customFormat="1" x14ac:dyDescent="0.25">
      <c r="A372" s="36"/>
      <c r="B372" s="31"/>
      <c r="C372" s="31"/>
      <c r="D372" s="32"/>
      <c r="H372" s="32"/>
      <c r="J372" s="32"/>
      <c r="K372" s="41"/>
      <c r="L372" s="32"/>
      <c r="N372" s="32"/>
      <c r="O372" s="41"/>
      <c r="P372" s="32"/>
      <c r="R372" s="32"/>
      <c r="S372" s="41"/>
    </row>
    <row r="373" spans="1:19" s="30" customFormat="1" x14ac:dyDescent="0.25">
      <c r="A373" s="36"/>
      <c r="B373" s="31"/>
      <c r="C373" s="31"/>
      <c r="D373" s="32"/>
      <c r="H373" s="32"/>
      <c r="J373" s="32"/>
      <c r="K373" s="41"/>
      <c r="L373" s="32"/>
      <c r="N373" s="32"/>
      <c r="O373" s="41"/>
      <c r="P373" s="32"/>
      <c r="R373" s="32"/>
      <c r="S373" s="41"/>
    </row>
    <row r="374" spans="1:19" s="30" customFormat="1" x14ac:dyDescent="0.25">
      <c r="A374" s="36"/>
      <c r="B374" s="31"/>
      <c r="C374" s="31"/>
      <c r="D374" s="32"/>
      <c r="H374" s="32"/>
      <c r="J374" s="32"/>
      <c r="K374" s="41"/>
      <c r="L374" s="32"/>
      <c r="N374" s="32"/>
      <c r="O374" s="41"/>
      <c r="P374" s="32"/>
      <c r="R374" s="32"/>
      <c r="S374" s="41"/>
    </row>
    <row r="375" spans="1:19" s="30" customFormat="1" x14ac:dyDescent="0.25">
      <c r="A375" s="36"/>
      <c r="B375" s="31"/>
      <c r="C375" s="31"/>
      <c r="D375" s="32"/>
      <c r="H375" s="32"/>
      <c r="J375" s="32"/>
      <c r="K375" s="41"/>
      <c r="L375" s="32"/>
      <c r="N375" s="32"/>
      <c r="O375" s="41"/>
      <c r="P375" s="32"/>
      <c r="R375" s="32"/>
      <c r="S375" s="41"/>
    </row>
    <row r="376" spans="1:19" s="30" customFormat="1" x14ac:dyDescent="0.25">
      <c r="A376" s="36"/>
      <c r="B376" s="31"/>
      <c r="C376" s="31"/>
      <c r="D376" s="32"/>
      <c r="H376" s="32"/>
      <c r="J376" s="32"/>
      <c r="K376" s="41"/>
      <c r="L376" s="32"/>
      <c r="N376" s="32"/>
      <c r="O376" s="41"/>
      <c r="P376" s="32"/>
      <c r="R376" s="32"/>
      <c r="S376" s="41"/>
    </row>
    <row r="377" spans="1:19" s="30" customFormat="1" x14ac:dyDescent="0.25">
      <c r="A377" s="36"/>
      <c r="B377" s="31"/>
      <c r="C377" s="31"/>
      <c r="D377" s="32"/>
      <c r="H377" s="32"/>
      <c r="J377" s="32"/>
      <c r="K377" s="41"/>
      <c r="L377" s="32"/>
      <c r="N377" s="32"/>
      <c r="O377" s="41"/>
      <c r="P377" s="32"/>
      <c r="R377" s="32"/>
      <c r="S377" s="41"/>
    </row>
    <row r="378" spans="1:19" s="30" customFormat="1" x14ac:dyDescent="0.25">
      <c r="A378" s="36"/>
      <c r="B378" s="31"/>
      <c r="C378" s="31"/>
      <c r="D378" s="32"/>
      <c r="H378" s="32"/>
      <c r="J378" s="32"/>
      <c r="K378" s="41"/>
      <c r="L378" s="32"/>
      <c r="N378" s="32"/>
      <c r="O378" s="41"/>
      <c r="P378" s="32"/>
      <c r="R378" s="32"/>
      <c r="S378" s="41"/>
    </row>
    <row r="379" spans="1:19" s="30" customFormat="1" x14ac:dyDescent="0.25">
      <c r="A379" s="36"/>
      <c r="B379" s="31"/>
      <c r="C379" s="31"/>
      <c r="D379" s="32"/>
      <c r="H379" s="32"/>
      <c r="J379" s="32"/>
      <c r="K379" s="41"/>
      <c r="L379" s="32"/>
      <c r="N379" s="32"/>
      <c r="O379" s="41"/>
      <c r="P379" s="32"/>
      <c r="R379" s="32"/>
      <c r="S379" s="41"/>
    </row>
    <row r="380" spans="1:19" s="30" customFormat="1" x14ac:dyDescent="0.25">
      <c r="A380" s="36"/>
      <c r="B380" s="31"/>
      <c r="C380" s="31"/>
      <c r="D380" s="32"/>
      <c r="H380" s="32"/>
      <c r="J380" s="32"/>
      <c r="K380" s="41"/>
      <c r="L380" s="32"/>
      <c r="N380" s="32"/>
      <c r="O380" s="41"/>
      <c r="P380" s="32"/>
      <c r="R380" s="32"/>
      <c r="S380" s="41"/>
    </row>
    <row r="381" spans="1:19" s="30" customFormat="1" x14ac:dyDescent="0.25">
      <c r="A381" s="36"/>
      <c r="B381" s="31"/>
      <c r="C381" s="31"/>
      <c r="D381" s="32"/>
      <c r="H381" s="32"/>
      <c r="J381" s="32"/>
      <c r="K381" s="41"/>
      <c r="L381" s="32"/>
      <c r="N381" s="32"/>
      <c r="O381" s="41"/>
      <c r="P381" s="32"/>
      <c r="R381" s="32"/>
      <c r="S381" s="41"/>
    </row>
    <row r="382" spans="1:19" s="30" customFormat="1" x14ac:dyDescent="0.25">
      <c r="A382" s="36"/>
      <c r="B382" s="31"/>
      <c r="C382" s="31"/>
      <c r="D382" s="32"/>
      <c r="H382" s="32"/>
      <c r="J382" s="32"/>
      <c r="K382" s="41"/>
      <c r="L382" s="32"/>
      <c r="N382" s="32"/>
      <c r="O382" s="41"/>
      <c r="P382" s="32"/>
      <c r="R382" s="32"/>
      <c r="S382" s="41"/>
    </row>
    <row r="383" spans="1:19" s="30" customFormat="1" x14ac:dyDescent="0.25">
      <c r="A383" s="36"/>
      <c r="B383" s="31"/>
      <c r="C383" s="31"/>
      <c r="D383" s="32"/>
      <c r="H383" s="32"/>
      <c r="J383" s="32"/>
      <c r="K383" s="41"/>
      <c r="L383" s="32"/>
      <c r="N383" s="32"/>
      <c r="O383" s="41"/>
      <c r="P383" s="32"/>
      <c r="R383" s="32"/>
      <c r="S383" s="41"/>
    </row>
    <row r="384" spans="1:19" s="30" customFormat="1" x14ac:dyDescent="0.25">
      <c r="A384" s="36"/>
      <c r="B384" s="31"/>
      <c r="C384" s="31"/>
      <c r="D384" s="32"/>
      <c r="H384" s="32"/>
      <c r="J384" s="32"/>
      <c r="K384" s="41"/>
      <c r="L384" s="32"/>
      <c r="N384" s="32"/>
      <c r="O384" s="41"/>
      <c r="P384" s="32"/>
      <c r="R384" s="32"/>
      <c r="S384" s="41"/>
    </row>
    <row r="385" spans="1:19" s="30" customFormat="1" x14ac:dyDescent="0.25">
      <c r="A385" s="36"/>
      <c r="B385" s="31"/>
      <c r="C385" s="31"/>
      <c r="D385" s="32"/>
      <c r="H385" s="32"/>
      <c r="J385" s="32"/>
      <c r="K385" s="41"/>
      <c r="L385" s="32"/>
      <c r="N385" s="32"/>
      <c r="O385" s="41"/>
      <c r="P385" s="32"/>
      <c r="R385" s="32"/>
      <c r="S385" s="41"/>
    </row>
    <row r="386" spans="1:19" s="30" customFormat="1" x14ac:dyDescent="0.25">
      <c r="A386" s="36"/>
      <c r="B386" s="31"/>
      <c r="C386" s="31"/>
      <c r="D386" s="32"/>
      <c r="H386" s="32"/>
      <c r="J386" s="32"/>
      <c r="K386" s="41"/>
      <c r="L386" s="32"/>
      <c r="N386" s="32"/>
      <c r="O386" s="41"/>
      <c r="P386" s="32"/>
      <c r="R386" s="32"/>
      <c r="S386" s="41"/>
    </row>
    <row r="387" spans="1:19" s="30" customFormat="1" x14ac:dyDescent="0.25">
      <c r="A387" s="36"/>
      <c r="B387" s="31"/>
      <c r="C387" s="31"/>
      <c r="D387" s="32"/>
      <c r="H387" s="32"/>
      <c r="J387" s="32"/>
      <c r="K387" s="41"/>
      <c r="L387" s="32"/>
      <c r="N387" s="32"/>
      <c r="O387" s="41"/>
      <c r="P387" s="32"/>
      <c r="R387" s="32"/>
      <c r="S387" s="41"/>
    </row>
    <row r="388" spans="1:19" s="30" customFormat="1" x14ac:dyDescent="0.25">
      <c r="A388" s="36"/>
      <c r="B388" s="31"/>
      <c r="C388" s="31"/>
      <c r="D388" s="32"/>
      <c r="H388" s="32"/>
      <c r="J388" s="32"/>
      <c r="K388" s="41"/>
      <c r="L388" s="32"/>
      <c r="N388" s="32"/>
      <c r="O388" s="41"/>
      <c r="P388" s="32"/>
      <c r="R388" s="32"/>
      <c r="S388" s="41"/>
    </row>
    <row r="389" spans="1:19" s="30" customFormat="1" x14ac:dyDescent="0.25">
      <c r="A389" s="36"/>
      <c r="B389" s="31"/>
      <c r="C389" s="31"/>
      <c r="D389" s="32"/>
      <c r="H389" s="32"/>
      <c r="J389" s="32"/>
      <c r="K389" s="41"/>
      <c r="L389" s="32"/>
      <c r="N389" s="32"/>
      <c r="O389" s="41"/>
      <c r="P389" s="32"/>
      <c r="R389" s="32"/>
      <c r="S389" s="41"/>
    </row>
    <row r="390" spans="1:19" s="30" customFormat="1" x14ac:dyDescent="0.25">
      <c r="A390" s="36"/>
      <c r="B390" s="31"/>
      <c r="C390" s="31"/>
      <c r="D390" s="32"/>
      <c r="H390" s="32"/>
      <c r="J390" s="32"/>
      <c r="K390" s="41"/>
      <c r="L390" s="32"/>
      <c r="N390" s="32"/>
      <c r="O390" s="41"/>
      <c r="P390" s="32"/>
      <c r="R390" s="32"/>
      <c r="S390" s="41"/>
    </row>
    <row r="391" spans="1:19" s="30" customFormat="1" x14ac:dyDescent="0.25">
      <c r="A391" s="36"/>
      <c r="B391" s="31"/>
      <c r="C391" s="31"/>
      <c r="D391" s="32"/>
      <c r="H391" s="32"/>
      <c r="J391" s="32"/>
      <c r="K391" s="41"/>
      <c r="L391" s="32"/>
      <c r="N391" s="32"/>
      <c r="O391" s="41"/>
      <c r="P391" s="32"/>
      <c r="R391" s="32"/>
      <c r="S391" s="41"/>
    </row>
    <row r="392" spans="1:19" s="30" customFormat="1" x14ac:dyDescent="0.25">
      <c r="A392" s="36"/>
      <c r="B392" s="31"/>
      <c r="C392" s="31"/>
      <c r="D392" s="32"/>
      <c r="H392" s="32"/>
      <c r="J392" s="32"/>
      <c r="K392" s="41"/>
      <c r="L392" s="32"/>
      <c r="N392" s="32"/>
      <c r="O392" s="41"/>
      <c r="P392" s="32"/>
      <c r="R392" s="32"/>
      <c r="S392" s="41"/>
    </row>
    <row r="393" spans="1:19" s="30" customFormat="1" x14ac:dyDescent="0.25">
      <c r="A393" s="36"/>
      <c r="B393" s="31"/>
      <c r="C393" s="31"/>
      <c r="D393" s="32"/>
      <c r="H393" s="32"/>
      <c r="J393" s="32"/>
      <c r="K393" s="41"/>
      <c r="L393" s="32"/>
      <c r="N393" s="32"/>
      <c r="O393" s="41"/>
      <c r="P393" s="32"/>
      <c r="R393" s="32"/>
      <c r="S393" s="41"/>
    </row>
    <row r="394" spans="1:19" s="30" customFormat="1" x14ac:dyDescent="0.25">
      <c r="A394" s="36"/>
      <c r="B394" s="31"/>
      <c r="C394" s="31"/>
      <c r="D394" s="32"/>
      <c r="H394" s="32"/>
      <c r="J394" s="32"/>
      <c r="K394" s="41"/>
      <c r="L394" s="32"/>
      <c r="N394" s="32"/>
      <c r="O394" s="41"/>
      <c r="P394" s="32"/>
      <c r="R394" s="32"/>
      <c r="S394" s="41"/>
    </row>
    <row r="395" spans="1:19" s="30" customFormat="1" x14ac:dyDescent="0.25">
      <c r="A395" s="36"/>
      <c r="B395" s="31"/>
      <c r="C395" s="31"/>
      <c r="D395" s="32"/>
      <c r="H395" s="32"/>
      <c r="J395" s="32"/>
      <c r="K395" s="41"/>
      <c r="L395" s="32"/>
      <c r="N395" s="32"/>
      <c r="O395" s="41"/>
      <c r="P395" s="32"/>
      <c r="R395" s="32"/>
      <c r="S395" s="41"/>
    </row>
    <row r="396" spans="1:19" s="30" customFormat="1" x14ac:dyDescent="0.25">
      <c r="A396" s="36"/>
      <c r="B396" s="31"/>
      <c r="C396" s="31"/>
      <c r="D396" s="32"/>
      <c r="H396" s="32"/>
      <c r="J396" s="32"/>
      <c r="K396" s="41"/>
      <c r="L396" s="32"/>
      <c r="N396" s="32"/>
      <c r="O396" s="41"/>
      <c r="P396" s="32"/>
      <c r="R396" s="32"/>
      <c r="S396" s="41"/>
    </row>
    <row r="397" spans="1:19" s="30" customFormat="1" x14ac:dyDescent="0.25">
      <c r="A397" s="36"/>
      <c r="B397" s="31"/>
      <c r="C397" s="31"/>
      <c r="D397" s="32"/>
      <c r="H397" s="32"/>
      <c r="J397" s="32"/>
      <c r="K397" s="41"/>
      <c r="L397" s="32"/>
      <c r="N397" s="32"/>
      <c r="O397" s="41"/>
      <c r="P397" s="32"/>
      <c r="R397" s="32"/>
      <c r="S397" s="41"/>
    </row>
    <row r="398" spans="1:19" s="30" customFormat="1" x14ac:dyDescent="0.25">
      <c r="A398" s="36"/>
      <c r="B398" s="31"/>
      <c r="C398" s="31"/>
      <c r="D398" s="32"/>
      <c r="H398" s="32"/>
      <c r="J398" s="32"/>
      <c r="K398" s="41"/>
      <c r="L398" s="32"/>
      <c r="N398" s="32"/>
      <c r="O398" s="41"/>
      <c r="P398" s="32"/>
      <c r="R398" s="32"/>
      <c r="S398" s="41"/>
    </row>
    <row r="399" spans="1:19" s="30" customFormat="1" x14ac:dyDescent="0.25">
      <c r="A399" s="36"/>
      <c r="B399" s="31"/>
      <c r="C399" s="31"/>
      <c r="D399" s="32"/>
      <c r="H399" s="32"/>
      <c r="J399" s="32"/>
      <c r="K399" s="41"/>
      <c r="L399" s="32"/>
      <c r="N399" s="32"/>
      <c r="O399" s="41"/>
      <c r="P399" s="32"/>
      <c r="R399" s="32"/>
      <c r="S399" s="41"/>
    </row>
    <row r="400" spans="1:19" s="30" customFormat="1" x14ac:dyDescent="0.25">
      <c r="A400" s="36"/>
      <c r="B400" s="31"/>
      <c r="C400" s="31"/>
      <c r="D400" s="32"/>
      <c r="H400" s="32"/>
      <c r="J400" s="32"/>
      <c r="K400" s="41"/>
      <c r="L400" s="32"/>
      <c r="N400" s="32"/>
      <c r="O400" s="41"/>
      <c r="P400" s="32"/>
      <c r="R400" s="32"/>
      <c r="S400" s="41"/>
    </row>
    <row r="401" spans="1:19" s="30" customFormat="1" x14ac:dyDescent="0.25">
      <c r="A401" s="36"/>
      <c r="B401" s="31"/>
      <c r="C401" s="31"/>
      <c r="D401" s="32"/>
      <c r="H401" s="32"/>
      <c r="J401" s="32"/>
      <c r="K401" s="41"/>
      <c r="L401" s="32"/>
      <c r="N401" s="32"/>
      <c r="O401" s="41"/>
      <c r="P401" s="32"/>
      <c r="R401" s="32"/>
      <c r="S401" s="41"/>
    </row>
    <row r="402" spans="1:19" s="30" customFormat="1" x14ac:dyDescent="0.25">
      <c r="A402" s="36"/>
      <c r="B402" s="31"/>
      <c r="C402" s="31"/>
      <c r="D402" s="32"/>
      <c r="H402" s="32"/>
      <c r="J402" s="32"/>
      <c r="K402" s="41"/>
      <c r="L402" s="32"/>
      <c r="N402" s="32"/>
      <c r="O402" s="41"/>
      <c r="P402" s="32"/>
      <c r="R402" s="32"/>
      <c r="S402" s="41"/>
    </row>
    <row r="403" spans="1:19" s="30" customFormat="1" x14ac:dyDescent="0.25">
      <c r="A403" s="36"/>
      <c r="B403" s="31"/>
      <c r="C403" s="31"/>
      <c r="D403" s="32"/>
      <c r="H403" s="32"/>
      <c r="J403" s="32"/>
      <c r="K403" s="41"/>
      <c r="L403" s="32"/>
      <c r="N403" s="32"/>
      <c r="O403" s="41"/>
      <c r="P403" s="32"/>
      <c r="R403" s="32"/>
      <c r="S403" s="41"/>
    </row>
    <row r="404" spans="1:19" s="30" customFormat="1" x14ac:dyDescent="0.25">
      <c r="A404" s="36"/>
      <c r="B404" s="31"/>
      <c r="C404" s="31"/>
      <c r="D404" s="32"/>
      <c r="H404" s="32"/>
      <c r="J404" s="32"/>
      <c r="K404" s="41"/>
      <c r="L404" s="32"/>
      <c r="N404" s="32"/>
      <c r="O404" s="41"/>
      <c r="P404" s="32"/>
      <c r="R404" s="32"/>
      <c r="S404" s="41"/>
    </row>
    <row r="405" spans="1:19" s="30" customFormat="1" x14ac:dyDescent="0.25">
      <c r="A405" s="36"/>
      <c r="B405" s="31"/>
      <c r="C405" s="31"/>
      <c r="D405" s="32"/>
      <c r="H405" s="32"/>
      <c r="J405" s="32"/>
      <c r="K405" s="41"/>
      <c r="L405" s="32"/>
      <c r="N405" s="32"/>
      <c r="O405" s="41"/>
      <c r="P405" s="32"/>
      <c r="R405" s="32"/>
      <c r="S405" s="41"/>
    </row>
    <row r="406" spans="1:19" s="30" customFormat="1" x14ac:dyDescent="0.25">
      <c r="A406" s="36"/>
      <c r="B406" s="31"/>
      <c r="C406" s="31"/>
      <c r="D406" s="32"/>
      <c r="H406" s="32"/>
      <c r="J406" s="32"/>
      <c r="K406" s="41"/>
      <c r="L406" s="32"/>
      <c r="N406" s="32"/>
      <c r="O406" s="41"/>
      <c r="P406" s="32"/>
      <c r="R406" s="32"/>
      <c r="S406" s="41"/>
    </row>
    <row r="407" spans="1:19" s="30" customFormat="1" x14ac:dyDescent="0.25">
      <c r="A407" s="36"/>
      <c r="B407" s="31"/>
      <c r="C407" s="31"/>
      <c r="D407" s="32"/>
      <c r="H407" s="32"/>
      <c r="J407" s="32"/>
      <c r="K407" s="41"/>
      <c r="L407" s="32"/>
      <c r="N407" s="32"/>
      <c r="O407" s="41"/>
      <c r="P407" s="32"/>
      <c r="R407" s="32"/>
      <c r="S407" s="41"/>
    </row>
    <row r="408" spans="1:19" s="30" customFormat="1" x14ac:dyDescent="0.25">
      <c r="A408" s="36"/>
      <c r="B408" s="31"/>
      <c r="C408" s="31"/>
      <c r="D408" s="32"/>
      <c r="H408" s="32"/>
      <c r="J408" s="32"/>
      <c r="K408" s="41"/>
      <c r="L408" s="32"/>
      <c r="N408" s="32"/>
      <c r="O408" s="41"/>
      <c r="P408" s="32"/>
      <c r="R408" s="32"/>
      <c r="S408" s="41"/>
    </row>
    <row r="409" spans="1:19" s="30" customFormat="1" x14ac:dyDescent="0.25">
      <c r="A409" s="36"/>
      <c r="B409" s="31"/>
      <c r="C409" s="31"/>
      <c r="D409" s="32"/>
      <c r="H409" s="32"/>
      <c r="J409" s="32"/>
      <c r="K409" s="41"/>
      <c r="L409" s="32"/>
      <c r="N409" s="32"/>
      <c r="O409" s="41"/>
      <c r="P409" s="32"/>
      <c r="R409" s="32"/>
      <c r="S409" s="41"/>
    </row>
    <row r="410" spans="1:19" s="30" customFormat="1" x14ac:dyDescent="0.25">
      <c r="A410" s="36"/>
      <c r="B410" s="31"/>
      <c r="C410" s="31"/>
      <c r="D410" s="32"/>
      <c r="H410" s="32"/>
      <c r="J410" s="32"/>
      <c r="K410" s="41"/>
      <c r="L410" s="32"/>
      <c r="N410" s="32"/>
      <c r="O410" s="41"/>
      <c r="P410" s="32"/>
      <c r="R410" s="32"/>
      <c r="S410" s="41"/>
    </row>
    <row r="411" spans="1:19" s="30" customFormat="1" x14ac:dyDescent="0.25">
      <c r="A411" s="36"/>
      <c r="B411" s="31"/>
      <c r="C411" s="31"/>
      <c r="D411" s="32"/>
      <c r="H411" s="32"/>
      <c r="J411" s="32"/>
      <c r="K411" s="41"/>
      <c r="L411" s="32"/>
      <c r="N411" s="32"/>
      <c r="O411" s="41"/>
      <c r="P411" s="32"/>
      <c r="R411" s="32"/>
      <c r="S411" s="41"/>
    </row>
    <row r="412" spans="1:19" s="30" customFormat="1" x14ac:dyDescent="0.25">
      <c r="A412" s="36"/>
      <c r="B412" s="31"/>
      <c r="C412" s="31"/>
      <c r="D412" s="32"/>
      <c r="H412" s="32"/>
      <c r="J412" s="32"/>
      <c r="K412" s="41"/>
      <c r="L412" s="32"/>
      <c r="N412" s="32"/>
      <c r="O412" s="41"/>
      <c r="P412" s="32"/>
      <c r="R412" s="32"/>
      <c r="S412" s="41"/>
    </row>
    <row r="413" spans="1:19" s="30" customFormat="1" x14ac:dyDescent="0.25">
      <c r="A413" s="36"/>
      <c r="B413" s="31"/>
      <c r="C413" s="31"/>
      <c r="D413" s="32"/>
      <c r="H413" s="32"/>
      <c r="J413" s="32"/>
      <c r="K413" s="41"/>
      <c r="L413" s="32"/>
      <c r="N413" s="32"/>
      <c r="O413" s="41"/>
      <c r="P413" s="32"/>
      <c r="R413" s="32"/>
      <c r="S413" s="41"/>
    </row>
    <row r="414" spans="1:19" s="30" customFormat="1" x14ac:dyDescent="0.25">
      <c r="A414" s="36"/>
      <c r="B414" s="31"/>
      <c r="C414" s="31"/>
      <c r="D414" s="32"/>
      <c r="H414" s="32"/>
      <c r="J414" s="32"/>
      <c r="K414" s="41"/>
      <c r="L414" s="32"/>
      <c r="N414" s="32"/>
      <c r="O414" s="41"/>
      <c r="P414" s="32"/>
      <c r="R414" s="32"/>
      <c r="S414" s="41"/>
    </row>
    <row r="415" spans="1:19" s="30" customFormat="1" x14ac:dyDescent="0.25">
      <c r="A415" s="36"/>
      <c r="B415" s="31"/>
      <c r="C415" s="31"/>
      <c r="D415" s="32"/>
      <c r="H415" s="32"/>
      <c r="J415" s="32"/>
      <c r="K415" s="41"/>
      <c r="L415" s="32"/>
      <c r="N415" s="32"/>
      <c r="O415" s="41"/>
      <c r="P415" s="32"/>
      <c r="R415" s="32"/>
      <c r="S415" s="41"/>
    </row>
    <row r="416" spans="1:19" s="30" customFormat="1" x14ac:dyDescent="0.25">
      <c r="A416" s="36"/>
      <c r="B416" s="31"/>
      <c r="C416" s="31"/>
      <c r="D416" s="32"/>
      <c r="H416" s="32"/>
      <c r="J416" s="32"/>
      <c r="K416" s="41"/>
      <c r="L416" s="32"/>
      <c r="N416" s="32"/>
      <c r="O416" s="41"/>
      <c r="P416" s="32"/>
      <c r="R416" s="32"/>
      <c r="S416" s="41"/>
    </row>
    <row r="417" spans="1:19" s="30" customFormat="1" x14ac:dyDescent="0.25">
      <c r="A417" s="36"/>
      <c r="B417" s="31"/>
      <c r="C417" s="31"/>
      <c r="D417" s="32"/>
      <c r="H417" s="32"/>
      <c r="J417" s="32"/>
      <c r="K417" s="41"/>
      <c r="L417" s="32"/>
      <c r="N417" s="32"/>
      <c r="O417" s="41"/>
      <c r="P417" s="32"/>
      <c r="R417" s="32"/>
      <c r="S417" s="41"/>
    </row>
    <row r="418" spans="1:19" s="30" customFormat="1" x14ac:dyDescent="0.25">
      <c r="A418" s="36"/>
      <c r="B418" s="31"/>
      <c r="C418" s="31"/>
      <c r="D418" s="32"/>
      <c r="H418" s="32"/>
      <c r="J418" s="32"/>
      <c r="K418" s="41"/>
      <c r="L418" s="32"/>
      <c r="N418" s="32"/>
      <c r="O418" s="41"/>
      <c r="P418" s="32"/>
      <c r="R418" s="32"/>
      <c r="S418" s="41"/>
    </row>
    <row r="419" spans="1:19" s="30" customFormat="1" x14ac:dyDescent="0.25">
      <c r="A419" s="36"/>
      <c r="B419" s="31"/>
      <c r="C419" s="31"/>
      <c r="D419" s="32"/>
      <c r="H419" s="32"/>
      <c r="J419" s="32"/>
      <c r="K419" s="41"/>
      <c r="L419" s="32"/>
      <c r="N419" s="32"/>
      <c r="O419" s="41"/>
      <c r="P419" s="32"/>
      <c r="R419" s="32"/>
      <c r="S419" s="41"/>
    </row>
    <row r="420" spans="1:19" s="30" customFormat="1" x14ac:dyDescent="0.25">
      <c r="A420" s="36"/>
      <c r="B420" s="31"/>
      <c r="C420" s="31"/>
      <c r="D420" s="32"/>
      <c r="H420" s="32"/>
      <c r="J420" s="32"/>
      <c r="K420" s="41"/>
      <c r="L420" s="32"/>
      <c r="N420" s="32"/>
      <c r="O420" s="41"/>
      <c r="P420" s="32"/>
      <c r="R420" s="32"/>
      <c r="S420" s="41"/>
    </row>
    <row r="421" spans="1:19" s="30" customFormat="1" x14ac:dyDescent="0.25">
      <c r="A421" s="36"/>
      <c r="B421" s="31"/>
      <c r="C421" s="31"/>
      <c r="D421" s="32"/>
      <c r="H421" s="32"/>
      <c r="J421" s="32"/>
      <c r="K421" s="41"/>
      <c r="L421" s="32"/>
      <c r="N421" s="32"/>
      <c r="O421" s="41"/>
      <c r="P421" s="32"/>
      <c r="R421" s="32"/>
      <c r="S421" s="41"/>
    </row>
    <row r="422" spans="1:19" s="30" customFormat="1" x14ac:dyDescent="0.25">
      <c r="A422" s="36"/>
      <c r="B422" s="31"/>
      <c r="C422" s="31"/>
      <c r="D422" s="32"/>
      <c r="H422" s="32"/>
      <c r="J422" s="32"/>
      <c r="K422" s="41"/>
      <c r="L422" s="32"/>
      <c r="N422" s="32"/>
      <c r="O422" s="41"/>
      <c r="P422" s="32"/>
      <c r="R422" s="32"/>
      <c r="S422" s="41"/>
    </row>
    <row r="423" spans="1:19" s="30" customFormat="1" x14ac:dyDescent="0.25">
      <c r="A423" s="36"/>
      <c r="B423" s="31"/>
      <c r="C423" s="31"/>
      <c r="D423" s="32"/>
      <c r="H423" s="32"/>
      <c r="J423" s="32"/>
      <c r="K423" s="41"/>
      <c r="L423" s="32"/>
      <c r="N423" s="32"/>
      <c r="O423" s="41"/>
      <c r="P423" s="32"/>
      <c r="R423" s="32"/>
      <c r="S423" s="41"/>
    </row>
    <row r="424" spans="1:19" s="30" customFormat="1" x14ac:dyDescent="0.25">
      <c r="A424" s="36"/>
      <c r="B424" s="31"/>
      <c r="C424" s="31"/>
      <c r="D424" s="32"/>
      <c r="H424" s="32"/>
      <c r="J424" s="32"/>
      <c r="K424" s="41"/>
      <c r="L424" s="32"/>
      <c r="N424" s="32"/>
      <c r="O424" s="41"/>
      <c r="P424" s="32"/>
      <c r="R424" s="32"/>
      <c r="S424" s="41"/>
    </row>
    <row r="425" spans="1:19" s="30" customFormat="1" x14ac:dyDescent="0.25">
      <c r="A425" s="36"/>
      <c r="B425" s="31"/>
      <c r="C425" s="31"/>
      <c r="D425" s="32"/>
      <c r="H425" s="32"/>
      <c r="J425" s="32"/>
      <c r="K425" s="41"/>
      <c r="L425" s="32"/>
      <c r="N425" s="32"/>
      <c r="O425" s="41"/>
      <c r="P425" s="32"/>
      <c r="R425" s="32"/>
      <c r="S425" s="41"/>
    </row>
    <row r="426" spans="1:19" s="30" customFormat="1" x14ac:dyDescent="0.25">
      <c r="A426" s="36"/>
      <c r="B426" s="31"/>
      <c r="C426" s="31"/>
      <c r="D426" s="32"/>
      <c r="H426" s="32"/>
      <c r="J426" s="32"/>
      <c r="K426" s="41"/>
      <c r="L426" s="32"/>
      <c r="N426" s="32"/>
      <c r="O426" s="41"/>
      <c r="P426" s="32"/>
      <c r="R426" s="32"/>
      <c r="S426" s="41"/>
    </row>
    <row r="427" spans="1:19" s="30" customFormat="1" x14ac:dyDescent="0.25">
      <c r="A427" s="36"/>
      <c r="B427" s="31"/>
      <c r="C427" s="31"/>
      <c r="D427" s="32"/>
      <c r="H427" s="32"/>
      <c r="J427" s="32"/>
      <c r="K427" s="41"/>
      <c r="L427" s="32"/>
      <c r="N427" s="32"/>
      <c r="O427" s="41"/>
      <c r="P427" s="32"/>
      <c r="R427" s="32"/>
      <c r="S427" s="41"/>
    </row>
    <row r="428" spans="1:19" s="30" customFormat="1" x14ac:dyDescent="0.25">
      <c r="A428" s="36"/>
      <c r="B428" s="31"/>
      <c r="C428" s="31"/>
      <c r="D428" s="32"/>
      <c r="H428" s="32"/>
      <c r="J428" s="32"/>
      <c r="K428" s="41"/>
      <c r="L428" s="32"/>
      <c r="N428" s="32"/>
      <c r="O428" s="41"/>
      <c r="P428" s="32"/>
      <c r="R428" s="32"/>
      <c r="S428" s="41"/>
    </row>
    <row r="429" spans="1:19" s="30" customFormat="1" x14ac:dyDescent="0.25">
      <c r="A429" s="36"/>
      <c r="B429" s="31"/>
      <c r="C429" s="31"/>
      <c r="D429" s="32"/>
      <c r="H429" s="32"/>
      <c r="J429" s="32"/>
      <c r="K429" s="41"/>
      <c r="L429" s="32"/>
      <c r="N429" s="32"/>
      <c r="O429" s="41"/>
      <c r="P429" s="32"/>
      <c r="R429" s="32"/>
      <c r="S429" s="41"/>
    </row>
    <row r="430" spans="1:19" s="30" customFormat="1" x14ac:dyDescent="0.25">
      <c r="A430" s="36"/>
      <c r="B430" s="31"/>
      <c r="C430" s="31"/>
      <c r="D430" s="32"/>
      <c r="H430" s="32"/>
      <c r="J430" s="32"/>
      <c r="K430" s="41"/>
      <c r="L430" s="32"/>
      <c r="N430" s="32"/>
      <c r="O430" s="41"/>
      <c r="P430" s="32"/>
      <c r="R430" s="32"/>
      <c r="S430" s="41"/>
    </row>
    <row r="431" spans="1:19" s="30" customFormat="1" x14ac:dyDescent="0.25">
      <c r="A431" s="36"/>
      <c r="B431" s="31"/>
      <c r="C431" s="31"/>
      <c r="D431" s="32"/>
      <c r="H431" s="32"/>
      <c r="J431" s="32"/>
      <c r="K431" s="41"/>
      <c r="L431" s="32"/>
      <c r="N431" s="32"/>
      <c r="O431" s="41"/>
      <c r="P431" s="32"/>
      <c r="R431" s="32"/>
      <c r="S431" s="41"/>
    </row>
    <row r="432" spans="1:19" s="30" customFormat="1" x14ac:dyDescent="0.25">
      <c r="A432" s="36"/>
      <c r="B432" s="31"/>
      <c r="C432" s="31"/>
      <c r="D432" s="32"/>
      <c r="H432" s="32"/>
      <c r="J432" s="32"/>
      <c r="K432" s="41"/>
      <c r="L432" s="32"/>
      <c r="N432" s="32"/>
      <c r="O432" s="41"/>
      <c r="P432" s="32"/>
      <c r="R432" s="32"/>
      <c r="S432" s="41"/>
    </row>
    <row r="433" spans="1:19" s="30" customFormat="1" x14ac:dyDescent="0.25">
      <c r="A433" s="36"/>
      <c r="B433" s="31"/>
      <c r="C433" s="31"/>
      <c r="D433" s="32"/>
      <c r="H433" s="32"/>
      <c r="J433" s="32"/>
      <c r="K433" s="41"/>
      <c r="L433" s="32"/>
      <c r="N433" s="32"/>
      <c r="O433" s="41"/>
      <c r="P433" s="32"/>
      <c r="R433" s="32"/>
      <c r="S433" s="41"/>
    </row>
    <row r="434" spans="1:19" s="30" customFormat="1" x14ac:dyDescent="0.25">
      <c r="A434" s="36"/>
      <c r="B434" s="31"/>
      <c r="C434" s="31"/>
      <c r="D434" s="32"/>
      <c r="H434" s="32"/>
      <c r="J434" s="32"/>
      <c r="K434" s="41"/>
      <c r="L434" s="32"/>
      <c r="N434" s="32"/>
      <c r="O434" s="41"/>
      <c r="P434" s="32"/>
      <c r="R434" s="32"/>
      <c r="S434" s="41"/>
    </row>
    <row r="435" spans="1:19" s="30" customFormat="1" x14ac:dyDescent="0.25">
      <c r="A435" s="36"/>
      <c r="B435" s="31"/>
      <c r="C435" s="31"/>
      <c r="D435" s="32"/>
      <c r="H435" s="32"/>
      <c r="J435" s="32"/>
      <c r="K435" s="41"/>
      <c r="L435" s="32"/>
      <c r="N435" s="32"/>
      <c r="O435" s="41"/>
      <c r="P435" s="32"/>
      <c r="R435" s="32"/>
      <c r="S435" s="41"/>
    </row>
    <row r="436" spans="1:19" s="30" customFormat="1" x14ac:dyDescent="0.25">
      <c r="A436" s="36"/>
      <c r="B436" s="31"/>
      <c r="C436" s="31"/>
      <c r="D436" s="32"/>
      <c r="H436" s="32"/>
      <c r="J436" s="32"/>
      <c r="K436" s="41"/>
      <c r="L436" s="32"/>
      <c r="N436" s="32"/>
      <c r="O436" s="41"/>
      <c r="P436" s="32"/>
      <c r="R436" s="32"/>
      <c r="S436" s="41"/>
    </row>
    <row r="437" spans="1:19" s="30" customFormat="1" x14ac:dyDescent="0.25">
      <c r="A437" s="36"/>
      <c r="B437" s="31"/>
      <c r="C437" s="31"/>
      <c r="D437" s="32"/>
      <c r="H437" s="32"/>
      <c r="J437" s="32"/>
      <c r="K437" s="41"/>
      <c r="L437" s="32"/>
      <c r="N437" s="32"/>
      <c r="O437" s="41"/>
      <c r="P437" s="32"/>
      <c r="R437" s="32"/>
      <c r="S437" s="41"/>
    </row>
    <row r="438" spans="1:19" s="30" customFormat="1" x14ac:dyDescent="0.25">
      <c r="A438" s="36"/>
      <c r="B438" s="31"/>
      <c r="C438" s="31"/>
      <c r="D438" s="32"/>
      <c r="H438" s="32"/>
      <c r="J438" s="32"/>
      <c r="K438" s="41"/>
      <c r="L438" s="32"/>
      <c r="N438" s="32"/>
      <c r="O438" s="41"/>
      <c r="P438" s="32"/>
      <c r="R438" s="32"/>
      <c r="S438" s="41"/>
    </row>
    <row r="439" spans="1:19" s="30" customFormat="1" x14ac:dyDescent="0.25">
      <c r="A439" s="36"/>
      <c r="B439" s="31"/>
      <c r="C439" s="31"/>
      <c r="D439" s="32"/>
      <c r="H439" s="32"/>
      <c r="J439" s="32"/>
      <c r="K439" s="41"/>
      <c r="L439" s="32"/>
      <c r="N439" s="32"/>
      <c r="O439" s="41"/>
      <c r="P439" s="32"/>
      <c r="R439" s="32"/>
      <c r="S439" s="41"/>
    </row>
    <row r="440" spans="1:19" s="30" customFormat="1" x14ac:dyDescent="0.25">
      <c r="A440" s="36"/>
      <c r="B440" s="31"/>
      <c r="C440" s="31"/>
      <c r="D440" s="32"/>
      <c r="H440" s="32"/>
      <c r="J440" s="32"/>
      <c r="K440" s="41"/>
      <c r="L440" s="32"/>
      <c r="N440" s="32"/>
      <c r="O440" s="41"/>
      <c r="P440" s="32"/>
      <c r="R440" s="32"/>
      <c r="S440" s="41"/>
    </row>
    <row r="441" spans="1:19" s="30" customFormat="1" x14ac:dyDescent="0.25">
      <c r="A441" s="36"/>
      <c r="B441" s="31"/>
      <c r="C441" s="31"/>
      <c r="D441" s="32"/>
      <c r="H441" s="32"/>
      <c r="J441" s="32"/>
      <c r="K441" s="41"/>
      <c r="L441" s="32"/>
      <c r="N441" s="32"/>
      <c r="O441" s="41"/>
      <c r="P441" s="32"/>
      <c r="R441" s="32"/>
      <c r="S441" s="41"/>
    </row>
    <row r="442" spans="1:19" s="30" customFormat="1" x14ac:dyDescent="0.25">
      <c r="A442" s="36"/>
      <c r="B442" s="31"/>
      <c r="C442" s="31"/>
      <c r="D442" s="32"/>
      <c r="H442" s="32"/>
      <c r="J442" s="32"/>
      <c r="K442" s="41"/>
      <c r="L442" s="32"/>
      <c r="N442" s="32"/>
      <c r="O442" s="41"/>
      <c r="P442" s="32"/>
      <c r="R442" s="32"/>
      <c r="S442" s="41"/>
    </row>
    <row r="443" spans="1:19" s="30" customFormat="1" x14ac:dyDescent="0.25">
      <c r="A443" s="36"/>
      <c r="B443" s="31"/>
      <c r="C443" s="31"/>
      <c r="D443" s="32"/>
      <c r="H443" s="32"/>
      <c r="J443" s="32"/>
      <c r="K443" s="41"/>
      <c r="L443" s="32"/>
      <c r="N443" s="32"/>
      <c r="O443" s="41"/>
      <c r="P443" s="32"/>
      <c r="R443" s="32"/>
      <c r="S443" s="41"/>
    </row>
    <row r="444" spans="1:19" s="30" customFormat="1" x14ac:dyDescent="0.25">
      <c r="A444" s="36"/>
      <c r="B444" s="31"/>
      <c r="C444" s="31"/>
      <c r="D444" s="32"/>
      <c r="H444" s="32"/>
      <c r="J444" s="32"/>
      <c r="K444" s="41"/>
      <c r="L444" s="32"/>
      <c r="N444" s="32"/>
      <c r="O444" s="41"/>
      <c r="P444" s="32"/>
      <c r="R444" s="32"/>
      <c r="S444" s="41"/>
    </row>
    <row r="445" spans="1:19" s="30" customFormat="1" x14ac:dyDescent="0.25">
      <c r="A445" s="36"/>
      <c r="B445" s="31"/>
      <c r="C445" s="31"/>
      <c r="D445" s="32"/>
      <c r="H445" s="32"/>
      <c r="J445" s="32"/>
      <c r="K445" s="41"/>
      <c r="L445" s="32"/>
      <c r="N445" s="32"/>
      <c r="O445" s="41"/>
      <c r="P445" s="32"/>
      <c r="R445" s="32"/>
      <c r="S445" s="41"/>
    </row>
    <row r="446" spans="1:19" s="30" customFormat="1" x14ac:dyDescent="0.25">
      <c r="A446" s="36"/>
      <c r="B446" s="31"/>
      <c r="C446" s="31"/>
      <c r="D446" s="32"/>
      <c r="H446" s="32"/>
      <c r="J446" s="32"/>
      <c r="K446" s="41"/>
      <c r="L446" s="32"/>
      <c r="N446" s="32"/>
      <c r="O446" s="41"/>
      <c r="P446" s="32"/>
      <c r="R446" s="32"/>
      <c r="S446" s="41"/>
    </row>
    <row r="447" spans="1:19" s="30" customFormat="1" x14ac:dyDescent="0.25">
      <c r="A447" s="36"/>
      <c r="B447" s="31"/>
      <c r="C447" s="31"/>
      <c r="D447" s="32"/>
      <c r="H447" s="32"/>
      <c r="J447" s="32"/>
      <c r="K447" s="41"/>
      <c r="L447" s="32"/>
      <c r="N447" s="32"/>
      <c r="O447" s="41"/>
      <c r="P447" s="32"/>
      <c r="R447" s="32"/>
      <c r="S447" s="41"/>
    </row>
    <row r="448" spans="1:19" s="30" customFormat="1" x14ac:dyDescent="0.25">
      <c r="A448" s="36"/>
      <c r="B448" s="31"/>
      <c r="C448" s="31"/>
      <c r="D448" s="32"/>
      <c r="H448" s="32"/>
      <c r="J448" s="32"/>
      <c r="K448" s="41"/>
      <c r="L448" s="32"/>
      <c r="N448" s="32"/>
      <c r="O448" s="41"/>
      <c r="P448" s="32"/>
      <c r="R448" s="32"/>
      <c r="S448" s="41"/>
    </row>
    <row r="449" spans="1:19" s="30" customFormat="1" x14ac:dyDescent="0.25">
      <c r="A449" s="36"/>
      <c r="B449" s="31"/>
      <c r="C449" s="31"/>
      <c r="D449" s="32"/>
      <c r="H449" s="32"/>
      <c r="J449" s="32"/>
      <c r="K449" s="41"/>
      <c r="L449" s="32"/>
      <c r="N449" s="32"/>
      <c r="O449" s="41"/>
      <c r="P449" s="32"/>
      <c r="R449" s="32"/>
      <c r="S449" s="41"/>
    </row>
    <row r="450" spans="1:19" s="30" customFormat="1" x14ac:dyDescent="0.25">
      <c r="A450" s="36"/>
      <c r="B450" s="31"/>
      <c r="C450" s="31"/>
      <c r="D450" s="32"/>
      <c r="H450" s="32"/>
      <c r="J450" s="32"/>
      <c r="K450" s="41"/>
      <c r="L450" s="32"/>
      <c r="N450" s="32"/>
      <c r="O450" s="41"/>
      <c r="P450" s="32"/>
      <c r="R450" s="32"/>
      <c r="S450" s="41"/>
    </row>
    <row r="451" spans="1:19" s="30" customFormat="1" x14ac:dyDescent="0.25">
      <c r="A451" s="36"/>
      <c r="B451" s="31"/>
      <c r="C451" s="31"/>
      <c r="D451" s="32"/>
      <c r="H451" s="32"/>
      <c r="J451" s="32"/>
      <c r="K451" s="41"/>
      <c r="L451" s="32"/>
      <c r="N451" s="32"/>
      <c r="O451" s="41"/>
      <c r="P451" s="32"/>
      <c r="R451" s="32"/>
      <c r="S451" s="41"/>
    </row>
    <row r="452" spans="1:19" s="30" customFormat="1" x14ac:dyDescent="0.25">
      <c r="A452" s="36"/>
      <c r="B452" s="31"/>
      <c r="C452" s="31"/>
      <c r="D452" s="32"/>
      <c r="H452" s="32"/>
      <c r="J452" s="32"/>
      <c r="K452" s="41"/>
      <c r="L452" s="32"/>
      <c r="N452" s="32"/>
      <c r="O452" s="41"/>
      <c r="P452" s="32"/>
      <c r="R452" s="32"/>
      <c r="S452" s="41"/>
    </row>
    <row r="453" spans="1:19" s="30" customFormat="1" x14ac:dyDescent="0.25">
      <c r="A453" s="36"/>
      <c r="B453" s="31"/>
      <c r="C453" s="31"/>
      <c r="D453" s="32"/>
      <c r="H453" s="32"/>
      <c r="J453" s="32"/>
      <c r="K453" s="41"/>
      <c r="L453" s="32"/>
      <c r="N453" s="32"/>
      <c r="O453" s="41"/>
      <c r="P453" s="32"/>
      <c r="R453" s="32"/>
      <c r="S453" s="41"/>
    </row>
    <row r="454" spans="1:19" s="30" customFormat="1" x14ac:dyDescent="0.25">
      <c r="A454" s="36"/>
      <c r="B454" s="31"/>
      <c r="C454" s="31"/>
      <c r="D454" s="32"/>
      <c r="H454" s="32"/>
      <c r="J454" s="32"/>
      <c r="K454" s="41"/>
      <c r="L454" s="32"/>
      <c r="N454" s="32"/>
      <c r="O454" s="41"/>
      <c r="P454" s="32"/>
      <c r="R454" s="32"/>
      <c r="S454" s="41"/>
    </row>
    <row r="455" spans="1:19" s="30" customFormat="1" x14ac:dyDescent="0.25">
      <c r="A455" s="36"/>
      <c r="B455" s="31"/>
      <c r="C455" s="31"/>
      <c r="D455" s="32"/>
      <c r="H455" s="32"/>
      <c r="J455" s="32"/>
      <c r="K455" s="41"/>
      <c r="L455" s="32"/>
      <c r="N455" s="32"/>
      <c r="O455" s="41"/>
      <c r="P455" s="32"/>
      <c r="R455" s="32"/>
      <c r="S455" s="41"/>
    </row>
    <row r="456" spans="1:19" s="30" customFormat="1" x14ac:dyDescent="0.25">
      <c r="A456" s="36"/>
      <c r="B456" s="31"/>
      <c r="C456" s="31"/>
      <c r="D456" s="32"/>
      <c r="H456" s="32"/>
      <c r="J456" s="32"/>
      <c r="K456" s="41"/>
      <c r="L456" s="32"/>
      <c r="N456" s="32"/>
      <c r="O456" s="41"/>
      <c r="P456" s="32"/>
      <c r="R456" s="32"/>
      <c r="S456" s="41"/>
    </row>
    <row r="457" spans="1:19" s="30" customFormat="1" x14ac:dyDescent="0.25">
      <c r="A457" s="36"/>
      <c r="B457" s="31"/>
      <c r="C457" s="31"/>
      <c r="D457" s="32"/>
      <c r="H457" s="32"/>
      <c r="J457" s="32"/>
      <c r="K457" s="41"/>
      <c r="L457" s="32"/>
      <c r="N457" s="32"/>
      <c r="O457" s="41"/>
      <c r="P457" s="32"/>
      <c r="R457" s="32"/>
      <c r="S457" s="41"/>
    </row>
    <row r="458" spans="1:19" s="30" customFormat="1" x14ac:dyDescent="0.25">
      <c r="A458" s="36"/>
      <c r="B458" s="31"/>
      <c r="C458" s="31"/>
      <c r="D458" s="32"/>
      <c r="H458" s="32"/>
      <c r="J458" s="32"/>
      <c r="K458" s="41"/>
      <c r="L458" s="32"/>
      <c r="N458" s="32"/>
      <c r="O458" s="41"/>
      <c r="P458" s="32"/>
      <c r="R458" s="32"/>
      <c r="S458" s="41"/>
    </row>
    <row r="459" spans="1:19" s="30" customFormat="1" x14ac:dyDescent="0.25">
      <c r="A459" s="36"/>
      <c r="B459" s="31"/>
      <c r="C459" s="31"/>
      <c r="D459" s="32"/>
      <c r="H459" s="32"/>
      <c r="J459" s="32"/>
      <c r="K459" s="41"/>
      <c r="L459" s="32"/>
      <c r="N459" s="32"/>
      <c r="O459" s="41"/>
      <c r="P459" s="32"/>
      <c r="R459" s="32"/>
      <c r="S459" s="41"/>
    </row>
    <row r="460" spans="1:19" s="30" customFormat="1" x14ac:dyDescent="0.25">
      <c r="A460" s="36"/>
      <c r="B460" s="31"/>
      <c r="C460" s="31"/>
      <c r="D460" s="32"/>
      <c r="H460" s="32"/>
      <c r="J460" s="32"/>
      <c r="K460" s="41"/>
      <c r="L460" s="32"/>
      <c r="N460" s="32"/>
      <c r="O460" s="41"/>
      <c r="P460" s="32"/>
      <c r="R460" s="32"/>
      <c r="S460" s="41"/>
    </row>
    <row r="461" spans="1:19" s="30" customFormat="1" x14ac:dyDescent="0.25">
      <c r="A461" s="36"/>
      <c r="B461" s="31"/>
      <c r="C461" s="31"/>
      <c r="D461" s="32"/>
      <c r="H461" s="32"/>
      <c r="J461" s="32"/>
      <c r="K461" s="41"/>
      <c r="L461" s="32"/>
      <c r="N461" s="32"/>
      <c r="O461" s="41"/>
      <c r="P461" s="32"/>
      <c r="R461" s="32"/>
      <c r="S461" s="41"/>
    </row>
    <row r="462" spans="1:19" s="30" customFormat="1" x14ac:dyDescent="0.25">
      <c r="A462" s="36"/>
      <c r="B462" s="31"/>
      <c r="C462" s="31"/>
      <c r="D462" s="32"/>
      <c r="H462" s="32"/>
      <c r="J462" s="32"/>
      <c r="K462" s="41"/>
      <c r="L462" s="32"/>
      <c r="N462" s="32"/>
      <c r="O462" s="41"/>
      <c r="P462" s="32"/>
      <c r="R462" s="32"/>
      <c r="S462" s="41"/>
    </row>
    <row r="463" spans="1:19" s="30" customFormat="1" x14ac:dyDescent="0.25">
      <c r="A463" s="36"/>
      <c r="B463" s="31"/>
      <c r="C463" s="31"/>
      <c r="D463" s="32"/>
      <c r="H463" s="32"/>
      <c r="J463" s="32"/>
      <c r="K463" s="41"/>
      <c r="L463" s="32"/>
      <c r="N463" s="32"/>
      <c r="O463" s="41"/>
      <c r="P463" s="32"/>
      <c r="R463" s="32"/>
      <c r="S463" s="41"/>
    </row>
    <row r="464" spans="1:19" s="30" customFormat="1" x14ac:dyDescent="0.25">
      <c r="A464" s="36"/>
      <c r="B464" s="31"/>
      <c r="C464" s="31"/>
      <c r="D464" s="32"/>
      <c r="H464" s="32"/>
      <c r="J464" s="32"/>
      <c r="K464" s="41"/>
      <c r="L464" s="32"/>
      <c r="N464" s="32"/>
      <c r="O464" s="41"/>
      <c r="P464" s="32"/>
      <c r="R464" s="32"/>
      <c r="S464" s="41"/>
    </row>
    <row r="465" spans="1:19" s="30" customFormat="1" x14ac:dyDescent="0.25">
      <c r="A465" s="36"/>
      <c r="B465" s="31"/>
      <c r="C465" s="31"/>
      <c r="D465" s="32"/>
      <c r="H465" s="32"/>
      <c r="J465" s="32"/>
      <c r="K465" s="41"/>
      <c r="L465" s="32"/>
      <c r="N465" s="32"/>
      <c r="O465" s="41"/>
      <c r="P465" s="32"/>
      <c r="R465" s="32"/>
      <c r="S465" s="41"/>
    </row>
    <row r="466" spans="1:19" s="30" customFormat="1" x14ac:dyDescent="0.25">
      <c r="A466" s="36"/>
      <c r="B466" s="31"/>
      <c r="C466" s="31"/>
      <c r="D466" s="32"/>
      <c r="H466" s="32"/>
      <c r="J466" s="32"/>
      <c r="K466" s="41"/>
      <c r="L466" s="32"/>
      <c r="N466" s="32"/>
      <c r="O466" s="41"/>
      <c r="P466" s="32"/>
      <c r="R466" s="32"/>
      <c r="S466" s="41"/>
    </row>
    <row r="467" spans="1:19" s="30" customFormat="1" x14ac:dyDescent="0.25">
      <c r="A467" s="36"/>
      <c r="B467" s="31"/>
      <c r="C467" s="31"/>
      <c r="D467" s="32"/>
      <c r="H467" s="32"/>
      <c r="J467" s="32"/>
      <c r="K467" s="41"/>
      <c r="L467" s="32"/>
      <c r="N467" s="32"/>
      <c r="O467" s="41"/>
      <c r="P467" s="32"/>
      <c r="R467" s="32"/>
      <c r="S467" s="41"/>
    </row>
    <row r="468" spans="1:19" s="30" customFormat="1" x14ac:dyDescent="0.25">
      <c r="A468" s="36"/>
      <c r="B468" s="31"/>
      <c r="C468" s="31"/>
      <c r="D468" s="32"/>
      <c r="H468" s="32"/>
      <c r="J468" s="32"/>
      <c r="K468" s="41"/>
      <c r="L468" s="32"/>
      <c r="N468" s="32"/>
      <c r="O468" s="41"/>
      <c r="P468" s="32"/>
      <c r="R468" s="32"/>
      <c r="S468" s="41"/>
    </row>
    <row r="469" spans="1:19" s="30" customFormat="1" x14ac:dyDescent="0.25">
      <c r="A469" s="36"/>
      <c r="B469" s="31"/>
      <c r="C469" s="31"/>
      <c r="D469" s="32"/>
      <c r="H469" s="32"/>
      <c r="J469" s="32"/>
      <c r="K469" s="41"/>
      <c r="L469" s="32"/>
      <c r="N469" s="32"/>
      <c r="O469" s="41"/>
      <c r="P469" s="32"/>
      <c r="R469" s="32"/>
      <c r="S469" s="41"/>
    </row>
    <row r="470" spans="1:19" s="30" customFormat="1" x14ac:dyDescent="0.25">
      <c r="A470" s="36"/>
      <c r="B470" s="31"/>
      <c r="C470" s="31"/>
      <c r="D470" s="32"/>
      <c r="H470" s="32"/>
      <c r="J470" s="32"/>
      <c r="K470" s="41"/>
      <c r="L470" s="32"/>
      <c r="N470" s="32"/>
      <c r="O470" s="41"/>
      <c r="P470" s="32"/>
      <c r="R470" s="32"/>
      <c r="S470" s="41"/>
    </row>
    <row r="471" spans="1:19" s="30" customFormat="1" x14ac:dyDescent="0.25">
      <c r="A471" s="36"/>
      <c r="B471" s="31"/>
      <c r="C471" s="31"/>
      <c r="D471" s="32"/>
      <c r="H471" s="32"/>
      <c r="J471" s="32"/>
      <c r="K471" s="41"/>
      <c r="L471" s="32"/>
      <c r="N471" s="32"/>
      <c r="O471" s="41"/>
      <c r="P471" s="32"/>
      <c r="R471" s="32"/>
      <c r="S471" s="41"/>
    </row>
    <row r="472" spans="1:19" s="30" customFormat="1" x14ac:dyDescent="0.25">
      <c r="A472" s="36"/>
      <c r="B472" s="31"/>
      <c r="C472" s="31"/>
      <c r="D472" s="32"/>
      <c r="H472" s="32"/>
      <c r="J472" s="32"/>
      <c r="K472" s="41"/>
      <c r="L472" s="32"/>
      <c r="N472" s="32"/>
      <c r="O472" s="41"/>
      <c r="P472" s="32"/>
      <c r="R472" s="32"/>
      <c r="S472" s="41"/>
    </row>
    <row r="473" spans="1:19" s="30" customFormat="1" x14ac:dyDescent="0.25">
      <c r="A473" s="36"/>
      <c r="B473" s="31"/>
      <c r="C473" s="31"/>
      <c r="D473" s="32"/>
      <c r="H473" s="32"/>
      <c r="J473" s="32"/>
      <c r="K473" s="41"/>
      <c r="L473" s="32"/>
      <c r="N473" s="32"/>
      <c r="O473" s="41"/>
      <c r="P473" s="32"/>
      <c r="R473" s="32"/>
      <c r="S473" s="41"/>
    </row>
    <row r="474" spans="1:19" s="30" customFormat="1" x14ac:dyDescent="0.25">
      <c r="A474" s="36"/>
      <c r="B474" s="31"/>
      <c r="C474" s="31"/>
      <c r="D474" s="32"/>
      <c r="H474" s="32"/>
      <c r="J474" s="32"/>
      <c r="K474" s="41"/>
      <c r="L474" s="32"/>
      <c r="N474" s="32"/>
      <c r="O474" s="41"/>
      <c r="P474" s="32"/>
      <c r="R474" s="32"/>
      <c r="S474" s="41"/>
    </row>
    <row r="475" spans="1:19" s="30" customFormat="1" x14ac:dyDescent="0.25">
      <c r="A475" s="36"/>
      <c r="B475" s="31"/>
      <c r="C475" s="31"/>
      <c r="D475" s="32"/>
      <c r="H475" s="32"/>
      <c r="J475" s="32"/>
      <c r="K475" s="41"/>
      <c r="L475" s="32"/>
      <c r="N475" s="32"/>
      <c r="O475" s="41"/>
      <c r="P475" s="32"/>
      <c r="R475" s="32"/>
      <c r="S475" s="41"/>
    </row>
    <row r="476" spans="1:19" s="30" customFormat="1" x14ac:dyDescent="0.25">
      <c r="A476" s="36"/>
      <c r="B476" s="31"/>
      <c r="C476" s="31"/>
      <c r="D476" s="32"/>
      <c r="H476" s="32"/>
      <c r="J476" s="32"/>
      <c r="K476" s="41"/>
      <c r="L476" s="32"/>
      <c r="N476" s="32"/>
      <c r="O476" s="41"/>
      <c r="P476" s="32"/>
      <c r="R476" s="32"/>
      <c r="S476" s="41"/>
    </row>
    <row r="477" spans="1:19" s="30" customFormat="1" x14ac:dyDescent="0.25">
      <c r="A477" s="36"/>
      <c r="B477" s="31"/>
      <c r="C477" s="31"/>
      <c r="D477" s="32"/>
      <c r="H477" s="32"/>
      <c r="J477" s="32"/>
      <c r="K477" s="41"/>
      <c r="L477" s="32"/>
      <c r="N477" s="32"/>
      <c r="O477" s="41"/>
      <c r="P477" s="32"/>
      <c r="R477" s="32"/>
      <c r="S477" s="41"/>
    </row>
    <row r="478" spans="1:19" s="30" customFormat="1" x14ac:dyDescent="0.25">
      <c r="A478" s="36"/>
      <c r="B478" s="31"/>
      <c r="C478" s="31"/>
      <c r="D478" s="32"/>
      <c r="H478" s="32"/>
      <c r="J478" s="32"/>
      <c r="K478" s="41"/>
      <c r="L478" s="32"/>
      <c r="N478" s="32"/>
      <c r="O478" s="41"/>
      <c r="P478" s="32"/>
      <c r="R478" s="32"/>
      <c r="S478" s="41"/>
    </row>
    <row r="479" spans="1:19" s="30" customFormat="1" x14ac:dyDescent="0.25">
      <c r="A479" s="36"/>
      <c r="B479" s="31"/>
      <c r="C479" s="31"/>
      <c r="D479" s="32"/>
      <c r="H479" s="32"/>
      <c r="J479" s="32"/>
      <c r="K479" s="41"/>
      <c r="L479" s="32"/>
      <c r="N479" s="32"/>
      <c r="O479" s="41"/>
      <c r="P479" s="32"/>
      <c r="R479" s="32"/>
      <c r="S479" s="41"/>
    </row>
    <row r="480" spans="1:19" s="30" customFormat="1" x14ac:dyDescent="0.25">
      <c r="A480" s="36"/>
      <c r="B480" s="31"/>
      <c r="C480" s="31"/>
      <c r="D480" s="32"/>
      <c r="H480" s="32"/>
      <c r="J480" s="32"/>
      <c r="K480" s="41"/>
      <c r="L480" s="32"/>
      <c r="N480" s="32"/>
      <c r="O480" s="41"/>
      <c r="P480" s="32"/>
      <c r="R480" s="32"/>
      <c r="S480" s="41"/>
    </row>
    <row r="481" spans="1:19" s="30" customFormat="1" x14ac:dyDescent="0.25">
      <c r="A481" s="36"/>
      <c r="B481" s="31"/>
      <c r="C481" s="31"/>
      <c r="D481" s="32"/>
      <c r="H481" s="32"/>
      <c r="J481" s="32"/>
      <c r="K481" s="41"/>
      <c r="L481" s="32"/>
      <c r="N481" s="32"/>
      <c r="O481" s="41"/>
      <c r="P481" s="32"/>
      <c r="R481" s="32"/>
      <c r="S481" s="41"/>
    </row>
    <row r="482" spans="1:19" s="30" customFormat="1" x14ac:dyDescent="0.25">
      <c r="A482" s="36"/>
      <c r="B482" s="31"/>
      <c r="C482" s="31"/>
      <c r="D482" s="32"/>
      <c r="H482" s="32"/>
      <c r="J482" s="32"/>
      <c r="K482" s="41"/>
      <c r="L482" s="32"/>
      <c r="N482" s="32"/>
      <c r="O482" s="41"/>
      <c r="P482" s="32"/>
      <c r="R482" s="32"/>
      <c r="S482" s="41"/>
    </row>
    <row r="483" spans="1:19" s="30" customFormat="1" x14ac:dyDescent="0.25">
      <c r="A483" s="36"/>
      <c r="B483" s="31"/>
      <c r="C483" s="31"/>
      <c r="D483" s="32"/>
      <c r="H483" s="32"/>
      <c r="J483" s="32"/>
      <c r="K483" s="41"/>
      <c r="L483" s="32"/>
      <c r="N483" s="32"/>
      <c r="O483" s="41"/>
      <c r="P483" s="32"/>
      <c r="R483" s="32"/>
      <c r="S483" s="41"/>
    </row>
    <row r="484" spans="1:19" s="30" customFormat="1" x14ac:dyDescent="0.25">
      <c r="A484" s="36"/>
      <c r="B484" s="31"/>
      <c r="C484" s="31"/>
      <c r="D484" s="32"/>
      <c r="H484" s="32"/>
      <c r="J484" s="32"/>
      <c r="K484" s="41"/>
      <c r="L484" s="32"/>
      <c r="N484" s="32"/>
      <c r="O484" s="41"/>
      <c r="P484" s="32"/>
      <c r="R484" s="32"/>
      <c r="S484" s="41"/>
    </row>
    <row r="485" spans="1:19" s="30" customFormat="1" x14ac:dyDescent="0.25">
      <c r="A485" s="36"/>
      <c r="B485" s="31"/>
      <c r="C485" s="31"/>
      <c r="D485" s="32"/>
      <c r="H485" s="32"/>
      <c r="J485" s="32"/>
      <c r="K485" s="41"/>
      <c r="L485" s="32"/>
      <c r="N485" s="32"/>
      <c r="O485" s="41"/>
      <c r="P485" s="32"/>
      <c r="R485" s="32"/>
      <c r="S485" s="41"/>
    </row>
    <row r="486" spans="1:19" s="30" customFormat="1" x14ac:dyDescent="0.25">
      <c r="A486" s="36"/>
      <c r="B486" s="31"/>
      <c r="C486" s="31"/>
      <c r="D486" s="32"/>
      <c r="H486" s="32"/>
      <c r="J486" s="32"/>
      <c r="K486" s="41"/>
      <c r="L486" s="32"/>
      <c r="N486" s="32"/>
      <c r="O486" s="41"/>
      <c r="P486" s="32"/>
      <c r="R486" s="32"/>
      <c r="S486" s="41"/>
    </row>
    <row r="487" spans="1:19" s="30" customFormat="1" x14ac:dyDescent="0.25">
      <c r="A487" s="36"/>
      <c r="B487" s="31"/>
      <c r="C487" s="31"/>
      <c r="D487" s="32"/>
      <c r="H487" s="32"/>
      <c r="J487" s="32"/>
      <c r="K487" s="41"/>
      <c r="L487" s="32"/>
      <c r="N487" s="32"/>
      <c r="O487" s="41"/>
      <c r="P487" s="32"/>
      <c r="R487" s="32"/>
      <c r="S487" s="41"/>
    </row>
    <row r="488" spans="1:19" s="30" customFormat="1" x14ac:dyDescent="0.25">
      <c r="A488" s="36"/>
      <c r="B488" s="31"/>
      <c r="C488" s="31"/>
      <c r="D488" s="32"/>
      <c r="H488" s="32"/>
      <c r="J488" s="32"/>
      <c r="K488" s="41"/>
      <c r="L488" s="32"/>
      <c r="N488" s="32"/>
      <c r="O488" s="41"/>
      <c r="P488" s="32"/>
      <c r="R488" s="32"/>
      <c r="S488" s="41"/>
    </row>
    <row r="489" spans="1:19" s="30" customFormat="1" x14ac:dyDescent="0.25">
      <c r="A489" s="36"/>
      <c r="B489" s="31"/>
      <c r="C489" s="31"/>
      <c r="D489" s="32"/>
      <c r="H489" s="32"/>
      <c r="J489" s="32"/>
      <c r="K489" s="41"/>
      <c r="L489" s="32"/>
      <c r="N489" s="32"/>
      <c r="O489" s="41"/>
      <c r="P489" s="32"/>
      <c r="R489" s="32"/>
      <c r="S489" s="41"/>
    </row>
    <row r="490" spans="1:19" s="30" customFormat="1" x14ac:dyDescent="0.25">
      <c r="A490" s="36"/>
      <c r="B490" s="31"/>
      <c r="C490" s="31"/>
      <c r="D490" s="32"/>
      <c r="H490" s="32"/>
      <c r="J490" s="32"/>
      <c r="K490" s="41"/>
      <c r="L490" s="32"/>
      <c r="N490" s="32"/>
      <c r="O490" s="41"/>
      <c r="P490" s="32"/>
      <c r="R490" s="32"/>
      <c r="S490" s="41"/>
    </row>
    <row r="491" spans="1:19" s="30" customFormat="1" x14ac:dyDescent="0.25">
      <c r="A491" s="36"/>
      <c r="B491" s="31"/>
      <c r="C491" s="31"/>
      <c r="D491" s="32"/>
      <c r="H491" s="32"/>
      <c r="J491" s="32"/>
      <c r="K491" s="41"/>
      <c r="L491" s="32"/>
      <c r="N491" s="32"/>
      <c r="O491" s="41"/>
      <c r="P491" s="32"/>
      <c r="R491" s="32"/>
      <c r="S491" s="41"/>
    </row>
    <row r="492" spans="1:19" s="30" customFormat="1" x14ac:dyDescent="0.25">
      <c r="A492" s="36"/>
      <c r="B492" s="31"/>
      <c r="C492" s="31"/>
      <c r="D492" s="32"/>
      <c r="H492" s="32"/>
      <c r="J492" s="32"/>
      <c r="K492" s="41"/>
      <c r="L492" s="32"/>
      <c r="N492" s="32"/>
      <c r="O492" s="41"/>
      <c r="P492" s="32"/>
      <c r="R492" s="32"/>
      <c r="S492" s="41"/>
    </row>
    <row r="493" spans="1:19" s="30" customFormat="1" x14ac:dyDescent="0.25">
      <c r="A493" s="36"/>
      <c r="B493" s="31"/>
      <c r="C493" s="31"/>
      <c r="D493" s="32"/>
      <c r="H493" s="32"/>
      <c r="J493" s="32"/>
      <c r="K493" s="41"/>
      <c r="L493" s="32"/>
      <c r="N493" s="32"/>
      <c r="O493" s="41"/>
      <c r="P493" s="32"/>
      <c r="R493" s="32"/>
      <c r="S493" s="41"/>
    </row>
    <row r="494" spans="1:19" s="30" customFormat="1" x14ac:dyDescent="0.25">
      <c r="A494" s="36"/>
      <c r="B494" s="31"/>
      <c r="C494" s="31"/>
      <c r="D494" s="32"/>
      <c r="H494" s="32"/>
      <c r="J494" s="32"/>
      <c r="K494" s="41"/>
      <c r="L494" s="32"/>
      <c r="N494" s="32"/>
      <c r="O494" s="41"/>
      <c r="P494" s="32"/>
      <c r="R494" s="32"/>
      <c r="S494" s="41"/>
    </row>
    <row r="495" spans="1:19" s="30" customFormat="1" x14ac:dyDescent="0.25">
      <c r="A495" s="36"/>
      <c r="B495" s="31"/>
      <c r="C495" s="31"/>
      <c r="D495" s="32"/>
      <c r="H495" s="32"/>
      <c r="J495" s="32"/>
      <c r="K495" s="41"/>
      <c r="L495" s="32"/>
      <c r="N495" s="32"/>
      <c r="O495" s="41"/>
      <c r="P495" s="32"/>
      <c r="R495" s="32"/>
      <c r="S495" s="41"/>
    </row>
    <row r="496" spans="1:19" s="30" customFormat="1" x14ac:dyDescent="0.25">
      <c r="A496" s="36"/>
      <c r="B496" s="31"/>
      <c r="C496" s="31"/>
      <c r="D496" s="32"/>
      <c r="H496" s="32"/>
      <c r="J496" s="32"/>
      <c r="K496" s="41"/>
      <c r="L496" s="32"/>
      <c r="N496" s="32"/>
      <c r="O496" s="41"/>
      <c r="P496" s="32"/>
      <c r="R496" s="32"/>
      <c r="S496" s="41"/>
    </row>
    <row r="497" spans="1:19" s="30" customFormat="1" x14ac:dyDescent="0.25">
      <c r="A497" s="36"/>
      <c r="B497" s="31"/>
      <c r="C497" s="31"/>
      <c r="D497" s="32"/>
      <c r="H497" s="32"/>
      <c r="J497" s="32"/>
      <c r="K497" s="41"/>
      <c r="L497" s="32"/>
      <c r="N497" s="32"/>
      <c r="O497" s="41"/>
      <c r="P497" s="32"/>
      <c r="R497" s="32"/>
      <c r="S497" s="41"/>
    </row>
    <row r="498" spans="1:19" s="30" customFormat="1" x14ac:dyDescent="0.25">
      <c r="A498" s="36"/>
      <c r="B498" s="31"/>
      <c r="C498" s="31"/>
      <c r="D498" s="32"/>
      <c r="H498" s="32"/>
      <c r="J498" s="32"/>
      <c r="K498" s="41"/>
      <c r="L498" s="32"/>
      <c r="N498" s="32"/>
      <c r="O498" s="41"/>
      <c r="P498" s="32"/>
      <c r="R498" s="32"/>
      <c r="S498" s="41"/>
    </row>
    <row r="499" spans="1:19" s="30" customFormat="1" x14ac:dyDescent="0.25">
      <c r="A499" s="36"/>
      <c r="B499" s="31"/>
      <c r="C499" s="31"/>
      <c r="D499" s="32"/>
      <c r="H499" s="32"/>
      <c r="J499" s="32"/>
      <c r="K499" s="41"/>
      <c r="L499" s="32"/>
      <c r="N499" s="32"/>
      <c r="O499" s="41"/>
      <c r="P499" s="32"/>
      <c r="R499" s="32"/>
      <c r="S499" s="41"/>
    </row>
    <row r="500" spans="1:19" s="30" customFormat="1" x14ac:dyDescent="0.25">
      <c r="A500" s="36"/>
      <c r="B500" s="31"/>
      <c r="C500" s="31"/>
      <c r="D500" s="32"/>
      <c r="H500" s="32"/>
      <c r="J500" s="32"/>
      <c r="K500" s="41"/>
      <c r="L500" s="32"/>
      <c r="N500" s="32"/>
      <c r="O500" s="41"/>
      <c r="P500" s="32"/>
      <c r="R500" s="32"/>
      <c r="S500" s="41"/>
    </row>
    <row r="501" spans="1:19" s="30" customFormat="1" x14ac:dyDescent="0.25">
      <c r="A501" s="36"/>
      <c r="B501" s="31"/>
      <c r="C501" s="31"/>
      <c r="D501" s="32"/>
      <c r="H501" s="32"/>
      <c r="J501" s="32"/>
      <c r="K501" s="41"/>
      <c r="L501" s="32"/>
      <c r="N501" s="32"/>
      <c r="O501" s="41"/>
      <c r="P501" s="32"/>
      <c r="R501" s="32"/>
      <c r="S501" s="41"/>
    </row>
    <row r="502" spans="1:19" s="30" customFormat="1" x14ac:dyDescent="0.25">
      <c r="A502" s="36"/>
      <c r="B502" s="31"/>
      <c r="C502" s="31"/>
      <c r="D502" s="32"/>
      <c r="H502" s="32"/>
      <c r="J502" s="32"/>
      <c r="K502" s="41"/>
      <c r="L502" s="32"/>
      <c r="N502" s="32"/>
      <c r="O502" s="41"/>
      <c r="P502" s="32"/>
      <c r="R502" s="32"/>
      <c r="S502" s="41"/>
    </row>
    <row r="503" spans="1:19" s="30" customFormat="1" x14ac:dyDescent="0.25">
      <c r="A503" s="36"/>
      <c r="B503" s="31"/>
      <c r="C503" s="31"/>
      <c r="D503" s="32"/>
      <c r="H503" s="32"/>
      <c r="J503" s="32"/>
      <c r="K503" s="41"/>
      <c r="L503" s="32"/>
      <c r="N503" s="32"/>
      <c r="O503" s="41"/>
      <c r="P503" s="32"/>
      <c r="R503" s="32"/>
      <c r="S503" s="41"/>
    </row>
    <row r="504" spans="1:19" s="30" customFormat="1" x14ac:dyDescent="0.25">
      <c r="A504" s="36"/>
      <c r="B504" s="31"/>
      <c r="C504" s="31"/>
      <c r="D504" s="32"/>
      <c r="H504" s="32"/>
      <c r="J504" s="32"/>
      <c r="K504" s="41"/>
      <c r="L504" s="32"/>
      <c r="N504" s="32"/>
      <c r="O504" s="41"/>
      <c r="P504" s="32"/>
      <c r="R504" s="32"/>
      <c r="S504" s="41"/>
    </row>
    <row r="505" spans="1:19" s="30" customFormat="1" x14ac:dyDescent="0.25">
      <c r="A505" s="36"/>
      <c r="B505" s="31"/>
      <c r="C505" s="31"/>
      <c r="D505" s="32"/>
      <c r="H505" s="32"/>
      <c r="J505" s="32"/>
      <c r="K505" s="41"/>
      <c r="L505" s="32"/>
      <c r="N505" s="32"/>
      <c r="O505" s="41"/>
      <c r="P505" s="32"/>
      <c r="R505" s="32"/>
      <c r="S505" s="41"/>
    </row>
    <row r="506" spans="1:19" s="30" customFormat="1" x14ac:dyDescent="0.25">
      <c r="A506" s="36"/>
      <c r="B506" s="31"/>
      <c r="C506" s="31"/>
      <c r="D506" s="32"/>
      <c r="H506" s="32"/>
      <c r="J506" s="32"/>
      <c r="K506" s="41"/>
      <c r="L506" s="32"/>
      <c r="N506" s="32"/>
      <c r="O506" s="41"/>
      <c r="P506" s="32"/>
      <c r="R506" s="32"/>
      <c r="S506" s="41"/>
    </row>
    <row r="507" spans="1:19" s="30" customFormat="1" x14ac:dyDescent="0.25">
      <c r="A507" s="36"/>
      <c r="B507" s="31"/>
      <c r="C507" s="31"/>
      <c r="D507" s="32"/>
      <c r="H507" s="32"/>
      <c r="J507" s="32"/>
      <c r="K507" s="41"/>
      <c r="L507" s="32"/>
      <c r="N507" s="32"/>
      <c r="O507" s="41"/>
      <c r="P507" s="32"/>
      <c r="R507" s="32"/>
      <c r="S507" s="41"/>
    </row>
    <row r="508" spans="1:19" s="30" customFormat="1" x14ac:dyDescent="0.25">
      <c r="A508" s="36"/>
      <c r="B508" s="31"/>
      <c r="C508" s="31"/>
      <c r="D508" s="32"/>
      <c r="H508" s="32"/>
      <c r="J508" s="32"/>
      <c r="K508" s="41"/>
      <c r="L508" s="32"/>
      <c r="N508" s="32"/>
      <c r="O508" s="41"/>
      <c r="P508" s="32"/>
      <c r="R508" s="32"/>
      <c r="S508" s="41"/>
    </row>
    <row r="509" spans="1:19" s="30" customFormat="1" x14ac:dyDescent="0.25">
      <c r="A509" s="36"/>
      <c r="B509" s="31"/>
      <c r="C509" s="31"/>
      <c r="D509" s="32"/>
      <c r="H509" s="32"/>
      <c r="J509" s="32"/>
      <c r="K509" s="41"/>
      <c r="L509" s="32"/>
      <c r="N509" s="32"/>
      <c r="O509" s="41"/>
      <c r="P509" s="32"/>
      <c r="R509" s="32"/>
      <c r="S509" s="41"/>
    </row>
    <row r="510" spans="1:19" s="30" customFormat="1" x14ac:dyDescent="0.25">
      <c r="A510" s="36"/>
      <c r="B510" s="31"/>
      <c r="C510" s="31"/>
      <c r="D510" s="32"/>
      <c r="H510" s="32"/>
      <c r="J510" s="32"/>
      <c r="K510" s="41"/>
      <c r="L510" s="32"/>
      <c r="N510" s="32"/>
      <c r="O510" s="41"/>
      <c r="P510" s="32"/>
      <c r="R510" s="32"/>
      <c r="S510" s="41"/>
    </row>
    <row r="511" spans="1:19" s="30" customFormat="1" x14ac:dyDescent="0.25">
      <c r="A511" s="36"/>
      <c r="B511" s="31"/>
      <c r="C511" s="31"/>
      <c r="D511" s="32"/>
      <c r="H511" s="32"/>
      <c r="J511" s="32"/>
      <c r="K511" s="41"/>
      <c r="L511" s="32"/>
      <c r="N511" s="32"/>
      <c r="O511" s="41"/>
      <c r="P511" s="32"/>
      <c r="R511" s="32"/>
      <c r="S511" s="41"/>
    </row>
    <row r="512" spans="1:19" s="30" customFormat="1" x14ac:dyDescent="0.25">
      <c r="A512" s="36"/>
      <c r="B512" s="31"/>
      <c r="C512" s="31"/>
      <c r="D512" s="32"/>
      <c r="H512" s="32"/>
      <c r="J512" s="32"/>
      <c r="K512" s="41"/>
      <c r="L512" s="32"/>
      <c r="N512" s="32"/>
      <c r="O512" s="41"/>
      <c r="P512" s="32"/>
      <c r="R512" s="32"/>
      <c r="S512" s="41"/>
    </row>
    <row r="513" spans="1:19" s="30" customFormat="1" x14ac:dyDescent="0.25">
      <c r="A513" s="36"/>
      <c r="B513" s="31"/>
      <c r="C513" s="31"/>
      <c r="D513" s="32"/>
      <c r="H513" s="32"/>
      <c r="J513" s="32"/>
      <c r="K513" s="41"/>
      <c r="L513" s="32"/>
      <c r="N513" s="32"/>
      <c r="O513" s="41"/>
      <c r="P513" s="32"/>
      <c r="R513" s="32"/>
      <c r="S513" s="41"/>
    </row>
    <row r="514" spans="1:19" s="30" customFormat="1" x14ac:dyDescent="0.25">
      <c r="A514" s="36"/>
      <c r="B514" s="31"/>
      <c r="C514" s="31"/>
      <c r="D514" s="32"/>
      <c r="H514" s="32"/>
      <c r="J514" s="32"/>
      <c r="K514" s="41"/>
      <c r="L514" s="32"/>
      <c r="N514" s="32"/>
      <c r="O514" s="41"/>
      <c r="P514" s="32"/>
      <c r="R514" s="32"/>
      <c r="S514" s="41"/>
    </row>
    <row r="515" spans="1:19" s="30" customFormat="1" x14ac:dyDescent="0.25">
      <c r="A515" s="36"/>
      <c r="B515" s="31"/>
      <c r="C515" s="31"/>
      <c r="D515" s="32"/>
      <c r="H515" s="32"/>
      <c r="J515" s="32"/>
      <c r="K515" s="41"/>
      <c r="L515" s="32"/>
      <c r="N515" s="32"/>
      <c r="O515" s="41"/>
      <c r="P515" s="32"/>
      <c r="R515" s="32"/>
      <c r="S515" s="41"/>
    </row>
    <row r="516" spans="1:19" s="30" customFormat="1" x14ac:dyDescent="0.25">
      <c r="A516" s="36"/>
      <c r="B516" s="31"/>
      <c r="C516" s="31"/>
      <c r="D516" s="32"/>
      <c r="H516" s="32"/>
      <c r="J516" s="32"/>
      <c r="K516" s="41"/>
      <c r="L516" s="32"/>
      <c r="N516" s="32"/>
      <c r="O516" s="41"/>
      <c r="P516" s="32"/>
      <c r="R516" s="32"/>
      <c r="S516" s="41"/>
    </row>
    <row r="517" spans="1:19" s="30" customFormat="1" x14ac:dyDescent="0.25">
      <c r="A517" s="36"/>
      <c r="B517" s="31"/>
      <c r="C517" s="31"/>
      <c r="D517" s="32"/>
      <c r="H517" s="32"/>
      <c r="J517" s="32"/>
      <c r="K517" s="41"/>
      <c r="L517" s="32"/>
      <c r="N517" s="32"/>
      <c r="O517" s="41"/>
      <c r="P517" s="32"/>
      <c r="R517" s="32"/>
      <c r="S517" s="41"/>
    </row>
    <row r="518" spans="1:19" s="30" customFormat="1" x14ac:dyDescent="0.25">
      <c r="A518" s="36"/>
      <c r="B518" s="31"/>
      <c r="C518" s="31"/>
      <c r="D518" s="32"/>
      <c r="H518" s="32"/>
      <c r="J518" s="32"/>
      <c r="K518" s="41"/>
      <c r="L518" s="32"/>
      <c r="N518" s="32"/>
      <c r="O518" s="41"/>
      <c r="P518" s="32"/>
      <c r="R518" s="32"/>
      <c r="S518" s="41"/>
    </row>
    <row r="519" spans="1:19" s="30" customFormat="1" x14ac:dyDescent="0.25">
      <c r="A519" s="36"/>
      <c r="B519" s="31"/>
      <c r="C519" s="31"/>
      <c r="D519" s="32"/>
      <c r="H519" s="32"/>
      <c r="J519" s="32"/>
      <c r="K519" s="41"/>
      <c r="L519" s="32"/>
      <c r="N519" s="32"/>
      <c r="O519" s="41"/>
      <c r="P519" s="32"/>
      <c r="R519" s="32"/>
      <c r="S519" s="41"/>
    </row>
    <row r="520" spans="1:19" s="30" customFormat="1" x14ac:dyDescent="0.25">
      <c r="A520" s="36"/>
      <c r="B520" s="31"/>
      <c r="C520" s="31"/>
      <c r="D520" s="32"/>
      <c r="H520" s="32"/>
      <c r="J520" s="32"/>
      <c r="K520" s="41"/>
      <c r="L520" s="32"/>
      <c r="N520" s="32"/>
      <c r="O520" s="41"/>
      <c r="P520" s="32"/>
      <c r="R520" s="32"/>
      <c r="S520" s="41"/>
    </row>
    <row r="521" spans="1:19" s="30" customFormat="1" x14ac:dyDescent="0.25">
      <c r="A521" s="36"/>
      <c r="B521" s="31"/>
      <c r="C521" s="31"/>
      <c r="D521" s="32"/>
      <c r="H521" s="32"/>
      <c r="J521" s="32"/>
      <c r="K521" s="41"/>
      <c r="L521" s="32"/>
      <c r="N521" s="32"/>
      <c r="O521" s="41"/>
      <c r="P521" s="32"/>
      <c r="R521" s="32"/>
      <c r="S521" s="41"/>
    </row>
    <row r="522" spans="1:19" s="30" customFormat="1" x14ac:dyDescent="0.25">
      <c r="A522" s="36"/>
      <c r="B522" s="31"/>
      <c r="C522" s="31"/>
      <c r="D522" s="32"/>
      <c r="H522" s="32"/>
      <c r="J522" s="32"/>
      <c r="K522" s="41"/>
      <c r="L522" s="32"/>
      <c r="N522" s="32"/>
      <c r="O522" s="41"/>
      <c r="P522" s="32"/>
      <c r="R522" s="32"/>
      <c r="S522" s="41"/>
    </row>
    <row r="523" spans="1:19" s="30" customFormat="1" x14ac:dyDescent="0.25">
      <c r="A523" s="36"/>
      <c r="B523" s="31"/>
      <c r="C523" s="31"/>
      <c r="D523" s="32"/>
      <c r="H523" s="32"/>
      <c r="J523" s="32"/>
      <c r="K523" s="41"/>
      <c r="L523" s="32"/>
      <c r="N523" s="32"/>
      <c r="O523" s="41"/>
      <c r="P523" s="32"/>
      <c r="R523" s="32"/>
      <c r="S523" s="41"/>
    </row>
    <row r="524" spans="1:19" s="30" customFormat="1" x14ac:dyDescent="0.25">
      <c r="A524" s="36"/>
      <c r="B524" s="31"/>
      <c r="C524" s="31"/>
      <c r="D524" s="32"/>
      <c r="H524" s="32"/>
      <c r="J524" s="32"/>
      <c r="K524" s="41"/>
      <c r="L524" s="32"/>
      <c r="N524" s="32"/>
      <c r="O524" s="41"/>
      <c r="P524" s="32"/>
      <c r="R524" s="32"/>
      <c r="S524" s="41"/>
    </row>
    <row r="525" spans="1:19" s="30" customFormat="1" x14ac:dyDescent="0.25">
      <c r="A525" s="36"/>
      <c r="B525" s="31"/>
      <c r="C525" s="31"/>
      <c r="D525" s="32"/>
      <c r="H525" s="32"/>
      <c r="J525" s="32"/>
      <c r="K525" s="41"/>
      <c r="L525" s="32"/>
      <c r="N525" s="32"/>
      <c r="O525" s="41"/>
      <c r="P525" s="32"/>
      <c r="R525" s="32"/>
      <c r="S525" s="41"/>
    </row>
    <row r="526" spans="1:19" s="30" customFormat="1" x14ac:dyDescent="0.25">
      <c r="A526" s="36"/>
      <c r="B526" s="31"/>
      <c r="C526" s="31"/>
      <c r="D526" s="32"/>
      <c r="H526" s="32"/>
      <c r="J526" s="32"/>
      <c r="K526" s="41"/>
      <c r="L526" s="32"/>
      <c r="N526" s="32"/>
      <c r="O526" s="41"/>
      <c r="P526" s="32"/>
      <c r="R526" s="32"/>
      <c r="S526" s="41"/>
    </row>
    <row r="527" spans="1:19" s="30" customFormat="1" x14ac:dyDescent="0.25">
      <c r="A527" s="36"/>
      <c r="B527" s="31"/>
      <c r="C527" s="31"/>
      <c r="D527" s="32"/>
      <c r="H527" s="32"/>
      <c r="J527" s="32"/>
      <c r="K527" s="41"/>
      <c r="L527" s="32"/>
      <c r="N527" s="32"/>
      <c r="O527" s="41"/>
      <c r="P527" s="32"/>
      <c r="R527" s="32"/>
      <c r="S527" s="41"/>
    </row>
    <row r="528" spans="1:19" s="30" customFormat="1" x14ac:dyDescent="0.25">
      <c r="A528" s="36"/>
      <c r="B528" s="31"/>
      <c r="C528" s="31"/>
      <c r="D528" s="32"/>
      <c r="H528" s="32"/>
      <c r="J528" s="32"/>
      <c r="K528" s="41"/>
      <c r="L528" s="32"/>
      <c r="N528" s="32"/>
      <c r="O528" s="41"/>
      <c r="P528" s="32"/>
      <c r="R528" s="32"/>
      <c r="S528" s="41"/>
    </row>
    <row r="529" spans="1:19" s="30" customFormat="1" x14ac:dyDescent="0.25">
      <c r="A529" s="36"/>
      <c r="B529" s="31"/>
      <c r="C529" s="31"/>
      <c r="D529" s="32"/>
      <c r="H529" s="32"/>
      <c r="J529" s="32"/>
      <c r="K529" s="41"/>
      <c r="L529" s="32"/>
      <c r="N529" s="32"/>
      <c r="O529" s="41"/>
      <c r="P529" s="32"/>
      <c r="R529" s="32"/>
      <c r="S529" s="41"/>
    </row>
    <row r="530" spans="1:19" s="30" customFormat="1" x14ac:dyDescent="0.25">
      <c r="A530" s="36"/>
      <c r="B530" s="31"/>
      <c r="C530" s="31"/>
      <c r="D530" s="32"/>
      <c r="H530" s="32"/>
      <c r="J530" s="32"/>
      <c r="K530" s="41"/>
      <c r="L530" s="32"/>
      <c r="N530" s="32"/>
      <c r="O530" s="41"/>
      <c r="P530" s="32"/>
      <c r="R530" s="32"/>
      <c r="S530" s="41"/>
    </row>
    <row r="531" spans="1:19" s="30" customFormat="1" x14ac:dyDescent="0.25">
      <c r="A531" s="36"/>
      <c r="B531" s="31"/>
      <c r="C531" s="31"/>
      <c r="D531" s="32"/>
      <c r="H531" s="32"/>
      <c r="J531" s="32"/>
      <c r="K531" s="41"/>
      <c r="L531" s="32"/>
      <c r="N531" s="32"/>
      <c r="O531" s="41"/>
      <c r="P531" s="32"/>
      <c r="R531" s="32"/>
      <c r="S531" s="41"/>
    </row>
    <row r="532" spans="1:19" s="30" customFormat="1" x14ac:dyDescent="0.25">
      <c r="A532" s="36"/>
      <c r="B532" s="31"/>
      <c r="C532" s="31"/>
      <c r="D532" s="32"/>
      <c r="H532" s="32"/>
      <c r="J532" s="32"/>
      <c r="K532" s="41"/>
      <c r="L532" s="32"/>
      <c r="N532" s="32"/>
      <c r="O532" s="41"/>
      <c r="P532" s="32"/>
      <c r="R532" s="32"/>
      <c r="S532" s="41"/>
    </row>
    <row r="533" spans="1:19" s="30" customFormat="1" x14ac:dyDescent="0.25">
      <c r="A533" s="36"/>
      <c r="B533" s="31"/>
      <c r="C533" s="31"/>
      <c r="D533" s="32"/>
      <c r="H533" s="32"/>
      <c r="J533" s="32"/>
      <c r="K533" s="41"/>
      <c r="L533" s="32"/>
      <c r="N533" s="32"/>
      <c r="O533" s="41"/>
      <c r="P533" s="32"/>
      <c r="R533" s="32"/>
      <c r="S533" s="41"/>
    </row>
    <row r="534" spans="1:19" s="30" customFormat="1" x14ac:dyDescent="0.25">
      <c r="A534" s="36"/>
      <c r="B534" s="31"/>
      <c r="C534" s="31"/>
      <c r="D534" s="32"/>
      <c r="H534" s="32"/>
      <c r="J534" s="32"/>
      <c r="K534" s="41"/>
      <c r="L534" s="32"/>
      <c r="N534" s="32"/>
      <c r="O534" s="41"/>
      <c r="P534" s="32"/>
      <c r="R534" s="32"/>
      <c r="S534" s="41"/>
    </row>
    <row r="535" spans="1:19" s="30" customFormat="1" x14ac:dyDescent="0.25">
      <c r="A535" s="36"/>
      <c r="B535" s="31"/>
      <c r="C535" s="31"/>
      <c r="D535" s="32"/>
      <c r="H535" s="32"/>
      <c r="J535" s="32"/>
      <c r="K535" s="41"/>
      <c r="L535" s="32"/>
      <c r="N535" s="32"/>
      <c r="O535" s="41"/>
      <c r="P535" s="32"/>
      <c r="R535" s="32"/>
      <c r="S535" s="41"/>
    </row>
    <row r="536" spans="1:19" s="30" customFormat="1" x14ac:dyDescent="0.25">
      <c r="A536" s="36"/>
      <c r="B536" s="31"/>
      <c r="C536" s="31"/>
      <c r="D536" s="32"/>
      <c r="H536" s="32"/>
      <c r="J536" s="32"/>
      <c r="K536" s="41"/>
      <c r="L536" s="32"/>
      <c r="N536" s="32"/>
      <c r="O536" s="41"/>
      <c r="P536" s="32"/>
      <c r="R536" s="32"/>
      <c r="S536" s="41"/>
    </row>
    <row r="537" spans="1:19" s="30" customFormat="1" x14ac:dyDescent="0.25">
      <c r="A537" s="36"/>
      <c r="B537" s="31"/>
      <c r="C537" s="31"/>
      <c r="D537" s="32"/>
      <c r="H537" s="32"/>
      <c r="J537" s="32"/>
      <c r="K537" s="41"/>
      <c r="L537" s="32"/>
      <c r="N537" s="32"/>
      <c r="O537" s="41"/>
      <c r="P537" s="32"/>
      <c r="R537" s="32"/>
      <c r="S537" s="41"/>
    </row>
    <row r="538" spans="1:19" s="30" customFormat="1" x14ac:dyDescent="0.25">
      <c r="A538" s="36"/>
      <c r="B538" s="31"/>
      <c r="C538" s="31"/>
      <c r="D538" s="32"/>
      <c r="H538" s="32"/>
      <c r="J538" s="32"/>
      <c r="K538" s="41"/>
      <c r="L538" s="32"/>
      <c r="N538" s="32"/>
      <c r="O538" s="41"/>
      <c r="P538" s="32"/>
      <c r="R538" s="32"/>
      <c r="S538" s="41"/>
    </row>
    <row r="539" spans="1:19" s="30" customFormat="1" x14ac:dyDescent="0.25">
      <c r="A539" s="36"/>
      <c r="B539" s="31"/>
      <c r="C539" s="31"/>
      <c r="D539" s="32"/>
      <c r="H539" s="32"/>
      <c r="J539" s="32"/>
      <c r="K539" s="41"/>
      <c r="L539" s="32"/>
      <c r="N539" s="32"/>
      <c r="O539" s="41"/>
      <c r="P539" s="32"/>
      <c r="R539" s="32"/>
      <c r="S539" s="41"/>
    </row>
    <row r="540" spans="1:19" s="30" customFormat="1" x14ac:dyDescent="0.25">
      <c r="A540" s="36"/>
      <c r="B540" s="31"/>
      <c r="C540" s="31"/>
      <c r="D540" s="32"/>
      <c r="H540" s="32"/>
      <c r="J540" s="32"/>
      <c r="K540" s="41"/>
      <c r="L540" s="32"/>
      <c r="N540" s="32"/>
      <c r="O540" s="41"/>
      <c r="P540" s="32"/>
      <c r="R540" s="32"/>
      <c r="S540" s="41"/>
    </row>
    <row r="541" spans="1:19" s="30" customFormat="1" x14ac:dyDescent="0.25">
      <c r="A541" s="36"/>
      <c r="B541" s="31"/>
      <c r="C541" s="31"/>
      <c r="D541" s="32"/>
      <c r="H541" s="32"/>
      <c r="J541" s="32"/>
      <c r="K541" s="41"/>
      <c r="L541" s="32"/>
      <c r="N541" s="32"/>
      <c r="O541" s="41"/>
      <c r="P541" s="32"/>
      <c r="R541" s="32"/>
      <c r="S541" s="41"/>
    </row>
    <row r="542" spans="1:19" s="30" customFormat="1" x14ac:dyDescent="0.25">
      <c r="A542" s="36"/>
      <c r="B542" s="31"/>
      <c r="C542" s="31"/>
      <c r="D542" s="32"/>
      <c r="H542" s="32"/>
      <c r="J542" s="32"/>
      <c r="K542" s="41"/>
      <c r="L542" s="32"/>
      <c r="N542" s="32"/>
      <c r="O542" s="41"/>
      <c r="P542" s="32"/>
      <c r="R542" s="32"/>
      <c r="S542" s="41"/>
    </row>
    <row r="543" spans="1:19" s="30" customFormat="1" x14ac:dyDescent="0.25">
      <c r="A543" s="36"/>
      <c r="B543" s="31"/>
      <c r="C543" s="31"/>
      <c r="D543" s="32"/>
      <c r="H543" s="32"/>
      <c r="J543" s="32"/>
      <c r="K543" s="41"/>
      <c r="L543" s="32"/>
      <c r="N543" s="32"/>
      <c r="O543" s="41"/>
      <c r="P543" s="32"/>
      <c r="R543" s="32"/>
      <c r="S543" s="41"/>
    </row>
    <row r="544" spans="1:19" s="30" customFormat="1" x14ac:dyDescent="0.25">
      <c r="A544" s="36"/>
      <c r="B544" s="31"/>
      <c r="C544" s="31"/>
      <c r="D544" s="32"/>
      <c r="H544" s="32"/>
      <c r="J544" s="32"/>
      <c r="K544" s="41"/>
      <c r="L544" s="32"/>
      <c r="N544" s="32"/>
      <c r="O544" s="41"/>
      <c r="P544" s="32"/>
      <c r="R544" s="32"/>
      <c r="S544" s="41"/>
    </row>
    <row r="545" spans="1:19" s="30" customFormat="1" x14ac:dyDescent="0.25">
      <c r="A545" s="36"/>
      <c r="B545" s="31"/>
      <c r="C545" s="31"/>
      <c r="D545" s="32"/>
      <c r="H545" s="32"/>
      <c r="J545" s="32"/>
      <c r="K545" s="41"/>
      <c r="L545" s="32"/>
      <c r="N545" s="32"/>
      <c r="O545" s="41"/>
      <c r="P545" s="32"/>
      <c r="R545" s="32"/>
      <c r="S545" s="41"/>
    </row>
    <row r="546" spans="1:19" s="30" customFormat="1" x14ac:dyDescent="0.25">
      <c r="A546" s="36"/>
      <c r="B546" s="31"/>
      <c r="C546" s="31"/>
      <c r="D546" s="32"/>
      <c r="H546" s="32"/>
      <c r="J546" s="32"/>
      <c r="K546" s="41"/>
      <c r="L546" s="32"/>
      <c r="N546" s="32"/>
      <c r="O546" s="41"/>
      <c r="P546" s="32"/>
      <c r="R546" s="32"/>
      <c r="S546" s="41"/>
    </row>
    <row r="547" spans="1:19" s="30" customFormat="1" x14ac:dyDescent="0.25">
      <c r="A547" s="36"/>
      <c r="B547" s="31"/>
      <c r="C547" s="31"/>
      <c r="D547" s="32"/>
      <c r="H547" s="32"/>
      <c r="J547" s="32"/>
      <c r="K547" s="41"/>
      <c r="L547" s="32"/>
      <c r="N547" s="32"/>
      <c r="O547" s="41"/>
      <c r="P547" s="32"/>
      <c r="R547" s="32"/>
      <c r="S547" s="41"/>
    </row>
    <row r="548" spans="1:19" s="30" customFormat="1" x14ac:dyDescent="0.25">
      <c r="A548" s="36"/>
      <c r="B548" s="31"/>
      <c r="C548" s="31"/>
      <c r="D548" s="32"/>
      <c r="H548" s="32"/>
      <c r="J548" s="32"/>
      <c r="K548" s="41"/>
      <c r="L548" s="32"/>
      <c r="N548" s="32"/>
      <c r="O548" s="41"/>
      <c r="P548" s="32"/>
      <c r="R548" s="32"/>
      <c r="S548" s="41"/>
    </row>
    <row r="549" spans="1:19" s="30" customFormat="1" x14ac:dyDescent="0.25">
      <c r="A549" s="36"/>
      <c r="B549" s="31"/>
      <c r="C549" s="31"/>
      <c r="D549" s="32"/>
      <c r="H549" s="32"/>
      <c r="J549" s="32"/>
      <c r="K549" s="41"/>
      <c r="L549" s="32"/>
      <c r="N549" s="32"/>
      <c r="O549" s="41"/>
      <c r="P549" s="32"/>
      <c r="R549" s="32"/>
      <c r="S549" s="41"/>
    </row>
    <row r="550" spans="1:19" s="30" customFormat="1" x14ac:dyDescent="0.25">
      <c r="A550" s="36"/>
      <c r="B550" s="31"/>
      <c r="C550" s="31"/>
      <c r="D550" s="32"/>
      <c r="H550" s="32"/>
      <c r="J550" s="32"/>
      <c r="K550" s="41"/>
      <c r="L550" s="32"/>
      <c r="N550" s="32"/>
      <c r="O550" s="41"/>
      <c r="P550" s="32"/>
      <c r="R550" s="32"/>
      <c r="S550" s="41"/>
    </row>
    <row r="551" spans="1:19" s="30" customFormat="1" x14ac:dyDescent="0.25">
      <c r="A551" s="36"/>
      <c r="B551" s="31"/>
      <c r="C551" s="31"/>
      <c r="D551" s="32"/>
      <c r="H551" s="32"/>
      <c r="J551" s="32"/>
      <c r="K551" s="41"/>
      <c r="L551" s="32"/>
      <c r="N551" s="32"/>
      <c r="O551" s="41"/>
      <c r="P551" s="32"/>
      <c r="R551" s="32"/>
      <c r="S551" s="41"/>
    </row>
    <row r="552" spans="1:19" s="30" customFormat="1" x14ac:dyDescent="0.25">
      <c r="A552" s="36"/>
      <c r="B552" s="31"/>
      <c r="C552" s="31"/>
      <c r="D552" s="32"/>
      <c r="H552" s="32"/>
      <c r="J552" s="32"/>
      <c r="K552" s="41"/>
      <c r="L552" s="32"/>
      <c r="N552" s="32"/>
      <c r="O552" s="41"/>
      <c r="P552" s="32"/>
      <c r="R552" s="32"/>
      <c r="S552" s="41"/>
    </row>
    <row r="553" spans="1:19" s="30" customFormat="1" x14ac:dyDescent="0.25">
      <c r="A553" s="36"/>
      <c r="B553" s="31"/>
      <c r="C553" s="31"/>
      <c r="D553" s="32"/>
      <c r="H553" s="32"/>
      <c r="J553" s="32"/>
      <c r="K553" s="41"/>
      <c r="L553" s="32"/>
      <c r="N553" s="32"/>
      <c r="O553" s="41"/>
      <c r="P553" s="32"/>
      <c r="R553" s="32"/>
      <c r="S553" s="41"/>
    </row>
    <row r="554" spans="1:19" s="30" customFormat="1" x14ac:dyDescent="0.25">
      <c r="A554" s="36"/>
      <c r="B554" s="31"/>
      <c r="C554" s="31"/>
      <c r="D554" s="32"/>
      <c r="H554" s="32"/>
      <c r="J554" s="32"/>
      <c r="K554" s="41"/>
      <c r="L554" s="32"/>
      <c r="N554" s="32"/>
      <c r="O554" s="41"/>
      <c r="P554" s="32"/>
      <c r="R554" s="32"/>
      <c r="S554" s="41"/>
    </row>
    <row r="555" spans="1:19" s="30" customFormat="1" x14ac:dyDescent="0.25">
      <c r="A555" s="36"/>
      <c r="B555" s="31"/>
      <c r="C555" s="31"/>
      <c r="D555" s="32"/>
      <c r="H555" s="32"/>
      <c r="J555" s="32"/>
      <c r="K555" s="41"/>
      <c r="L555" s="32"/>
      <c r="N555" s="32"/>
      <c r="O555" s="41"/>
      <c r="P555" s="32"/>
      <c r="R555" s="32"/>
      <c r="S555" s="41"/>
    </row>
    <row r="556" spans="1:19" s="30" customFormat="1" x14ac:dyDescent="0.25">
      <c r="A556" s="36"/>
      <c r="B556" s="31"/>
      <c r="C556" s="31"/>
      <c r="D556" s="32"/>
      <c r="H556" s="32"/>
      <c r="J556" s="32"/>
      <c r="K556" s="41"/>
      <c r="L556" s="32"/>
      <c r="N556" s="32"/>
      <c r="O556" s="41"/>
      <c r="P556" s="32"/>
      <c r="R556" s="32"/>
      <c r="S556" s="41"/>
    </row>
    <row r="557" spans="1:19" s="30" customFormat="1" x14ac:dyDescent="0.25">
      <c r="A557" s="36"/>
      <c r="B557" s="31"/>
      <c r="C557" s="31"/>
      <c r="D557" s="32"/>
      <c r="H557" s="32"/>
      <c r="J557" s="32"/>
      <c r="K557" s="41"/>
      <c r="L557" s="32"/>
      <c r="N557" s="32"/>
      <c r="O557" s="41"/>
      <c r="P557" s="32"/>
      <c r="R557" s="32"/>
      <c r="S557" s="41"/>
    </row>
    <row r="558" spans="1:19" s="30" customFormat="1" x14ac:dyDescent="0.25">
      <c r="A558" s="36"/>
      <c r="B558" s="31"/>
      <c r="C558" s="31"/>
      <c r="D558" s="32"/>
      <c r="H558" s="32"/>
      <c r="J558" s="32"/>
      <c r="K558" s="41"/>
      <c r="L558" s="32"/>
      <c r="N558" s="32"/>
      <c r="O558" s="41"/>
      <c r="P558" s="32"/>
      <c r="R558" s="32"/>
      <c r="S558" s="41"/>
    </row>
    <row r="559" spans="1:19" s="30" customFormat="1" x14ac:dyDescent="0.25">
      <c r="A559" s="36"/>
      <c r="B559" s="31"/>
      <c r="C559" s="31"/>
      <c r="D559" s="32"/>
      <c r="H559" s="32"/>
      <c r="J559" s="32"/>
      <c r="K559" s="41"/>
      <c r="L559" s="32"/>
      <c r="N559" s="32"/>
      <c r="O559" s="41"/>
      <c r="P559" s="32"/>
      <c r="R559" s="32"/>
      <c r="S559" s="41"/>
    </row>
    <row r="560" spans="1:19" s="30" customFormat="1" x14ac:dyDescent="0.25">
      <c r="A560" s="36"/>
      <c r="B560" s="31"/>
      <c r="C560" s="31"/>
      <c r="D560" s="32"/>
      <c r="H560" s="32"/>
      <c r="J560" s="32"/>
      <c r="K560" s="41"/>
      <c r="L560" s="32"/>
      <c r="N560" s="32"/>
      <c r="O560" s="41"/>
      <c r="P560" s="32"/>
      <c r="R560" s="32"/>
      <c r="S560" s="41"/>
    </row>
    <row r="561" spans="1:19" s="30" customFormat="1" x14ac:dyDescent="0.25">
      <c r="A561" s="36"/>
      <c r="B561" s="31"/>
      <c r="C561" s="31"/>
      <c r="D561" s="32"/>
      <c r="H561" s="32"/>
      <c r="J561" s="32"/>
      <c r="K561" s="41"/>
      <c r="L561" s="32"/>
      <c r="N561" s="32"/>
      <c r="O561" s="41"/>
      <c r="P561" s="32"/>
      <c r="R561" s="32"/>
      <c r="S561" s="41"/>
    </row>
    <row r="562" spans="1:19" s="30" customFormat="1" x14ac:dyDescent="0.25">
      <c r="A562" s="36"/>
      <c r="B562" s="31"/>
      <c r="C562" s="31"/>
      <c r="D562" s="32"/>
      <c r="H562" s="32"/>
      <c r="J562" s="32"/>
      <c r="K562" s="41"/>
      <c r="L562" s="32"/>
      <c r="N562" s="32"/>
      <c r="O562" s="41"/>
      <c r="P562" s="32"/>
      <c r="R562" s="32"/>
      <c r="S562" s="41"/>
    </row>
    <row r="563" spans="1:19" s="30" customFormat="1" x14ac:dyDescent="0.25">
      <c r="A563" s="36"/>
      <c r="B563" s="31"/>
      <c r="C563" s="31"/>
      <c r="D563" s="32"/>
      <c r="H563" s="32"/>
      <c r="J563" s="32"/>
      <c r="K563" s="41"/>
      <c r="L563" s="32"/>
      <c r="N563" s="32"/>
      <c r="O563" s="41"/>
      <c r="P563" s="32"/>
      <c r="R563" s="32"/>
      <c r="S563" s="41"/>
    </row>
    <row r="564" spans="1:19" s="30" customFormat="1" x14ac:dyDescent="0.25">
      <c r="A564" s="36"/>
      <c r="B564" s="31"/>
      <c r="C564" s="31"/>
      <c r="D564" s="32"/>
      <c r="H564" s="32"/>
      <c r="J564" s="32"/>
      <c r="K564" s="41"/>
      <c r="L564" s="32"/>
      <c r="N564" s="32"/>
      <c r="O564" s="41"/>
      <c r="P564" s="32"/>
      <c r="R564" s="32"/>
      <c r="S564" s="41"/>
    </row>
    <row r="565" spans="1:19" s="30" customFormat="1" x14ac:dyDescent="0.25">
      <c r="A565" s="36"/>
      <c r="B565" s="31"/>
      <c r="C565" s="31"/>
      <c r="D565" s="32"/>
      <c r="H565" s="32"/>
      <c r="J565" s="32"/>
      <c r="K565" s="41"/>
      <c r="L565" s="32"/>
      <c r="N565" s="32"/>
      <c r="O565" s="41"/>
      <c r="P565" s="32"/>
      <c r="R565" s="32"/>
      <c r="S565" s="41"/>
    </row>
    <row r="566" spans="1:19" s="30" customFormat="1" x14ac:dyDescent="0.25">
      <c r="A566" s="36"/>
      <c r="B566" s="31"/>
      <c r="C566" s="31"/>
      <c r="D566" s="32"/>
      <c r="H566" s="32"/>
      <c r="J566" s="32"/>
      <c r="K566" s="41"/>
      <c r="L566" s="32"/>
      <c r="N566" s="32"/>
      <c r="O566" s="41"/>
      <c r="P566" s="32"/>
      <c r="R566" s="32"/>
      <c r="S566" s="41"/>
    </row>
    <row r="567" spans="1:19" s="30" customFormat="1" x14ac:dyDescent="0.25">
      <c r="A567" s="36"/>
      <c r="B567" s="31"/>
      <c r="C567" s="31"/>
      <c r="D567" s="32"/>
      <c r="H567" s="32"/>
      <c r="J567" s="32"/>
      <c r="K567" s="41"/>
      <c r="L567" s="32"/>
      <c r="N567" s="32"/>
      <c r="O567" s="41"/>
      <c r="P567" s="32"/>
      <c r="R567" s="32"/>
      <c r="S567" s="41"/>
    </row>
    <row r="568" spans="1:19" s="30" customFormat="1" x14ac:dyDescent="0.25">
      <c r="A568" s="36"/>
      <c r="B568" s="31"/>
      <c r="C568" s="31"/>
      <c r="D568" s="32"/>
      <c r="H568" s="32"/>
      <c r="J568" s="32"/>
      <c r="K568" s="41"/>
      <c r="L568" s="32"/>
      <c r="N568" s="32"/>
      <c r="O568" s="41"/>
      <c r="P568" s="32"/>
      <c r="R568" s="32"/>
      <c r="S568" s="41"/>
    </row>
    <row r="569" spans="1:19" s="30" customFormat="1" x14ac:dyDescent="0.25">
      <c r="A569" s="36"/>
      <c r="B569" s="31"/>
      <c r="C569" s="31"/>
      <c r="D569" s="32"/>
      <c r="H569" s="32"/>
      <c r="J569" s="32"/>
      <c r="K569" s="41"/>
      <c r="L569" s="32"/>
      <c r="N569" s="32"/>
      <c r="O569" s="41"/>
      <c r="P569" s="32"/>
      <c r="R569" s="32"/>
      <c r="S569" s="41"/>
    </row>
    <row r="570" spans="1:19" s="30" customFormat="1" x14ac:dyDescent="0.25">
      <c r="A570" s="36"/>
      <c r="B570" s="31"/>
      <c r="C570" s="31"/>
      <c r="D570" s="32"/>
      <c r="H570" s="32"/>
      <c r="J570" s="32"/>
      <c r="K570" s="41"/>
      <c r="L570" s="32"/>
      <c r="N570" s="32"/>
      <c r="O570" s="41"/>
      <c r="P570" s="32"/>
      <c r="R570" s="32"/>
      <c r="S570" s="41"/>
    </row>
    <row r="571" spans="1:19" s="30" customFormat="1" x14ac:dyDescent="0.25">
      <c r="A571" s="36"/>
      <c r="B571" s="31"/>
      <c r="C571" s="31"/>
      <c r="D571" s="32"/>
      <c r="H571" s="32"/>
      <c r="J571" s="32"/>
      <c r="K571" s="41"/>
      <c r="L571" s="32"/>
      <c r="N571" s="32"/>
      <c r="O571" s="41"/>
      <c r="P571" s="32"/>
      <c r="R571" s="32"/>
      <c r="S571" s="41"/>
    </row>
    <row r="572" spans="1:19" s="30" customFormat="1" x14ac:dyDescent="0.25">
      <c r="A572" s="36"/>
      <c r="B572" s="31"/>
      <c r="C572" s="31"/>
      <c r="D572" s="32"/>
      <c r="H572" s="32"/>
      <c r="J572" s="32"/>
      <c r="K572" s="41"/>
      <c r="L572" s="32"/>
      <c r="N572" s="32"/>
      <c r="O572" s="41"/>
      <c r="P572" s="32"/>
      <c r="R572" s="32"/>
      <c r="S572" s="41"/>
    </row>
    <row r="573" spans="1:19" s="30" customFormat="1" x14ac:dyDescent="0.25">
      <c r="A573" s="36"/>
      <c r="B573" s="31"/>
      <c r="C573" s="31"/>
      <c r="D573" s="32"/>
      <c r="H573" s="32"/>
      <c r="J573" s="32"/>
      <c r="K573" s="41"/>
      <c r="L573" s="32"/>
      <c r="N573" s="32"/>
      <c r="O573" s="41"/>
      <c r="P573" s="32"/>
      <c r="R573" s="32"/>
      <c r="S573" s="41"/>
    </row>
    <row r="574" spans="1:19" s="30" customFormat="1" x14ac:dyDescent="0.25">
      <c r="A574" s="36"/>
      <c r="B574" s="31"/>
      <c r="C574" s="31"/>
      <c r="D574" s="32"/>
      <c r="H574" s="32"/>
      <c r="J574" s="32"/>
      <c r="K574" s="41"/>
      <c r="L574" s="32"/>
      <c r="N574" s="32"/>
      <c r="O574" s="41"/>
      <c r="P574" s="32"/>
      <c r="R574" s="32"/>
      <c r="S574" s="41"/>
    </row>
    <row r="575" spans="1:19" s="30" customFormat="1" x14ac:dyDescent="0.25">
      <c r="A575" s="36"/>
      <c r="B575" s="31"/>
      <c r="C575" s="31"/>
      <c r="D575" s="32"/>
      <c r="H575" s="32"/>
      <c r="J575" s="32"/>
      <c r="K575" s="41"/>
      <c r="L575" s="32"/>
      <c r="N575" s="32"/>
      <c r="O575" s="41"/>
      <c r="P575" s="32"/>
      <c r="R575" s="32"/>
      <c r="S575" s="41"/>
    </row>
    <row r="576" spans="1:19" s="30" customFormat="1" x14ac:dyDescent="0.25">
      <c r="A576" s="36"/>
      <c r="B576" s="31"/>
      <c r="C576" s="31"/>
      <c r="D576" s="32"/>
      <c r="H576" s="32"/>
      <c r="J576" s="32"/>
      <c r="K576" s="41"/>
      <c r="L576" s="32"/>
      <c r="N576" s="32"/>
      <c r="O576" s="41"/>
      <c r="P576" s="32"/>
      <c r="R576" s="32"/>
      <c r="S576" s="41"/>
    </row>
    <row r="577" spans="1:19" s="30" customFormat="1" x14ac:dyDescent="0.25">
      <c r="A577" s="36"/>
      <c r="B577" s="31"/>
      <c r="C577" s="31"/>
      <c r="D577" s="32"/>
      <c r="H577" s="32"/>
      <c r="J577" s="32"/>
      <c r="K577" s="41"/>
      <c r="L577" s="32"/>
      <c r="N577" s="32"/>
      <c r="O577" s="41"/>
      <c r="P577" s="32"/>
      <c r="R577" s="32"/>
      <c r="S577" s="41"/>
    </row>
    <row r="578" spans="1:19" s="30" customFormat="1" x14ac:dyDescent="0.25">
      <c r="A578" s="36"/>
      <c r="B578" s="31"/>
      <c r="C578" s="31"/>
      <c r="D578" s="32"/>
      <c r="H578" s="32"/>
      <c r="J578" s="32"/>
      <c r="K578" s="41"/>
      <c r="L578" s="32"/>
      <c r="N578" s="32"/>
      <c r="O578" s="41"/>
      <c r="P578" s="32"/>
      <c r="R578" s="32"/>
      <c r="S578" s="41"/>
    </row>
    <row r="579" spans="1:19" s="30" customFormat="1" x14ac:dyDescent="0.25">
      <c r="A579" s="36"/>
      <c r="B579" s="31"/>
      <c r="C579" s="31"/>
      <c r="D579" s="32"/>
      <c r="H579" s="32"/>
      <c r="J579" s="32"/>
      <c r="K579" s="41"/>
      <c r="L579" s="32"/>
      <c r="N579" s="32"/>
      <c r="O579" s="41"/>
      <c r="P579" s="32"/>
      <c r="R579" s="32"/>
      <c r="S579" s="41"/>
    </row>
    <row r="580" spans="1:19" s="30" customFormat="1" x14ac:dyDescent="0.25">
      <c r="A580" s="36"/>
      <c r="B580" s="31"/>
      <c r="C580" s="31"/>
      <c r="D580" s="32"/>
      <c r="H580" s="32"/>
      <c r="J580" s="32"/>
      <c r="K580" s="41"/>
      <c r="L580" s="32"/>
      <c r="N580" s="32"/>
      <c r="O580" s="41"/>
      <c r="P580" s="32"/>
      <c r="R580" s="32"/>
      <c r="S580" s="41"/>
    </row>
    <row r="581" spans="1:19" s="30" customFormat="1" x14ac:dyDescent="0.25">
      <c r="A581" s="36"/>
      <c r="B581" s="31"/>
      <c r="C581" s="31"/>
      <c r="D581" s="32"/>
      <c r="H581" s="32"/>
      <c r="J581" s="32"/>
      <c r="K581" s="41"/>
      <c r="L581" s="32"/>
      <c r="N581" s="32"/>
      <c r="O581" s="41"/>
      <c r="P581" s="32"/>
      <c r="R581" s="32"/>
      <c r="S581" s="41"/>
    </row>
    <row r="582" spans="1:19" s="30" customFormat="1" x14ac:dyDescent="0.25">
      <c r="A582" s="36"/>
      <c r="B582" s="31"/>
      <c r="C582" s="31"/>
      <c r="D582" s="32"/>
      <c r="H582" s="32"/>
      <c r="J582" s="32"/>
      <c r="K582" s="41"/>
      <c r="L582" s="32"/>
      <c r="N582" s="32"/>
      <c r="O582" s="41"/>
      <c r="P582" s="32"/>
      <c r="R582" s="32"/>
      <c r="S582" s="41"/>
    </row>
    <row r="583" spans="1:19" s="30" customFormat="1" x14ac:dyDescent="0.25">
      <c r="A583" s="36"/>
      <c r="B583" s="31"/>
      <c r="C583" s="31"/>
      <c r="D583" s="32"/>
      <c r="H583" s="32"/>
      <c r="J583" s="32"/>
      <c r="K583" s="41"/>
      <c r="L583" s="32"/>
      <c r="N583" s="32"/>
      <c r="O583" s="41"/>
      <c r="P583" s="32"/>
      <c r="R583" s="32"/>
      <c r="S583" s="41"/>
    </row>
    <row r="584" spans="1:19" s="30" customFormat="1" x14ac:dyDescent="0.25">
      <c r="A584" s="36"/>
      <c r="B584" s="31"/>
      <c r="C584" s="31"/>
      <c r="D584" s="32"/>
      <c r="H584" s="32"/>
      <c r="J584" s="32"/>
      <c r="K584" s="41"/>
      <c r="L584" s="32"/>
      <c r="N584" s="32"/>
      <c r="O584" s="41"/>
      <c r="P584" s="32"/>
      <c r="R584" s="32"/>
      <c r="S584" s="41"/>
    </row>
    <row r="585" spans="1:19" s="30" customFormat="1" x14ac:dyDescent="0.25">
      <c r="A585" s="36"/>
      <c r="B585" s="31"/>
      <c r="C585" s="31"/>
      <c r="D585" s="32"/>
      <c r="H585" s="32"/>
      <c r="J585" s="32"/>
      <c r="K585" s="41"/>
      <c r="L585" s="32"/>
      <c r="N585" s="32"/>
      <c r="O585" s="41"/>
      <c r="P585" s="32"/>
      <c r="R585" s="32"/>
      <c r="S585" s="41"/>
    </row>
    <row r="586" spans="1:19" s="30" customFormat="1" x14ac:dyDescent="0.25">
      <c r="A586" s="36"/>
      <c r="B586" s="31"/>
      <c r="C586" s="31"/>
      <c r="D586" s="32"/>
      <c r="H586" s="32"/>
      <c r="J586" s="32"/>
      <c r="K586" s="41"/>
      <c r="L586" s="32"/>
      <c r="N586" s="32"/>
      <c r="O586" s="41"/>
      <c r="P586" s="32"/>
      <c r="R586" s="32"/>
      <c r="S586" s="41"/>
    </row>
    <row r="587" spans="1:19" s="30" customFormat="1" x14ac:dyDescent="0.25">
      <c r="A587" s="36"/>
      <c r="B587" s="31"/>
      <c r="C587" s="31"/>
      <c r="D587" s="32"/>
      <c r="H587" s="32"/>
      <c r="J587" s="32"/>
      <c r="K587" s="41"/>
      <c r="L587" s="32"/>
      <c r="N587" s="32"/>
      <c r="O587" s="41"/>
      <c r="P587" s="32"/>
      <c r="R587" s="32"/>
      <c r="S587" s="41"/>
    </row>
    <row r="588" spans="1:19" s="30" customFormat="1" x14ac:dyDescent="0.25">
      <c r="A588" s="36"/>
      <c r="B588" s="31"/>
      <c r="C588" s="31"/>
      <c r="D588" s="32"/>
      <c r="H588" s="32"/>
      <c r="J588" s="32"/>
      <c r="K588" s="41"/>
      <c r="L588" s="32"/>
      <c r="N588" s="32"/>
      <c r="O588" s="41"/>
      <c r="P588" s="32"/>
      <c r="R588" s="32"/>
      <c r="S588" s="41"/>
    </row>
    <row r="589" spans="1:19" s="30" customFormat="1" x14ac:dyDescent="0.25">
      <c r="A589" s="36"/>
      <c r="B589" s="31"/>
      <c r="C589" s="31"/>
      <c r="D589" s="32"/>
      <c r="H589" s="32"/>
      <c r="J589" s="32"/>
      <c r="K589" s="41"/>
      <c r="L589" s="32"/>
      <c r="N589" s="32"/>
      <c r="O589" s="41"/>
      <c r="P589" s="32"/>
      <c r="R589" s="32"/>
      <c r="S589" s="41"/>
    </row>
    <row r="590" spans="1:19" s="30" customFormat="1" x14ac:dyDescent="0.25">
      <c r="A590" s="36"/>
      <c r="B590" s="31"/>
      <c r="C590" s="31"/>
      <c r="D590" s="32"/>
      <c r="H590" s="32"/>
      <c r="J590" s="32"/>
      <c r="K590" s="41"/>
      <c r="L590" s="32"/>
      <c r="N590" s="32"/>
      <c r="O590" s="41"/>
      <c r="P590" s="32"/>
      <c r="R590" s="32"/>
      <c r="S590" s="41"/>
    </row>
    <row r="591" spans="1:19" s="30" customFormat="1" x14ac:dyDescent="0.25">
      <c r="A591" s="36"/>
      <c r="B591" s="31"/>
      <c r="C591" s="31"/>
      <c r="D591" s="32"/>
      <c r="H591" s="32"/>
      <c r="J591" s="32"/>
      <c r="K591" s="41"/>
      <c r="L591" s="32"/>
      <c r="N591" s="32"/>
      <c r="O591" s="41"/>
      <c r="P591" s="32"/>
      <c r="R591" s="32"/>
      <c r="S591" s="41"/>
    </row>
    <row r="592" spans="1:19" s="30" customFormat="1" x14ac:dyDescent="0.25">
      <c r="A592" s="36"/>
      <c r="B592" s="31"/>
      <c r="C592" s="31"/>
      <c r="D592" s="32"/>
      <c r="H592" s="32"/>
      <c r="J592" s="32"/>
      <c r="K592" s="41"/>
      <c r="L592" s="32"/>
      <c r="N592" s="32"/>
      <c r="O592" s="41"/>
      <c r="P592" s="32"/>
      <c r="R592" s="32"/>
      <c r="S592" s="41"/>
    </row>
    <row r="593" spans="1:19" s="30" customFormat="1" x14ac:dyDescent="0.25">
      <c r="A593" s="36"/>
      <c r="B593" s="31"/>
      <c r="C593" s="31"/>
      <c r="D593" s="32"/>
      <c r="H593" s="32"/>
      <c r="J593" s="32"/>
      <c r="K593" s="41"/>
      <c r="L593" s="32"/>
      <c r="N593" s="32"/>
      <c r="O593" s="41"/>
      <c r="P593" s="32"/>
      <c r="R593" s="32"/>
      <c r="S593" s="41"/>
    </row>
    <row r="594" spans="1:19" s="30" customFormat="1" x14ac:dyDescent="0.25">
      <c r="A594" s="36"/>
      <c r="B594" s="31"/>
      <c r="C594" s="31"/>
      <c r="D594" s="32"/>
      <c r="H594" s="32"/>
      <c r="J594" s="32"/>
      <c r="K594" s="41"/>
      <c r="L594" s="32"/>
      <c r="N594" s="32"/>
      <c r="O594" s="41"/>
      <c r="P594" s="32"/>
      <c r="R594" s="32"/>
      <c r="S594" s="41"/>
    </row>
    <row r="595" spans="1:19" s="30" customFormat="1" x14ac:dyDescent="0.25">
      <c r="A595" s="36"/>
      <c r="B595" s="31"/>
      <c r="C595" s="31"/>
      <c r="D595" s="32"/>
      <c r="H595" s="32"/>
      <c r="J595" s="32"/>
      <c r="K595" s="41"/>
      <c r="L595" s="32"/>
      <c r="N595" s="32"/>
      <c r="O595" s="41"/>
      <c r="P595" s="32"/>
      <c r="R595" s="32"/>
      <c r="S595" s="41"/>
    </row>
    <row r="596" spans="1:19" s="30" customFormat="1" x14ac:dyDescent="0.25">
      <c r="A596" s="36"/>
      <c r="B596" s="31"/>
      <c r="C596" s="31"/>
      <c r="D596" s="32"/>
      <c r="H596" s="32"/>
      <c r="J596" s="32"/>
      <c r="K596" s="41"/>
      <c r="L596" s="32"/>
      <c r="N596" s="32"/>
      <c r="O596" s="41"/>
      <c r="P596" s="32"/>
      <c r="R596" s="32"/>
      <c r="S596" s="41"/>
    </row>
    <row r="597" spans="1:19" s="30" customFormat="1" x14ac:dyDescent="0.25">
      <c r="A597" s="36"/>
      <c r="B597" s="31"/>
      <c r="C597" s="31"/>
      <c r="D597" s="32"/>
      <c r="H597" s="32"/>
      <c r="J597" s="32"/>
      <c r="K597" s="41"/>
      <c r="L597" s="32"/>
      <c r="N597" s="32"/>
      <c r="O597" s="41"/>
      <c r="P597" s="32"/>
      <c r="R597" s="32"/>
      <c r="S597" s="41"/>
    </row>
    <row r="598" spans="1:19" s="30" customFormat="1" x14ac:dyDescent="0.25">
      <c r="A598" s="36"/>
      <c r="B598" s="31"/>
      <c r="C598" s="31"/>
      <c r="D598" s="32"/>
      <c r="H598" s="32"/>
      <c r="J598" s="32"/>
      <c r="K598" s="41"/>
      <c r="L598" s="32"/>
      <c r="N598" s="32"/>
      <c r="O598" s="41"/>
      <c r="P598" s="32"/>
      <c r="R598" s="32"/>
      <c r="S598" s="41"/>
    </row>
    <row r="599" spans="1:19" s="30" customFormat="1" x14ac:dyDescent="0.25">
      <c r="A599" s="36"/>
      <c r="B599" s="31"/>
      <c r="C599" s="31"/>
      <c r="D599" s="32"/>
      <c r="H599" s="32"/>
      <c r="J599" s="32"/>
      <c r="K599" s="41"/>
      <c r="L599" s="32"/>
      <c r="N599" s="32"/>
      <c r="O599" s="41"/>
      <c r="P599" s="32"/>
      <c r="R599" s="32"/>
      <c r="S599" s="41"/>
    </row>
    <row r="600" spans="1:19" s="30" customFormat="1" x14ac:dyDescent="0.25">
      <c r="A600" s="36"/>
      <c r="B600" s="31"/>
      <c r="C600" s="31"/>
      <c r="D600" s="32"/>
      <c r="H600" s="32"/>
      <c r="J600" s="32"/>
      <c r="K600" s="41"/>
      <c r="L600" s="32"/>
      <c r="N600" s="32"/>
      <c r="O600" s="41"/>
      <c r="P600" s="32"/>
      <c r="R600" s="32"/>
      <c r="S600" s="41"/>
    </row>
    <row r="601" spans="1:19" s="30" customFormat="1" x14ac:dyDescent="0.25">
      <c r="A601" s="36"/>
      <c r="B601" s="31"/>
      <c r="C601" s="31"/>
      <c r="D601" s="32"/>
      <c r="H601" s="32"/>
      <c r="J601" s="32"/>
      <c r="K601" s="41"/>
      <c r="L601" s="32"/>
      <c r="N601" s="32"/>
      <c r="O601" s="41"/>
      <c r="P601" s="32"/>
      <c r="R601" s="32"/>
      <c r="S601" s="41"/>
    </row>
    <row r="602" spans="1:19" s="30" customFormat="1" x14ac:dyDescent="0.25">
      <c r="A602" s="36"/>
      <c r="B602" s="31"/>
      <c r="C602" s="31"/>
      <c r="D602" s="32"/>
      <c r="H602" s="32"/>
      <c r="J602" s="32"/>
      <c r="K602" s="41"/>
      <c r="L602" s="32"/>
      <c r="N602" s="32"/>
      <c r="O602" s="41"/>
      <c r="P602" s="32"/>
      <c r="R602" s="32"/>
      <c r="S602" s="41"/>
    </row>
    <row r="603" spans="1:19" s="30" customFormat="1" x14ac:dyDescent="0.25">
      <c r="A603" s="36"/>
      <c r="B603" s="31"/>
      <c r="C603" s="31"/>
      <c r="D603" s="32"/>
      <c r="H603" s="32"/>
      <c r="J603" s="32"/>
      <c r="K603" s="41"/>
      <c r="L603" s="32"/>
      <c r="N603" s="32"/>
      <c r="O603" s="41"/>
      <c r="P603" s="32"/>
      <c r="R603" s="32"/>
      <c r="S603" s="41"/>
    </row>
    <row r="604" spans="1:19" s="30" customFormat="1" x14ac:dyDescent="0.25">
      <c r="A604" s="36"/>
      <c r="B604" s="31"/>
      <c r="C604" s="31"/>
      <c r="D604" s="32"/>
      <c r="H604" s="32"/>
      <c r="J604" s="32"/>
      <c r="K604" s="41"/>
      <c r="L604" s="32"/>
      <c r="N604" s="32"/>
      <c r="O604" s="41"/>
      <c r="P604" s="32"/>
      <c r="R604" s="32"/>
      <c r="S604" s="41"/>
    </row>
    <row r="605" spans="1:19" s="30" customFormat="1" x14ac:dyDescent="0.25">
      <c r="A605" s="36"/>
      <c r="B605" s="31"/>
      <c r="C605" s="31"/>
      <c r="D605" s="32"/>
      <c r="H605" s="32"/>
      <c r="J605" s="32"/>
      <c r="K605" s="41"/>
      <c r="L605" s="32"/>
      <c r="N605" s="32"/>
      <c r="O605" s="41"/>
      <c r="P605" s="32"/>
      <c r="R605" s="32"/>
      <c r="S605" s="41"/>
    </row>
    <row r="606" spans="1:19" s="30" customFormat="1" x14ac:dyDescent="0.25">
      <c r="A606" s="36"/>
      <c r="B606" s="31"/>
      <c r="C606" s="31"/>
      <c r="D606" s="32"/>
      <c r="H606" s="32"/>
      <c r="J606" s="32"/>
      <c r="K606" s="41"/>
      <c r="L606" s="32"/>
      <c r="N606" s="32"/>
      <c r="O606" s="41"/>
      <c r="P606" s="32"/>
      <c r="R606" s="32"/>
      <c r="S606" s="41"/>
    </row>
    <row r="607" spans="1:19" s="30" customFormat="1" x14ac:dyDescent="0.25">
      <c r="A607" s="36"/>
      <c r="B607" s="31"/>
      <c r="C607" s="31"/>
      <c r="D607" s="32"/>
      <c r="H607" s="32"/>
      <c r="J607" s="32"/>
      <c r="K607" s="41"/>
      <c r="L607" s="32"/>
      <c r="N607" s="32"/>
      <c r="O607" s="41"/>
      <c r="P607" s="32"/>
      <c r="R607" s="32"/>
      <c r="S607" s="41"/>
    </row>
    <row r="608" spans="1:19" s="30" customFormat="1" x14ac:dyDescent="0.25">
      <c r="A608" s="36"/>
      <c r="B608" s="31"/>
      <c r="C608" s="31"/>
      <c r="D608" s="32"/>
      <c r="H608" s="32"/>
      <c r="J608" s="32"/>
      <c r="K608" s="41"/>
      <c r="L608" s="32"/>
      <c r="N608" s="32"/>
      <c r="O608" s="41"/>
      <c r="P608" s="32"/>
      <c r="R608" s="32"/>
      <c r="S608" s="41"/>
    </row>
    <row r="609" spans="1:19" s="30" customFormat="1" x14ac:dyDescent="0.25">
      <c r="A609" s="36"/>
      <c r="B609" s="31"/>
      <c r="C609" s="31"/>
      <c r="D609" s="32"/>
      <c r="H609" s="32"/>
      <c r="J609" s="32"/>
      <c r="K609" s="41"/>
      <c r="L609" s="32"/>
      <c r="N609" s="32"/>
      <c r="O609" s="41"/>
      <c r="P609" s="32"/>
      <c r="R609" s="32"/>
      <c r="S609" s="41"/>
    </row>
    <row r="610" spans="1:19" s="30" customFormat="1" x14ac:dyDescent="0.25">
      <c r="A610" s="36"/>
      <c r="B610" s="31"/>
      <c r="C610" s="31"/>
      <c r="D610" s="32"/>
      <c r="H610" s="32"/>
      <c r="J610" s="32"/>
      <c r="K610" s="41"/>
      <c r="L610" s="32"/>
      <c r="N610" s="32"/>
      <c r="O610" s="41"/>
      <c r="P610" s="32"/>
      <c r="R610" s="32"/>
      <c r="S610" s="41"/>
    </row>
    <row r="611" spans="1:19" s="30" customFormat="1" x14ac:dyDescent="0.25">
      <c r="A611" s="36"/>
      <c r="B611" s="31"/>
      <c r="C611" s="31"/>
      <c r="D611" s="32"/>
      <c r="H611" s="32"/>
      <c r="J611" s="32"/>
      <c r="K611" s="41"/>
      <c r="L611" s="32"/>
      <c r="N611" s="32"/>
      <c r="O611" s="41"/>
      <c r="P611" s="32"/>
      <c r="R611" s="32"/>
      <c r="S611" s="41"/>
    </row>
    <row r="612" spans="1:19" s="30" customFormat="1" x14ac:dyDescent="0.25">
      <c r="A612" s="36"/>
      <c r="B612" s="31"/>
      <c r="C612" s="31"/>
      <c r="D612" s="32"/>
      <c r="H612" s="32"/>
      <c r="J612" s="32"/>
      <c r="K612" s="41"/>
      <c r="L612" s="32"/>
      <c r="N612" s="32"/>
      <c r="O612" s="41"/>
      <c r="P612" s="32"/>
      <c r="R612" s="32"/>
      <c r="S612" s="41"/>
    </row>
    <row r="613" spans="1:19" s="30" customFormat="1" x14ac:dyDescent="0.25">
      <c r="A613" s="36"/>
      <c r="B613" s="31"/>
      <c r="C613" s="31"/>
      <c r="D613" s="32"/>
      <c r="H613" s="32"/>
      <c r="J613" s="32"/>
      <c r="K613" s="41"/>
      <c r="L613" s="32"/>
      <c r="N613" s="32"/>
      <c r="O613" s="41"/>
      <c r="P613" s="32"/>
      <c r="R613" s="32"/>
      <c r="S613" s="41"/>
    </row>
    <row r="614" spans="1:19" s="30" customFormat="1" x14ac:dyDescent="0.25">
      <c r="A614" s="36"/>
      <c r="B614" s="31"/>
      <c r="C614" s="31"/>
      <c r="D614" s="32"/>
      <c r="H614" s="32"/>
      <c r="J614" s="32"/>
      <c r="K614" s="41"/>
      <c r="L614" s="32"/>
      <c r="N614" s="32"/>
      <c r="O614" s="41"/>
      <c r="P614" s="32"/>
      <c r="R614" s="32"/>
      <c r="S614" s="41"/>
    </row>
    <row r="615" spans="1:19" s="30" customFormat="1" x14ac:dyDescent="0.25">
      <c r="A615" s="36"/>
      <c r="B615" s="31"/>
      <c r="C615" s="31"/>
      <c r="D615" s="32"/>
      <c r="H615" s="32"/>
      <c r="J615" s="32"/>
      <c r="K615" s="41"/>
      <c r="L615" s="32"/>
      <c r="N615" s="32"/>
      <c r="O615" s="41"/>
      <c r="P615" s="32"/>
      <c r="R615" s="32"/>
      <c r="S615" s="41"/>
    </row>
    <row r="616" spans="1:19" s="30" customFormat="1" x14ac:dyDescent="0.25">
      <c r="A616" s="36"/>
      <c r="B616" s="31"/>
      <c r="C616" s="31"/>
      <c r="D616" s="32"/>
      <c r="H616" s="32"/>
      <c r="J616" s="32"/>
      <c r="K616" s="41"/>
      <c r="L616" s="32"/>
      <c r="N616" s="32"/>
      <c r="O616" s="41"/>
      <c r="P616" s="32"/>
      <c r="R616" s="32"/>
      <c r="S616" s="41"/>
    </row>
    <row r="617" spans="1:19" s="30" customFormat="1" x14ac:dyDescent="0.25">
      <c r="A617" s="36"/>
      <c r="B617" s="31"/>
      <c r="C617" s="31"/>
      <c r="D617" s="32"/>
      <c r="H617" s="32"/>
      <c r="J617" s="32"/>
      <c r="K617" s="41"/>
      <c r="L617" s="32"/>
      <c r="N617" s="32"/>
      <c r="O617" s="41"/>
      <c r="P617" s="32"/>
      <c r="R617" s="32"/>
      <c r="S617" s="41"/>
    </row>
    <row r="618" spans="1:19" s="30" customFormat="1" x14ac:dyDescent="0.25">
      <c r="A618" s="36"/>
      <c r="B618" s="31"/>
      <c r="C618" s="31"/>
      <c r="D618" s="32"/>
      <c r="H618" s="32"/>
      <c r="J618" s="32"/>
      <c r="K618" s="41"/>
      <c r="L618" s="32"/>
      <c r="N618" s="32"/>
      <c r="O618" s="41"/>
      <c r="P618" s="32"/>
      <c r="R618" s="32"/>
      <c r="S618" s="41"/>
    </row>
    <row r="619" spans="1:19" s="30" customFormat="1" x14ac:dyDescent="0.25">
      <c r="A619" s="36"/>
      <c r="B619" s="31"/>
      <c r="C619" s="31"/>
      <c r="D619" s="32"/>
      <c r="H619" s="32"/>
      <c r="J619" s="32"/>
      <c r="K619" s="41"/>
      <c r="L619" s="32"/>
      <c r="N619" s="32"/>
      <c r="O619" s="41"/>
      <c r="P619" s="32"/>
      <c r="R619" s="32"/>
      <c r="S619" s="41"/>
    </row>
    <row r="620" spans="1:19" s="30" customFormat="1" x14ac:dyDescent="0.25">
      <c r="A620" s="36"/>
      <c r="B620" s="31"/>
      <c r="C620" s="31"/>
      <c r="D620" s="32"/>
      <c r="H620" s="32"/>
      <c r="J620" s="32"/>
      <c r="K620" s="41"/>
      <c r="L620" s="32"/>
      <c r="N620" s="32"/>
      <c r="O620" s="41"/>
      <c r="P620" s="32"/>
      <c r="R620" s="32"/>
      <c r="S620" s="41"/>
    </row>
    <row r="621" spans="1:19" s="30" customFormat="1" x14ac:dyDescent="0.25">
      <c r="A621" s="36"/>
      <c r="B621" s="31"/>
      <c r="C621" s="31"/>
      <c r="D621" s="32"/>
      <c r="H621" s="32"/>
      <c r="J621" s="32"/>
      <c r="K621" s="41"/>
      <c r="L621" s="32"/>
      <c r="N621" s="32"/>
      <c r="O621" s="41"/>
      <c r="P621" s="32"/>
      <c r="R621" s="32"/>
      <c r="S621" s="41"/>
    </row>
    <row r="622" spans="1:19" s="30" customFormat="1" x14ac:dyDescent="0.25">
      <c r="A622" s="36"/>
      <c r="B622" s="31"/>
      <c r="C622" s="31"/>
      <c r="D622" s="32"/>
      <c r="H622" s="32"/>
      <c r="J622" s="32"/>
      <c r="K622" s="41"/>
      <c r="L622" s="32"/>
      <c r="N622" s="32"/>
      <c r="O622" s="41"/>
      <c r="P622" s="32"/>
      <c r="R622" s="32"/>
      <c r="S622" s="41"/>
    </row>
    <row r="623" spans="1:19" s="30" customFormat="1" x14ac:dyDescent="0.25">
      <c r="A623" s="36"/>
      <c r="B623" s="31"/>
      <c r="C623" s="31"/>
      <c r="D623" s="32"/>
      <c r="H623" s="32"/>
      <c r="J623" s="32"/>
      <c r="K623" s="41"/>
      <c r="L623" s="32"/>
      <c r="N623" s="32"/>
      <c r="O623" s="41"/>
      <c r="P623" s="32"/>
      <c r="R623" s="32"/>
      <c r="S623" s="41"/>
    </row>
    <row r="624" spans="1:19" s="30" customFormat="1" x14ac:dyDescent="0.25">
      <c r="A624" s="36"/>
      <c r="B624" s="31"/>
      <c r="C624" s="31"/>
      <c r="D624" s="32"/>
      <c r="H624" s="32"/>
      <c r="J624" s="32"/>
      <c r="K624" s="41"/>
      <c r="L624" s="32"/>
      <c r="N624" s="32"/>
      <c r="O624" s="41"/>
      <c r="P624" s="32"/>
      <c r="R624" s="32"/>
      <c r="S624" s="41"/>
    </row>
    <row r="625" spans="1:19" s="30" customFormat="1" x14ac:dyDescent="0.25">
      <c r="A625" s="36"/>
      <c r="B625" s="31"/>
      <c r="C625" s="31"/>
      <c r="D625" s="32"/>
      <c r="H625" s="32"/>
      <c r="J625" s="32"/>
      <c r="K625" s="41"/>
      <c r="L625" s="32"/>
      <c r="N625" s="32"/>
      <c r="O625" s="41"/>
      <c r="P625" s="32"/>
      <c r="R625" s="32"/>
      <c r="S625" s="41"/>
    </row>
    <row r="626" spans="1:19" s="30" customFormat="1" x14ac:dyDescent="0.25">
      <c r="A626" s="36"/>
      <c r="B626" s="31"/>
      <c r="C626" s="31"/>
      <c r="D626" s="32"/>
      <c r="H626" s="32"/>
      <c r="J626" s="32"/>
      <c r="K626" s="41"/>
      <c r="L626" s="32"/>
      <c r="N626" s="32"/>
      <c r="O626" s="41"/>
      <c r="P626" s="32"/>
      <c r="R626" s="32"/>
      <c r="S626" s="41"/>
    </row>
    <row r="627" spans="1:19" s="30" customFormat="1" x14ac:dyDescent="0.25">
      <c r="A627" s="36"/>
      <c r="B627" s="31"/>
      <c r="C627" s="31"/>
      <c r="D627" s="32"/>
      <c r="H627" s="32"/>
      <c r="J627" s="32"/>
      <c r="K627" s="41"/>
      <c r="L627" s="32"/>
      <c r="N627" s="32"/>
      <c r="O627" s="41"/>
      <c r="P627" s="32"/>
      <c r="R627" s="32"/>
      <c r="S627" s="41"/>
    </row>
    <row r="628" spans="1:19" s="30" customFormat="1" x14ac:dyDescent="0.25">
      <c r="A628" s="36"/>
      <c r="B628" s="31"/>
      <c r="C628" s="31"/>
      <c r="D628" s="32"/>
      <c r="H628" s="32"/>
      <c r="J628" s="32"/>
      <c r="K628" s="41"/>
      <c r="L628" s="32"/>
      <c r="N628" s="32"/>
      <c r="O628" s="41"/>
      <c r="P628" s="32"/>
      <c r="R628" s="32"/>
      <c r="S628" s="41"/>
    </row>
    <row r="629" spans="1:19" s="30" customFormat="1" x14ac:dyDescent="0.25">
      <c r="A629" s="36"/>
      <c r="B629" s="31"/>
      <c r="C629" s="31"/>
      <c r="D629" s="32"/>
      <c r="H629" s="32"/>
      <c r="J629" s="32"/>
      <c r="K629" s="41"/>
      <c r="L629" s="32"/>
      <c r="N629" s="32"/>
      <c r="O629" s="41"/>
      <c r="P629" s="32"/>
      <c r="R629" s="32"/>
      <c r="S629" s="41"/>
    </row>
    <row r="630" spans="1:19" s="30" customFormat="1" x14ac:dyDescent="0.25">
      <c r="A630" s="36"/>
      <c r="B630" s="31"/>
      <c r="C630" s="31"/>
      <c r="D630" s="32"/>
      <c r="H630" s="32"/>
      <c r="J630" s="32"/>
      <c r="K630" s="41"/>
      <c r="L630" s="32"/>
      <c r="N630" s="32"/>
      <c r="O630" s="41"/>
      <c r="P630" s="32"/>
      <c r="R630" s="32"/>
      <c r="S630" s="41"/>
    </row>
    <row r="631" spans="1:19" s="30" customFormat="1" x14ac:dyDescent="0.25">
      <c r="A631" s="36"/>
      <c r="B631" s="31"/>
      <c r="C631" s="31"/>
      <c r="D631" s="32"/>
      <c r="H631" s="32"/>
      <c r="J631" s="32"/>
      <c r="K631" s="41"/>
      <c r="L631" s="32"/>
      <c r="N631" s="32"/>
      <c r="O631" s="41"/>
      <c r="P631" s="32"/>
      <c r="R631" s="32"/>
      <c r="S631" s="41"/>
    </row>
    <row r="632" spans="1:19" s="30" customFormat="1" x14ac:dyDescent="0.25">
      <c r="A632" s="36"/>
      <c r="B632" s="31"/>
      <c r="C632" s="31"/>
      <c r="D632" s="32"/>
      <c r="H632" s="32"/>
      <c r="J632" s="32"/>
      <c r="K632" s="41"/>
      <c r="L632" s="32"/>
      <c r="N632" s="32"/>
      <c r="O632" s="41"/>
      <c r="P632" s="32"/>
      <c r="R632" s="32"/>
      <c r="S632" s="41"/>
    </row>
    <row r="633" spans="1:19" s="30" customFormat="1" x14ac:dyDescent="0.25">
      <c r="A633" s="36"/>
      <c r="B633" s="31"/>
      <c r="C633" s="31"/>
      <c r="D633" s="32"/>
      <c r="H633" s="32"/>
      <c r="J633" s="32"/>
      <c r="K633" s="41"/>
      <c r="L633" s="32"/>
      <c r="N633" s="32"/>
      <c r="O633" s="41"/>
      <c r="P633" s="32"/>
      <c r="R633" s="32"/>
      <c r="S633" s="41"/>
    </row>
    <row r="634" spans="1:19" s="30" customFormat="1" x14ac:dyDescent="0.25">
      <c r="A634" s="36"/>
      <c r="B634" s="31"/>
      <c r="C634" s="31"/>
      <c r="D634" s="32"/>
      <c r="H634" s="32"/>
      <c r="J634" s="32"/>
      <c r="K634" s="41"/>
      <c r="L634" s="32"/>
      <c r="N634" s="32"/>
      <c r="O634" s="41"/>
      <c r="P634" s="32"/>
      <c r="R634" s="32"/>
      <c r="S634" s="41"/>
    </row>
    <row r="635" spans="1:19" s="30" customFormat="1" x14ac:dyDescent="0.25">
      <c r="A635" s="36"/>
      <c r="B635" s="31"/>
      <c r="C635" s="31"/>
      <c r="D635" s="32"/>
      <c r="H635" s="32"/>
      <c r="J635" s="32"/>
      <c r="K635" s="41"/>
      <c r="L635" s="32"/>
      <c r="N635" s="32"/>
      <c r="O635" s="41"/>
      <c r="P635" s="32"/>
      <c r="R635" s="32"/>
      <c r="S635" s="41"/>
    </row>
    <row r="636" spans="1:19" s="30" customFormat="1" x14ac:dyDescent="0.25">
      <c r="A636" s="36"/>
      <c r="B636" s="31"/>
      <c r="C636" s="31"/>
      <c r="D636" s="32"/>
      <c r="H636" s="32"/>
      <c r="J636" s="32"/>
      <c r="K636" s="41"/>
      <c r="L636" s="32"/>
      <c r="N636" s="32"/>
      <c r="O636" s="41"/>
      <c r="P636" s="32"/>
      <c r="R636" s="32"/>
      <c r="S636" s="41"/>
    </row>
    <row r="637" spans="1:19" s="30" customFormat="1" x14ac:dyDescent="0.25">
      <c r="A637" s="36"/>
      <c r="B637" s="31"/>
      <c r="C637" s="31"/>
      <c r="D637" s="32"/>
      <c r="H637" s="32"/>
      <c r="J637" s="32"/>
      <c r="K637" s="41"/>
      <c r="L637" s="32"/>
      <c r="N637" s="32"/>
      <c r="O637" s="41"/>
      <c r="P637" s="32"/>
      <c r="R637" s="32"/>
      <c r="S637" s="41"/>
    </row>
    <row r="638" spans="1:19" s="30" customFormat="1" x14ac:dyDescent="0.25">
      <c r="A638" s="36"/>
      <c r="B638" s="31"/>
      <c r="C638" s="31"/>
      <c r="D638" s="32"/>
      <c r="H638" s="32"/>
      <c r="J638" s="32"/>
      <c r="K638" s="41"/>
      <c r="L638" s="32"/>
      <c r="N638" s="32"/>
      <c r="O638" s="41"/>
      <c r="P638" s="32"/>
      <c r="R638" s="32"/>
      <c r="S638" s="41"/>
    </row>
    <row r="639" spans="1:19" s="30" customFormat="1" x14ac:dyDescent="0.25">
      <c r="A639" s="36"/>
      <c r="B639" s="31"/>
      <c r="C639" s="31"/>
      <c r="D639" s="32"/>
      <c r="H639" s="32"/>
      <c r="J639" s="32"/>
      <c r="K639" s="41"/>
      <c r="L639" s="32"/>
      <c r="N639" s="32"/>
      <c r="O639" s="41"/>
      <c r="P639" s="32"/>
      <c r="R639" s="32"/>
      <c r="S639" s="41"/>
    </row>
    <row r="640" spans="1:19" s="30" customFormat="1" x14ac:dyDescent="0.25">
      <c r="A640" s="36"/>
      <c r="B640" s="31"/>
      <c r="C640" s="31"/>
      <c r="D640" s="32"/>
      <c r="H640" s="32"/>
      <c r="J640" s="32"/>
      <c r="K640" s="41"/>
      <c r="L640" s="32"/>
      <c r="N640" s="32"/>
      <c r="O640" s="41"/>
      <c r="P640" s="32"/>
      <c r="R640" s="32"/>
      <c r="S640" s="41"/>
    </row>
    <row r="641" spans="1:19" s="30" customFormat="1" x14ac:dyDescent="0.25">
      <c r="A641" s="36"/>
      <c r="B641" s="31"/>
      <c r="C641" s="31"/>
      <c r="D641" s="32"/>
      <c r="H641" s="32"/>
      <c r="J641" s="32"/>
      <c r="K641" s="41"/>
      <c r="L641" s="32"/>
      <c r="N641" s="32"/>
      <c r="O641" s="41"/>
      <c r="P641" s="32"/>
      <c r="R641" s="32"/>
      <c r="S641" s="41"/>
    </row>
    <row r="642" spans="1:19" s="30" customFormat="1" x14ac:dyDescent="0.25">
      <c r="A642" s="36"/>
      <c r="B642" s="31"/>
      <c r="C642" s="31"/>
      <c r="D642" s="32"/>
      <c r="H642" s="32"/>
      <c r="J642" s="32"/>
      <c r="K642" s="41"/>
      <c r="L642" s="32"/>
      <c r="N642" s="32"/>
      <c r="O642" s="41"/>
      <c r="P642" s="32"/>
      <c r="R642" s="32"/>
      <c r="S642" s="41"/>
    </row>
    <row r="643" spans="1:19" s="30" customFormat="1" x14ac:dyDescent="0.25">
      <c r="A643" s="36"/>
      <c r="B643" s="31"/>
      <c r="C643" s="31"/>
      <c r="D643" s="32"/>
      <c r="H643" s="32"/>
      <c r="J643" s="32"/>
      <c r="K643" s="41"/>
      <c r="L643" s="32"/>
      <c r="N643" s="32"/>
      <c r="O643" s="41"/>
      <c r="P643" s="32"/>
      <c r="R643" s="32"/>
      <c r="S643" s="41"/>
    </row>
    <row r="644" spans="1:19" s="30" customFormat="1" x14ac:dyDescent="0.25">
      <c r="A644" s="36"/>
      <c r="B644" s="31"/>
      <c r="C644" s="31"/>
      <c r="D644" s="32"/>
      <c r="H644" s="32"/>
      <c r="J644" s="32"/>
      <c r="K644" s="41"/>
      <c r="L644" s="32"/>
      <c r="N644" s="32"/>
      <c r="O644" s="41"/>
      <c r="P644" s="32"/>
      <c r="R644" s="32"/>
      <c r="S644" s="41"/>
    </row>
    <row r="645" spans="1:19" s="30" customFormat="1" x14ac:dyDescent="0.25">
      <c r="A645" s="36"/>
      <c r="B645" s="31"/>
      <c r="C645" s="31"/>
      <c r="D645" s="32"/>
      <c r="H645" s="32"/>
      <c r="J645" s="32"/>
      <c r="K645" s="41"/>
      <c r="L645" s="32"/>
      <c r="N645" s="32"/>
      <c r="O645" s="41"/>
      <c r="P645" s="32"/>
      <c r="R645" s="32"/>
      <c r="S645" s="41"/>
    </row>
    <row r="646" spans="1:19" s="30" customFormat="1" x14ac:dyDescent="0.25">
      <c r="A646" s="36"/>
      <c r="B646" s="31"/>
      <c r="C646" s="31"/>
      <c r="D646" s="32"/>
      <c r="H646" s="32"/>
      <c r="J646" s="32"/>
      <c r="K646" s="41"/>
      <c r="L646" s="32"/>
      <c r="N646" s="32"/>
      <c r="O646" s="41"/>
      <c r="P646" s="32"/>
      <c r="R646" s="32"/>
      <c r="S646" s="41"/>
    </row>
    <row r="647" spans="1:19" s="30" customFormat="1" x14ac:dyDescent="0.25">
      <c r="A647" s="36"/>
      <c r="B647" s="31"/>
      <c r="C647" s="31"/>
      <c r="D647" s="32"/>
      <c r="H647" s="32"/>
      <c r="J647" s="32"/>
      <c r="K647" s="41"/>
      <c r="L647" s="32"/>
      <c r="N647" s="32"/>
      <c r="O647" s="41"/>
      <c r="P647" s="32"/>
      <c r="R647" s="32"/>
      <c r="S647" s="41"/>
    </row>
    <row r="648" spans="1:19" s="30" customFormat="1" x14ac:dyDescent="0.25">
      <c r="A648" s="36"/>
      <c r="B648" s="31"/>
      <c r="C648" s="31"/>
      <c r="D648" s="32"/>
      <c r="H648" s="32"/>
      <c r="J648" s="32"/>
      <c r="K648" s="41"/>
      <c r="L648" s="32"/>
      <c r="N648" s="32"/>
      <c r="O648" s="41"/>
      <c r="P648" s="32"/>
      <c r="R648" s="32"/>
      <c r="S648" s="41"/>
    </row>
    <row r="649" spans="1:19" s="30" customFormat="1" x14ac:dyDescent="0.25">
      <c r="A649" s="36"/>
      <c r="B649" s="31"/>
      <c r="C649" s="31"/>
      <c r="D649" s="32"/>
      <c r="H649" s="32"/>
      <c r="J649" s="32"/>
      <c r="K649" s="41"/>
      <c r="L649" s="32"/>
      <c r="N649" s="32"/>
      <c r="O649" s="41"/>
      <c r="P649" s="32"/>
      <c r="R649" s="32"/>
      <c r="S649" s="41"/>
    </row>
    <row r="650" spans="1:19" s="30" customFormat="1" x14ac:dyDescent="0.25">
      <c r="A650" s="36"/>
      <c r="B650" s="31"/>
      <c r="C650" s="31"/>
      <c r="D650" s="32"/>
      <c r="H650" s="32"/>
      <c r="J650" s="32"/>
      <c r="K650" s="41"/>
      <c r="L650" s="32"/>
      <c r="N650" s="32"/>
      <c r="O650" s="41"/>
      <c r="P650" s="32"/>
      <c r="R650" s="32"/>
      <c r="S650" s="41"/>
    </row>
    <row r="651" spans="1:19" s="30" customFormat="1" x14ac:dyDescent="0.25">
      <c r="A651" s="36"/>
      <c r="B651" s="31"/>
      <c r="C651" s="31"/>
      <c r="D651" s="32"/>
      <c r="H651" s="32"/>
      <c r="J651" s="32"/>
      <c r="K651" s="41"/>
      <c r="L651" s="32"/>
      <c r="N651" s="32"/>
      <c r="O651" s="41"/>
      <c r="P651" s="32"/>
      <c r="R651" s="32"/>
      <c r="S651" s="41"/>
    </row>
    <row r="652" spans="1:19" s="30" customFormat="1" x14ac:dyDescent="0.25">
      <c r="A652" s="36"/>
      <c r="B652" s="31"/>
      <c r="C652" s="31"/>
      <c r="D652" s="32"/>
      <c r="H652" s="32"/>
      <c r="J652" s="32"/>
      <c r="K652" s="41"/>
      <c r="L652" s="32"/>
      <c r="N652" s="32"/>
      <c r="O652" s="41"/>
      <c r="P652" s="32"/>
      <c r="R652" s="32"/>
      <c r="S652" s="41"/>
    </row>
    <row r="653" spans="1:19" s="30" customFormat="1" x14ac:dyDescent="0.25">
      <c r="A653" s="36"/>
      <c r="B653" s="31"/>
      <c r="C653" s="31"/>
      <c r="D653" s="32"/>
      <c r="H653" s="32"/>
      <c r="J653" s="32"/>
      <c r="K653" s="41"/>
      <c r="L653" s="32"/>
      <c r="N653" s="32"/>
      <c r="O653" s="41"/>
      <c r="P653" s="32"/>
      <c r="R653" s="32"/>
      <c r="S653" s="41"/>
    </row>
    <row r="654" spans="1:19" s="30" customFormat="1" x14ac:dyDescent="0.25">
      <c r="A654" s="36"/>
      <c r="B654" s="31"/>
      <c r="C654" s="31"/>
      <c r="D654" s="32"/>
      <c r="H654" s="32"/>
      <c r="J654" s="32"/>
      <c r="K654" s="41"/>
      <c r="L654" s="32"/>
      <c r="N654" s="32"/>
      <c r="O654" s="41"/>
      <c r="P654" s="32"/>
      <c r="R654" s="32"/>
      <c r="S654" s="41"/>
    </row>
    <row r="655" spans="1:19" s="30" customFormat="1" x14ac:dyDescent="0.25">
      <c r="A655" s="36"/>
      <c r="B655" s="31"/>
      <c r="C655" s="31"/>
      <c r="D655" s="32"/>
      <c r="H655" s="32"/>
      <c r="J655" s="32"/>
      <c r="K655" s="41"/>
      <c r="L655" s="32"/>
      <c r="N655" s="32"/>
      <c r="O655" s="41"/>
      <c r="P655" s="32"/>
      <c r="R655" s="32"/>
      <c r="S655" s="41"/>
    </row>
    <row r="656" spans="1:19" s="30" customFormat="1" x14ac:dyDescent="0.25">
      <c r="A656" s="36"/>
      <c r="B656" s="31"/>
      <c r="C656" s="31"/>
      <c r="D656" s="32"/>
      <c r="H656" s="32"/>
      <c r="J656" s="32"/>
      <c r="K656" s="41"/>
      <c r="L656" s="32"/>
      <c r="N656" s="32"/>
      <c r="O656" s="41"/>
      <c r="P656" s="32"/>
      <c r="R656" s="32"/>
      <c r="S656" s="41"/>
    </row>
    <row r="657" spans="1:19" s="30" customFormat="1" x14ac:dyDescent="0.25">
      <c r="A657" s="36"/>
      <c r="B657" s="31"/>
      <c r="C657" s="31"/>
      <c r="D657" s="32"/>
      <c r="H657" s="32"/>
      <c r="J657" s="32"/>
      <c r="K657" s="41"/>
      <c r="L657" s="32"/>
      <c r="N657" s="32"/>
      <c r="O657" s="41"/>
      <c r="P657" s="32"/>
      <c r="R657" s="32"/>
      <c r="S657" s="41"/>
    </row>
    <row r="658" spans="1:19" s="30" customFormat="1" x14ac:dyDescent="0.25">
      <c r="A658" s="36"/>
      <c r="B658" s="31"/>
      <c r="C658" s="31"/>
      <c r="D658" s="32"/>
      <c r="H658" s="32"/>
      <c r="J658" s="32"/>
      <c r="K658" s="41"/>
      <c r="L658" s="32"/>
      <c r="N658" s="32"/>
      <c r="O658" s="41"/>
      <c r="P658" s="32"/>
      <c r="R658" s="32"/>
      <c r="S658" s="41"/>
    </row>
    <row r="659" spans="1:19" s="30" customFormat="1" x14ac:dyDescent="0.25">
      <c r="A659" s="36"/>
      <c r="B659" s="31"/>
      <c r="C659" s="31"/>
      <c r="D659" s="32"/>
      <c r="H659" s="32"/>
      <c r="J659" s="32"/>
      <c r="K659" s="41"/>
      <c r="L659" s="32"/>
      <c r="N659" s="32"/>
      <c r="O659" s="41"/>
      <c r="P659" s="32"/>
      <c r="R659" s="32"/>
      <c r="S659" s="41"/>
    </row>
    <row r="660" spans="1:19" s="30" customFormat="1" x14ac:dyDescent="0.25">
      <c r="A660" s="36"/>
      <c r="B660" s="31"/>
      <c r="C660" s="31"/>
      <c r="D660" s="32"/>
      <c r="H660" s="32"/>
      <c r="J660" s="32"/>
      <c r="K660" s="41"/>
      <c r="L660" s="32"/>
      <c r="N660" s="32"/>
      <c r="O660" s="41"/>
      <c r="P660" s="32"/>
      <c r="R660" s="32"/>
      <c r="S660" s="41"/>
    </row>
    <row r="661" spans="1:19" s="30" customFormat="1" x14ac:dyDescent="0.25">
      <c r="A661" s="36"/>
      <c r="B661" s="31"/>
      <c r="C661" s="31"/>
      <c r="D661" s="32"/>
      <c r="H661" s="32"/>
      <c r="J661" s="32"/>
      <c r="K661" s="41"/>
      <c r="L661" s="32"/>
      <c r="N661" s="32"/>
      <c r="O661" s="41"/>
      <c r="P661" s="32"/>
      <c r="R661" s="32"/>
      <c r="S661" s="41"/>
    </row>
    <row r="662" spans="1:19" s="30" customFormat="1" x14ac:dyDescent="0.25">
      <c r="A662" s="36"/>
      <c r="B662" s="31"/>
      <c r="C662" s="31"/>
      <c r="D662" s="32"/>
      <c r="H662" s="32"/>
      <c r="J662" s="32"/>
      <c r="K662" s="41"/>
      <c r="L662" s="32"/>
      <c r="N662" s="32"/>
      <c r="O662" s="41"/>
      <c r="P662" s="32"/>
      <c r="R662" s="32"/>
      <c r="S662" s="41"/>
    </row>
    <row r="663" spans="1:19" s="30" customFormat="1" x14ac:dyDescent="0.25">
      <c r="A663" s="36"/>
      <c r="B663" s="31"/>
      <c r="C663" s="31"/>
      <c r="D663" s="32"/>
      <c r="H663" s="32"/>
      <c r="J663" s="32"/>
      <c r="K663" s="41"/>
      <c r="L663" s="32"/>
      <c r="N663" s="32"/>
      <c r="O663" s="41"/>
      <c r="P663" s="32"/>
      <c r="R663" s="32"/>
      <c r="S663" s="41"/>
    </row>
    <row r="664" spans="1:19" s="30" customFormat="1" x14ac:dyDescent="0.25">
      <c r="A664" s="36"/>
      <c r="B664" s="31"/>
      <c r="C664" s="31"/>
      <c r="D664" s="32"/>
      <c r="H664" s="32"/>
      <c r="J664" s="32"/>
      <c r="K664" s="41"/>
      <c r="L664" s="32"/>
      <c r="N664" s="32"/>
      <c r="O664" s="41"/>
      <c r="P664" s="32"/>
      <c r="R664" s="32"/>
      <c r="S664" s="41"/>
    </row>
    <row r="665" spans="1:19" s="30" customFormat="1" x14ac:dyDescent="0.25">
      <c r="A665" s="36"/>
      <c r="B665" s="31"/>
      <c r="C665" s="31"/>
      <c r="D665" s="32"/>
      <c r="H665" s="32"/>
      <c r="J665" s="32"/>
      <c r="K665" s="41"/>
      <c r="L665" s="32"/>
      <c r="N665" s="32"/>
      <c r="O665" s="41"/>
      <c r="P665" s="32"/>
      <c r="R665" s="32"/>
      <c r="S665" s="41"/>
    </row>
    <row r="666" spans="1:19" s="30" customFormat="1" x14ac:dyDescent="0.25">
      <c r="A666" s="36"/>
      <c r="B666" s="31"/>
      <c r="C666" s="31"/>
      <c r="D666" s="32"/>
      <c r="H666" s="32"/>
      <c r="J666" s="32"/>
      <c r="K666" s="41"/>
      <c r="L666" s="32"/>
      <c r="N666" s="32"/>
      <c r="O666" s="41"/>
      <c r="P666" s="32"/>
      <c r="R666" s="32"/>
      <c r="S666" s="41"/>
    </row>
    <row r="667" spans="1:19" s="30" customFormat="1" x14ac:dyDescent="0.25">
      <c r="A667" s="36"/>
      <c r="B667" s="31"/>
      <c r="C667" s="31"/>
      <c r="D667" s="32"/>
      <c r="H667" s="32"/>
      <c r="J667" s="32"/>
      <c r="K667" s="41"/>
      <c r="L667" s="32"/>
      <c r="N667" s="32"/>
      <c r="O667" s="41"/>
      <c r="P667" s="32"/>
      <c r="R667" s="32"/>
      <c r="S667" s="41"/>
    </row>
    <row r="668" spans="1:19" s="30" customFormat="1" x14ac:dyDescent="0.25">
      <c r="A668" s="36"/>
      <c r="B668" s="31"/>
      <c r="C668" s="31"/>
      <c r="D668" s="32"/>
      <c r="H668" s="32"/>
      <c r="J668" s="32"/>
      <c r="K668" s="41"/>
      <c r="L668" s="32"/>
      <c r="N668" s="32"/>
      <c r="O668" s="41"/>
      <c r="P668" s="32"/>
      <c r="R668" s="32"/>
      <c r="S668" s="41"/>
    </row>
    <row r="669" spans="1:19" s="30" customFormat="1" x14ac:dyDescent="0.25">
      <c r="A669" s="36"/>
      <c r="B669" s="31"/>
      <c r="C669" s="31"/>
      <c r="D669" s="32"/>
      <c r="H669" s="32"/>
      <c r="J669" s="32"/>
      <c r="K669" s="41"/>
      <c r="L669" s="32"/>
      <c r="N669" s="32"/>
      <c r="O669" s="41"/>
      <c r="P669" s="32"/>
      <c r="R669" s="32"/>
      <c r="S669" s="41"/>
    </row>
    <row r="670" spans="1:19" s="30" customFormat="1" x14ac:dyDescent="0.25">
      <c r="A670" s="36"/>
      <c r="B670" s="31"/>
      <c r="C670" s="31"/>
      <c r="D670" s="32"/>
      <c r="H670" s="32"/>
      <c r="J670" s="32"/>
      <c r="K670" s="41"/>
      <c r="L670" s="32"/>
      <c r="N670" s="32"/>
      <c r="O670" s="41"/>
      <c r="P670" s="32"/>
      <c r="R670" s="32"/>
      <c r="S670" s="41"/>
    </row>
    <row r="671" spans="1:19" s="30" customFormat="1" x14ac:dyDescent="0.25">
      <c r="A671" s="36"/>
      <c r="B671" s="31"/>
      <c r="C671" s="31"/>
      <c r="D671" s="32"/>
      <c r="H671" s="32"/>
      <c r="J671" s="32"/>
      <c r="K671" s="41"/>
      <c r="L671" s="32"/>
      <c r="N671" s="32"/>
      <c r="O671" s="41"/>
      <c r="P671" s="32"/>
      <c r="R671" s="32"/>
      <c r="S671" s="41"/>
    </row>
    <row r="672" spans="1:19" s="30" customFormat="1" x14ac:dyDescent="0.25">
      <c r="A672" s="36"/>
      <c r="B672" s="31"/>
      <c r="C672" s="31"/>
      <c r="D672" s="32"/>
      <c r="H672" s="32"/>
      <c r="J672" s="32"/>
      <c r="K672" s="41"/>
      <c r="L672" s="32"/>
      <c r="N672" s="32"/>
      <c r="O672" s="41"/>
      <c r="P672" s="32"/>
      <c r="R672" s="32"/>
      <c r="S672" s="41"/>
    </row>
    <row r="673" spans="1:19" s="30" customFormat="1" x14ac:dyDescent="0.25">
      <c r="A673" s="36"/>
      <c r="B673" s="31"/>
      <c r="C673" s="31"/>
      <c r="D673" s="32"/>
      <c r="H673" s="32"/>
      <c r="J673" s="32"/>
      <c r="K673" s="41"/>
      <c r="L673" s="32"/>
      <c r="N673" s="32"/>
      <c r="O673" s="41"/>
      <c r="P673" s="32"/>
      <c r="R673" s="32"/>
      <c r="S673" s="41"/>
    </row>
    <row r="674" spans="1:19" s="30" customFormat="1" x14ac:dyDescent="0.25">
      <c r="A674" s="36"/>
      <c r="B674" s="31"/>
      <c r="C674" s="31"/>
      <c r="D674" s="32"/>
      <c r="H674" s="32"/>
      <c r="J674" s="32"/>
      <c r="K674" s="41"/>
      <c r="L674" s="32"/>
      <c r="N674" s="32"/>
      <c r="O674" s="41"/>
      <c r="P674" s="32"/>
      <c r="R674" s="32"/>
      <c r="S674" s="41"/>
    </row>
    <row r="675" spans="1:19" s="30" customFormat="1" x14ac:dyDescent="0.25">
      <c r="A675" s="36"/>
      <c r="B675" s="31"/>
      <c r="C675" s="31"/>
      <c r="D675" s="32"/>
      <c r="H675" s="32"/>
      <c r="J675" s="32"/>
      <c r="K675" s="41"/>
      <c r="L675" s="32"/>
      <c r="N675" s="32"/>
      <c r="O675" s="41"/>
      <c r="P675" s="32"/>
      <c r="R675" s="32"/>
      <c r="S675" s="41"/>
    </row>
    <row r="676" spans="1:19" s="30" customFormat="1" x14ac:dyDescent="0.25">
      <c r="A676" s="36"/>
      <c r="B676" s="31"/>
      <c r="C676" s="31"/>
      <c r="D676" s="32"/>
      <c r="H676" s="32"/>
      <c r="J676" s="32"/>
      <c r="K676" s="41"/>
      <c r="L676" s="32"/>
      <c r="N676" s="32"/>
      <c r="O676" s="41"/>
      <c r="P676" s="32"/>
      <c r="R676" s="32"/>
      <c r="S676" s="41"/>
    </row>
    <row r="677" spans="1:19" s="30" customFormat="1" x14ac:dyDescent="0.25">
      <c r="A677" s="36"/>
      <c r="B677" s="31"/>
      <c r="C677" s="31"/>
      <c r="D677" s="32"/>
      <c r="H677" s="32"/>
      <c r="J677" s="32"/>
      <c r="K677" s="41"/>
      <c r="L677" s="32"/>
      <c r="N677" s="32"/>
      <c r="O677" s="41"/>
      <c r="P677" s="32"/>
      <c r="R677" s="32"/>
      <c r="S677" s="41"/>
    </row>
    <row r="678" spans="1:19" s="30" customFormat="1" x14ac:dyDescent="0.25">
      <c r="A678" s="36"/>
      <c r="B678" s="31"/>
      <c r="C678" s="31"/>
      <c r="D678" s="32"/>
      <c r="H678" s="32"/>
      <c r="J678" s="32"/>
      <c r="K678" s="41"/>
      <c r="L678" s="32"/>
      <c r="N678" s="32"/>
      <c r="O678" s="41"/>
      <c r="P678" s="32"/>
      <c r="R678" s="32"/>
      <c r="S678" s="41"/>
    </row>
    <row r="679" spans="1:19" s="30" customFormat="1" x14ac:dyDescent="0.25">
      <c r="A679" s="36"/>
      <c r="B679" s="31"/>
      <c r="C679" s="31"/>
      <c r="D679" s="32"/>
      <c r="H679" s="32"/>
      <c r="J679" s="32"/>
      <c r="K679" s="41"/>
      <c r="L679" s="32"/>
      <c r="N679" s="32"/>
      <c r="O679" s="41"/>
      <c r="P679" s="32"/>
      <c r="R679" s="32"/>
      <c r="S679" s="41"/>
    </row>
    <row r="680" spans="1:19" s="30" customFormat="1" x14ac:dyDescent="0.25">
      <c r="A680" s="36"/>
      <c r="B680" s="31"/>
      <c r="C680" s="31"/>
      <c r="D680" s="32"/>
      <c r="H680" s="32"/>
      <c r="J680" s="32"/>
      <c r="K680" s="41"/>
      <c r="L680" s="32"/>
      <c r="N680" s="32"/>
      <c r="O680" s="41"/>
      <c r="P680" s="32"/>
      <c r="R680" s="32"/>
      <c r="S680" s="41"/>
    </row>
    <row r="681" spans="1:19" s="30" customFormat="1" x14ac:dyDescent="0.25">
      <c r="A681" s="36"/>
      <c r="B681" s="31"/>
      <c r="C681" s="31"/>
      <c r="D681" s="32"/>
      <c r="H681" s="32"/>
      <c r="J681" s="32"/>
      <c r="K681" s="41"/>
      <c r="L681" s="32"/>
      <c r="N681" s="32"/>
      <c r="O681" s="41"/>
      <c r="P681" s="32"/>
      <c r="R681" s="32"/>
      <c r="S681" s="41"/>
    </row>
    <row r="682" spans="1:19" s="30" customFormat="1" x14ac:dyDescent="0.25">
      <c r="A682" s="36"/>
      <c r="B682" s="31"/>
      <c r="C682" s="31"/>
      <c r="D682" s="32"/>
      <c r="H682" s="32"/>
      <c r="J682" s="32"/>
      <c r="K682" s="41"/>
      <c r="L682" s="32"/>
      <c r="N682" s="32"/>
      <c r="O682" s="41"/>
      <c r="P682" s="32"/>
      <c r="R682" s="32"/>
      <c r="S682" s="41"/>
    </row>
    <row r="683" spans="1:19" s="30" customFormat="1" x14ac:dyDescent="0.25">
      <c r="A683" s="36"/>
      <c r="B683" s="31"/>
      <c r="C683" s="31"/>
      <c r="D683" s="32"/>
      <c r="H683" s="32"/>
      <c r="J683" s="32"/>
      <c r="K683" s="41"/>
      <c r="L683" s="32"/>
      <c r="N683" s="32"/>
      <c r="O683" s="41"/>
      <c r="P683" s="32"/>
      <c r="R683" s="32"/>
      <c r="S683" s="41"/>
    </row>
    <row r="684" spans="1:19" s="30" customFormat="1" x14ac:dyDescent="0.25">
      <c r="A684" s="36"/>
      <c r="B684" s="31"/>
      <c r="C684" s="31"/>
      <c r="D684" s="32"/>
      <c r="H684" s="32"/>
      <c r="J684" s="32"/>
      <c r="K684" s="41"/>
      <c r="L684" s="32"/>
      <c r="N684" s="32"/>
      <c r="O684" s="41"/>
      <c r="P684" s="32"/>
      <c r="R684" s="32"/>
      <c r="S684" s="41"/>
    </row>
    <row r="685" spans="1:19" s="30" customFormat="1" x14ac:dyDescent="0.25">
      <c r="A685" s="36"/>
      <c r="B685" s="31"/>
      <c r="C685" s="31"/>
      <c r="D685" s="32"/>
      <c r="H685" s="32"/>
      <c r="J685" s="32"/>
      <c r="K685" s="41"/>
      <c r="L685" s="32"/>
      <c r="N685" s="32"/>
      <c r="O685" s="41"/>
      <c r="P685" s="32"/>
      <c r="R685" s="32"/>
      <c r="S685" s="41"/>
    </row>
    <row r="686" spans="1:19" s="30" customFormat="1" x14ac:dyDescent="0.25">
      <c r="A686" s="36"/>
      <c r="B686" s="31"/>
      <c r="C686" s="31"/>
      <c r="D686" s="32"/>
      <c r="H686" s="32"/>
      <c r="J686" s="32"/>
      <c r="K686" s="41"/>
      <c r="L686" s="32"/>
      <c r="N686" s="32"/>
      <c r="O686" s="41"/>
      <c r="P686" s="32"/>
      <c r="R686" s="32"/>
      <c r="S686" s="41"/>
    </row>
    <row r="687" spans="1:19" s="30" customFormat="1" x14ac:dyDescent="0.25">
      <c r="A687" s="36"/>
      <c r="B687" s="31"/>
      <c r="C687" s="31"/>
      <c r="D687" s="32"/>
      <c r="H687" s="32"/>
      <c r="J687" s="32"/>
      <c r="K687" s="41"/>
      <c r="L687" s="32"/>
      <c r="N687" s="32"/>
      <c r="O687" s="41"/>
      <c r="P687" s="32"/>
      <c r="R687" s="32"/>
      <c r="S687" s="41"/>
    </row>
    <row r="688" spans="1:19" s="30" customFormat="1" x14ac:dyDescent="0.25">
      <c r="A688" s="36"/>
      <c r="B688" s="31"/>
      <c r="C688" s="31"/>
      <c r="D688" s="32"/>
      <c r="H688" s="32"/>
      <c r="J688" s="32"/>
      <c r="K688" s="41"/>
      <c r="L688" s="32"/>
      <c r="N688" s="32"/>
      <c r="O688" s="41"/>
      <c r="P688" s="32"/>
      <c r="R688" s="32"/>
      <c r="S688" s="41"/>
    </row>
    <row r="689" spans="1:19" s="30" customFormat="1" x14ac:dyDescent="0.25">
      <c r="A689" s="36"/>
      <c r="B689" s="31"/>
      <c r="C689" s="31"/>
      <c r="D689" s="32"/>
      <c r="H689" s="32"/>
      <c r="J689" s="32"/>
      <c r="K689" s="41"/>
      <c r="L689" s="32"/>
      <c r="N689" s="32"/>
      <c r="O689" s="41"/>
      <c r="P689" s="32"/>
      <c r="R689" s="32"/>
      <c r="S689" s="41"/>
    </row>
    <row r="690" spans="1:19" s="30" customFormat="1" x14ac:dyDescent="0.25">
      <c r="A690" s="36"/>
      <c r="B690" s="31"/>
      <c r="C690" s="31"/>
      <c r="D690" s="32"/>
      <c r="H690" s="32"/>
      <c r="J690" s="32"/>
      <c r="K690" s="41"/>
      <c r="L690" s="32"/>
      <c r="N690" s="32"/>
      <c r="O690" s="41"/>
      <c r="P690" s="32"/>
      <c r="R690" s="32"/>
      <c r="S690" s="41"/>
    </row>
    <row r="691" spans="1:19" s="30" customFormat="1" x14ac:dyDescent="0.25">
      <c r="A691" s="36"/>
      <c r="B691" s="31"/>
      <c r="C691" s="31"/>
      <c r="D691" s="32"/>
      <c r="H691" s="32"/>
      <c r="J691" s="32"/>
      <c r="K691" s="41"/>
      <c r="L691" s="32"/>
      <c r="N691" s="32"/>
      <c r="O691" s="41"/>
      <c r="P691" s="32"/>
      <c r="R691" s="32"/>
      <c r="S691" s="41"/>
    </row>
    <row r="692" spans="1:19" s="30" customFormat="1" x14ac:dyDescent="0.25">
      <c r="A692" s="36"/>
      <c r="B692" s="31"/>
      <c r="C692" s="31"/>
      <c r="D692" s="32"/>
      <c r="H692" s="32"/>
      <c r="J692" s="32"/>
      <c r="K692" s="41"/>
      <c r="L692" s="32"/>
      <c r="N692" s="32"/>
      <c r="O692" s="41"/>
      <c r="P692" s="32"/>
      <c r="R692" s="32"/>
      <c r="S692" s="41"/>
    </row>
    <row r="693" spans="1:19" s="30" customFormat="1" x14ac:dyDescent="0.25">
      <c r="A693" s="36"/>
      <c r="B693" s="31"/>
      <c r="C693" s="31"/>
      <c r="D693" s="32"/>
      <c r="H693" s="32"/>
      <c r="J693" s="32"/>
      <c r="K693" s="41"/>
      <c r="L693" s="32"/>
      <c r="N693" s="32"/>
      <c r="O693" s="41"/>
      <c r="P693" s="32"/>
      <c r="R693" s="32"/>
      <c r="S693" s="41"/>
    </row>
    <row r="694" spans="1:19" s="30" customFormat="1" x14ac:dyDescent="0.25">
      <c r="A694" s="36"/>
      <c r="B694" s="31"/>
      <c r="C694" s="31"/>
      <c r="D694" s="32"/>
      <c r="H694" s="32"/>
      <c r="J694" s="32"/>
      <c r="K694" s="41"/>
      <c r="L694" s="32"/>
      <c r="N694" s="32"/>
      <c r="O694" s="41"/>
      <c r="P694" s="32"/>
      <c r="R694" s="32"/>
      <c r="S694" s="41"/>
    </row>
    <row r="695" spans="1:19" s="30" customFormat="1" x14ac:dyDescent="0.25">
      <c r="A695" s="36"/>
      <c r="B695" s="31"/>
      <c r="C695" s="31"/>
      <c r="D695" s="32"/>
      <c r="H695" s="32"/>
      <c r="J695" s="32"/>
      <c r="K695" s="41"/>
      <c r="L695" s="32"/>
      <c r="N695" s="32"/>
      <c r="O695" s="41"/>
      <c r="P695" s="32"/>
      <c r="R695" s="32"/>
      <c r="S695" s="41"/>
    </row>
    <row r="696" spans="1:19" s="30" customFormat="1" x14ac:dyDescent="0.25">
      <c r="A696" s="36"/>
      <c r="B696" s="31"/>
      <c r="C696" s="31"/>
      <c r="D696" s="32"/>
      <c r="H696" s="32"/>
      <c r="J696" s="32"/>
      <c r="K696" s="41"/>
      <c r="L696" s="32"/>
      <c r="N696" s="32"/>
      <c r="O696" s="41"/>
      <c r="P696" s="32"/>
      <c r="R696" s="32"/>
      <c r="S696" s="41"/>
    </row>
    <row r="697" spans="1:19" s="30" customFormat="1" x14ac:dyDescent="0.25">
      <c r="A697" s="36"/>
      <c r="B697" s="31"/>
      <c r="C697" s="31"/>
      <c r="D697" s="32"/>
      <c r="H697" s="32"/>
      <c r="J697" s="32"/>
      <c r="K697" s="41"/>
      <c r="L697" s="32"/>
      <c r="N697" s="32"/>
      <c r="O697" s="41"/>
      <c r="P697" s="32"/>
      <c r="R697" s="32"/>
      <c r="S697" s="41"/>
    </row>
    <row r="698" spans="1:19" s="30" customFormat="1" x14ac:dyDescent="0.25">
      <c r="A698" s="36"/>
      <c r="B698" s="31"/>
      <c r="C698" s="31"/>
      <c r="D698" s="32"/>
      <c r="H698" s="32"/>
      <c r="J698" s="32"/>
      <c r="K698" s="41"/>
      <c r="L698" s="32"/>
      <c r="N698" s="32"/>
      <c r="O698" s="41"/>
      <c r="P698" s="32"/>
      <c r="R698" s="32"/>
      <c r="S698" s="41"/>
    </row>
    <row r="699" spans="1:19" s="30" customFormat="1" x14ac:dyDescent="0.25">
      <c r="A699" s="36"/>
      <c r="B699" s="31"/>
      <c r="C699" s="31"/>
      <c r="D699" s="32"/>
      <c r="H699" s="32"/>
      <c r="J699" s="32"/>
      <c r="K699" s="41"/>
      <c r="L699" s="32"/>
      <c r="N699" s="32"/>
      <c r="O699" s="41"/>
      <c r="P699" s="32"/>
      <c r="R699" s="32"/>
      <c r="S699" s="41"/>
    </row>
    <row r="700" spans="1:19" s="30" customFormat="1" x14ac:dyDescent="0.25">
      <c r="A700" s="36"/>
      <c r="B700" s="31"/>
      <c r="C700" s="31"/>
      <c r="D700" s="32"/>
      <c r="H700" s="32"/>
      <c r="J700" s="32"/>
      <c r="K700" s="41"/>
      <c r="L700" s="32"/>
      <c r="N700" s="32"/>
      <c r="O700" s="41"/>
      <c r="P700" s="32"/>
      <c r="R700" s="32"/>
      <c r="S700" s="41"/>
    </row>
    <row r="701" spans="1:19" s="30" customFormat="1" x14ac:dyDescent="0.25">
      <c r="A701" s="36"/>
      <c r="B701" s="31"/>
      <c r="C701" s="31"/>
      <c r="D701" s="32"/>
      <c r="H701" s="32"/>
      <c r="J701" s="32"/>
      <c r="K701" s="41"/>
      <c r="L701" s="32"/>
      <c r="N701" s="32"/>
      <c r="O701" s="41"/>
      <c r="P701" s="32"/>
      <c r="R701" s="32"/>
      <c r="S701" s="41"/>
    </row>
    <row r="702" spans="1:19" s="30" customFormat="1" x14ac:dyDescent="0.25">
      <c r="A702" s="36"/>
      <c r="B702" s="31"/>
      <c r="C702" s="31"/>
      <c r="D702" s="32"/>
      <c r="H702" s="32"/>
      <c r="J702" s="32"/>
      <c r="K702" s="41"/>
      <c r="L702" s="32"/>
      <c r="N702" s="32"/>
      <c r="O702" s="41"/>
      <c r="P702" s="32"/>
      <c r="R702" s="32"/>
      <c r="S702" s="41"/>
    </row>
    <row r="703" spans="1:19" s="30" customFormat="1" x14ac:dyDescent="0.25">
      <c r="A703" s="36"/>
      <c r="B703" s="31"/>
      <c r="C703" s="31"/>
      <c r="D703" s="32"/>
      <c r="H703" s="32"/>
      <c r="J703" s="32"/>
      <c r="K703" s="41"/>
      <c r="L703" s="32"/>
      <c r="N703" s="32"/>
      <c r="O703" s="41"/>
      <c r="P703" s="32"/>
      <c r="R703" s="32"/>
      <c r="S703" s="41"/>
    </row>
    <row r="704" spans="1:19" s="30" customFormat="1" x14ac:dyDescent="0.25">
      <c r="A704" s="36"/>
      <c r="B704" s="31"/>
      <c r="C704" s="31"/>
      <c r="D704" s="32"/>
      <c r="H704" s="32"/>
      <c r="J704" s="32"/>
      <c r="K704" s="41"/>
      <c r="L704" s="32"/>
      <c r="N704" s="32"/>
      <c r="O704" s="41"/>
      <c r="P704" s="32"/>
      <c r="R704" s="32"/>
      <c r="S704" s="41"/>
    </row>
    <row r="705" spans="1:19" s="30" customFormat="1" x14ac:dyDescent="0.25">
      <c r="A705" s="36"/>
      <c r="B705" s="31"/>
      <c r="C705" s="31"/>
      <c r="D705" s="32"/>
      <c r="H705" s="32"/>
      <c r="J705" s="32"/>
      <c r="K705" s="41"/>
      <c r="L705" s="32"/>
      <c r="N705" s="32"/>
      <c r="O705" s="41"/>
      <c r="P705" s="32"/>
      <c r="R705" s="32"/>
      <c r="S705" s="41"/>
    </row>
    <row r="706" spans="1:19" s="30" customFormat="1" x14ac:dyDescent="0.25">
      <c r="A706" s="36"/>
      <c r="B706" s="31"/>
      <c r="C706" s="31"/>
      <c r="D706" s="32"/>
      <c r="H706" s="32"/>
      <c r="J706" s="32"/>
      <c r="K706" s="41"/>
      <c r="L706" s="32"/>
      <c r="N706" s="32"/>
      <c r="O706" s="41"/>
      <c r="P706" s="32"/>
      <c r="R706" s="32"/>
      <c r="S706" s="41"/>
    </row>
    <row r="707" spans="1:19" s="30" customFormat="1" x14ac:dyDescent="0.25">
      <c r="A707" s="36"/>
      <c r="B707" s="31"/>
      <c r="C707" s="31"/>
      <c r="D707" s="32"/>
      <c r="H707" s="32"/>
      <c r="J707" s="32"/>
      <c r="K707" s="41"/>
      <c r="L707" s="32"/>
      <c r="N707" s="32"/>
      <c r="O707" s="41"/>
      <c r="P707" s="32"/>
      <c r="R707" s="32"/>
      <c r="S707" s="41"/>
    </row>
    <row r="708" spans="1:19" s="30" customFormat="1" x14ac:dyDescent="0.25">
      <c r="A708" s="36"/>
      <c r="B708" s="31"/>
      <c r="C708" s="31"/>
      <c r="D708" s="32"/>
      <c r="H708" s="32"/>
      <c r="J708" s="32"/>
      <c r="K708" s="41"/>
      <c r="L708" s="32"/>
      <c r="N708" s="32"/>
      <c r="O708" s="41"/>
      <c r="P708" s="32"/>
      <c r="R708" s="32"/>
      <c r="S708" s="41"/>
    </row>
    <row r="709" spans="1:19" s="30" customFormat="1" x14ac:dyDescent="0.25">
      <c r="A709" s="36"/>
      <c r="B709" s="31"/>
      <c r="C709" s="31"/>
      <c r="D709" s="32"/>
      <c r="H709" s="32"/>
      <c r="J709" s="32"/>
      <c r="K709" s="41"/>
      <c r="L709" s="32"/>
      <c r="N709" s="32"/>
      <c r="O709" s="41"/>
      <c r="P709" s="32"/>
      <c r="R709" s="32"/>
      <c r="S709" s="41"/>
    </row>
    <row r="710" spans="1:19" s="30" customFormat="1" x14ac:dyDescent="0.25">
      <c r="A710" s="36"/>
      <c r="B710" s="31"/>
      <c r="C710" s="31"/>
      <c r="D710" s="32"/>
      <c r="H710" s="32"/>
      <c r="J710" s="32"/>
      <c r="K710" s="41"/>
      <c r="L710" s="32"/>
      <c r="N710" s="32"/>
      <c r="O710" s="41"/>
      <c r="P710" s="32"/>
      <c r="R710" s="32"/>
      <c r="S710" s="41"/>
    </row>
    <row r="711" spans="1:19" s="30" customFormat="1" x14ac:dyDescent="0.25">
      <c r="A711" s="36"/>
      <c r="B711" s="31"/>
      <c r="C711" s="31"/>
      <c r="D711" s="32"/>
      <c r="H711" s="32"/>
      <c r="J711" s="32"/>
      <c r="K711" s="41"/>
      <c r="L711" s="32"/>
      <c r="N711" s="32"/>
      <c r="O711" s="41"/>
      <c r="P711" s="32"/>
      <c r="R711" s="32"/>
      <c r="S711" s="41"/>
    </row>
    <row r="712" spans="1:19" s="30" customFormat="1" x14ac:dyDescent="0.25">
      <c r="A712" s="36"/>
      <c r="B712" s="31"/>
      <c r="C712" s="31"/>
      <c r="D712" s="32"/>
      <c r="H712" s="32"/>
      <c r="J712" s="32"/>
      <c r="K712" s="41"/>
      <c r="L712" s="32"/>
      <c r="N712" s="32"/>
      <c r="O712" s="41"/>
      <c r="P712" s="32"/>
      <c r="R712" s="32"/>
      <c r="S712" s="41"/>
    </row>
    <row r="713" spans="1:19" s="30" customFormat="1" x14ac:dyDescent="0.25">
      <c r="A713" s="36"/>
      <c r="B713" s="31"/>
      <c r="C713" s="31"/>
      <c r="D713" s="32"/>
      <c r="H713" s="32"/>
      <c r="J713" s="32"/>
      <c r="K713" s="41"/>
      <c r="L713" s="32"/>
      <c r="N713" s="32"/>
      <c r="O713" s="41"/>
      <c r="P713" s="32"/>
      <c r="R713" s="32"/>
      <c r="S713" s="41"/>
    </row>
    <row r="714" spans="1:19" s="30" customFormat="1" x14ac:dyDescent="0.25">
      <c r="A714" s="36"/>
      <c r="B714" s="31"/>
      <c r="C714" s="31"/>
      <c r="D714" s="32"/>
      <c r="H714" s="32"/>
      <c r="J714" s="32"/>
      <c r="K714" s="41"/>
      <c r="L714" s="32"/>
      <c r="N714" s="32"/>
      <c r="O714" s="41"/>
      <c r="P714" s="32"/>
      <c r="R714" s="32"/>
      <c r="S714" s="41"/>
    </row>
    <row r="715" spans="1:19" s="30" customFormat="1" x14ac:dyDescent="0.25">
      <c r="A715" s="36"/>
      <c r="B715" s="31"/>
      <c r="C715" s="31"/>
      <c r="D715" s="32"/>
      <c r="H715" s="32"/>
      <c r="J715" s="32"/>
      <c r="K715" s="41"/>
      <c r="L715" s="32"/>
      <c r="N715" s="32"/>
      <c r="O715" s="41"/>
      <c r="P715" s="32"/>
      <c r="R715" s="32"/>
      <c r="S715" s="41"/>
    </row>
    <row r="716" spans="1:19" s="30" customFormat="1" x14ac:dyDescent="0.25">
      <c r="A716" s="36"/>
      <c r="B716" s="31"/>
      <c r="C716" s="31"/>
      <c r="D716" s="32"/>
      <c r="H716" s="32"/>
      <c r="J716" s="32"/>
      <c r="K716" s="41"/>
      <c r="L716" s="32"/>
      <c r="N716" s="32"/>
      <c r="O716" s="41"/>
      <c r="P716" s="32"/>
      <c r="R716" s="32"/>
      <c r="S716" s="41"/>
    </row>
    <row r="717" spans="1:19" s="30" customFormat="1" x14ac:dyDescent="0.25">
      <c r="A717" s="36"/>
      <c r="B717" s="31"/>
      <c r="C717" s="31"/>
      <c r="D717" s="32"/>
      <c r="H717" s="32"/>
      <c r="J717" s="32"/>
      <c r="K717" s="41"/>
      <c r="L717" s="32"/>
      <c r="N717" s="32"/>
      <c r="O717" s="41"/>
      <c r="P717" s="32"/>
      <c r="R717" s="32"/>
      <c r="S717" s="41"/>
    </row>
    <row r="718" spans="1:19" s="30" customFormat="1" x14ac:dyDescent="0.25">
      <c r="A718" s="36"/>
      <c r="B718" s="31"/>
      <c r="C718" s="31"/>
      <c r="D718" s="32"/>
      <c r="H718" s="32"/>
      <c r="J718" s="32"/>
      <c r="K718" s="41"/>
      <c r="L718" s="32"/>
      <c r="N718" s="32"/>
      <c r="O718" s="41"/>
      <c r="P718" s="32"/>
      <c r="R718" s="32"/>
      <c r="S718" s="41"/>
    </row>
    <row r="719" spans="1:19" s="30" customFormat="1" x14ac:dyDescent="0.25">
      <c r="A719" s="36"/>
      <c r="B719" s="31"/>
      <c r="C719" s="31"/>
      <c r="D719" s="32"/>
      <c r="H719" s="32"/>
      <c r="J719" s="32"/>
      <c r="K719" s="41"/>
      <c r="L719" s="32"/>
      <c r="N719" s="32"/>
      <c r="O719" s="41"/>
      <c r="P719" s="32"/>
      <c r="R719" s="32"/>
      <c r="S719" s="41"/>
    </row>
    <row r="720" spans="1:19" s="30" customFormat="1" x14ac:dyDescent="0.25">
      <c r="A720" s="36"/>
      <c r="B720" s="31"/>
      <c r="C720" s="31"/>
      <c r="D720" s="32"/>
      <c r="H720" s="32"/>
      <c r="J720" s="32"/>
      <c r="K720" s="41"/>
      <c r="L720" s="32"/>
      <c r="N720" s="32"/>
      <c r="O720" s="41"/>
      <c r="P720" s="32"/>
      <c r="R720" s="32"/>
      <c r="S720" s="41"/>
    </row>
    <row r="721" spans="1:19" s="30" customFormat="1" x14ac:dyDescent="0.25">
      <c r="A721" s="36"/>
      <c r="B721" s="31"/>
      <c r="C721" s="31"/>
      <c r="D721" s="32"/>
      <c r="H721" s="32"/>
      <c r="J721" s="32"/>
      <c r="K721" s="41"/>
      <c r="L721" s="32"/>
      <c r="N721" s="32"/>
      <c r="O721" s="41"/>
      <c r="P721" s="32"/>
      <c r="R721" s="32"/>
      <c r="S721" s="41"/>
    </row>
    <row r="722" spans="1:19" s="30" customFormat="1" x14ac:dyDescent="0.25">
      <c r="A722" s="36"/>
      <c r="B722" s="31"/>
      <c r="C722" s="31"/>
      <c r="D722" s="32"/>
      <c r="H722" s="32"/>
      <c r="J722" s="32"/>
      <c r="K722" s="41"/>
      <c r="L722" s="32"/>
      <c r="N722" s="32"/>
      <c r="O722" s="41"/>
      <c r="P722" s="32"/>
      <c r="R722" s="32"/>
      <c r="S722" s="41"/>
    </row>
    <row r="723" spans="1:19" s="30" customFormat="1" x14ac:dyDescent="0.25">
      <c r="A723" s="36"/>
      <c r="B723" s="31"/>
      <c r="C723" s="31"/>
      <c r="D723" s="32"/>
      <c r="H723" s="32"/>
      <c r="J723" s="32"/>
      <c r="K723" s="41"/>
      <c r="L723" s="32"/>
      <c r="N723" s="32"/>
      <c r="O723" s="41"/>
      <c r="P723" s="32"/>
      <c r="R723" s="32"/>
      <c r="S723" s="41"/>
    </row>
    <row r="724" spans="1:19" s="30" customFormat="1" x14ac:dyDescent="0.25">
      <c r="A724" s="36"/>
      <c r="B724" s="31"/>
      <c r="C724" s="31"/>
      <c r="D724" s="32"/>
      <c r="H724" s="32"/>
      <c r="J724" s="32"/>
      <c r="K724" s="41"/>
      <c r="L724" s="32"/>
      <c r="N724" s="32"/>
      <c r="O724" s="41"/>
      <c r="P724" s="32"/>
      <c r="R724" s="32"/>
      <c r="S724" s="41"/>
    </row>
    <row r="725" spans="1:19" s="30" customFormat="1" x14ac:dyDescent="0.25">
      <c r="A725" s="36"/>
      <c r="B725" s="31"/>
      <c r="C725" s="31"/>
      <c r="D725" s="32"/>
      <c r="H725" s="32"/>
      <c r="J725" s="32"/>
      <c r="K725" s="41"/>
      <c r="L725" s="32"/>
      <c r="N725" s="32"/>
      <c r="O725" s="41"/>
      <c r="P725" s="32"/>
      <c r="R725" s="32"/>
      <c r="S725" s="41"/>
    </row>
    <row r="726" spans="1:19" s="30" customFormat="1" x14ac:dyDescent="0.25">
      <c r="A726" s="36"/>
      <c r="B726" s="31"/>
      <c r="C726" s="31"/>
      <c r="D726" s="32"/>
      <c r="H726" s="32"/>
      <c r="J726" s="32"/>
      <c r="K726" s="41"/>
      <c r="L726" s="32"/>
      <c r="N726" s="32"/>
      <c r="O726" s="41"/>
      <c r="P726" s="32"/>
      <c r="R726" s="32"/>
      <c r="S726" s="41"/>
    </row>
    <row r="727" spans="1:19" s="30" customFormat="1" x14ac:dyDescent="0.25">
      <c r="A727" s="36"/>
      <c r="B727" s="31"/>
      <c r="C727" s="31"/>
      <c r="D727" s="32"/>
      <c r="H727" s="32"/>
      <c r="J727" s="32"/>
      <c r="K727" s="41"/>
      <c r="L727" s="32"/>
      <c r="N727" s="32"/>
      <c r="O727" s="41"/>
      <c r="P727" s="32"/>
      <c r="R727" s="32"/>
      <c r="S727" s="41"/>
    </row>
    <row r="728" spans="1:19" s="30" customFormat="1" x14ac:dyDescent="0.25">
      <c r="A728" s="36"/>
      <c r="B728" s="31"/>
      <c r="C728" s="31"/>
      <c r="D728" s="32"/>
      <c r="H728" s="32"/>
      <c r="J728" s="32"/>
      <c r="K728" s="41"/>
      <c r="L728" s="32"/>
      <c r="N728" s="32"/>
      <c r="O728" s="41"/>
      <c r="P728" s="32"/>
      <c r="R728" s="32"/>
      <c r="S728" s="41"/>
    </row>
    <row r="729" spans="1:19" s="30" customFormat="1" x14ac:dyDescent="0.25">
      <c r="A729" s="36"/>
      <c r="B729" s="31"/>
      <c r="C729" s="31"/>
      <c r="D729" s="32"/>
      <c r="H729" s="32"/>
      <c r="J729" s="32"/>
      <c r="K729" s="41"/>
      <c r="L729" s="32"/>
      <c r="N729" s="32"/>
      <c r="O729" s="41"/>
      <c r="P729" s="32"/>
      <c r="R729" s="32"/>
      <c r="S729" s="41"/>
    </row>
    <row r="730" spans="1:19" s="30" customFormat="1" x14ac:dyDescent="0.25">
      <c r="A730" s="36"/>
      <c r="B730" s="31"/>
      <c r="C730" s="31"/>
      <c r="D730" s="32"/>
      <c r="H730" s="32"/>
      <c r="J730" s="32"/>
      <c r="K730" s="41"/>
      <c r="L730" s="32"/>
      <c r="N730" s="32"/>
      <c r="O730" s="41"/>
      <c r="P730" s="32"/>
      <c r="R730" s="32"/>
      <c r="S730" s="41"/>
    </row>
    <row r="731" spans="1:19" s="30" customFormat="1" x14ac:dyDescent="0.25">
      <c r="A731" s="36"/>
      <c r="B731" s="31"/>
      <c r="C731" s="31"/>
      <c r="D731" s="32"/>
      <c r="H731" s="32"/>
      <c r="J731" s="32"/>
      <c r="K731" s="41"/>
      <c r="L731" s="32"/>
      <c r="N731" s="32"/>
      <c r="O731" s="41"/>
      <c r="P731" s="32"/>
      <c r="R731" s="32"/>
      <c r="S731" s="41"/>
    </row>
    <row r="732" spans="1:19" s="30" customFormat="1" x14ac:dyDescent="0.25">
      <c r="A732" s="36"/>
      <c r="B732" s="31"/>
      <c r="C732" s="31"/>
      <c r="D732" s="32"/>
      <c r="H732" s="32"/>
      <c r="J732" s="32"/>
      <c r="K732" s="41"/>
      <c r="L732" s="32"/>
      <c r="N732" s="32"/>
      <c r="O732" s="41"/>
      <c r="P732" s="32"/>
      <c r="R732" s="32"/>
      <c r="S732" s="41"/>
    </row>
    <row r="733" spans="1:19" s="30" customFormat="1" x14ac:dyDescent="0.25">
      <c r="A733" s="36"/>
      <c r="B733" s="31"/>
      <c r="C733" s="31"/>
      <c r="D733" s="32"/>
      <c r="H733" s="32"/>
      <c r="J733" s="32"/>
      <c r="K733" s="41"/>
      <c r="L733" s="32"/>
      <c r="N733" s="32"/>
      <c r="O733" s="41"/>
      <c r="P733" s="32"/>
      <c r="R733" s="32"/>
      <c r="S733" s="41"/>
    </row>
    <row r="734" spans="1:19" s="30" customFormat="1" x14ac:dyDescent="0.25">
      <c r="A734" s="36"/>
      <c r="B734" s="31"/>
      <c r="C734" s="31"/>
      <c r="D734" s="32"/>
      <c r="H734" s="32"/>
      <c r="J734" s="32"/>
      <c r="K734" s="41"/>
      <c r="L734" s="32"/>
      <c r="N734" s="32"/>
      <c r="O734" s="41"/>
      <c r="P734" s="32"/>
      <c r="R734" s="32"/>
      <c r="S734" s="41"/>
    </row>
    <row r="735" spans="1:19" s="30" customFormat="1" x14ac:dyDescent="0.25">
      <c r="A735" s="36"/>
      <c r="B735" s="31"/>
      <c r="C735" s="31"/>
      <c r="D735" s="32"/>
      <c r="H735" s="32"/>
      <c r="J735" s="32"/>
      <c r="K735" s="41"/>
      <c r="L735" s="32"/>
      <c r="N735" s="32"/>
      <c r="O735" s="41"/>
      <c r="P735" s="32"/>
      <c r="R735" s="32"/>
      <c r="S735" s="41"/>
    </row>
    <row r="736" spans="1:19" s="30" customFormat="1" x14ac:dyDescent="0.25">
      <c r="A736" s="36"/>
      <c r="B736" s="31"/>
      <c r="C736" s="31"/>
      <c r="D736" s="32"/>
      <c r="H736" s="32"/>
      <c r="J736" s="32"/>
      <c r="K736" s="41"/>
      <c r="L736" s="32"/>
      <c r="N736" s="32"/>
      <c r="O736" s="41"/>
      <c r="P736" s="32"/>
      <c r="R736" s="32"/>
      <c r="S736" s="41"/>
    </row>
    <row r="737" spans="1:19" s="30" customFormat="1" x14ac:dyDescent="0.25">
      <c r="A737" s="36"/>
      <c r="B737" s="31"/>
      <c r="C737" s="31"/>
      <c r="D737" s="32"/>
      <c r="H737" s="32"/>
      <c r="J737" s="32"/>
      <c r="K737" s="41"/>
      <c r="L737" s="32"/>
      <c r="N737" s="32"/>
      <c r="O737" s="41"/>
      <c r="P737" s="32"/>
      <c r="R737" s="32"/>
      <c r="S737" s="41"/>
    </row>
    <row r="738" spans="1:19" s="30" customFormat="1" x14ac:dyDescent="0.25">
      <c r="A738" s="36"/>
      <c r="B738" s="31"/>
      <c r="C738" s="31"/>
      <c r="D738" s="32"/>
      <c r="H738" s="32"/>
      <c r="J738" s="32"/>
      <c r="K738" s="41"/>
      <c r="L738" s="32"/>
      <c r="N738" s="32"/>
      <c r="O738" s="41"/>
      <c r="P738" s="32"/>
      <c r="R738" s="32"/>
      <c r="S738" s="41"/>
    </row>
    <row r="739" spans="1:19" s="30" customFormat="1" x14ac:dyDescent="0.25">
      <c r="A739" s="36"/>
      <c r="B739" s="31"/>
      <c r="C739" s="31"/>
      <c r="D739" s="32"/>
      <c r="H739" s="32"/>
      <c r="J739" s="32"/>
      <c r="K739" s="41"/>
      <c r="L739" s="32"/>
      <c r="N739" s="32"/>
      <c r="O739" s="41"/>
      <c r="P739" s="32"/>
      <c r="R739" s="32"/>
      <c r="S739" s="41"/>
    </row>
    <row r="740" spans="1:19" s="30" customFormat="1" x14ac:dyDescent="0.25">
      <c r="A740" s="36"/>
      <c r="B740" s="31"/>
      <c r="C740" s="31"/>
      <c r="D740" s="32"/>
      <c r="H740" s="32"/>
      <c r="J740" s="32"/>
      <c r="K740" s="41"/>
      <c r="L740" s="32"/>
      <c r="N740" s="32"/>
      <c r="O740" s="41"/>
      <c r="P740" s="32"/>
      <c r="R740" s="32"/>
      <c r="S740" s="41"/>
    </row>
  </sheetData>
  <sheetProtection algorithmName="SHA-512" hashValue="iAkc/HGPAp5d8zaXIihR74jtVyKGiDwz3NC1Ddzku9fqCLLb8v5M8qNYFgyFrgfw5rve2sVjEEmmDkERapz+0Q==" saltValue="++/QiqsfJ9UP7VchAyPSoA==" spinCount="100000" sheet="1" objects="1" scenarios="1"/>
  <mergeCells count="5">
    <mergeCell ref="Q5:S5"/>
    <mergeCell ref="A5:C5"/>
    <mergeCell ref="E5:G5"/>
    <mergeCell ref="I5:K5"/>
    <mergeCell ref="M5:O5"/>
  </mergeCell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ECF504-C2B2-4567-B6FF-8AC748D9C62D}">
  <sheetPr>
    <tabColor theme="0"/>
  </sheetPr>
  <dimension ref="A1:Q80"/>
  <sheetViews>
    <sheetView zoomScale="80" zoomScaleNormal="80" workbookViewId="0">
      <pane ySplit="11" topLeftCell="A12" activePane="bottomLeft" state="frozen"/>
      <selection pane="bottomLeft" activeCell="P65" sqref="P65"/>
    </sheetView>
    <sheetView workbookViewId="1"/>
  </sheetViews>
  <sheetFormatPr defaultColWidth="15.85546875" defaultRowHeight="15.75" x14ac:dyDescent="0.25"/>
  <cols>
    <col min="1" max="1" width="3.42578125" style="191" customWidth="1"/>
    <col min="2" max="2" width="49.140625" style="174" customWidth="1"/>
    <col min="3" max="3" width="18.28515625" style="186" bestFit="1" customWidth="1"/>
    <col min="4" max="4" width="12.42578125" style="186" bestFit="1" customWidth="1"/>
    <col min="5" max="5" width="32.140625" style="186" bestFit="1" customWidth="1"/>
    <col min="6" max="6" width="1" style="186" customWidth="1"/>
    <col min="7" max="7" width="14.28515625" style="186" customWidth="1"/>
    <col min="8" max="8" width="14.5703125" style="186" customWidth="1"/>
    <col min="9" max="9" width="34.42578125" style="186" bestFit="1" customWidth="1"/>
    <col min="10" max="10" width="1" style="186" customWidth="1"/>
    <col min="11" max="11" width="16.7109375" style="186" customWidth="1"/>
    <col min="12" max="12" width="16.28515625" style="186" customWidth="1"/>
    <col min="13" max="13" width="34.42578125" style="186" bestFit="1" customWidth="1"/>
    <col min="14" max="14" width="0.85546875" style="186" customWidth="1"/>
    <col min="15" max="15" width="16.7109375" style="186" customWidth="1"/>
    <col min="16" max="16" width="16.28515625" style="186" customWidth="1"/>
    <col min="17" max="17" width="34.42578125" style="186" bestFit="1" customWidth="1"/>
    <col min="18" max="16384" width="15.85546875" style="186"/>
  </cols>
  <sheetData>
    <row r="1" spans="1:17" ht="16.5" thickBot="1" x14ac:dyDescent="0.3">
      <c r="B1" s="126" t="s">
        <v>626</v>
      </c>
      <c r="C1" s="494" t="str">
        <f>'FFP CLINs X007-X021'!B1</f>
        <v>NAME</v>
      </c>
    </row>
    <row r="2" spans="1:17" ht="16.5" thickBot="1" x14ac:dyDescent="0.3"/>
    <row r="3" spans="1:17" ht="52.5" customHeight="1" thickBot="1" x14ac:dyDescent="0.3">
      <c r="A3" s="557" t="s">
        <v>529</v>
      </c>
      <c r="B3" s="558"/>
      <c r="C3" s="559"/>
      <c r="I3" s="251" t="s">
        <v>149</v>
      </c>
    </row>
    <row r="5" spans="1:17" s="259" customFormat="1" ht="17.25" customHeight="1" x14ac:dyDescent="0.2">
      <c r="A5" s="260"/>
      <c r="B5" s="261" t="s">
        <v>130</v>
      </c>
    </row>
    <row r="6" spans="1:17" s="259" customFormat="1" x14ac:dyDescent="0.25">
      <c r="A6" s="258"/>
      <c r="B6" s="258" t="s">
        <v>606</v>
      </c>
    </row>
    <row r="7" spans="1:17" s="259" customFormat="1" x14ac:dyDescent="0.25">
      <c r="A7" s="258"/>
      <c r="B7" s="258" t="s">
        <v>390</v>
      </c>
    </row>
    <row r="8" spans="1:17" s="259" customFormat="1" x14ac:dyDescent="0.25">
      <c r="A8" s="258"/>
      <c r="B8" s="258" t="s">
        <v>607</v>
      </c>
    </row>
    <row r="9" spans="1:17" s="259" customFormat="1" x14ac:dyDescent="0.25">
      <c r="A9" s="258"/>
      <c r="B9" s="258" t="s">
        <v>608</v>
      </c>
    </row>
    <row r="10" spans="1:17" x14ac:dyDescent="0.25">
      <c r="A10" s="192"/>
      <c r="B10" s="258" t="s">
        <v>609</v>
      </c>
      <c r="C10" s="194"/>
    </row>
    <row r="11" spans="1:17" x14ac:dyDescent="0.25">
      <c r="A11" s="192"/>
      <c r="B11" s="258" t="s">
        <v>530</v>
      </c>
      <c r="C11" s="194"/>
    </row>
    <row r="12" spans="1:17" ht="16.5" thickBot="1" x14ac:dyDescent="0.3"/>
    <row r="13" spans="1:17" ht="16.5" thickBot="1" x14ac:dyDescent="0.3">
      <c r="A13" s="193"/>
      <c r="B13" s="620" t="s">
        <v>531</v>
      </c>
      <c r="C13" s="594" t="s">
        <v>134</v>
      </c>
      <c r="D13" s="595"/>
      <c r="E13" s="596"/>
      <c r="F13" s="151"/>
      <c r="G13" s="594" t="s">
        <v>134</v>
      </c>
      <c r="H13" s="595"/>
      <c r="I13" s="596"/>
      <c r="J13" s="151"/>
      <c r="K13" s="594" t="s">
        <v>134</v>
      </c>
      <c r="L13" s="595"/>
      <c r="M13" s="596"/>
      <c r="N13" s="151"/>
      <c r="O13" s="594" t="s">
        <v>134</v>
      </c>
      <c r="P13" s="595"/>
      <c r="Q13" s="596"/>
    </row>
    <row r="14" spans="1:17" ht="32.25" customHeight="1" thickBot="1" x14ac:dyDescent="0.3">
      <c r="A14" s="193"/>
      <c r="B14" s="621"/>
      <c r="C14" s="617" t="s">
        <v>367</v>
      </c>
      <c r="D14" s="618"/>
      <c r="E14" s="619"/>
      <c r="F14" s="152"/>
      <c r="G14" s="617" t="s">
        <v>368</v>
      </c>
      <c r="H14" s="618"/>
      <c r="I14" s="619"/>
      <c r="J14" s="152"/>
      <c r="K14" s="617" t="s">
        <v>369</v>
      </c>
      <c r="L14" s="618"/>
      <c r="M14" s="619"/>
      <c r="N14" s="152"/>
      <c r="O14" s="617" t="s">
        <v>370</v>
      </c>
      <c r="P14" s="618"/>
      <c r="Q14" s="619"/>
    </row>
    <row r="15" spans="1:17" x14ac:dyDescent="0.25">
      <c r="A15" s="193"/>
      <c r="B15" s="153" t="s">
        <v>110</v>
      </c>
      <c r="C15" s="153" t="s">
        <v>91</v>
      </c>
      <c r="D15" s="154" t="s">
        <v>133</v>
      </c>
      <c r="E15" s="155" t="s">
        <v>139</v>
      </c>
      <c r="F15" s="156"/>
      <c r="G15" s="153" t="s">
        <v>91</v>
      </c>
      <c r="H15" s="154" t="s">
        <v>133</v>
      </c>
      <c r="I15" s="155" t="s">
        <v>139</v>
      </c>
      <c r="J15" s="156"/>
      <c r="K15" s="153" t="s">
        <v>91</v>
      </c>
      <c r="L15" s="154" t="s">
        <v>133</v>
      </c>
      <c r="M15" s="155" t="s">
        <v>139</v>
      </c>
      <c r="N15" s="156"/>
      <c r="O15" s="153" t="s">
        <v>91</v>
      </c>
      <c r="P15" s="154" t="s">
        <v>133</v>
      </c>
      <c r="Q15" s="155" t="s">
        <v>139</v>
      </c>
    </row>
    <row r="16" spans="1:17" ht="30" customHeight="1" thickBot="1" x14ac:dyDescent="0.3">
      <c r="A16" s="193"/>
      <c r="B16" s="203" t="s">
        <v>558</v>
      </c>
      <c r="C16" s="289"/>
      <c r="D16" s="290"/>
      <c r="E16" s="291"/>
      <c r="F16" s="156"/>
      <c r="G16" s="289"/>
      <c r="H16" s="290"/>
      <c r="I16" s="291"/>
      <c r="J16" s="156"/>
      <c r="K16" s="289"/>
      <c r="L16" s="290"/>
      <c r="M16" s="291"/>
      <c r="N16" s="156"/>
      <c r="O16" s="289"/>
      <c r="P16" s="290"/>
      <c r="Q16" s="291"/>
    </row>
    <row r="17" spans="1:17" ht="16.5" thickBot="1" x14ac:dyDescent="0.3">
      <c r="A17" s="193"/>
      <c r="B17" s="299" t="s">
        <v>151</v>
      </c>
      <c r="C17" s="163">
        <f>'PRIME CPIF LABOR INPUTS'!D322</f>
        <v>0</v>
      </c>
      <c r="D17" s="205"/>
      <c r="E17" s="164">
        <f>'PRIME CPIF LABOR INPUTS'!F322</f>
        <v>0</v>
      </c>
      <c r="F17" s="165"/>
      <c r="G17" s="163">
        <f>'PRIME CPIF LABOR INPUTS'!H322</f>
        <v>0</v>
      </c>
      <c r="H17" s="205"/>
      <c r="I17" s="164">
        <f>'PRIME CPIF LABOR INPUTS'!J322</f>
        <v>0</v>
      </c>
      <c r="J17" s="165"/>
      <c r="K17" s="163">
        <f>'PRIME CPIF LABOR INPUTS'!L322</f>
        <v>0</v>
      </c>
      <c r="L17" s="205"/>
      <c r="M17" s="164">
        <f>'PRIME CPIF LABOR INPUTS'!N322</f>
        <v>0</v>
      </c>
      <c r="N17" s="165"/>
      <c r="O17" s="163">
        <f>'PRIME CPIF LABOR INPUTS'!P322</f>
        <v>0</v>
      </c>
      <c r="P17" s="205"/>
      <c r="Q17" s="164">
        <f>'PRIME CPIF LABOR INPUTS'!R322</f>
        <v>0</v>
      </c>
    </row>
    <row r="18" spans="1:17" x14ac:dyDescent="0.25">
      <c r="A18" s="193"/>
      <c r="B18" s="204"/>
      <c r="C18" s="153" t="s">
        <v>399</v>
      </c>
      <c r="D18" s="154" t="s">
        <v>396</v>
      </c>
      <c r="E18" s="155" t="s">
        <v>398</v>
      </c>
      <c r="F18" s="166"/>
      <c r="G18" s="153" t="s">
        <v>399</v>
      </c>
      <c r="H18" s="154" t="s">
        <v>396</v>
      </c>
      <c r="I18" s="155" t="s">
        <v>398</v>
      </c>
      <c r="J18" s="166"/>
      <c r="K18" s="153" t="s">
        <v>399</v>
      </c>
      <c r="L18" s="154" t="s">
        <v>396</v>
      </c>
      <c r="M18" s="155" t="s">
        <v>398</v>
      </c>
      <c r="N18" s="166"/>
      <c r="O18" s="153" t="s">
        <v>399</v>
      </c>
      <c r="P18" s="154" t="s">
        <v>396</v>
      </c>
      <c r="Q18" s="155" t="s">
        <v>398</v>
      </c>
    </row>
    <row r="19" spans="1:17" ht="64.5" x14ac:dyDescent="0.25">
      <c r="A19" s="193"/>
      <c r="B19" s="344" t="s">
        <v>611</v>
      </c>
      <c r="C19" s="289"/>
      <c r="D19" s="290"/>
      <c r="E19" s="291"/>
      <c r="F19" s="202"/>
      <c r="G19" s="289"/>
      <c r="H19" s="290"/>
      <c r="I19" s="291"/>
      <c r="J19" s="202"/>
      <c r="K19" s="289"/>
      <c r="L19" s="290"/>
      <c r="M19" s="291"/>
      <c r="N19" s="202"/>
      <c r="O19" s="289"/>
      <c r="P19" s="290"/>
      <c r="Q19" s="291"/>
    </row>
    <row r="20" spans="1:17" x14ac:dyDescent="0.25">
      <c r="A20" s="193"/>
      <c r="B20" s="167" t="str">
        <f>'PRIME CPIF RATES (ALL)'!B35</f>
        <v>Indirect Labor Category:  [Labor Fringe]</v>
      </c>
      <c r="C20" s="215">
        <f>+E17</f>
        <v>0</v>
      </c>
      <c r="D20" s="243">
        <f>'PRIME CPIF RATES (ALL)'!C35</f>
        <v>0</v>
      </c>
      <c r="E20" s="168">
        <f>ROUND(C20*D20,2)</f>
        <v>0</v>
      </c>
      <c r="F20" s="165"/>
      <c r="G20" s="215">
        <f>+I17</f>
        <v>0</v>
      </c>
      <c r="H20" s="215">
        <f>'PRIME CPIF RATES (ALL)'!D35</f>
        <v>0</v>
      </c>
      <c r="I20" s="168">
        <f>ROUND(G20*H20,2)</f>
        <v>0</v>
      </c>
      <c r="J20" s="165"/>
      <c r="K20" s="215">
        <f>+M17</f>
        <v>0</v>
      </c>
      <c r="L20" s="215">
        <f>'PRIME CPIF RATES (ALL)'!E35</f>
        <v>0</v>
      </c>
      <c r="M20" s="168">
        <f>ROUND(K20*L20,2)</f>
        <v>0</v>
      </c>
      <c r="N20" s="165"/>
      <c r="O20" s="215">
        <f>+Q17</f>
        <v>0</v>
      </c>
      <c r="P20" s="215">
        <f>'PRIME CPIF RATES (ALL)'!F35</f>
        <v>0</v>
      </c>
      <c r="Q20" s="168">
        <f>ROUND(O20*P20,2)</f>
        <v>0</v>
      </c>
    </row>
    <row r="21" spans="1:17" x14ac:dyDescent="0.25">
      <c r="A21" s="193"/>
      <c r="B21" s="167" t="str">
        <f>'PRIME CPIF RATES (ALL)'!B36</f>
        <v>Indirect Labor Category: [Labor Overhead]</v>
      </c>
      <c r="C21" s="215">
        <f>+C20+E20</f>
        <v>0</v>
      </c>
      <c r="D21" s="243">
        <f>'PRIME CPIF RATES (ALL)'!C36</f>
        <v>0</v>
      </c>
      <c r="E21" s="168">
        <f>ROUND(C21*D21,2)</f>
        <v>0</v>
      </c>
      <c r="F21" s="165"/>
      <c r="G21" s="215">
        <f>+G20+I20</f>
        <v>0</v>
      </c>
      <c r="H21" s="215">
        <f>'PRIME CPIF RATES (ALL)'!D36</f>
        <v>0</v>
      </c>
      <c r="I21" s="168">
        <f>ROUND(G21*H21,2)</f>
        <v>0</v>
      </c>
      <c r="J21" s="165"/>
      <c r="K21" s="215">
        <f>+K20+M20</f>
        <v>0</v>
      </c>
      <c r="L21" s="215">
        <f>'PRIME CPIF RATES (ALL)'!E36</f>
        <v>0</v>
      </c>
      <c r="M21" s="168">
        <f>ROUND(K21*L21,2)</f>
        <v>0</v>
      </c>
      <c r="N21" s="165"/>
      <c r="O21" s="215">
        <f>+O20+Q20</f>
        <v>0</v>
      </c>
      <c r="P21" s="215">
        <f>'PRIME CPIF RATES (ALL)'!F36</f>
        <v>0</v>
      </c>
      <c r="Q21" s="168">
        <f>ROUND(O21*P21,2)</f>
        <v>0</v>
      </c>
    </row>
    <row r="22" spans="1:17" x14ac:dyDescent="0.25">
      <c r="A22" s="193"/>
      <c r="B22" s="167" t="str">
        <f>'PRIME CPIF RATES (ALL)'!B37</f>
        <v>Indirect Labor Category: [G&amp;A]</v>
      </c>
      <c r="C22" s="215">
        <f>+C21+E21</f>
        <v>0</v>
      </c>
      <c r="D22" s="243">
        <f>'PRIME CPIF RATES (ALL)'!C37</f>
        <v>0</v>
      </c>
      <c r="E22" s="168">
        <f>ROUND(C22*D22,2)</f>
        <v>0</v>
      </c>
      <c r="F22" s="165"/>
      <c r="G22" s="215">
        <f>+G21+I21</f>
        <v>0</v>
      </c>
      <c r="H22" s="215">
        <f>'PRIME CPIF RATES (ALL)'!D37</f>
        <v>0</v>
      </c>
      <c r="I22" s="168">
        <f>ROUND(G22*H22,2)</f>
        <v>0</v>
      </c>
      <c r="J22" s="165"/>
      <c r="K22" s="215">
        <f>+K21+M21</f>
        <v>0</v>
      </c>
      <c r="L22" s="215">
        <f>'PRIME CPIF RATES (ALL)'!E37</f>
        <v>0</v>
      </c>
      <c r="M22" s="168">
        <f>ROUND(K22*L22,2)</f>
        <v>0</v>
      </c>
      <c r="N22" s="165"/>
      <c r="O22" s="215">
        <f>+O21+Q21</f>
        <v>0</v>
      </c>
      <c r="P22" s="215">
        <f>'PRIME CPIF RATES (ALL)'!F37</f>
        <v>0</v>
      </c>
      <c r="Q22" s="168">
        <f>ROUND(O22*P22,2)</f>
        <v>0</v>
      </c>
    </row>
    <row r="23" spans="1:17" x14ac:dyDescent="0.25">
      <c r="A23" s="193"/>
      <c r="B23" s="167" t="str">
        <f>'PRIME CPIF RATES (ALL)'!B38</f>
        <v>Indirect Labor Category: [FCCOM]</v>
      </c>
      <c r="C23" s="215">
        <f>C22+E22</f>
        <v>0</v>
      </c>
      <c r="D23" s="243">
        <f>'PRIME CPIF RATES (ALL)'!C38</f>
        <v>0</v>
      </c>
      <c r="E23" s="168">
        <f>ROUND(C23*D23,2)</f>
        <v>0</v>
      </c>
      <c r="F23" s="165"/>
      <c r="G23" s="215">
        <f>G22+I22</f>
        <v>0</v>
      </c>
      <c r="H23" s="215">
        <f>'PRIME CPIF RATES (ALL)'!D38</f>
        <v>0</v>
      </c>
      <c r="I23" s="168">
        <f>ROUND(G23*H23,2)</f>
        <v>0</v>
      </c>
      <c r="J23" s="165"/>
      <c r="K23" s="215">
        <f>K22+M22</f>
        <v>0</v>
      </c>
      <c r="L23" s="215">
        <f>'PRIME CPIF RATES (ALL)'!E38</f>
        <v>0</v>
      </c>
      <c r="M23" s="168">
        <f>ROUND(K23*L23,2)</f>
        <v>0</v>
      </c>
      <c r="N23" s="165"/>
      <c r="O23" s="215">
        <f>O22+Q22</f>
        <v>0</v>
      </c>
      <c r="P23" s="215">
        <f>'PRIME CPIF RATES (ALL)'!F38</f>
        <v>0</v>
      </c>
      <c r="Q23" s="168">
        <f>ROUND(O23*P23,2)</f>
        <v>0</v>
      </c>
    </row>
    <row r="24" spans="1:17" x14ac:dyDescent="0.25">
      <c r="A24" s="193"/>
      <c r="B24" s="167" t="str">
        <f>'PRIME CPIF RATES (ALL)'!B39</f>
        <v>Indirect Labor Category: [Target Fee]</v>
      </c>
      <c r="C24" s="215">
        <f>+C22+E22</f>
        <v>0</v>
      </c>
      <c r="D24" s="243">
        <f>'PRIME CPIF RATES (ALL)'!C39</f>
        <v>0</v>
      </c>
      <c r="E24" s="168">
        <f>ROUND(C24*D24,2)</f>
        <v>0</v>
      </c>
      <c r="F24" s="165"/>
      <c r="G24" s="215">
        <f>+G22+I22</f>
        <v>0</v>
      </c>
      <c r="H24" s="215">
        <f>'PRIME CPIF RATES (ALL)'!D39</f>
        <v>0</v>
      </c>
      <c r="I24" s="168">
        <f>ROUND(G24*H24,2)</f>
        <v>0</v>
      </c>
      <c r="J24" s="165"/>
      <c r="K24" s="215">
        <f>+K22+M22</f>
        <v>0</v>
      </c>
      <c r="L24" s="215">
        <f>'PRIME CPIF RATES (ALL)'!E39</f>
        <v>0</v>
      </c>
      <c r="M24" s="168">
        <f>ROUND(K24*L24,2)</f>
        <v>0</v>
      </c>
      <c r="N24" s="165"/>
      <c r="O24" s="215">
        <f>+O22+Q22</f>
        <v>0</v>
      </c>
      <c r="P24" s="215">
        <f>'PRIME CPIF RATES (ALL)'!F39</f>
        <v>0</v>
      </c>
      <c r="Q24" s="168">
        <f>ROUND(O24*P24,2)</f>
        <v>0</v>
      </c>
    </row>
    <row r="25" spans="1:17" x14ac:dyDescent="0.25">
      <c r="A25" s="193"/>
      <c r="B25" s="262" t="s">
        <v>258</v>
      </c>
      <c r="C25" s="210"/>
      <c r="D25" s="211"/>
      <c r="E25" s="230">
        <f>ROUND(SUM(E17,E20,E21,E22),2)</f>
        <v>0</v>
      </c>
      <c r="F25" s="165"/>
      <c r="G25" s="206"/>
      <c r="H25" s="207"/>
      <c r="I25" s="230">
        <f>ROUND(SUM(I17,I20,I21,I22),2)</f>
        <v>0</v>
      </c>
      <c r="J25" s="165"/>
      <c r="K25" s="206"/>
      <c r="L25" s="207"/>
      <c r="M25" s="230">
        <f>ROUND(SUM(M17,M20,M21,M22),2)</f>
        <v>0</v>
      </c>
      <c r="N25" s="165"/>
      <c r="O25" s="206"/>
      <c r="P25" s="207"/>
      <c r="Q25" s="230">
        <f>ROUND(SUM(Q17,Q20,Q21,Q22),2)</f>
        <v>0</v>
      </c>
    </row>
    <row r="26" spans="1:17" x14ac:dyDescent="0.25">
      <c r="A26" s="193"/>
      <c r="B26" s="262" t="s">
        <v>137</v>
      </c>
      <c r="C26" s="210"/>
      <c r="D26" s="211"/>
      <c r="E26" s="230">
        <f>ROUND(E23,2)</f>
        <v>0</v>
      </c>
      <c r="F26" s="165"/>
      <c r="G26" s="206"/>
      <c r="H26" s="207"/>
      <c r="I26" s="230">
        <f>ROUND(I23,2)</f>
        <v>0</v>
      </c>
      <c r="J26" s="165"/>
      <c r="K26" s="206"/>
      <c r="L26" s="207"/>
      <c r="M26" s="230">
        <f>ROUND(M23,2)</f>
        <v>0</v>
      </c>
      <c r="N26" s="165"/>
      <c r="O26" s="206"/>
      <c r="P26" s="207"/>
      <c r="Q26" s="230">
        <f>ROUND(Q23,2)</f>
        <v>0</v>
      </c>
    </row>
    <row r="27" spans="1:17" x14ac:dyDescent="0.25">
      <c r="A27" s="193"/>
      <c r="B27" s="262" t="s">
        <v>136</v>
      </c>
      <c r="C27" s="210"/>
      <c r="D27" s="211"/>
      <c r="E27" s="245">
        <f>ROUND(E24,2)</f>
        <v>0</v>
      </c>
      <c r="F27" s="170"/>
      <c r="G27" s="206"/>
      <c r="H27" s="207"/>
      <c r="I27" s="245">
        <f>ROUND(I24,2)</f>
        <v>0</v>
      </c>
      <c r="J27" s="170"/>
      <c r="K27" s="206"/>
      <c r="L27" s="207"/>
      <c r="M27" s="245">
        <f>ROUND(M24,2)</f>
        <v>0</v>
      </c>
      <c r="N27" s="170"/>
      <c r="O27" s="206"/>
      <c r="P27" s="207"/>
      <c r="Q27" s="245">
        <f>ROUND(Q24,2)</f>
        <v>0</v>
      </c>
    </row>
    <row r="28" spans="1:17" ht="16.5" thickBot="1" x14ac:dyDescent="0.3">
      <c r="A28" s="193"/>
      <c r="B28" s="263" t="s">
        <v>138</v>
      </c>
      <c r="C28" s="212"/>
      <c r="D28" s="213"/>
      <c r="E28" s="246">
        <f>ROUND(SUM(E25:E27),2)</f>
        <v>0</v>
      </c>
      <c r="F28" s="171"/>
      <c r="G28" s="208"/>
      <c r="H28" s="209"/>
      <c r="I28" s="246">
        <f>ROUND(SUM(I25:I27),2)</f>
        <v>0</v>
      </c>
      <c r="J28" s="171"/>
      <c r="K28" s="208"/>
      <c r="L28" s="209"/>
      <c r="M28" s="246">
        <f>ROUND(SUM(M25:M27),2)</f>
        <v>0</v>
      </c>
      <c r="N28" s="171"/>
      <c r="O28" s="208"/>
      <c r="P28" s="209"/>
      <c r="Q28" s="246">
        <f>ROUND(SUM(Q25:Q27),2)</f>
        <v>0</v>
      </c>
    </row>
    <row r="29" spans="1:17" ht="16.5" thickBot="1" x14ac:dyDescent="0.3">
      <c r="A29" s="193"/>
      <c r="B29" s="172"/>
      <c r="C29" s="173"/>
      <c r="D29" s="173"/>
      <c r="E29" s="256"/>
      <c r="F29" s="256"/>
      <c r="G29" s="256"/>
      <c r="H29" s="256"/>
      <c r="I29" s="256"/>
      <c r="J29" s="256"/>
      <c r="K29" s="256"/>
      <c r="L29" s="173"/>
      <c r="M29" s="173"/>
      <c r="N29" s="165"/>
      <c r="O29" s="256"/>
      <c r="P29" s="173"/>
      <c r="Q29" s="173"/>
    </row>
    <row r="30" spans="1:17" ht="16.5" customHeight="1" thickBot="1" x14ac:dyDescent="0.3">
      <c r="A30" s="193"/>
      <c r="B30" s="620" t="str">
        <f>B13</f>
        <v>CLIN 0003 (CPIF)                                                    TASK 1.01 DEVELOPMENT LABOR TO HAVE AN OPERATIONAL SIL</v>
      </c>
      <c r="C30" s="594" t="s">
        <v>145</v>
      </c>
      <c r="D30" s="595"/>
      <c r="E30" s="596"/>
      <c r="F30" s="175"/>
      <c r="G30" s="594" t="s">
        <v>145</v>
      </c>
      <c r="H30" s="595"/>
      <c r="I30" s="596"/>
      <c r="J30" s="175"/>
      <c r="K30" s="594" t="s">
        <v>145</v>
      </c>
      <c r="L30" s="595"/>
      <c r="M30" s="596"/>
      <c r="N30" s="175"/>
      <c r="O30" s="594" t="s">
        <v>145</v>
      </c>
      <c r="P30" s="595"/>
      <c r="Q30" s="596"/>
    </row>
    <row r="31" spans="1:17" ht="32.25" customHeight="1" thickBot="1" x14ac:dyDescent="0.3">
      <c r="A31" s="193"/>
      <c r="B31" s="621"/>
      <c r="C31" s="591" t="str">
        <f>C14</f>
        <v>CLIN 0003 - Basic Period (Year 1)</v>
      </c>
      <c r="D31" s="592"/>
      <c r="E31" s="593"/>
      <c r="F31" s="176"/>
      <c r="G31" s="591" t="str">
        <f>G14</f>
        <v>CLIN 0003 - Basic Period (Year 2)</v>
      </c>
      <c r="H31" s="592"/>
      <c r="I31" s="593"/>
      <c r="J31" s="176"/>
      <c r="K31" s="591" t="str">
        <f>K14</f>
        <v>CLIN 0003 - Basic Period (Year 3)</v>
      </c>
      <c r="L31" s="592"/>
      <c r="M31" s="593"/>
      <c r="N31" s="176"/>
      <c r="O31" s="591" t="str">
        <f>O14</f>
        <v>CLIN 0003 - Basic Period (Year 4)</v>
      </c>
      <c r="P31" s="592"/>
      <c r="Q31" s="593"/>
    </row>
    <row r="32" spans="1:17" x14ac:dyDescent="0.25">
      <c r="A32" s="193"/>
      <c r="B32" s="247"/>
      <c r="C32" s="153" t="s">
        <v>399</v>
      </c>
      <c r="D32" s="154" t="s">
        <v>396</v>
      </c>
      <c r="E32" s="155" t="s">
        <v>152</v>
      </c>
      <c r="F32" s="166"/>
      <c r="G32" s="153" t="s">
        <v>399</v>
      </c>
      <c r="H32" s="154" t="s">
        <v>396</v>
      </c>
      <c r="I32" s="155" t="s">
        <v>152</v>
      </c>
      <c r="J32" s="166"/>
      <c r="K32" s="153" t="s">
        <v>399</v>
      </c>
      <c r="L32" s="154" t="s">
        <v>396</v>
      </c>
      <c r="M32" s="155" t="s">
        <v>152</v>
      </c>
      <c r="N32" s="166"/>
      <c r="O32" s="153" t="s">
        <v>399</v>
      </c>
      <c r="P32" s="154" t="s">
        <v>396</v>
      </c>
      <c r="Q32" s="155" t="s">
        <v>152</v>
      </c>
    </row>
    <row r="33" spans="1:17" ht="51.75" x14ac:dyDescent="0.25">
      <c r="A33" s="193"/>
      <c r="B33" s="300" t="s">
        <v>612</v>
      </c>
      <c r="C33" s="231"/>
      <c r="D33" s="232"/>
      <c r="E33" s="400">
        <f>'PRIME CPIF TOTAL MATERIAL'!E29</f>
        <v>0</v>
      </c>
      <c r="F33" s="165"/>
      <c r="G33" s="231"/>
      <c r="H33" s="232"/>
      <c r="I33" s="400">
        <f>'PRIME CPIF TOTAL MATERIAL'!G29</f>
        <v>0</v>
      </c>
      <c r="J33" s="165"/>
      <c r="K33" s="231"/>
      <c r="L33" s="232"/>
      <c r="M33" s="400">
        <f>'PRIME CPIF TOTAL MATERIAL'!I29</f>
        <v>0</v>
      </c>
      <c r="N33" s="165"/>
      <c r="O33" s="231"/>
      <c r="P33" s="232"/>
      <c r="Q33" s="400">
        <f>'PRIME CPIF TOTAL MATERIAL'!K29</f>
        <v>0</v>
      </c>
    </row>
    <row r="34" spans="1:17" ht="67.5" customHeight="1" x14ac:dyDescent="0.25">
      <c r="A34" s="193"/>
      <c r="B34" s="344" t="s">
        <v>389</v>
      </c>
      <c r="C34" s="405"/>
      <c r="D34" s="406"/>
      <c r="E34" s="400"/>
      <c r="F34" s="165"/>
      <c r="G34" s="405"/>
      <c r="H34" s="406"/>
      <c r="I34" s="400"/>
      <c r="J34" s="165"/>
      <c r="K34" s="405"/>
      <c r="L34" s="406"/>
      <c r="M34" s="400"/>
      <c r="N34" s="165"/>
      <c r="O34" s="405"/>
      <c r="P34" s="406"/>
      <c r="Q34" s="400"/>
    </row>
    <row r="35" spans="1:17" x14ac:dyDescent="0.25">
      <c r="A35" s="193"/>
      <c r="B35" s="167" t="str">
        <f>'PRIME CPIF RATES (ALL)'!B52</f>
        <v>Indirect Category: [Material Overhead]</v>
      </c>
      <c r="C35" s="215">
        <f>+E33</f>
        <v>0</v>
      </c>
      <c r="D35" s="243">
        <f>'PRIME CPIF RATES (ALL)'!C52</f>
        <v>0</v>
      </c>
      <c r="E35" s="168">
        <f>ROUND(C35*D35,2)</f>
        <v>0</v>
      </c>
      <c r="F35" s="178"/>
      <c r="G35" s="215">
        <f>+I33</f>
        <v>0</v>
      </c>
      <c r="H35" s="243">
        <f>'PRIME CPIF RATES (ALL)'!D52</f>
        <v>0</v>
      </c>
      <c r="I35" s="168">
        <f>ROUND(G35*H35,2)</f>
        <v>0</v>
      </c>
      <c r="J35" s="178"/>
      <c r="K35" s="215">
        <f>+M33</f>
        <v>0</v>
      </c>
      <c r="L35" s="243">
        <f>'PRIME CPIF RATES (ALL)'!E52</f>
        <v>0</v>
      </c>
      <c r="M35" s="168">
        <f>ROUND(K35*L35,2)</f>
        <v>0</v>
      </c>
      <c r="N35" s="178"/>
      <c r="O35" s="215">
        <f>+Q33</f>
        <v>0</v>
      </c>
      <c r="P35" s="243">
        <f>'PRIME CPIF RATES (ALL)'!F52</f>
        <v>0</v>
      </c>
      <c r="Q35" s="168">
        <f>ROUND(O35*P35,2)</f>
        <v>0</v>
      </c>
    </row>
    <row r="36" spans="1:17" x14ac:dyDescent="0.25">
      <c r="A36" s="193"/>
      <c r="B36" s="167" t="str">
        <f>'PRIME CPIF RATES (ALL)'!B53</f>
        <v>Indirect Category: [G&amp;A]</v>
      </c>
      <c r="C36" s="215">
        <f>+C35+E35</f>
        <v>0</v>
      </c>
      <c r="D36" s="243">
        <f>'PRIME CPIF RATES (ALL)'!C53</f>
        <v>0</v>
      </c>
      <c r="E36" s="168">
        <f>ROUND(C36*D36,2)</f>
        <v>0</v>
      </c>
      <c r="F36" s="178"/>
      <c r="G36" s="215">
        <f>+G35+I35</f>
        <v>0</v>
      </c>
      <c r="H36" s="243">
        <f>'PRIME CPIF RATES (ALL)'!D53</f>
        <v>0</v>
      </c>
      <c r="I36" s="168">
        <f>ROUND(G36*H36,2)</f>
        <v>0</v>
      </c>
      <c r="J36" s="178"/>
      <c r="K36" s="215">
        <f>+K35+M35</f>
        <v>0</v>
      </c>
      <c r="L36" s="243">
        <f>'PRIME CPIF RATES (ALL)'!E53</f>
        <v>0</v>
      </c>
      <c r="M36" s="168">
        <f>ROUND(K36*L36,2)</f>
        <v>0</v>
      </c>
      <c r="N36" s="178"/>
      <c r="O36" s="215">
        <f>+O35+Q35</f>
        <v>0</v>
      </c>
      <c r="P36" s="243">
        <f>'PRIME CPIF RATES (ALL)'!F53</f>
        <v>0</v>
      </c>
      <c r="Q36" s="168">
        <f>ROUND(O36*P36,2)</f>
        <v>0</v>
      </c>
    </row>
    <row r="37" spans="1:17" x14ac:dyDescent="0.25">
      <c r="A37" s="193"/>
      <c r="B37" s="167" t="str">
        <f>'PRIME CPIF RATES (ALL)'!B54</f>
        <v>Indirect Category: [FCCOM]</v>
      </c>
      <c r="C37" s="215">
        <f>C36+E36</f>
        <v>0</v>
      </c>
      <c r="D37" s="243">
        <f>'PRIME CPIF RATES (ALL)'!C54</f>
        <v>0</v>
      </c>
      <c r="E37" s="168">
        <f>ROUND(C37*D37,2)</f>
        <v>0</v>
      </c>
      <c r="F37" s="165"/>
      <c r="G37" s="215">
        <f>G36+I36</f>
        <v>0</v>
      </c>
      <c r="H37" s="243">
        <f>'PRIME CPIF RATES (ALL)'!D54</f>
        <v>0</v>
      </c>
      <c r="I37" s="168">
        <f>ROUND(G37*H37,2)</f>
        <v>0</v>
      </c>
      <c r="J37" s="165"/>
      <c r="K37" s="215">
        <f>K36+M36</f>
        <v>0</v>
      </c>
      <c r="L37" s="243">
        <f>'PRIME CPIF RATES (ALL)'!E54</f>
        <v>0</v>
      </c>
      <c r="M37" s="168">
        <f>ROUND(K37*L37,2)</f>
        <v>0</v>
      </c>
      <c r="N37" s="165"/>
      <c r="O37" s="215">
        <f>O36+Q36</f>
        <v>0</v>
      </c>
      <c r="P37" s="243">
        <f>'PRIME CPIF RATES (ALL)'!F54</f>
        <v>0</v>
      </c>
      <c r="Q37" s="168">
        <f>ROUND(O37*P37,2)</f>
        <v>0</v>
      </c>
    </row>
    <row r="38" spans="1:17" x14ac:dyDescent="0.25">
      <c r="A38" s="193"/>
      <c r="B38" s="167" t="str">
        <f>'PRIME CPIF RATES (ALL)'!B55</f>
        <v>Indirect Category: [Target Fee]</v>
      </c>
      <c r="C38" s="215">
        <f>+C36+E36</f>
        <v>0</v>
      </c>
      <c r="D38" s="243">
        <f>'PRIME CPIF RATES (ALL)'!C55</f>
        <v>0</v>
      </c>
      <c r="E38" s="168">
        <f>ROUND(C38*D38,2)</f>
        <v>0</v>
      </c>
      <c r="F38" s="165"/>
      <c r="G38" s="215">
        <f>+G36+I36</f>
        <v>0</v>
      </c>
      <c r="H38" s="243">
        <f>'PRIME CPIF RATES (ALL)'!D55</f>
        <v>0</v>
      </c>
      <c r="I38" s="168">
        <f>ROUND(G38*H38,2)</f>
        <v>0</v>
      </c>
      <c r="J38" s="165"/>
      <c r="K38" s="215">
        <f>+K36+M36</f>
        <v>0</v>
      </c>
      <c r="L38" s="243">
        <f>'PRIME CPIF RATES (ALL)'!E55</f>
        <v>0</v>
      </c>
      <c r="M38" s="168">
        <f>ROUND(K38*L38,2)</f>
        <v>0</v>
      </c>
      <c r="N38" s="165"/>
      <c r="O38" s="215">
        <f>+O36+Q36</f>
        <v>0</v>
      </c>
      <c r="P38" s="243">
        <f>'PRIME CPIF RATES (ALL)'!F55</f>
        <v>0</v>
      </c>
      <c r="Q38" s="168">
        <f>ROUND(O38*P38,2)</f>
        <v>0</v>
      </c>
    </row>
    <row r="39" spans="1:17" x14ac:dyDescent="0.25">
      <c r="A39" s="193"/>
      <c r="B39" s="241" t="s">
        <v>259</v>
      </c>
      <c r="C39" s="233"/>
      <c r="D39" s="234"/>
      <c r="E39" s="168">
        <f>+ROUND(SUM(E33:E36),2)</f>
        <v>0</v>
      </c>
      <c r="F39" s="165"/>
      <c r="G39" s="233"/>
      <c r="H39" s="234"/>
      <c r="I39" s="168">
        <f>+ROUND(SUM(I33:I36),2)</f>
        <v>0</v>
      </c>
      <c r="J39" s="165"/>
      <c r="K39" s="233"/>
      <c r="L39" s="234"/>
      <c r="M39" s="168">
        <f>+ROUND(SUM(M33:M36),2)</f>
        <v>0</v>
      </c>
      <c r="N39" s="165"/>
      <c r="O39" s="233"/>
      <c r="P39" s="234"/>
      <c r="Q39" s="168">
        <f>+ROUND(SUM(Q33:Q36),2)</f>
        <v>0</v>
      </c>
    </row>
    <row r="40" spans="1:17" x14ac:dyDescent="0.25">
      <c r="A40" s="193"/>
      <c r="B40" s="241" t="s">
        <v>137</v>
      </c>
      <c r="C40" s="231"/>
      <c r="D40" s="235"/>
      <c r="E40" s="168">
        <f>+ROUND(E37,2)</f>
        <v>0</v>
      </c>
      <c r="F40" s="165"/>
      <c r="G40" s="231"/>
      <c r="H40" s="235"/>
      <c r="I40" s="168">
        <f>+ROUND(I37,2)</f>
        <v>0</v>
      </c>
      <c r="J40" s="165"/>
      <c r="K40" s="231"/>
      <c r="L40" s="235"/>
      <c r="M40" s="168">
        <f>+ROUND(M37,2)</f>
        <v>0</v>
      </c>
      <c r="N40" s="165"/>
      <c r="O40" s="231"/>
      <c r="P40" s="235"/>
      <c r="Q40" s="168">
        <f>+ROUND(Q37,2)</f>
        <v>0</v>
      </c>
    </row>
    <row r="41" spans="1:17" x14ac:dyDescent="0.2">
      <c r="B41" s="241" t="s">
        <v>136</v>
      </c>
      <c r="C41" s="231"/>
      <c r="D41" s="235"/>
      <c r="E41" s="182">
        <f>+ROUND(E38,2)</f>
        <v>0</v>
      </c>
      <c r="F41" s="183"/>
      <c r="G41" s="231"/>
      <c r="H41" s="235"/>
      <c r="I41" s="182">
        <f>+ROUND(I38,2)</f>
        <v>0</v>
      </c>
      <c r="J41" s="183"/>
      <c r="K41" s="231"/>
      <c r="L41" s="235"/>
      <c r="M41" s="182">
        <f>+ROUND(M38,2)</f>
        <v>0</v>
      </c>
      <c r="N41" s="183"/>
      <c r="O41" s="231"/>
      <c r="P41" s="235"/>
      <c r="Q41" s="182">
        <f>+ROUND(Q38,2)</f>
        <v>0</v>
      </c>
    </row>
    <row r="42" spans="1:17" ht="16.5" thickBot="1" x14ac:dyDescent="0.25">
      <c r="B42" s="242" t="s">
        <v>243</v>
      </c>
      <c r="C42" s="236"/>
      <c r="D42" s="237"/>
      <c r="E42" s="160">
        <f>ROUND(SUM(E39:E41),2)</f>
        <v>0</v>
      </c>
      <c r="F42" s="161"/>
      <c r="G42" s="236"/>
      <c r="H42" s="237"/>
      <c r="I42" s="160">
        <f>ROUND(SUM(I39:I41),2)</f>
        <v>0</v>
      </c>
      <c r="J42" s="161"/>
      <c r="K42" s="236"/>
      <c r="L42" s="237"/>
      <c r="M42" s="160">
        <f>ROUND(SUM(M39:M41),2)</f>
        <v>0</v>
      </c>
      <c r="N42" s="161"/>
      <c r="O42" s="236"/>
      <c r="P42" s="237"/>
      <c r="Q42" s="160">
        <f>ROUND(SUM(Q39:Q41),2)</f>
        <v>0</v>
      </c>
    </row>
    <row r="43" spans="1:17" ht="16.5" thickBot="1" x14ac:dyDescent="0.25">
      <c r="B43" s="172"/>
      <c r="E43" s="251"/>
      <c r="F43" s="251"/>
      <c r="G43" s="251"/>
      <c r="H43" s="251"/>
      <c r="I43" s="251"/>
      <c r="J43" s="251"/>
      <c r="K43" s="251"/>
      <c r="N43" s="187"/>
      <c r="O43" s="251"/>
    </row>
    <row r="44" spans="1:17" ht="16.5" thickBot="1" x14ac:dyDescent="0.3">
      <c r="B44" s="620" t="str">
        <f>B13</f>
        <v>CLIN 0003 (CPIF)                                                    TASK 1.01 DEVELOPMENT LABOR TO HAVE AN OPERATIONAL SIL</v>
      </c>
      <c r="C44" s="594" t="s">
        <v>318</v>
      </c>
      <c r="D44" s="595"/>
      <c r="E44" s="596"/>
      <c r="F44" s="175"/>
      <c r="G44" s="594" t="s">
        <v>318</v>
      </c>
      <c r="H44" s="595"/>
      <c r="I44" s="596"/>
      <c r="J44" s="175"/>
      <c r="K44" s="594" t="s">
        <v>318</v>
      </c>
      <c r="L44" s="595"/>
      <c r="M44" s="596"/>
      <c r="N44" s="175"/>
      <c r="O44" s="594" t="s">
        <v>318</v>
      </c>
      <c r="P44" s="595"/>
      <c r="Q44" s="596"/>
    </row>
    <row r="45" spans="1:17" ht="27.75" customHeight="1" thickBot="1" x14ac:dyDescent="0.3">
      <c r="B45" s="621"/>
      <c r="C45" s="617" t="str">
        <f>C31</f>
        <v>CLIN 0003 - Basic Period (Year 1)</v>
      </c>
      <c r="D45" s="618"/>
      <c r="E45" s="619"/>
      <c r="F45" s="176"/>
      <c r="G45" s="617" t="str">
        <f>G31</f>
        <v>CLIN 0003 - Basic Period (Year 2)</v>
      </c>
      <c r="H45" s="618"/>
      <c r="I45" s="619"/>
      <c r="J45" s="176"/>
      <c r="K45" s="617" t="str">
        <f>K31</f>
        <v>CLIN 0003 - Basic Period (Year 3)</v>
      </c>
      <c r="L45" s="618"/>
      <c r="M45" s="619"/>
      <c r="N45" s="176"/>
      <c r="O45" s="617" t="str">
        <f>O31</f>
        <v>CLIN 0003 - Basic Period (Year 4)</v>
      </c>
      <c r="P45" s="618"/>
      <c r="Q45" s="619"/>
    </row>
    <row r="46" spans="1:17" x14ac:dyDescent="0.25">
      <c r="B46" s="248"/>
      <c r="C46" s="153" t="s">
        <v>399</v>
      </c>
      <c r="D46" s="154" t="s">
        <v>396</v>
      </c>
      <c r="E46" s="155" t="s">
        <v>397</v>
      </c>
      <c r="F46" s="166"/>
      <c r="G46" s="153" t="s">
        <v>399</v>
      </c>
      <c r="H46" s="154" t="s">
        <v>396</v>
      </c>
      <c r="I46" s="155" t="s">
        <v>397</v>
      </c>
      <c r="J46" s="166"/>
      <c r="K46" s="153" t="s">
        <v>399</v>
      </c>
      <c r="L46" s="154" t="s">
        <v>396</v>
      </c>
      <c r="M46" s="155" t="s">
        <v>397</v>
      </c>
      <c r="N46" s="166"/>
      <c r="O46" s="153" t="s">
        <v>399</v>
      </c>
      <c r="P46" s="154" t="s">
        <v>396</v>
      </c>
      <c r="Q46" s="155" t="s">
        <v>397</v>
      </c>
    </row>
    <row r="47" spans="1:17" ht="25.5" x14ac:dyDescent="0.2">
      <c r="B47" s="300" t="s">
        <v>560</v>
      </c>
      <c r="C47" s="285"/>
      <c r="D47" s="285"/>
      <c r="E47" s="345">
        <f>'PRIME CPIF TOTAL SUB'!E29</f>
        <v>0</v>
      </c>
      <c r="F47" s="288"/>
      <c r="G47" s="231"/>
      <c r="H47" s="285"/>
      <c r="I47" s="345">
        <f>'PRIME CPIF TOTAL SUB'!G29</f>
        <v>0</v>
      </c>
      <c r="J47" s="288"/>
      <c r="K47" s="231"/>
      <c r="L47" s="285"/>
      <c r="M47" s="345">
        <f>'PRIME CPIF TOTAL SUB'!I29</f>
        <v>0</v>
      </c>
      <c r="N47" s="165"/>
      <c r="O47" s="231"/>
      <c r="P47" s="285"/>
      <c r="Q47" s="345">
        <f>'PRIME CPIF TOTAL SUB'!K29</f>
        <v>0</v>
      </c>
    </row>
    <row r="48" spans="1:17" ht="76.5" x14ac:dyDescent="0.2">
      <c r="B48" s="344" t="s">
        <v>613</v>
      </c>
      <c r="C48" s="624" t="s">
        <v>5</v>
      </c>
      <c r="D48" s="625"/>
      <c r="E48" s="626"/>
      <c r="F48" s="178"/>
      <c r="G48" s="627"/>
      <c r="H48" s="625"/>
      <c r="I48" s="626"/>
      <c r="J48" s="178"/>
      <c r="K48" s="627"/>
      <c r="L48" s="625"/>
      <c r="M48" s="626"/>
      <c r="N48" s="178"/>
      <c r="O48" s="627"/>
      <c r="P48" s="625"/>
      <c r="Q48" s="626"/>
    </row>
    <row r="49" spans="1:17" x14ac:dyDescent="0.2">
      <c r="B49" s="287" t="str">
        <f>'PRIME CPIF RATES (ALL)'!B44</f>
        <v>Indirect Category: [Overhead]</v>
      </c>
      <c r="C49" s="286">
        <f>E47</f>
        <v>0</v>
      </c>
      <c r="D49" s="243">
        <f>'PRIME CPIF RATES (ALL)'!C44</f>
        <v>0</v>
      </c>
      <c r="E49" s="168">
        <f>ROUND(C49*D49,2)</f>
        <v>0</v>
      </c>
      <c r="F49" s="178"/>
      <c r="G49" s="215">
        <f>I47</f>
        <v>0</v>
      </c>
      <c r="H49" s="243">
        <f>'PRIME CPIF RATES (ALL)'!D44</f>
        <v>0</v>
      </c>
      <c r="I49" s="168">
        <f>ROUND(G49*H49,2)</f>
        <v>0</v>
      </c>
      <c r="J49" s="178"/>
      <c r="K49" s="215">
        <f>M47</f>
        <v>0</v>
      </c>
      <c r="L49" s="243">
        <f>'PRIME CPIF RATES (ALL)'!E44</f>
        <v>0</v>
      </c>
      <c r="M49" s="168">
        <f>ROUND(K49*L49,2)</f>
        <v>0</v>
      </c>
      <c r="N49" s="178"/>
      <c r="O49" s="215">
        <f>Q47</f>
        <v>0</v>
      </c>
      <c r="P49" s="243">
        <f>'PRIME CPIF RATES (ALL)'!F44</f>
        <v>0</v>
      </c>
      <c r="Q49" s="168">
        <f>ROUND(O49*P49,2)</f>
        <v>0</v>
      </c>
    </row>
    <row r="50" spans="1:17" x14ac:dyDescent="0.2">
      <c r="B50" s="287" t="str">
        <f>'PRIME CPIF RATES (ALL)'!B45</f>
        <v>Indirect Category: [G&amp;A]</v>
      </c>
      <c r="C50" s="286">
        <f>C49+E49</f>
        <v>0</v>
      </c>
      <c r="D50" s="243">
        <f>'PRIME CPIF RATES (ALL)'!C45</f>
        <v>0</v>
      </c>
      <c r="E50" s="168">
        <f>ROUND(C50*D50,2)</f>
        <v>0</v>
      </c>
      <c r="F50" s="288"/>
      <c r="G50" s="286">
        <f>G49+I49</f>
        <v>0</v>
      </c>
      <c r="H50" s="243">
        <f>'PRIME CPIF RATES (ALL)'!D45</f>
        <v>0</v>
      </c>
      <c r="I50" s="168">
        <f>ROUND(G50*H50,2)</f>
        <v>0</v>
      </c>
      <c r="J50" s="288"/>
      <c r="K50" s="286">
        <f>K49+M49</f>
        <v>0</v>
      </c>
      <c r="L50" s="243">
        <f>'PRIME CPIF RATES (ALL)'!E45</f>
        <v>0</v>
      </c>
      <c r="M50" s="168">
        <f>ROUND(K50*L50,2)</f>
        <v>0</v>
      </c>
      <c r="N50" s="165"/>
      <c r="O50" s="286">
        <f>O49+Q49</f>
        <v>0</v>
      </c>
      <c r="P50" s="243">
        <f>'PRIME CPIF RATES (ALL)'!F45</f>
        <v>0</v>
      </c>
      <c r="Q50" s="168">
        <f>ROUND(O50*P50,2)</f>
        <v>0</v>
      </c>
    </row>
    <row r="51" spans="1:17" x14ac:dyDescent="0.2">
      <c r="B51" s="351" t="str">
        <f>'PRIME CPIF RATES (ALL)'!B46</f>
        <v>Indirect Category: [FCCOM]</v>
      </c>
      <c r="C51" s="215">
        <f>C50+E50</f>
        <v>0</v>
      </c>
      <c r="D51" s="243">
        <f>'PRIME CPIF RATES (ALL)'!C46</f>
        <v>0</v>
      </c>
      <c r="E51" s="353">
        <f>ROUND(C51*D51,2)</f>
        <v>0</v>
      </c>
      <c r="F51" s="288"/>
      <c r="G51" s="215">
        <f>G50+I50</f>
        <v>0</v>
      </c>
      <c r="H51" s="243">
        <f>'PRIME CPIF RATES (ALL)'!D46</f>
        <v>0</v>
      </c>
      <c r="I51" s="353">
        <f>ROUND(G51*H51,2)</f>
        <v>0</v>
      </c>
      <c r="J51" s="288"/>
      <c r="K51" s="215">
        <f>K50+M50</f>
        <v>0</v>
      </c>
      <c r="L51" s="243">
        <f>'PRIME CPIF RATES (ALL)'!E46</f>
        <v>0</v>
      </c>
      <c r="M51" s="353">
        <f>ROUND(K51*L51,2)</f>
        <v>0</v>
      </c>
      <c r="N51" s="165"/>
      <c r="O51" s="215">
        <f>O50+Q50</f>
        <v>0</v>
      </c>
      <c r="P51" s="243">
        <f>'PRIME CPIF RATES (ALL)'!F46</f>
        <v>0</v>
      </c>
      <c r="Q51" s="353">
        <f>ROUND(O51*P51,2)</f>
        <v>0</v>
      </c>
    </row>
    <row r="52" spans="1:17" x14ac:dyDescent="0.2">
      <c r="B52" s="167" t="str">
        <f>'PRIME CPIF RATES (ALL)'!B47</f>
        <v>Indirect Category: [Target Fee]</v>
      </c>
      <c r="C52" s="214">
        <f>C50+E50</f>
        <v>0</v>
      </c>
      <c r="D52" s="354">
        <f>'PRIME CPIF RATES (ALL)'!C47</f>
        <v>0</v>
      </c>
      <c r="E52" s="353">
        <f>ROUND(C52*D52,2)</f>
        <v>0</v>
      </c>
      <c r="F52" s="288"/>
      <c r="G52" s="214">
        <f>G50+I50</f>
        <v>0</v>
      </c>
      <c r="H52" s="354">
        <f>'PRIME CPIF RATES (ALL)'!D47</f>
        <v>0</v>
      </c>
      <c r="I52" s="353">
        <f>ROUND(G52*H52,2)</f>
        <v>0</v>
      </c>
      <c r="J52" s="288"/>
      <c r="K52" s="214">
        <f>K50+M50</f>
        <v>0</v>
      </c>
      <c r="L52" s="354">
        <f>'PRIME CPIF RATES (ALL)'!E47</f>
        <v>0</v>
      </c>
      <c r="M52" s="353">
        <f>ROUND(K52*L52,2)</f>
        <v>0</v>
      </c>
      <c r="N52" s="165"/>
      <c r="O52" s="214">
        <f>O50+Q50</f>
        <v>0</v>
      </c>
      <c r="P52" s="354">
        <f>'PRIME CPIF RATES (ALL)'!F47</f>
        <v>0</v>
      </c>
      <c r="Q52" s="353">
        <f>ROUND(O52*P52,2)</f>
        <v>0</v>
      </c>
    </row>
    <row r="53" spans="1:17" x14ac:dyDescent="0.2">
      <c r="B53" s="241" t="s">
        <v>320</v>
      </c>
      <c r="C53" s="233"/>
      <c r="D53" s="234"/>
      <c r="E53" s="168">
        <f>ROUND(E47+E49+E50,2)</f>
        <v>0</v>
      </c>
      <c r="F53" s="288"/>
      <c r="G53" s="233"/>
      <c r="H53" s="234"/>
      <c r="I53" s="168">
        <f>ROUND(I47+I49+I50,2)</f>
        <v>0</v>
      </c>
      <c r="J53" s="288"/>
      <c r="K53" s="233"/>
      <c r="L53" s="234"/>
      <c r="M53" s="168">
        <f>ROUND(M47+M49+M50,2)</f>
        <v>0</v>
      </c>
      <c r="N53" s="165"/>
      <c r="O53" s="233"/>
      <c r="P53" s="234"/>
      <c r="Q53" s="168">
        <f>ROUND(Q47+Q49+Q50,2)</f>
        <v>0</v>
      </c>
    </row>
    <row r="54" spans="1:17" x14ac:dyDescent="0.2">
      <c r="B54" s="241" t="s">
        <v>298</v>
      </c>
      <c r="C54" s="231"/>
      <c r="D54" s="235"/>
      <c r="E54" s="168">
        <f>ROUND(E51,2)</f>
        <v>0</v>
      </c>
      <c r="F54" s="288"/>
      <c r="G54" s="231"/>
      <c r="H54" s="235"/>
      <c r="I54" s="168">
        <f>ROUND(I51,2)</f>
        <v>0</v>
      </c>
      <c r="J54" s="288"/>
      <c r="K54" s="231"/>
      <c r="L54" s="235"/>
      <c r="M54" s="168">
        <f>ROUND(M51,2)</f>
        <v>0</v>
      </c>
      <c r="N54" s="165"/>
      <c r="O54" s="231"/>
      <c r="P54" s="235"/>
      <c r="Q54" s="168">
        <f>ROUND(Q51,2)</f>
        <v>0</v>
      </c>
    </row>
    <row r="55" spans="1:17" x14ac:dyDescent="0.2">
      <c r="B55" s="241" t="s">
        <v>136</v>
      </c>
      <c r="C55" s="231"/>
      <c r="D55" s="235"/>
      <c r="E55" s="182">
        <f>ROUND(E52,2)</f>
        <v>0</v>
      </c>
      <c r="F55" s="183"/>
      <c r="G55" s="231"/>
      <c r="H55" s="235"/>
      <c r="I55" s="182">
        <f>ROUND(I52,2)</f>
        <v>0</v>
      </c>
      <c r="J55" s="183"/>
      <c r="K55" s="231"/>
      <c r="L55" s="235"/>
      <c r="M55" s="182">
        <f>ROUND(M52,2)</f>
        <v>0</v>
      </c>
      <c r="N55" s="183"/>
      <c r="O55" s="231"/>
      <c r="P55" s="235"/>
      <c r="Q55" s="182">
        <f>ROUND(Q52,2)</f>
        <v>0</v>
      </c>
    </row>
    <row r="56" spans="1:17" ht="16.5" thickBot="1" x14ac:dyDescent="0.25">
      <c r="B56" s="242" t="s">
        <v>321</v>
      </c>
      <c r="C56" s="236"/>
      <c r="D56" s="237"/>
      <c r="E56" s="160">
        <f>ROUND(SUM(E53:E55),2)</f>
        <v>0</v>
      </c>
      <c r="F56" s="161"/>
      <c r="G56" s="236"/>
      <c r="H56" s="237"/>
      <c r="I56" s="160">
        <f>ROUND(SUM(I53:I55),2)</f>
        <v>0</v>
      </c>
      <c r="J56" s="161"/>
      <c r="K56" s="236"/>
      <c r="L56" s="237"/>
      <c r="M56" s="160">
        <f>ROUND(SUM(M53:M55),2)</f>
        <v>0</v>
      </c>
      <c r="N56" s="161"/>
      <c r="O56" s="236"/>
      <c r="P56" s="237"/>
      <c r="Q56" s="160">
        <f>ROUND(SUM(Q53:Q55),2)</f>
        <v>0</v>
      </c>
    </row>
    <row r="57" spans="1:17" ht="16.5" thickBot="1" x14ac:dyDescent="0.25">
      <c r="B57" s="172"/>
      <c r="E57" s="251"/>
      <c r="F57" s="251"/>
      <c r="G57" s="251"/>
      <c r="H57" s="251"/>
      <c r="I57" s="251"/>
      <c r="J57" s="251"/>
      <c r="K57" s="251"/>
      <c r="N57" s="187"/>
      <c r="O57" s="251"/>
    </row>
    <row r="58" spans="1:17" ht="16.5" customHeight="1" thickBot="1" x14ac:dyDescent="0.3">
      <c r="A58" s="193"/>
      <c r="B58" s="620" t="str">
        <f>B30</f>
        <v>CLIN 0003 (CPIF)                                                    TASK 1.01 DEVELOPMENT LABOR TO HAVE AN OPERATIONAL SIL</v>
      </c>
      <c r="C58" s="594" t="s">
        <v>146</v>
      </c>
      <c r="D58" s="595"/>
      <c r="E58" s="596"/>
      <c r="F58" s="175"/>
      <c r="G58" s="594" t="s">
        <v>147</v>
      </c>
      <c r="H58" s="595"/>
      <c r="I58" s="596"/>
      <c r="J58" s="175"/>
      <c r="K58" s="594" t="s">
        <v>147</v>
      </c>
      <c r="L58" s="595"/>
      <c r="M58" s="596"/>
      <c r="N58" s="175"/>
      <c r="O58" s="594" t="s">
        <v>147</v>
      </c>
      <c r="P58" s="595"/>
      <c r="Q58" s="596"/>
    </row>
    <row r="59" spans="1:17" ht="33.75" customHeight="1" thickBot="1" x14ac:dyDescent="0.3">
      <c r="A59" s="193"/>
      <c r="B59" s="621"/>
      <c r="C59" s="591" t="str">
        <f>C31</f>
        <v>CLIN 0003 - Basic Period (Year 1)</v>
      </c>
      <c r="D59" s="592"/>
      <c r="E59" s="593"/>
      <c r="F59" s="176"/>
      <c r="G59" s="591" t="str">
        <f>G31</f>
        <v>CLIN 0003 - Basic Period (Year 2)</v>
      </c>
      <c r="H59" s="592"/>
      <c r="I59" s="593"/>
      <c r="J59" s="176"/>
      <c r="K59" s="591" t="str">
        <f>K31</f>
        <v>CLIN 0003 - Basic Period (Year 3)</v>
      </c>
      <c r="L59" s="592"/>
      <c r="M59" s="593"/>
      <c r="N59" s="176"/>
      <c r="O59" s="591" t="str">
        <f>O31</f>
        <v>CLIN 0003 - Basic Period (Year 4)</v>
      </c>
      <c r="P59" s="592"/>
      <c r="Q59" s="593"/>
    </row>
    <row r="60" spans="1:17" x14ac:dyDescent="0.25">
      <c r="A60" s="193"/>
      <c r="B60" s="248"/>
      <c r="C60" s="153" t="s">
        <v>399</v>
      </c>
      <c r="D60" s="154" t="s">
        <v>396</v>
      </c>
      <c r="E60" s="155" t="s">
        <v>153</v>
      </c>
      <c r="F60" s="166"/>
      <c r="G60" s="153" t="s">
        <v>399</v>
      </c>
      <c r="H60" s="154" t="s">
        <v>396</v>
      </c>
      <c r="I60" s="155" t="s">
        <v>153</v>
      </c>
      <c r="J60" s="166"/>
      <c r="K60" s="153" t="s">
        <v>399</v>
      </c>
      <c r="L60" s="154" t="s">
        <v>396</v>
      </c>
      <c r="M60" s="155" t="s">
        <v>153</v>
      </c>
      <c r="N60" s="166"/>
      <c r="O60" s="153" t="s">
        <v>399</v>
      </c>
      <c r="P60" s="154" t="s">
        <v>396</v>
      </c>
      <c r="Q60" s="155" t="s">
        <v>153</v>
      </c>
    </row>
    <row r="61" spans="1:17" ht="26.25" x14ac:dyDescent="0.25">
      <c r="A61" s="193"/>
      <c r="B61" s="300" t="s">
        <v>561</v>
      </c>
      <c r="C61" s="231"/>
      <c r="D61" s="232"/>
      <c r="E61" s="345">
        <f>'PRIME CPIF TOTAL ODC'!E29</f>
        <v>0</v>
      </c>
      <c r="F61" s="165"/>
      <c r="G61" s="231"/>
      <c r="H61" s="232"/>
      <c r="I61" s="345">
        <f>'PRIME CPIF TOTAL ODC'!G29</f>
        <v>0</v>
      </c>
      <c r="J61" s="165"/>
      <c r="K61" s="231"/>
      <c r="L61" s="232"/>
      <c r="M61" s="400">
        <f>'PRIME CPIF TOTAL ODC'!I29</f>
        <v>0</v>
      </c>
      <c r="N61" s="165"/>
      <c r="O61" s="231"/>
      <c r="P61" s="232"/>
      <c r="Q61" s="400">
        <f>'PRIME CPIF TOTAL ODC'!K29</f>
        <v>0</v>
      </c>
    </row>
    <row r="62" spans="1:17" ht="66" customHeight="1" x14ac:dyDescent="0.25">
      <c r="A62" s="193"/>
      <c r="B62" s="490" t="s">
        <v>614</v>
      </c>
      <c r="C62" s="404"/>
      <c r="D62" s="404"/>
      <c r="E62" s="403"/>
      <c r="F62" s="288"/>
      <c r="G62" s="405"/>
      <c r="H62" s="404"/>
      <c r="I62" s="403"/>
      <c r="J62" s="288"/>
      <c r="K62" s="405"/>
      <c r="L62" s="404"/>
      <c r="M62" s="400"/>
      <c r="N62" s="165"/>
      <c r="O62" s="405"/>
      <c r="P62" s="404"/>
      <c r="Q62" s="400"/>
    </row>
    <row r="63" spans="1:17" x14ac:dyDescent="0.25">
      <c r="A63" s="193"/>
      <c r="B63" s="167" t="s">
        <v>125</v>
      </c>
      <c r="C63" s="215">
        <f>+E61</f>
        <v>0</v>
      </c>
      <c r="D63" s="243">
        <f>'PRIME CPIF RATES (ALL)'!C60</f>
        <v>0</v>
      </c>
      <c r="E63" s="168">
        <f>ROUND(C63*D63,2)</f>
        <v>0</v>
      </c>
      <c r="F63" s="178"/>
      <c r="G63" s="215">
        <f>+I61</f>
        <v>0</v>
      </c>
      <c r="H63" s="243">
        <f>'PRIME CPIF RATES (ALL)'!D60</f>
        <v>0</v>
      </c>
      <c r="I63" s="168">
        <f>ROUND(G63*H63,2)</f>
        <v>0</v>
      </c>
      <c r="J63" s="178"/>
      <c r="K63" s="215">
        <f>+M61</f>
        <v>0</v>
      </c>
      <c r="L63" s="243">
        <f>'PRIME CPIF RATES (ALL)'!E60</f>
        <v>0</v>
      </c>
      <c r="M63" s="168">
        <f>ROUND(K63*L63,2)</f>
        <v>0</v>
      </c>
      <c r="N63" s="178"/>
      <c r="O63" s="215">
        <f>+Q61</f>
        <v>0</v>
      </c>
      <c r="P63" s="243">
        <f>'PRIME CPIF RATES (ALL)'!F60</f>
        <v>0</v>
      </c>
      <c r="Q63" s="168">
        <f>ROUND(O63*P63,2)</f>
        <v>0</v>
      </c>
    </row>
    <row r="64" spans="1:17" x14ac:dyDescent="0.25">
      <c r="A64" s="193"/>
      <c r="B64" s="167" t="s">
        <v>126</v>
      </c>
      <c r="C64" s="215">
        <f>+C63+E63</f>
        <v>0</v>
      </c>
      <c r="D64" s="243">
        <f>'PRIME CPIF RATES (ALL)'!C61</f>
        <v>0</v>
      </c>
      <c r="E64" s="168">
        <f>ROUND(C64*D64,2)</f>
        <v>0</v>
      </c>
      <c r="F64" s="178"/>
      <c r="G64" s="215">
        <f>+G63+I63</f>
        <v>0</v>
      </c>
      <c r="H64" s="243">
        <f>'PRIME CPIF RATES (ALL)'!D61</f>
        <v>0</v>
      </c>
      <c r="I64" s="168">
        <f>ROUND(G64*H64,2)</f>
        <v>0</v>
      </c>
      <c r="J64" s="178"/>
      <c r="K64" s="215">
        <f>+K63+M63</f>
        <v>0</v>
      </c>
      <c r="L64" s="243">
        <f>'PRIME CPIF RATES (ALL)'!E61</f>
        <v>0</v>
      </c>
      <c r="M64" s="168">
        <f>ROUND(K64*L64,2)</f>
        <v>0</v>
      </c>
      <c r="N64" s="178"/>
      <c r="O64" s="215">
        <f>+O63+Q63</f>
        <v>0</v>
      </c>
      <c r="P64" s="243">
        <f>'PRIME CPIF RATES (ALL)'!F61</f>
        <v>0</v>
      </c>
      <c r="Q64" s="168">
        <f>ROUND(O64*P64,2)</f>
        <v>0</v>
      </c>
    </row>
    <row r="65" spans="1:17" x14ac:dyDescent="0.25">
      <c r="A65" s="193"/>
      <c r="B65" s="167" t="s">
        <v>566</v>
      </c>
      <c r="C65" s="215">
        <f>C64+E64</f>
        <v>0</v>
      </c>
      <c r="D65" s="243">
        <f>'PRIME CPIF RATES (ALL)'!C62</f>
        <v>0</v>
      </c>
      <c r="E65" s="168">
        <f>ROUND(C65*D65,2)</f>
        <v>0</v>
      </c>
      <c r="F65" s="165"/>
      <c r="G65" s="215">
        <f>G64+I64</f>
        <v>0</v>
      </c>
      <c r="H65" s="243">
        <f>'PRIME CPIF RATES (ALL)'!D62</f>
        <v>0</v>
      </c>
      <c r="I65" s="168">
        <f>ROUND(G65*H65,2)</f>
        <v>0</v>
      </c>
      <c r="J65" s="165"/>
      <c r="K65" s="215">
        <f>K64+M64</f>
        <v>0</v>
      </c>
      <c r="L65" s="243">
        <f>'PRIME CPIF RATES (ALL)'!E62</f>
        <v>0</v>
      </c>
      <c r="M65" s="168">
        <f>ROUND(K65*L65,2)</f>
        <v>0</v>
      </c>
      <c r="N65" s="165"/>
      <c r="O65" s="215">
        <f>O64+Q64</f>
        <v>0</v>
      </c>
      <c r="P65" s="243">
        <f>'PRIME CPIF RATES (ALL)'!F62</f>
        <v>0</v>
      </c>
      <c r="Q65" s="168">
        <f>ROUND(O65*P65,2)</f>
        <v>0</v>
      </c>
    </row>
    <row r="66" spans="1:17" x14ac:dyDescent="0.25">
      <c r="A66" s="193"/>
      <c r="B66" s="167" t="s">
        <v>127</v>
      </c>
      <c r="C66" s="215">
        <f>+C64+E64</f>
        <v>0</v>
      </c>
      <c r="D66" s="354">
        <f>'PRIME CPIF RATES (ALL)'!C63</f>
        <v>0</v>
      </c>
      <c r="E66" s="168">
        <f>ROUND(C66*D66,2)</f>
        <v>0</v>
      </c>
      <c r="F66" s="165"/>
      <c r="G66" s="215">
        <f>+G64+I64</f>
        <v>0</v>
      </c>
      <c r="H66" s="354">
        <f>'PRIME CPIF RATES (ALL)'!D63</f>
        <v>0</v>
      </c>
      <c r="I66" s="168">
        <f>ROUND(G66*H66,2)</f>
        <v>0</v>
      </c>
      <c r="J66" s="165"/>
      <c r="K66" s="215">
        <f>+K64+M64</f>
        <v>0</v>
      </c>
      <c r="L66" s="354">
        <f>'PRIME CPIF RATES (ALL)'!E63</f>
        <v>0</v>
      </c>
      <c r="M66" s="168">
        <f>ROUND(K66*L66,2)</f>
        <v>0</v>
      </c>
      <c r="N66" s="165"/>
      <c r="O66" s="215">
        <f>+O64+Q64</f>
        <v>0</v>
      </c>
      <c r="P66" s="354">
        <f>'PRIME CPIF RATES (ALL)'!F63</f>
        <v>0</v>
      </c>
      <c r="Q66" s="168">
        <f>ROUND(O66*P66,2)</f>
        <v>0</v>
      </c>
    </row>
    <row r="67" spans="1:17" x14ac:dyDescent="0.25">
      <c r="A67" s="193"/>
      <c r="B67" s="241" t="s">
        <v>260</v>
      </c>
      <c r="C67" s="233"/>
      <c r="D67" s="234"/>
      <c r="E67" s="168">
        <f>+ROUND(SUM(E61:E64),2)</f>
        <v>0</v>
      </c>
      <c r="F67" s="165"/>
      <c r="G67" s="233"/>
      <c r="H67" s="234"/>
      <c r="I67" s="168">
        <f>+ROUND(SUM(I61:I64),2)</f>
        <v>0</v>
      </c>
      <c r="J67" s="165"/>
      <c r="K67" s="233"/>
      <c r="L67" s="234"/>
      <c r="M67" s="168">
        <f>+ROUND(SUM(M61:M64),2)</f>
        <v>0</v>
      </c>
      <c r="N67" s="165"/>
      <c r="O67" s="233"/>
      <c r="P67" s="234"/>
      <c r="Q67" s="168">
        <f>+ROUND(SUM(Q61:Q64),2)</f>
        <v>0</v>
      </c>
    </row>
    <row r="68" spans="1:17" x14ac:dyDescent="0.25">
      <c r="A68" s="193"/>
      <c r="B68" s="241" t="s">
        <v>137</v>
      </c>
      <c r="C68" s="231"/>
      <c r="D68" s="235"/>
      <c r="E68" s="168">
        <f>+ROUND(E65,2)</f>
        <v>0</v>
      </c>
      <c r="F68" s="165"/>
      <c r="G68" s="231"/>
      <c r="H68" s="235"/>
      <c r="I68" s="168">
        <f>+ROUND(I65,2)</f>
        <v>0</v>
      </c>
      <c r="J68" s="165"/>
      <c r="K68" s="231"/>
      <c r="L68" s="235"/>
      <c r="M68" s="168">
        <f>+ROUND(M65,2)</f>
        <v>0</v>
      </c>
      <c r="N68" s="165"/>
      <c r="O68" s="231"/>
      <c r="P68" s="235"/>
      <c r="Q68" s="168">
        <f>+ROUND(Q65,2)</f>
        <v>0</v>
      </c>
    </row>
    <row r="69" spans="1:17" x14ac:dyDescent="0.2">
      <c r="A69" s="186"/>
      <c r="B69" s="241" t="s">
        <v>136</v>
      </c>
      <c r="C69" s="231"/>
      <c r="D69" s="235"/>
      <c r="E69" s="182">
        <f>+ROUND(E66,2)</f>
        <v>0</v>
      </c>
      <c r="F69" s="183"/>
      <c r="G69" s="231"/>
      <c r="H69" s="235"/>
      <c r="I69" s="182">
        <f>+ROUND(I66,2)</f>
        <v>0</v>
      </c>
      <c r="J69" s="183"/>
      <c r="K69" s="231"/>
      <c r="L69" s="235"/>
      <c r="M69" s="182">
        <f>+ROUND(M66,2)</f>
        <v>0</v>
      </c>
      <c r="N69" s="183"/>
      <c r="O69" s="231"/>
      <c r="P69" s="235"/>
      <c r="Q69" s="182">
        <f>+ROUND(Q66,2)</f>
        <v>0</v>
      </c>
    </row>
    <row r="70" spans="1:17" ht="16.5" thickBot="1" x14ac:dyDescent="0.25">
      <c r="A70" s="186"/>
      <c r="B70" s="242" t="s">
        <v>244</v>
      </c>
      <c r="C70" s="236"/>
      <c r="D70" s="237"/>
      <c r="E70" s="160">
        <f t="shared" ref="E70" si="0">SUM(E67:E69)</f>
        <v>0</v>
      </c>
      <c r="F70" s="161"/>
      <c r="G70" s="236"/>
      <c r="H70" s="237"/>
      <c r="I70" s="160">
        <f t="shared" ref="I70" si="1">SUM(I67:I69)</f>
        <v>0</v>
      </c>
      <c r="J70" s="161"/>
      <c r="K70" s="236"/>
      <c r="L70" s="237"/>
      <c r="M70" s="160">
        <f t="shared" ref="M70" si="2">SUM(M67:M69)</f>
        <v>0</v>
      </c>
      <c r="N70" s="161"/>
      <c r="O70" s="236"/>
      <c r="P70" s="237"/>
      <c r="Q70" s="160">
        <f t="shared" ref="Q70" si="3">SUM(Q67:Q69)</f>
        <v>0</v>
      </c>
    </row>
    <row r="71" spans="1:17" ht="16.5" thickBot="1" x14ac:dyDescent="0.25">
      <c r="A71" s="186"/>
      <c r="B71" s="172"/>
      <c r="E71" s="251"/>
      <c r="F71" s="251"/>
      <c r="G71" s="251"/>
      <c r="H71" s="251"/>
      <c r="I71" s="251"/>
      <c r="J71" s="251"/>
      <c r="K71" s="251"/>
      <c r="N71" s="187"/>
      <c r="O71" s="251"/>
    </row>
    <row r="72" spans="1:17" ht="16.5" thickBot="1" x14ac:dyDescent="0.3">
      <c r="A72" s="186"/>
      <c r="B72" s="628" t="str">
        <f>B58</f>
        <v>CLIN 0003 (CPIF)                                                    TASK 1.01 DEVELOPMENT LABOR TO HAVE AN OPERATIONAL SIL</v>
      </c>
      <c r="C72" s="614" t="s">
        <v>319</v>
      </c>
      <c r="D72" s="615"/>
      <c r="E72" s="616"/>
      <c r="F72" s="175"/>
      <c r="G72" s="614" t="s">
        <v>319</v>
      </c>
      <c r="H72" s="615"/>
      <c r="I72" s="616"/>
      <c r="J72" s="175"/>
      <c r="K72" s="614" t="s">
        <v>319</v>
      </c>
      <c r="L72" s="615"/>
      <c r="M72" s="616"/>
      <c r="N72" s="175"/>
      <c r="O72" s="614" t="s">
        <v>319</v>
      </c>
      <c r="P72" s="615"/>
      <c r="Q72" s="616"/>
    </row>
    <row r="73" spans="1:17" ht="33.75" customHeight="1" thickBot="1" x14ac:dyDescent="0.3">
      <c r="A73" s="186"/>
      <c r="B73" s="629"/>
      <c r="C73" s="280"/>
      <c r="D73" s="281"/>
      <c r="E73" s="188" t="s">
        <v>371</v>
      </c>
      <c r="F73" s="189"/>
      <c r="G73" s="280"/>
      <c r="H73" s="281"/>
      <c r="I73" s="188" t="s">
        <v>372</v>
      </c>
      <c r="J73" s="189"/>
      <c r="K73" s="280"/>
      <c r="L73" s="281"/>
      <c r="M73" s="188" t="s">
        <v>373</v>
      </c>
      <c r="N73" s="189"/>
      <c r="O73" s="280"/>
      <c r="P73" s="281"/>
      <c r="Q73" s="188" t="s">
        <v>374</v>
      </c>
    </row>
    <row r="74" spans="1:17" x14ac:dyDescent="0.2">
      <c r="A74" s="186"/>
      <c r="B74" s="167" t="s">
        <v>261</v>
      </c>
      <c r="C74" s="282"/>
      <c r="D74" s="282"/>
      <c r="E74" s="190">
        <f>+ROUND(E25+E39+E53+E67,2)</f>
        <v>0</v>
      </c>
      <c r="F74" s="165"/>
      <c r="G74" s="282"/>
      <c r="H74" s="282"/>
      <c r="I74" s="190">
        <f>+ROUND(I25+I39+I53+I67,2)</f>
        <v>0</v>
      </c>
      <c r="J74" s="165"/>
      <c r="K74" s="282"/>
      <c r="L74" s="282"/>
      <c r="M74" s="190">
        <f>+ROUND(M25+M39+M53+M67,2)</f>
        <v>0</v>
      </c>
      <c r="N74" s="165"/>
      <c r="O74" s="282"/>
      <c r="P74" s="282"/>
      <c r="Q74" s="190">
        <f>+ROUND(Q25+Q39+Q53+Q67,2)</f>
        <v>0</v>
      </c>
    </row>
    <row r="75" spans="1:17" x14ac:dyDescent="0.2">
      <c r="A75" s="186"/>
      <c r="B75" s="167" t="s">
        <v>137</v>
      </c>
      <c r="C75" s="282"/>
      <c r="D75" s="282"/>
      <c r="E75" s="168">
        <f>+ROUND(E26+E40+E54+E68,2)</f>
        <v>0</v>
      </c>
      <c r="F75" s="165"/>
      <c r="G75" s="282"/>
      <c r="H75" s="282"/>
      <c r="I75" s="168">
        <f>+ROUND(I26+I40+I54+I68,2)</f>
        <v>0</v>
      </c>
      <c r="J75" s="165"/>
      <c r="K75" s="282"/>
      <c r="L75" s="282"/>
      <c r="M75" s="168">
        <f>+ROUND(M26+M40+M54+M68,2)</f>
        <v>0</v>
      </c>
      <c r="N75" s="165"/>
      <c r="O75" s="282"/>
      <c r="P75" s="282"/>
      <c r="Q75" s="168">
        <f>+ROUND(Q26+Q40+Q54+Q68,2)</f>
        <v>0</v>
      </c>
    </row>
    <row r="76" spans="1:17" x14ac:dyDescent="0.2">
      <c r="A76" s="186"/>
      <c r="B76" s="167" t="s">
        <v>136</v>
      </c>
      <c r="C76" s="282"/>
      <c r="D76" s="282"/>
      <c r="E76" s="169">
        <f>+ROUND(E27+E41+E55+E69,2)</f>
        <v>0</v>
      </c>
      <c r="F76" s="170"/>
      <c r="G76" s="282"/>
      <c r="H76" s="282"/>
      <c r="I76" s="169">
        <f>+ROUND(I27+I41+I55+I69,2)</f>
        <v>0</v>
      </c>
      <c r="J76" s="170"/>
      <c r="K76" s="282"/>
      <c r="L76" s="282"/>
      <c r="M76" s="169">
        <f>+ROUND(M27+M41+M55+M69,2)</f>
        <v>0</v>
      </c>
      <c r="N76" s="170"/>
      <c r="O76" s="282"/>
      <c r="P76" s="282"/>
      <c r="Q76" s="169">
        <f>+ROUND(Q27+Q41+Q55+Q69,2)</f>
        <v>0</v>
      </c>
    </row>
    <row r="77" spans="1:17" ht="32.25" thickBot="1" x14ac:dyDescent="0.3">
      <c r="A77" s="186"/>
      <c r="B77" s="265" t="s">
        <v>532</v>
      </c>
      <c r="C77" s="283"/>
      <c r="D77" s="283"/>
      <c r="E77" s="266">
        <f>SUM(E74:E76)</f>
        <v>0</v>
      </c>
      <c r="F77" s="171"/>
      <c r="G77" s="283"/>
      <c r="H77" s="283"/>
      <c r="I77" s="266">
        <f>SUM(I74:I76)</f>
        <v>0</v>
      </c>
      <c r="J77" s="171"/>
      <c r="K77" s="283"/>
      <c r="L77" s="283"/>
      <c r="M77" s="266">
        <f>SUM(M74:M76)</f>
        <v>0</v>
      </c>
      <c r="N77" s="171"/>
      <c r="O77" s="283"/>
      <c r="P77" s="283"/>
      <c r="Q77" s="266">
        <f>SUM(Q74:Q76)</f>
        <v>0</v>
      </c>
    </row>
    <row r="78" spans="1:17" ht="16.5" thickBot="1" x14ac:dyDescent="0.3"/>
    <row r="79" spans="1:17" ht="31.5" x14ac:dyDescent="0.25">
      <c r="Q79" s="411" t="s">
        <v>533</v>
      </c>
    </row>
    <row r="80" spans="1:17" ht="16.5" thickBot="1" x14ac:dyDescent="0.3">
      <c r="Q80" s="410">
        <f>E77+I77+M77+Q77</f>
        <v>0</v>
      </c>
    </row>
  </sheetData>
  <mergeCells count="46">
    <mergeCell ref="B72:B73"/>
    <mergeCell ref="C72:E72"/>
    <mergeCell ref="G72:I72"/>
    <mergeCell ref="K72:M72"/>
    <mergeCell ref="O72:Q72"/>
    <mergeCell ref="B58:B59"/>
    <mergeCell ref="C58:E58"/>
    <mergeCell ref="G58:I58"/>
    <mergeCell ref="K58:M58"/>
    <mergeCell ref="O58:Q58"/>
    <mergeCell ref="O59:Q59"/>
    <mergeCell ref="C59:E59"/>
    <mergeCell ref="G59:I59"/>
    <mergeCell ref="K59:M59"/>
    <mergeCell ref="B30:B31"/>
    <mergeCell ref="C30:E30"/>
    <mergeCell ref="G30:I30"/>
    <mergeCell ref="K30:M30"/>
    <mergeCell ref="C31:E31"/>
    <mergeCell ref="G31:I31"/>
    <mergeCell ref="K31:M31"/>
    <mergeCell ref="A3:C3"/>
    <mergeCell ref="B13:B14"/>
    <mergeCell ref="C13:E13"/>
    <mergeCell ref="G13:I13"/>
    <mergeCell ref="K13:M13"/>
    <mergeCell ref="C14:E14"/>
    <mergeCell ref="G14:I14"/>
    <mergeCell ref="K14:M14"/>
    <mergeCell ref="B44:B45"/>
    <mergeCell ref="C44:E44"/>
    <mergeCell ref="G44:I44"/>
    <mergeCell ref="K44:M44"/>
    <mergeCell ref="C45:E45"/>
    <mergeCell ref="G45:I45"/>
    <mergeCell ref="K45:M45"/>
    <mergeCell ref="C48:E48"/>
    <mergeCell ref="G48:I48"/>
    <mergeCell ref="K48:M48"/>
    <mergeCell ref="O13:Q13"/>
    <mergeCell ref="O14:Q14"/>
    <mergeCell ref="O30:Q30"/>
    <mergeCell ref="O31:Q31"/>
    <mergeCell ref="O44:Q44"/>
    <mergeCell ref="O45:Q45"/>
    <mergeCell ref="O48:Q48"/>
  </mergeCell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0B08F9-9206-4A53-82EA-D5D25AD1C6CD}">
  <sheetPr>
    <tabColor theme="0"/>
  </sheetPr>
  <dimension ref="A1:Q80"/>
  <sheetViews>
    <sheetView zoomScale="80" zoomScaleNormal="80" workbookViewId="0">
      <pane ySplit="11" topLeftCell="A12" activePane="bottomLeft" state="frozen"/>
      <selection pane="bottomLeft" activeCell="L24" sqref="L24"/>
    </sheetView>
    <sheetView workbookViewId="1"/>
  </sheetViews>
  <sheetFormatPr defaultColWidth="15.85546875" defaultRowHeight="15.75" x14ac:dyDescent="0.25"/>
  <cols>
    <col min="1" max="1" width="3.42578125" style="191" customWidth="1"/>
    <col min="2" max="2" width="49.140625" style="174" customWidth="1"/>
    <col min="3" max="3" width="18.28515625" style="186" bestFit="1" customWidth="1"/>
    <col min="4" max="4" width="12.42578125" style="186" bestFit="1" customWidth="1"/>
    <col min="5" max="5" width="32.140625" style="186" bestFit="1" customWidth="1"/>
    <col min="6" max="6" width="1" style="186" customWidth="1"/>
    <col min="7" max="7" width="14.28515625" style="186" customWidth="1"/>
    <col min="8" max="8" width="14.5703125" style="186" customWidth="1"/>
    <col min="9" max="9" width="34.42578125" style="186" bestFit="1" customWidth="1"/>
    <col min="10" max="10" width="1" style="186" customWidth="1"/>
    <col min="11" max="11" width="16.7109375" style="186" customWidth="1"/>
    <col min="12" max="12" width="16.28515625" style="186" customWidth="1"/>
    <col min="13" max="13" width="34.42578125" style="186" bestFit="1" customWidth="1"/>
    <col min="14" max="14" width="0.85546875" style="186" customWidth="1"/>
    <col min="15" max="15" width="16.7109375" style="186" customWidth="1"/>
    <col min="16" max="16" width="16.28515625" style="186" customWidth="1"/>
    <col min="17" max="17" width="34.42578125" style="186" bestFit="1" customWidth="1"/>
    <col min="18" max="16384" width="15.85546875" style="186"/>
  </cols>
  <sheetData>
    <row r="1" spans="1:17" ht="16.5" thickBot="1" x14ac:dyDescent="0.3">
      <c r="B1" s="126" t="s">
        <v>626</v>
      </c>
      <c r="C1" s="494" t="str">
        <f>'FFP CLINs X007-X021'!B1</f>
        <v>NAME</v>
      </c>
    </row>
    <row r="2" spans="1:17" ht="16.5" thickBot="1" x14ac:dyDescent="0.3"/>
    <row r="3" spans="1:17" ht="52.5" customHeight="1" thickBot="1" x14ac:dyDescent="0.3">
      <c r="A3" s="557" t="s">
        <v>375</v>
      </c>
      <c r="B3" s="558"/>
      <c r="C3" s="559"/>
      <c r="I3" s="251" t="s">
        <v>149</v>
      </c>
    </row>
    <row r="5" spans="1:17" s="259" customFormat="1" ht="17.25" customHeight="1" x14ac:dyDescent="0.2">
      <c r="A5" s="260"/>
      <c r="B5" s="261" t="s">
        <v>130</v>
      </c>
    </row>
    <row r="6" spans="1:17" s="259" customFormat="1" x14ac:dyDescent="0.25">
      <c r="A6" s="258"/>
      <c r="B6" s="258" t="s">
        <v>606</v>
      </c>
    </row>
    <row r="7" spans="1:17" s="259" customFormat="1" x14ac:dyDescent="0.25">
      <c r="A7" s="258"/>
      <c r="B7" s="258" t="s">
        <v>390</v>
      </c>
    </row>
    <row r="8" spans="1:17" s="259" customFormat="1" x14ac:dyDescent="0.25">
      <c r="A8" s="258"/>
      <c r="B8" s="258" t="s">
        <v>607</v>
      </c>
    </row>
    <row r="9" spans="1:17" s="259" customFormat="1" x14ac:dyDescent="0.25">
      <c r="A9" s="258"/>
      <c r="B9" s="258" t="s">
        <v>608</v>
      </c>
    </row>
    <row r="10" spans="1:17" x14ac:dyDescent="0.25">
      <c r="A10" s="192"/>
      <c r="B10" s="258" t="s">
        <v>609</v>
      </c>
      <c r="C10" s="194"/>
    </row>
    <row r="11" spans="1:17" x14ac:dyDescent="0.25">
      <c r="A11" s="192"/>
      <c r="B11" s="258" t="s">
        <v>534</v>
      </c>
      <c r="C11" s="194"/>
    </row>
    <row r="12" spans="1:17" ht="16.5" thickBot="1" x14ac:dyDescent="0.3"/>
    <row r="13" spans="1:17" ht="16.5" thickBot="1" x14ac:dyDescent="0.3">
      <c r="A13" s="193"/>
      <c r="B13" s="633" t="s">
        <v>535</v>
      </c>
      <c r="C13" s="594" t="s">
        <v>134</v>
      </c>
      <c r="D13" s="595"/>
      <c r="E13" s="596"/>
      <c r="F13" s="151"/>
      <c r="G13" s="594" t="s">
        <v>134</v>
      </c>
      <c r="H13" s="595"/>
      <c r="I13" s="596"/>
      <c r="J13" s="151"/>
      <c r="K13" s="594" t="s">
        <v>134</v>
      </c>
      <c r="L13" s="595"/>
      <c r="M13" s="596"/>
      <c r="N13" s="151"/>
      <c r="O13" s="594" t="s">
        <v>134</v>
      </c>
      <c r="P13" s="595"/>
      <c r="Q13" s="596"/>
    </row>
    <row r="14" spans="1:17" ht="32.25" customHeight="1" thickBot="1" x14ac:dyDescent="0.3">
      <c r="A14" s="193"/>
      <c r="B14" s="634"/>
      <c r="C14" s="617" t="s">
        <v>367</v>
      </c>
      <c r="D14" s="618"/>
      <c r="E14" s="619"/>
      <c r="F14" s="152"/>
      <c r="G14" s="617" t="s">
        <v>368</v>
      </c>
      <c r="H14" s="618"/>
      <c r="I14" s="619"/>
      <c r="J14" s="152"/>
      <c r="K14" s="617" t="s">
        <v>369</v>
      </c>
      <c r="L14" s="618"/>
      <c r="M14" s="619"/>
      <c r="N14" s="152"/>
      <c r="O14" s="617" t="s">
        <v>370</v>
      </c>
      <c r="P14" s="618"/>
      <c r="Q14" s="619"/>
    </row>
    <row r="15" spans="1:17" x14ac:dyDescent="0.25">
      <c r="A15" s="193"/>
      <c r="B15" s="153" t="s">
        <v>110</v>
      </c>
      <c r="C15" s="153" t="s">
        <v>91</v>
      </c>
      <c r="D15" s="154" t="s">
        <v>133</v>
      </c>
      <c r="E15" s="155" t="s">
        <v>139</v>
      </c>
      <c r="F15" s="156"/>
      <c r="G15" s="153" t="s">
        <v>91</v>
      </c>
      <c r="H15" s="154" t="s">
        <v>133</v>
      </c>
      <c r="I15" s="155" t="s">
        <v>139</v>
      </c>
      <c r="J15" s="156"/>
      <c r="K15" s="153" t="s">
        <v>91</v>
      </c>
      <c r="L15" s="154" t="s">
        <v>133</v>
      </c>
      <c r="M15" s="155" t="s">
        <v>139</v>
      </c>
      <c r="N15" s="156"/>
      <c r="O15" s="153" t="s">
        <v>91</v>
      </c>
      <c r="P15" s="154" t="s">
        <v>133</v>
      </c>
      <c r="Q15" s="155" t="s">
        <v>139</v>
      </c>
    </row>
    <row r="16" spans="1:17" ht="30" customHeight="1" thickBot="1" x14ac:dyDescent="0.3">
      <c r="A16" s="193"/>
      <c r="B16" s="203" t="s">
        <v>558</v>
      </c>
      <c r="C16" s="289"/>
      <c r="D16" s="290"/>
      <c r="E16" s="291"/>
      <c r="F16" s="156"/>
      <c r="G16" s="289"/>
      <c r="H16" s="290"/>
      <c r="I16" s="291"/>
      <c r="J16" s="156"/>
      <c r="K16" s="289"/>
      <c r="L16" s="290"/>
      <c r="M16" s="291"/>
      <c r="N16" s="156"/>
      <c r="O16" s="289"/>
      <c r="P16" s="290"/>
      <c r="Q16" s="291"/>
    </row>
    <row r="17" spans="1:17" ht="16.5" thickBot="1" x14ac:dyDescent="0.3">
      <c r="A17" s="193"/>
      <c r="B17" s="299" t="s">
        <v>151</v>
      </c>
      <c r="C17" s="163">
        <f>'PRIME CPIF LABOR INPUTS'!D343</f>
        <v>0</v>
      </c>
      <c r="D17" s="205"/>
      <c r="E17" s="164">
        <f>'PRIME CPIF LABOR INPUTS'!F343</f>
        <v>0</v>
      </c>
      <c r="F17" s="165"/>
      <c r="G17" s="163">
        <f>'PRIME CPIF LABOR INPUTS'!H343</f>
        <v>0</v>
      </c>
      <c r="H17" s="205"/>
      <c r="I17" s="164">
        <f>'PRIME CPIF LABOR INPUTS'!J343</f>
        <v>0</v>
      </c>
      <c r="J17" s="165"/>
      <c r="K17" s="163">
        <f>'PRIME CPIF LABOR INPUTS'!L343</f>
        <v>0</v>
      </c>
      <c r="L17" s="205"/>
      <c r="M17" s="164">
        <f>'PRIME CPIF LABOR INPUTS'!N343</f>
        <v>0</v>
      </c>
      <c r="N17" s="165"/>
      <c r="O17" s="163">
        <f>'PRIME CPIF LABOR INPUTS'!P343</f>
        <v>0</v>
      </c>
      <c r="P17" s="205"/>
      <c r="Q17" s="164">
        <f>'PRIME CPIF LABOR INPUTS'!R343</f>
        <v>0</v>
      </c>
    </row>
    <row r="18" spans="1:17" x14ac:dyDescent="0.25">
      <c r="A18" s="193"/>
      <c r="B18" s="204"/>
      <c r="C18" s="153" t="s">
        <v>399</v>
      </c>
      <c r="D18" s="154" t="s">
        <v>396</v>
      </c>
      <c r="E18" s="155" t="s">
        <v>398</v>
      </c>
      <c r="F18" s="166"/>
      <c r="G18" s="153" t="s">
        <v>399</v>
      </c>
      <c r="H18" s="154" t="s">
        <v>396</v>
      </c>
      <c r="I18" s="155" t="s">
        <v>398</v>
      </c>
      <c r="J18" s="166"/>
      <c r="K18" s="153" t="s">
        <v>399</v>
      </c>
      <c r="L18" s="154" t="s">
        <v>396</v>
      </c>
      <c r="M18" s="155" t="s">
        <v>398</v>
      </c>
      <c r="N18" s="166"/>
      <c r="O18" s="153" t="s">
        <v>399</v>
      </c>
      <c r="P18" s="154" t="s">
        <v>396</v>
      </c>
      <c r="Q18" s="155" t="s">
        <v>398</v>
      </c>
    </row>
    <row r="19" spans="1:17" ht="64.5" x14ac:dyDescent="0.25">
      <c r="A19" s="193"/>
      <c r="B19" s="344" t="s">
        <v>611</v>
      </c>
      <c r="C19" s="289"/>
      <c r="D19" s="290"/>
      <c r="E19" s="291"/>
      <c r="F19" s="202"/>
      <c r="G19" s="289"/>
      <c r="H19" s="290"/>
      <c r="I19" s="291"/>
      <c r="J19" s="202"/>
      <c r="K19" s="289"/>
      <c r="L19" s="290"/>
      <c r="M19" s="291"/>
      <c r="N19" s="202"/>
      <c r="O19" s="289"/>
      <c r="P19" s="290"/>
      <c r="Q19" s="291"/>
    </row>
    <row r="20" spans="1:17" x14ac:dyDescent="0.25">
      <c r="A20" s="193"/>
      <c r="B20" s="167" t="str">
        <f>'PRIME CPIF RATES (ALL)'!B35</f>
        <v>Indirect Labor Category:  [Labor Fringe]</v>
      </c>
      <c r="C20" s="215">
        <f>+E17</f>
        <v>0</v>
      </c>
      <c r="D20" s="243">
        <f>'PRIME CPIF RATES (ALL)'!C35</f>
        <v>0</v>
      </c>
      <c r="E20" s="168">
        <f>ROUND(C20*D20,2)</f>
        <v>0</v>
      </c>
      <c r="F20" s="165"/>
      <c r="G20" s="215">
        <f>+I17</f>
        <v>0</v>
      </c>
      <c r="H20" s="243">
        <f>'PRIME CPIF RATES (ALL)'!D35</f>
        <v>0</v>
      </c>
      <c r="I20" s="168">
        <f>ROUND(G20*H20,2)</f>
        <v>0</v>
      </c>
      <c r="J20" s="165"/>
      <c r="K20" s="215">
        <f>+M17</f>
        <v>0</v>
      </c>
      <c r="L20" s="243">
        <f>'PRIME CPIF RATES (ALL)'!E35</f>
        <v>0</v>
      </c>
      <c r="M20" s="168">
        <f>ROUND(K20*L20,2)</f>
        <v>0</v>
      </c>
      <c r="N20" s="165"/>
      <c r="O20" s="215">
        <f>+Q17</f>
        <v>0</v>
      </c>
      <c r="P20" s="243">
        <f>'PRIME CPIF RATES (ALL)'!F35</f>
        <v>0</v>
      </c>
      <c r="Q20" s="168">
        <f>ROUND(O20*P20,2)</f>
        <v>0</v>
      </c>
    </row>
    <row r="21" spans="1:17" x14ac:dyDescent="0.25">
      <c r="A21" s="193"/>
      <c r="B21" s="167" t="str">
        <f>'PRIME CPIF RATES (ALL)'!B36</f>
        <v>Indirect Labor Category: [Labor Overhead]</v>
      </c>
      <c r="C21" s="215">
        <f>+C20+E20</f>
        <v>0</v>
      </c>
      <c r="D21" s="243">
        <f>'PRIME CPIF RATES (ALL)'!C36</f>
        <v>0</v>
      </c>
      <c r="E21" s="168">
        <f>ROUND(C21*D21,2)</f>
        <v>0</v>
      </c>
      <c r="F21" s="165"/>
      <c r="G21" s="215">
        <f>+G20+I20</f>
        <v>0</v>
      </c>
      <c r="H21" s="243">
        <f>'PRIME CPIF RATES (ALL)'!D36</f>
        <v>0</v>
      </c>
      <c r="I21" s="168">
        <f>ROUND(G21*H21,2)</f>
        <v>0</v>
      </c>
      <c r="J21" s="165"/>
      <c r="K21" s="215">
        <f>+K20+M20</f>
        <v>0</v>
      </c>
      <c r="L21" s="243">
        <f>'PRIME CPIF RATES (ALL)'!E36</f>
        <v>0</v>
      </c>
      <c r="M21" s="168">
        <f>ROUND(K21*L21,2)</f>
        <v>0</v>
      </c>
      <c r="N21" s="165"/>
      <c r="O21" s="215">
        <f>+O20+Q20</f>
        <v>0</v>
      </c>
      <c r="P21" s="243">
        <f>'PRIME CPIF RATES (ALL)'!F36</f>
        <v>0</v>
      </c>
      <c r="Q21" s="168">
        <f>ROUND(O21*P21,2)</f>
        <v>0</v>
      </c>
    </row>
    <row r="22" spans="1:17" x14ac:dyDescent="0.25">
      <c r="A22" s="193"/>
      <c r="B22" s="167" t="str">
        <f>'PRIME CPIF RATES (ALL)'!B37</f>
        <v>Indirect Labor Category: [G&amp;A]</v>
      </c>
      <c r="C22" s="215">
        <f>+C21+E21</f>
        <v>0</v>
      </c>
      <c r="D22" s="243">
        <f>'PRIME CPIF RATES (ALL)'!C37</f>
        <v>0</v>
      </c>
      <c r="E22" s="168">
        <f>ROUND(C22*D22,2)</f>
        <v>0</v>
      </c>
      <c r="F22" s="165"/>
      <c r="G22" s="215">
        <f>+G21+I21</f>
        <v>0</v>
      </c>
      <c r="H22" s="243">
        <f>'PRIME CPIF RATES (ALL)'!D37</f>
        <v>0</v>
      </c>
      <c r="I22" s="168">
        <f>ROUND(G22*H22,2)</f>
        <v>0</v>
      </c>
      <c r="J22" s="165"/>
      <c r="K22" s="215">
        <f>+K21+M21</f>
        <v>0</v>
      </c>
      <c r="L22" s="243">
        <f>'PRIME CPIF RATES (ALL)'!E37</f>
        <v>0</v>
      </c>
      <c r="M22" s="168">
        <f>ROUND(K22*L22,2)</f>
        <v>0</v>
      </c>
      <c r="N22" s="165"/>
      <c r="O22" s="215">
        <f>+O21+Q21</f>
        <v>0</v>
      </c>
      <c r="P22" s="243">
        <f>'PRIME CPIF RATES (ALL)'!F37</f>
        <v>0</v>
      </c>
      <c r="Q22" s="168">
        <f>ROUND(O22*P22,2)</f>
        <v>0</v>
      </c>
    </row>
    <row r="23" spans="1:17" x14ac:dyDescent="0.25">
      <c r="A23" s="193"/>
      <c r="B23" s="167" t="str">
        <f>'PRIME CPIF RATES (ALL)'!B38</f>
        <v>Indirect Labor Category: [FCCOM]</v>
      </c>
      <c r="C23" s="215">
        <f>C22+E22</f>
        <v>0</v>
      </c>
      <c r="D23" s="243">
        <f>'PRIME CPIF RATES (ALL)'!C38</f>
        <v>0</v>
      </c>
      <c r="E23" s="168">
        <f>ROUND(C23*D23,2)</f>
        <v>0</v>
      </c>
      <c r="F23" s="165"/>
      <c r="G23" s="215">
        <f>G22+I22</f>
        <v>0</v>
      </c>
      <c r="H23" s="243">
        <f>'PRIME CPIF RATES (ALL)'!D38</f>
        <v>0</v>
      </c>
      <c r="I23" s="168">
        <f>ROUND(G23*H23,2)</f>
        <v>0</v>
      </c>
      <c r="J23" s="165"/>
      <c r="K23" s="215">
        <f>K22+M22</f>
        <v>0</v>
      </c>
      <c r="L23" s="243">
        <f>'PRIME CPIF RATES (ALL)'!E38</f>
        <v>0</v>
      </c>
      <c r="M23" s="168">
        <f>ROUND(K23*L23,2)</f>
        <v>0</v>
      </c>
      <c r="N23" s="165"/>
      <c r="O23" s="215">
        <f>O22+Q22</f>
        <v>0</v>
      </c>
      <c r="P23" s="243">
        <f>'PRIME CPIF RATES (ALL)'!F38</f>
        <v>0</v>
      </c>
      <c r="Q23" s="168">
        <f>ROUND(O23*P23,2)</f>
        <v>0</v>
      </c>
    </row>
    <row r="24" spans="1:17" x14ac:dyDescent="0.25">
      <c r="A24" s="193"/>
      <c r="B24" s="167" t="str">
        <f>'PRIME CPIF RATES (ALL)'!B39</f>
        <v>Indirect Labor Category: [Target Fee]</v>
      </c>
      <c r="C24" s="215">
        <f>+C22+E22</f>
        <v>0</v>
      </c>
      <c r="D24" s="243">
        <f>'PRIME CPIF RATES (ALL)'!C39</f>
        <v>0</v>
      </c>
      <c r="E24" s="168">
        <f>ROUND(C24*D24,2)</f>
        <v>0</v>
      </c>
      <c r="F24" s="165"/>
      <c r="G24" s="215">
        <f>+G22+I22</f>
        <v>0</v>
      </c>
      <c r="H24" s="243">
        <f>'PRIME CPIF RATES (ALL)'!D39</f>
        <v>0</v>
      </c>
      <c r="I24" s="168">
        <f>ROUND(G24*H24,2)</f>
        <v>0</v>
      </c>
      <c r="J24" s="165"/>
      <c r="K24" s="215">
        <f>+K22+M22</f>
        <v>0</v>
      </c>
      <c r="L24" s="243">
        <f>'PRIME CPIF RATES (ALL)'!E39</f>
        <v>0</v>
      </c>
      <c r="M24" s="168">
        <f>ROUND(K24*L24,2)</f>
        <v>0</v>
      </c>
      <c r="N24" s="165"/>
      <c r="O24" s="215">
        <f>+O22+Q22</f>
        <v>0</v>
      </c>
      <c r="P24" s="243">
        <f>'PRIME CPIF RATES (ALL)'!F39</f>
        <v>0</v>
      </c>
      <c r="Q24" s="168">
        <f>ROUND(O24*P24,2)</f>
        <v>0</v>
      </c>
    </row>
    <row r="25" spans="1:17" x14ac:dyDescent="0.25">
      <c r="A25" s="193"/>
      <c r="B25" s="262" t="s">
        <v>258</v>
      </c>
      <c r="C25" s="210"/>
      <c r="D25" s="211"/>
      <c r="E25" s="230">
        <f>ROUND(SUM(E17,E20,E21,E22),2)</f>
        <v>0</v>
      </c>
      <c r="F25" s="165"/>
      <c r="G25" s="206"/>
      <c r="H25" s="207"/>
      <c r="I25" s="230">
        <f>ROUND(SUM(I17,I20,I21,I22),2)</f>
        <v>0</v>
      </c>
      <c r="J25" s="165"/>
      <c r="K25" s="206"/>
      <c r="L25" s="207"/>
      <c r="M25" s="230">
        <f>ROUND(SUM(M17,M20,M21,M22),2)</f>
        <v>0</v>
      </c>
      <c r="N25" s="165"/>
      <c r="O25" s="206"/>
      <c r="P25" s="207"/>
      <c r="Q25" s="230">
        <f>ROUND(SUM(Q17,Q20,Q21,Q22),2)</f>
        <v>0</v>
      </c>
    </row>
    <row r="26" spans="1:17" x14ac:dyDescent="0.25">
      <c r="A26" s="193"/>
      <c r="B26" s="262" t="s">
        <v>137</v>
      </c>
      <c r="C26" s="210"/>
      <c r="D26" s="211"/>
      <c r="E26" s="230">
        <f>ROUND(E23,2)</f>
        <v>0</v>
      </c>
      <c r="F26" s="165"/>
      <c r="G26" s="206"/>
      <c r="H26" s="207"/>
      <c r="I26" s="230">
        <f>ROUND(I23,2)</f>
        <v>0</v>
      </c>
      <c r="J26" s="165"/>
      <c r="K26" s="206"/>
      <c r="L26" s="207"/>
      <c r="M26" s="230">
        <f>ROUND(M23,2)</f>
        <v>0</v>
      </c>
      <c r="N26" s="165"/>
      <c r="O26" s="206"/>
      <c r="P26" s="207"/>
      <c r="Q26" s="230">
        <f>ROUND(Q23,2)</f>
        <v>0</v>
      </c>
    </row>
    <row r="27" spans="1:17" x14ac:dyDescent="0.25">
      <c r="A27" s="193"/>
      <c r="B27" s="262" t="s">
        <v>136</v>
      </c>
      <c r="C27" s="210"/>
      <c r="D27" s="211"/>
      <c r="E27" s="245">
        <f>ROUND(E24,2)</f>
        <v>0</v>
      </c>
      <c r="F27" s="170"/>
      <c r="G27" s="206"/>
      <c r="H27" s="207"/>
      <c r="I27" s="245">
        <f>ROUND(I24,2)</f>
        <v>0</v>
      </c>
      <c r="J27" s="170"/>
      <c r="K27" s="206"/>
      <c r="L27" s="207"/>
      <c r="M27" s="245">
        <f>ROUND(M24,2)</f>
        <v>0</v>
      </c>
      <c r="N27" s="170"/>
      <c r="O27" s="206"/>
      <c r="P27" s="207"/>
      <c r="Q27" s="245">
        <f>ROUND(Q24,2)</f>
        <v>0</v>
      </c>
    </row>
    <row r="28" spans="1:17" ht="16.5" thickBot="1" x14ac:dyDescent="0.3">
      <c r="A28" s="193"/>
      <c r="B28" s="263" t="s">
        <v>138</v>
      </c>
      <c r="C28" s="212"/>
      <c r="D28" s="213"/>
      <c r="E28" s="246">
        <f>ROUND(SUM(E25:E27),2)</f>
        <v>0</v>
      </c>
      <c r="F28" s="171"/>
      <c r="G28" s="208"/>
      <c r="H28" s="209"/>
      <c r="I28" s="246">
        <f>ROUND(SUM(I25:I27),2)</f>
        <v>0</v>
      </c>
      <c r="J28" s="171"/>
      <c r="K28" s="208"/>
      <c r="L28" s="209"/>
      <c r="M28" s="246">
        <f>ROUND(SUM(M25:M27),2)</f>
        <v>0</v>
      </c>
      <c r="N28" s="171"/>
      <c r="O28" s="208"/>
      <c r="P28" s="209"/>
      <c r="Q28" s="246">
        <f>ROUND(SUM(Q25:Q27),2)</f>
        <v>0</v>
      </c>
    </row>
    <row r="29" spans="1:17" ht="16.5" thickBot="1" x14ac:dyDescent="0.3">
      <c r="A29" s="193"/>
      <c r="B29" s="172"/>
      <c r="C29" s="173"/>
      <c r="D29" s="173"/>
      <c r="E29" s="256"/>
      <c r="F29" s="256"/>
      <c r="G29" s="256"/>
      <c r="H29" s="256"/>
      <c r="I29" s="256"/>
      <c r="J29" s="256"/>
      <c r="K29" s="256"/>
      <c r="L29" s="173"/>
      <c r="M29" s="173"/>
      <c r="N29" s="165"/>
      <c r="O29" s="256"/>
      <c r="P29" s="173"/>
      <c r="Q29" s="173"/>
    </row>
    <row r="30" spans="1:17" ht="16.5" customHeight="1" thickBot="1" x14ac:dyDescent="0.3">
      <c r="A30" s="193"/>
      <c r="B30" s="620" t="str">
        <f>B13</f>
        <v>CLIN 0003 (CPIF)                                                    TASK 1.02 MATERIAL - CONTRACTOR-PROCURED MATERIAL FOR SIL</v>
      </c>
      <c r="C30" s="594" t="s">
        <v>145</v>
      </c>
      <c r="D30" s="595"/>
      <c r="E30" s="596"/>
      <c r="F30" s="175"/>
      <c r="G30" s="594" t="s">
        <v>145</v>
      </c>
      <c r="H30" s="595"/>
      <c r="I30" s="596"/>
      <c r="J30" s="175"/>
      <c r="K30" s="594" t="s">
        <v>145</v>
      </c>
      <c r="L30" s="595"/>
      <c r="M30" s="596"/>
      <c r="N30" s="175"/>
      <c r="O30" s="594" t="s">
        <v>145</v>
      </c>
      <c r="P30" s="595"/>
      <c r="Q30" s="596"/>
    </row>
    <row r="31" spans="1:17" ht="32.25" customHeight="1" thickBot="1" x14ac:dyDescent="0.3">
      <c r="A31" s="193"/>
      <c r="B31" s="621"/>
      <c r="C31" s="591" t="str">
        <f>C14</f>
        <v>CLIN 0003 - Basic Period (Year 1)</v>
      </c>
      <c r="D31" s="592"/>
      <c r="E31" s="593"/>
      <c r="F31" s="176"/>
      <c r="G31" s="591" t="str">
        <f>G14</f>
        <v>CLIN 0003 - Basic Period (Year 2)</v>
      </c>
      <c r="H31" s="592"/>
      <c r="I31" s="593"/>
      <c r="J31" s="176"/>
      <c r="K31" s="591" t="str">
        <f>K14</f>
        <v>CLIN 0003 - Basic Period (Year 3)</v>
      </c>
      <c r="L31" s="592"/>
      <c r="M31" s="593"/>
      <c r="N31" s="176"/>
      <c r="O31" s="591" t="str">
        <f>O14</f>
        <v>CLIN 0003 - Basic Period (Year 4)</v>
      </c>
      <c r="P31" s="592"/>
      <c r="Q31" s="593"/>
    </row>
    <row r="32" spans="1:17" x14ac:dyDescent="0.25">
      <c r="A32" s="193"/>
      <c r="B32" s="247"/>
      <c r="C32" s="153" t="s">
        <v>399</v>
      </c>
      <c r="D32" s="154" t="s">
        <v>396</v>
      </c>
      <c r="E32" s="155" t="s">
        <v>152</v>
      </c>
      <c r="F32" s="166"/>
      <c r="G32" s="153" t="s">
        <v>399</v>
      </c>
      <c r="H32" s="154" t="s">
        <v>396</v>
      </c>
      <c r="I32" s="155" t="s">
        <v>152</v>
      </c>
      <c r="J32" s="166"/>
      <c r="K32" s="153" t="s">
        <v>399</v>
      </c>
      <c r="L32" s="154" t="s">
        <v>396</v>
      </c>
      <c r="M32" s="155" t="s">
        <v>152</v>
      </c>
      <c r="N32" s="166"/>
      <c r="O32" s="153" t="s">
        <v>399</v>
      </c>
      <c r="P32" s="154" t="s">
        <v>396</v>
      </c>
      <c r="Q32" s="155" t="s">
        <v>152</v>
      </c>
    </row>
    <row r="33" spans="1:17" ht="51.75" x14ac:dyDescent="0.25">
      <c r="A33" s="193"/>
      <c r="B33" s="300" t="s">
        <v>612</v>
      </c>
      <c r="C33" s="231"/>
      <c r="D33" s="232"/>
      <c r="E33" s="400">
        <f>'PRIME CPIF TOTAL MATERIAL'!E30</f>
        <v>0</v>
      </c>
      <c r="F33" s="165"/>
      <c r="G33" s="231"/>
      <c r="H33" s="232"/>
      <c r="I33" s="400">
        <f>'PRIME CPIF TOTAL MATERIAL'!G30</f>
        <v>0</v>
      </c>
      <c r="J33" s="165"/>
      <c r="K33" s="231"/>
      <c r="L33" s="232"/>
      <c r="M33" s="400">
        <f>'PRIME CPIF TOTAL MATERIAL'!I30</f>
        <v>0</v>
      </c>
      <c r="N33" s="165"/>
      <c r="O33" s="231"/>
      <c r="P33" s="232"/>
      <c r="Q33" s="400">
        <f>'PRIME CPIF TOTAL MATERIAL'!K30</f>
        <v>0</v>
      </c>
    </row>
    <row r="34" spans="1:17" ht="67.5" customHeight="1" x14ac:dyDescent="0.25">
      <c r="A34" s="193"/>
      <c r="B34" s="344" t="s">
        <v>389</v>
      </c>
      <c r="C34" s="405"/>
      <c r="D34" s="406"/>
      <c r="E34" s="400"/>
      <c r="F34" s="165"/>
      <c r="G34" s="405"/>
      <c r="H34" s="406"/>
      <c r="I34" s="400"/>
      <c r="J34" s="165"/>
      <c r="K34" s="405"/>
      <c r="L34" s="406"/>
      <c r="M34" s="400"/>
      <c r="N34" s="165"/>
      <c r="O34" s="405"/>
      <c r="P34" s="406"/>
      <c r="Q34" s="400"/>
    </row>
    <row r="35" spans="1:17" x14ac:dyDescent="0.25">
      <c r="A35" s="193"/>
      <c r="B35" s="167" t="str">
        <f>'PRIME CPIF RATES (ALL)'!B52</f>
        <v>Indirect Category: [Material Overhead]</v>
      </c>
      <c r="C35" s="215">
        <f>+E33</f>
        <v>0</v>
      </c>
      <c r="D35" s="243">
        <f>'PRIME CPIF RATES (ALL)'!C52</f>
        <v>0</v>
      </c>
      <c r="E35" s="168">
        <f>ROUND(C35*D35,2)</f>
        <v>0</v>
      </c>
      <c r="F35" s="178"/>
      <c r="G35" s="215">
        <f>+I33</f>
        <v>0</v>
      </c>
      <c r="H35" s="243">
        <f>'PRIME CPIF RATES (ALL)'!D52</f>
        <v>0</v>
      </c>
      <c r="I35" s="168">
        <f>ROUND(G35*H35,2)</f>
        <v>0</v>
      </c>
      <c r="J35" s="178"/>
      <c r="K35" s="215">
        <f>+M33</f>
        <v>0</v>
      </c>
      <c r="L35" s="243">
        <f>'PRIME CPIF RATES (ALL)'!E52</f>
        <v>0</v>
      </c>
      <c r="M35" s="168">
        <f>ROUND(K35*L35,2)</f>
        <v>0</v>
      </c>
      <c r="N35" s="178"/>
      <c r="O35" s="215">
        <f>+Q33</f>
        <v>0</v>
      </c>
      <c r="P35" s="243">
        <f>'PRIME CPIF RATES (ALL)'!F52</f>
        <v>0</v>
      </c>
      <c r="Q35" s="168">
        <f>ROUND(O35*P35,2)</f>
        <v>0</v>
      </c>
    </row>
    <row r="36" spans="1:17" x14ac:dyDescent="0.25">
      <c r="A36" s="193"/>
      <c r="B36" s="167" t="str">
        <f>'PRIME CPIF RATES (ALL)'!B53</f>
        <v>Indirect Category: [G&amp;A]</v>
      </c>
      <c r="C36" s="215">
        <f>+C35+E35</f>
        <v>0</v>
      </c>
      <c r="D36" s="243">
        <f>'PRIME CPIF RATES (ALL)'!C53</f>
        <v>0</v>
      </c>
      <c r="E36" s="168">
        <f>ROUND(C36*D36,2)</f>
        <v>0</v>
      </c>
      <c r="F36" s="178"/>
      <c r="G36" s="215">
        <f>+G35+I35</f>
        <v>0</v>
      </c>
      <c r="H36" s="243">
        <f>'PRIME CPIF RATES (ALL)'!D53</f>
        <v>0</v>
      </c>
      <c r="I36" s="168">
        <f>ROUND(G36*H36,2)</f>
        <v>0</v>
      </c>
      <c r="J36" s="178"/>
      <c r="K36" s="215">
        <f>+K35+M35</f>
        <v>0</v>
      </c>
      <c r="L36" s="243">
        <f>'PRIME CPIF RATES (ALL)'!E53</f>
        <v>0</v>
      </c>
      <c r="M36" s="168">
        <f>ROUND(K36*L36,2)</f>
        <v>0</v>
      </c>
      <c r="N36" s="178"/>
      <c r="O36" s="215">
        <f>+O35+Q35</f>
        <v>0</v>
      </c>
      <c r="P36" s="243">
        <f>'PRIME CPIF RATES (ALL)'!F53</f>
        <v>0</v>
      </c>
      <c r="Q36" s="168">
        <f>ROUND(O36*P36,2)</f>
        <v>0</v>
      </c>
    </row>
    <row r="37" spans="1:17" x14ac:dyDescent="0.25">
      <c r="A37" s="193"/>
      <c r="B37" s="167" t="str">
        <f>'PRIME CPIF RATES (ALL)'!B54</f>
        <v>Indirect Category: [FCCOM]</v>
      </c>
      <c r="C37" s="215">
        <f>C36+E36</f>
        <v>0</v>
      </c>
      <c r="D37" s="243">
        <f>'PRIME CPIF RATES (ALL)'!C54</f>
        <v>0</v>
      </c>
      <c r="E37" s="168">
        <f>ROUND(C37*D37,2)</f>
        <v>0</v>
      </c>
      <c r="F37" s="165"/>
      <c r="G37" s="215">
        <f>G36+I36</f>
        <v>0</v>
      </c>
      <c r="H37" s="243">
        <f>'PRIME CPIF RATES (ALL)'!D54</f>
        <v>0</v>
      </c>
      <c r="I37" s="168">
        <f>ROUND(G37*H37,2)</f>
        <v>0</v>
      </c>
      <c r="J37" s="165"/>
      <c r="K37" s="215">
        <f>K36+M36</f>
        <v>0</v>
      </c>
      <c r="L37" s="243">
        <f>'PRIME CPIF RATES (ALL)'!E54</f>
        <v>0</v>
      </c>
      <c r="M37" s="168">
        <f>ROUND(K37*L37,2)</f>
        <v>0</v>
      </c>
      <c r="N37" s="165"/>
      <c r="O37" s="215">
        <f>O36+Q36</f>
        <v>0</v>
      </c>
      <c r="P37" s="243">
        <f>'PRIME CPIF RATES (ALL)'!F54</f>
        <v>0</v>
      </c>
      <c r="Q37" s="168">
        <f>ROUND(O37*P37,2)</f>
        <v>0</v>
      </c>
    </row>
    <row r="38" spans="1:17" x14ac:dyDescent="0.25">
      <c r="A38" s="193"/>
      <c r="B38" s="167" t="str">
        <f>'PRIME CPIF RATES (ALL)'!B55</f>
        <v>Indirect Category: [Target Fee]</v>
      </c>
      <c r="C38" s="215">
        <f>+C36+E36</f>
        <v>0</v>
      </c>
      <c r="D38" s="243">
        <f>'PRIME CPIF RATES (ALL)'!C55</f>
        <v>0</v>
      </c>
      <c r="E38" s="168">
        <f>ROUND(C38*D38,2)</f>
        <v>0</v>
      </c>
      <c r="F38" s="165"/>
      <c r="G38" s="215">
        <f>+G36+I36</f>
        <v>0</v>
      </c>
      <c r="H38" s="243">
        <f>'PRIME CPIF RATES (ALL)'!D55</f>
        <v>0</v>
      </c>
      <c r="I38" s="168">
        <f>ROUND(G38*H38,2)</f>
        <v>0</v>
      </c>
      <c r="J38" s="165"/>
      <c r="K38" s="215">
        <f>+K36+M36</f>
        <v>0</v>
      </c>
      <c r="L38" s="243">
        <f>'PRIME CPIF RATES (ALL)'!E55</f>
        <v>0</v>
      </c>
      <c r="M38" s="168">
        <f>ROUND(K38*L38,2)</f>
        <v>0</v>
      </c>
      <c r="N38" s="165"/>
      <c r="O38" s="215">
        <f>+O36+Q36</f>
        <v>0</v>
      </c>
      <c r="P38" s="243">
        <f>'PRIME CPIF RATES (ALL)'!F55</f>
        <v>0</v>
      </c>
      <c r="Q38" s="168">
        <f>ROUND(O38*P38,2)</f>
        <v>0</v>
      </c>
    </row>
    <row r="39" spans="1:17" x14ac:dyDescent="0.25">
      <c r="A39" s="193"/>
      <c r="B39" s="241" t="s">
        <v>259</v>
      </c>
      <c r="C39" s="233"/>
      <c r="D39" s="234"/>
      <c r="E39" s="168">
        <f>+ROUND(SUM(E33:E36),2)</f>
        <v>0</v>
      </c>
      <c r="F39" s="165"/>
      <c r="G39" s="233"/>
      <c r="H39" s="234"/>
      <c r="I39" s="168">
        <f>+ROUND(SUM(I33:I36),2)</f>
        <v>0</v>
      </c>
      <c r="J39" s="165"/>
      <c r="K39" s="233"/>
      <c r="L39" s="234"/>
      <c r="M39" s="168">
        <f>+ROUND(SUM(M33:M36),2)</f>
        <v>0</v>
      </c>
      <c r="N39" s="165"/>
      <c r="O39" s="233"/>
      <c r="P39" s="234"/>
      <c r="Q39" s="168">
        <f>+ROUND(SUM(Q33:Q36),2)</f>
        <v>0</v>
      </c>
    </row>
    <row r="40" spans="1:17" x14ac:dyDescent="0.25">
      <c r="A40" s="193"/>
      <c r="B40" s="241" t="s">
        <v>137</v>
      </c>
      <c r="C40" s="231"/>
      <c r="D40" s="235"/>
      <c r="E40" s="168">
        <f>+ROUND(E37,2)</f>
        <v>0</v>
      </c>
      <c r="F40" s="165"/>
      <c r="G40" s="231"/>
      <c r="H40" s="235"/>
      <c r="I40" s="168">
        <f>+ROUND(I37,2)</f>
        <v>0</v>
      </c>
      <c r="J40" s="165"/>
      <c r="K40" s="231"/>
      <c r="L40" s="235"/>
      <c r="M40" s="168">
        <f>+ROUND(M37,2)</f>
        <v>0</v>
      </c>
      <c r="N40" s="165"/>
      <c r="O40" s="231"/>
      <c r="P40" s="235"/>
      <c r="Q40" s="168">
        <f>+ROUND(Q37,2)</f>
        <v>0</v>
      </c>
    </row>
    <row r="41" spans="1:17" x14ac:dyDescent="0.2">
      <c r="B41" s="241" t="s">
        <v>136</v>
      </c>
      <c r="C41" s="231"/>
      <c r="D41" s="235"/>
      <c r="E41" s="182">
        <f>+ROUND(E38,2)</f>
        <v>0</v>
      </c>
      <c r="F41" s="183"/>
      <c r="G41" s="231"/>
      <c r="H41" s="235"/>
      <c r="I41" s="182">
        <f>+ROUND(I38,2)</f>
        <v>0</v>
      </c>
      <c r="J41" s="183"/>
      <c r="K41" s="231"/>
      <c r="L41" s="235"/>
      <c r="M41" s="182">
        <f>+ROUND(M38,2)</f>
        <v>0</v>
      </c>
      <c r="N41" s="183"/>
      <c r="O41" s="231"/>
      <c r="P41" s="235"/>
      <c r="Q41" s="182">
        <f>+ROUND(Q38,2)</f>
        <v>0</v>
      </c>
    </row>
    <row r="42" spans="1:17" ht="16.5" thickBot="1" x14ac:dyDescent="0.25">
      <c r="B42" s="242" t="s">
        <v>243</v>
      </c>
      <c r="C42" s="236"/>
      <c r="D42" s="237"/>
      <c r="E42" s="160">
        <f t="shared" ref="E42" si="0">SUM(E39:E41)</f>
        <v>0</v>
      </c>
      <c r="F42" s="161"/>
      <c r="G42" s="236"/>
      <c r="H42" s="237"/>
      <c r="I42" s="160">
        <f t="shared" ref="I42" si="1">SUM(I39:I41)</f>
        <v>0</v>
      </c>
      <c r="J42" s="161"/>
      <c r="K42" s="236"/>
      <c r="L42" s="237"/>
      <c r="M42" s="160">
        <f t="shared" ref="M42" si="2">SUM(M39:M41)</f>
        <v>0</v>
      </c>
      <c r="N42" s="161"/>
      <c r="O42" s="236"/>
      <c r="P42" s="237"/>
      <c r="Q42" s="160">
        <f t="shared" ref="Q42" si="3">SUM(Q39:Q41)</f>
        <v>0</v>
      </c>
    </row>
    <row r="43" spans="1:17" ht="16.5" thickBot="1" x14ac:dyDescent="0.25">
      <c r="B43" s="172"/>
      <c r="E43" s="251"/>
      <c r="F43" s="251"/>
      <c r="G43" s="251"/>
      <c r="H43" s="251"/>
      <c r="I43" s="251"/>
      <c r="J43" s="251"/>
      <c r="K43" s="251"/>
      <c r="N43" s="187"/>
      <c r="O43" s="251"/>
    </row>
    <row r="44" spans="1:17" ht="16.5" thickBot="1" x14ac:dyDescent="0.3">
      <c r="B44" s="620" t="str">
        <f>B13</f>
        <v>CLIN 0003 (CPIF)                                                    TASK 1.02 MATERIAL - CONTRACTOR-PROCURED MATERIAL FOR SIL</v>
      </c>
      <c r="C44" s="594" t="s">
        <v>318</v>
      </c>
      <c r="D44" s="595"/>
      <c r="E44" s="596"/>
      <c r="F44" s="175"/>
      <c r="G44" s="594" t="s">
        <v>318</v>
      </c>
      <c r="H44" s="595"/>
      <c r="I44" s="596"/>
      <c r="J44" s="175"/>
      <c r="K44" s="594" t="s">
        <v>318</v>
      </c>
      <c r="L44" s="595"/>
      <c r="M44" s="596"/>
      <c r="N44" s="175"/>
      <c r="O44" s="594" t="s">
        <v>318</v>
      </c>
      <c r="P44" s="595"/>
      <c r="Q44" s="596"/>
    </row>
    <row r="45" spans="1:17" ht="27.75" customHeight="1" thickBot="1" x14ac:dyDescent="0.3">
      <c r="B45" s="621"/>
      <c r="C45" s="617" t="str">
        <f>C31</f>
        <v>CLIN 0003 - Basic Period (Year 1)</v>
      </c>
      <c r="D45" s="618"/>
      <c r="E45" s="619"/>
      <c r="F45" s="176"/>
      <c r="G45" s="617" t="str">
        <f>G31</f>
        <v>CLIN 0003 - Basic Period (Year 2)</v>
      </c>
      <c r="H45" s="618"/>
      <c r="I45" s="619"/>
      <c r="J45" s="176"/>
      <c r="K45" s="617" t="str">
        <f>K31</f>
        <v>CLIN 0003 - Basic Period (Year 3)</v>
      </c>
      <c r="L45" s="618"/>
      <c r="M45" s="619"/>
      <c r="N45" s="176"/>
      <c r="O45" s="617" t="str">
        <f>O31</f>
        <v>CLIN 0003 - Basic Period (Year 4)</v>
      </c>
      <c r="P45" s="618"/>
      <c r="Q45" s="619"/>
    </row>
    <row r="46" spans="1:17" x14ac:dyDescent="0.25">
      <c r="B46" s="248"/>
      <c r="C46" s="153" t="s">
        <v>399</v>
      </c>
      <c r="D46" s="154" t="s">
        <v>396</v>
      </c>
      <c r="E46" s="155" t="s">
        <v>397</v>
      </c>
      <c r="F46" s="166"/>
      <c r="G46" s="153" t="s">
        <v>399</v>
      </c>
      <c r="H46" s="154" t="s">
        <v>396</v>
      </c>
      <c r="I46" s="155" t="s">
        <v>397</v>
      </c>
      <c r="J46" s="166"/>
      <c r="K46" s="153" t="s">
        <v>399</v>
      </c>
      <c r="L46" s="154" t="s">
        <v>396</v>
      </c>
      <c r="M46" s="155" t="s">
        <v>397</v>
      </c>
      <c r="N46" s="166"/>
      <c r="O46" s="153" t="s">
        <v>399</v>
      </c>
      <c r="P46" s="154" t="s">
        <v>396</v>
      </c>
      <c r="Q46" s="155" t="s">
        <v>397</v>
      </c>
    </row>
    <row r="47" spans="1:17" ht="25.5" x14ac:dyDescent="0.2">
      <c r="B47" s="300" t="s">
        <v>560</v>
      </c>
      <c r="C47" s="285"/>
      <c r="D47" s="285"/>
      <c r="E47" s="345">
        <f>'PRIME CPIF TOTAL SUB'!E30</f>
        <v>0</v>
      </c>
      <c r="F47" s="288"/>
      <c r="G47" s="231"/>
      <c r="H47" s="285"/>
      <c r="I47" s="345">
        <f>'PRIME CPIF TOTAL SUB'!G30</f>
        <v>0</v>
      </c>
      <c r="J47" s="288"/>
      <c r="K47" s="231"/>
      <c r="L47" s="285"/>
      <c r="M47" s="345">
        <f>'PRIME CPIF TOTAL SUB'!I30</f>
        <v>0</v>
      </c>
      <c r="N47" s="165"/>
      <c r="O47" s="231"/>
      <c r="P47" s="285"/>
      <c r="Q47" s="345">
        <f>'PRIME CPIF TOTAL SUB'!K30</f>
        <v>0</v>
      </c>
    </row>
    <row r="48" spans="1:17" ht="76.5" x14ac:dyDescent="0.2">
      <c r="B48" s="344" t="s">
        <v>613</v>
      </c>
      <c r="C48" s="624" t="s">
        <v>5</v>
      </c>
      <c r="D48" s="625"/>
      <c r="E48" s="626"/>
      <c r="F48" s="178"/>
      <c r="G48" s="627"/>
      <c r="H48" s="625"/>
      <c r="I48" s="626"/>
      <c r="J48" s="178"/>
      <c r="K48" s="627"/>
      <c r="L48" s="625"/>
      <c r="M48" s="626"/>
      <c r="N48" s="178"/>
      <c r="O48" s="627"/>
      <c r="P48" s="625"/>
      <c r="Q48" s="626"/>
    </row>
    <row r="49" spans="1:17" x14ac:dyDescent="0.2">
      <c r="B49" s="287" t="str">
        <f>'PRIME CPIF RATES (ALL)'!B44</f>
        <v>Indirect Category: [Overhead]</v>
      </c>
      <c r="C49" s="286">
        <f>E47</f>
        <v>0</v>
      </c>
      <c r="D49" s="243">
        <f>'PRIME CPIF RATES (ALL)'!C44</f>
        <v>0</v>
      </c>
      <c r="E49" s="168">
        <f>ROUND(C49*D49,2)</f>
        <v>0</v>
      </c>
      <c r="F49" s="178"/>
      <c r="G49" s="215">
        <f>I47</f>
        <v>0</v>
      </c>
      <c r="H49" s="243">
        <f>'PRIME CPIF RATES (ALL)'!D44</f>
        <v>0</v>
      </c>
      <c r="I49" s="168">
        <f>ROUND(G49*H49,2)</f>
        <v>0</v>
      </c>
      <c r="J49" s="178"/>
      <c r="K49" s="215">
        <f>M47</f>
        <v>0</v>
      </c>
      <c r="L49" s="243">
        <f>'PRIME CPIF RATES (ALL)'!E44</f>
        <v>0</v>
      </c>
      <c r="M49" s="168">
        <f>ROUND(K49*L49,2)</f>
        <v>0</v>
      </c>
      <c r="N49" s="178"/>
      <c r="O49" s="215">
        <f>Q47</f>
        <v>0</v>
      </c>
      <c r="P49" s="243">
        <f>'PRIME CPIF RATES (ALL)'!F44</f>
        <v>0</v>
      </c>
      <c r="Q49" s="168">
        <f>ROUND(O49*P49,2)</f>
        <v>0</v>
      </c>
    </row>
    <row r="50" spans="1:17" x14ac:dyDescent="0.2">
      <c r="B50" s="287" t="str">
        <f>'PRIME CPIF RATES (ALL)'!B45</f>
        <v>Indirect Category: [G&amp;A]</v>
      </c>
      <c r="C50" s="286">
        <f>C49+E49</f>
        <v>0</v>
      </c>
      <c r="D50" s="243">
        <f>'PRIME CPIF RATES (ALL)'!C45</f>
        <v>0</v>
      </c>
      <c r="E50" s="168">
        <f>ROUND(C50*D50,2)</f>
        <v>0</v>
      </c>
      <c r="F50" s="288"/>
      <c r="G50" s="286">
        <f>G49+I49</f>
        <v>0</v>
      </c>
      <c r="H50" s="243">
        <f>'PRIME CPIF RATES (ALL)'!D45</f>
        <v>0</v>
      </c>
      <c r="I50" s="168">
        <f>ROUND(G50*H50,2)</f>
        <v>0</v>
      </c>
      <c r="J50" s="288"/>
      <c r="K50" s="286">
        <f>K49+M49</f>
        <v>0</v>
      </c>
      <c r="L50" s="243">
        <f>'PRIME CPIF RATES (ALL)'!E45</f>
        <v>0</v>
      </c>
      <c r="M50" s="168">
        <f>ROUND(K50*L50,2)</f>
        <v>0</v>
      </c>
      <c r="N50" s="165"/>
      <c r="O50" s="286">
        <f>O49+Q49</f>
        <v>0</v>
      </c>
      <c r="P50" s="243">
        <f>'PRIME CPIF RATES (ALL)'!F45</f>
        <v>0</v>
      </c>
      <c r="Q50" s="168">
        <f>ROUND(O50*P50,2)</f>
        <v>0</v>
      </c>
    </row>
    <row r="51" spans="1:17" x14ac:dyDescent="0.2">
      <c r="B51" s="351" t="str">
        <f>'PRIME CPIF RATES (ALL)'!B46</f>
        <v>Indirect Category: [FCCOM]</v>
      </c>
      <c r="C51" s="215">
        <f>C50+E50</f>
        <v>0</v>
      </c>
      <c r="D51" s="243">
        <f>'PRIME CPIF RATES (ALL)'!C46</f>
        <v>0</v>
      </c>
      <c r="E51" s="353">
        <f>ROUND(C51*D51,2)</f>
        <v>0</v>
      </c>
      <c r="F51" s="288"/>
      <c r="G51" s="215">
        <f>G50+I50</f>
        <v>0</v>
      </c>
      <c r="H51" s="243">
        <f>'PRIME CPIF RATES (ALL)'!D46</f>
        <v>0</v>
      </c>
      <c r="I51" s="353">
        <f>ROUND(G51*H51,2)</f>
        <v>0</v>
      </c>
      <c r="J51" s="288"/>
      <c r="K51" s="215">
        <f>K50+M50</f>
        <v>0</v>
      </c>
      <c r="L51" s="243">
        <f>'PRIME CPIF RATES (ALL)'!E46</f>
        <v>0</v>
      </c>
      <c r="M51" s="353">
        <f>ROUND(K51*L51,2)</f>
        <v>0</v>
      </c>
      <c r="N51" s="165"/>
      <c r="O51" s="215">
        <f>O50+Q50</f>
        <v>0</v>
      </c>
      <c r="P51" s="243">
        <f>'PRIME CPIF RATES (ALL)'!F46</f>
        <v>0</v>
      </c>
      <c r="Q51" s="353">
        <f>ROUND(O51*P51,2)</f>
        <v>0</v>
      </c>
    </row>
    <row r="52" spans="1:17" x14ac:dyDescent="0.2">
      <c r="B52" s="167" t="str">
        <f>'PRIME CPIF RATES (ALL)'!B47</f>
        <v>Indirect Category: [Target Fee]</v>
      </c>
      <c r="C52" s="214">
        <f>C50+E50</f>
        <v>0</v>
      </c>
      <c r="D52" s="354">
        <f>'PRIME CPIF RATES (ALL)'!C47</f>
        <v>0</v>
      </c>
      <c r="E52" s="353">
        <f>ROUND(C52*D52,2)</f>
        <v>0</v>
      </c>
      <c r="F52" s="288"/>
      <c r="G52" s="214">
        <f>G50+I50</f>
        <v>0</v>
      </c>
      <c r="H52" s="354">
        <f>'PRIME CPIF RATES (ALL)'!D47</f>
        <v>0</v>
      </c>
      <c r="I52" s="353">
        <f>ROUND(G52*H52,2)</f>
        <v>0</v>
      </c>
      <c r="J52" s="288"/>
      <c r="K52" s="214">
        <f>K50+M50</f>
        <v>0</v>
      </c>
      <c r="L52" s="354">
        <f>'PRIME CPIF RATES (ALL)'!E47</f>
        <v>0</v>
      </c>
      <c r="M52" s="353">
        <f>ROUND(K52*L52,2)</f>
        <v>0</v>
      </c>
      <c r="N52" s="165"/>
      <c r="O52" s="214">
        <f>O50+Q50</f>
        <v>0</v>
      </c>
      <c r="P52" s="354">
        <f>'PRIME CPIF RATES (ALL)'!F47</f>
        <v>0</v>
      </c>
      <c r="Q52" s="353">
        <f>ROUND(O52*P52,2)</f>
        <v>0</v>
      </c>
    </row>
    <row r="53" spans="1:17" x14ac:dyDescent="0.2">
      <c r="B53" s="241" t="s">
        <v>320</v>
      </c>
      <c r="C53" s="233"/>
      <c r="D53" s="234"/>
      <c r="E53" s="168">
        <f>ROUND(E47+E49+E50,2)</f>
        <v>0</v>
      </c>
      <c r="F53" s="288"/>
      <c r="G53" s="233"/>
      <c r="H53" s="234"/>
      <c r="I53" s="168">
        <f>ROUND(I47+I49+I50,2)</f>
        <v>0</v>
      </c>
      <c r="J53" s="288"/>
      <c r="K53" s="233"/>
      <c r="L53" s="234"/>
      <c r="M53" s="168">
        <f>ROUND(M47+M49+M50,2)</f>
        <v>0</v>
      </c>
      <c r="N53" s="165"/>
      <c r="O53" s="233"/>
      <c r="P53" s="234"/>
      <c r="Q53" s="168">
        <f>ROUND(Q47+Q49+Q50,2)</f>
        <v>0</v>
      </c>
    </row>
    <row r="54" spans="1:17" x14ac:dyDescent="0.2">
      <c r="B54" s="241" t="s">
        <v>298</v>
      </c>
      <c r="C54" s="231"/>
      <c r="D54" s="235"/>
      <c r="E54" s="168">
        <f>ROUND(E51,2)</f>
        <v>0</v>
      </c>
      <c r="F54" s="288"/>
      <c r="G54" s="231"/>
      <c r="H54" s="235"/>
      <c r="I54" s="168">
        <f>ROUND(I51,2)</f>
        <v>0</v>
      </c>
      <c r="J54" s="288"/>
      <c r="K54" s="231"/>
      <c r="L54" s="235"/>
      <c r="M54" s="168">
        <f>ROUND(M51,2)</f>
        <v>0</v>
      </c>
      <c r="N54" s="165"/>
      <c r="O54" s="231"/>
      <c r="P54" s="235"/>
      <c r="Q54" s="168">
        <f>ROUND(Q51,2)</f>
        <v>0</v>
      </c>
    </row>
    <row r="55" spans="1:17" x14ac:dyDescent="0.2">
      <c r="B55" s="241" t="s">
        <v>136</v>
      </c>
      <c r="C55" s="231"/>
      <c r="D55" s="235"/>
      <c r="E55" s="182">
        <f>ROUND(E52,2)</f>
        <v>0</v>
      </c>
      <c r="F55" s="183"/>
      <c r="G55" s="231"/>
      <c r="H55" s="235"/>
      <c r="I55" s="182">
        <f>ROUND(I52,2)</f>
        <v>0</v>
      </c>
      <c r="J55" s="183"/>
      <c r="K55" s="231"/>
      <c r="L55" s="235"/>
      <c r="M55" s="182">
        <f>ROUND(M52,2)</f>
        <v>0</v>
      </c>
      <c r="N55" s="183"/>
      <c r="O55" s="231"/>
      <c r="P55" s="235"/>
      <c r="Q55" s="182">
        <f>ROUND(Q52,2)</f>
        <v>0</v>
      </c>
    </row>
    <row r="56" spans="1:17" ht="16.5" thickBot="1" x14ac:dyDescent="0.25">
      <c r="B56" s="242" t="s">
        <v>321</v>
      </c>
      <c r="C56" s="236"/>
      <c r="D56" s="237"/>
      <c r="E56" s="160">
        <f>ROUND(SUM(E53:E55),2)</f>
        <v>0</v>
      </c>
      <c r="F56" s="161"/>
      <c r="G56" s="236"/>
      <c r="H56" s="237"/>
      <c r="I56" s="160">
        <f>ROUND(SUM(I53:I55),2)</f>
        <v>0</v>
      </c>
      <c r="J56" s="161"/>
      <c r="K56" s="236"/>
      <c r="L56" s="237"/>
      <c r="M56" s="160">
        <f>ROUND(SUM(M53:M55),2)</f>
        <v>0</v>
      </c>
      <c r="N56" s="161"/>
      <c r="O56" s="236"/>
      <c r="P56" s="237"/>
      <c r="Q56" s="160">
        <f>ROUND(SUM(Q53:Q55),2)</f>
        <v>0</v>
      </c>
    </row>
    <row r="57" spans="1:17" ht="16.5" thickBot="1" x14ac:dyDescent="0.25">
      <c r="B57" s="172"/>
      <c r="E57" s="251"/>
      <c r="F57" s="251"/>
      <c r="G57" s="251"/>
      <c r="H57" s="251"/>
      <c r="I57" s="251"/>
      <c r="J57" s="251"/>
      <c r="K57" s="251"/>
      <c r="N57" s="187"/>
      <c r="O57" s="251"/>
    </row>
    <row r="58" spans="1:17" ht="16.5" customHeight="1" thickBot="1" x14ac:dyDescent="0.3">
      <c r="A58" s="193"/>
      <c r="B58" s="620" t="str">
        <f>B30</f>
        <v>CLIN 0003 (CPIF)                                                    TASK 1.02 MATERIAL - CONTRACTOR-PROCURED MATERIAL FOR SIL</v>
      </c>
      <c r="C58" s="594" t="s">
        <v>146</v>
      </c>
      <c r="D58" s="595"/>
      <c r="E58" s="596"/>
      <c r="F58" s="175"/>
      <c r="G58" s="594" t="s">
        <v>147</v>
      </c>
      <c r="H58" s="595"/>
      <c r="I58" s="596"/>
      <c r="J58" s="175"/>
      <c r="K58" s="594" t="s">
        <v>147</v>
      </c>
      <c r="L58" s="595"/>
      <c r="M58" s="596"/>
      <c r="N58" s="175"/>
      <c r="O58" s="594" t="s">
        <v>147</v>
      </c>
      <c r="P58" s="595"/>
      <c r="Q58" s="596"/>
    </row>
    <row r="59" spans="1:17" ht="33.75" customHeight="1" thickBot="1" x14ac:dyDescent="0.3">
      <c r="A59" s="193"/>
      <c r="B59" s="621"/>
      <c r="C59" s="591" t="str">
        <f>C31</f>
        <v>CLIN 0003 - Basic Period (Year 1)</v>
      </c>
      <c r="D59" s="592"/>
      <c r="E59" s="593"/>
      <c r="F59" s="176"/>
      <c r="G59" s="591" t="str">
        <f>G31</f>
        <v>CLIN 0003 - Basic Period (Year 2)</v>
      </c>
      <c r="H59" s="592"/>
      <c r="I59" s="593"/>
      <c r="J59" s="176"/>
      <c r="K59" s="591" t="str">
        <f>K31</f>
        <v>CLIN 0003 - Basic Period (Year 3)</v>
      </c>
      <c r="L59" s="592"/>
      <c r="M59" s="593"/>
      <c r="N59" s="176"/>
      <c r="O59" s="591" t="str">
        <f>O31</f>
        <v>CLIN 0003 - Basic Period (Year 4)</v>
      </c>
      <c r="P59" s="592"/>
      <c r="Q59" s="593"/>
    </row>
    <row r="60" spans="1:17" x14ac:dyDescent="0.25">
      <c r="A60" s="193"/>
      <c r="B60" s="248"/>
      <c r="C60" s="153" t="s">
        <v>399</v>
      </c>
      <c r="D60" s="154" t="s">
        <v>396</v>
      </c>
      <c r="E60" s="155" t="s">
        <v>153</v>
      </c>
      <c r="F60" s="166"/>
      <c r="G60" s="153" t="s">
        <v>399</v>
      </c>
      <c r="H60" s="154" t="s">
        <v>396</v>
      </c>
      <c r="I60" s="155" t="s">
        <v>153</v>
      </c>
      <c r="J60" s="166"/>
      <c r="K60" s="153" t="s">
        <v>399</v>
      </c>
      <c r="L60" s="154" t="s">
        <v>396</v>
      </c>
      <c r="M60" s="155" t="s">
        <v>153</v>
      </c>
      <c r="N60" s="166"/>
      <c r="O60" s="153" t="s">
        <v>399</v>
      </c>
      <c r="P60" s="154" t="s">
        <v>396</v>
      </c>
      <c r="Q60" s="155" t="s">
        <v>153</v>
      </c>
    </row>
    <row r="61" spans="1:17" ht="26.25" x14ac:dyDescent="0.25">
      <c r="A61" s="193"/>
      <c r="B61" s="300" t="s">
        <v>561</v>
      </c>
      <c r="C61" s="231"/>
      <c r="D61" s="232"/>
      <c r="E61" s="345">
        <f>'PRIME CPIF TOTAL ODC'!E30</f>
        <v>0</v>
      </c>
      <c r="F61" s="165"/>
      <c r="G61" s="231"/>
      <c r="H61" s="232"/>
      <c r="I61" s="345">
        <f>'PRIME CPIF TOTAL ODC'!G30</f>
        <v>0</v>
      </c>
      <c r="J61" s="165"/>
      <c r="K61" s="231"/>
      <c r="L61" s="232"/>
      <c r="M61" s="400">
        <f>'PRIME CPIF TOTAL ODC'!I30</f>
        <v>0</v>
      </c>
      <c r="N61" s="165"/>
      <c r="O61" s="231"/>
      <c r="P61" s="232"/>
      <c r="Q61" s="400">
        <f>'PRIME CPIF TOTAL ODC'!K30</f>
        <v>0</v>
      </c>
    </row>
    <row r="62" spans="1:17" ht="66" customHeight="1" x14ac:dyDescent="0.25">
      <c r="A62" s="193"/>
      <c r="B62" s="490" t="s">
        <v>614</v>
      </c>
      <c r="C62" s="404"/>
      <c r="D62" s="404"/>
      <c r="E62" s="403"/>
      <c r="F62" s="288"/>
      <c r="G62" s="405"/>
      <c r="H62" s="404"/>
      <c r="I62" s="403"/>
      <c r="J62" s="288"/>
      <c r="K62" s="405"/>
      <c r="L62" s="404"/>
      <c r="M62" s="400"/>
      <c r="N62" s="165"/>
      <c r="O62" s="405"/>
      <c r="P62" s="404"/>
      <c r="Q62" s="400"/>
    </row>
    <row r="63" spans="1:17" x14ac:dyDescent="0.25">
      <c r="A63" s="193"/>
      <c r="B63" s="167" t="s">
        <v>125</v>
      </c>
      <c r="C63" s="215">
        <f>+E61</f>
        <v>0</v>
      </c>
      <c r="D63" s="243">
        <f>'PRIME CPIF RATES (ALL)'!C60</f>
        <v>0</v>
      </c>
      <c r="E63" s="168">
        <f>ROUND(C63*D63,2)</f>
        <v>0</v>
      </c>
      <c r="F63" s="178"/>
      <c r="G63" s="215">
        <f>+I61</f>
        <v>0</v>
      </c>
      <c r="H63" s="243">
        <f>'PRIME CPIF RATES (ALL)'!D60</f>
        <v>0</v>
      </c>
      <c r="I63" s="168">
        <f>ROUND(G63*H63,2)</f>
        <v>0</v>
      </c>
      <c r="J63" s="178"/>
      <c r="K63" s="215">
        <f>+M61</f>
        <v>0</v>
      </c>
      <c r="L63" s="243">
        <f>'PRIME CPIF RATES (ALL)'!E60</f>
        <v>0</v>
      </c>
      <c r="M63" s="168">
        <f>ROUND(K63*L63,2)</f>
        <v>0</v>
      </c>
      <c r="N63" s="178"/>
      <c r="O63" s="215">
        <f>+Q61</f>
        <v>0</v>
      </c>
      <c r="P63" s="243">
        <f>'PRIME CPIF RATES (ALL)'!F60</f>
        <v>0</v>
      </c>
      <c r="Q63" s="168">
        <f>ROUND(O63*P63,2)</f>
        <v>0</v>
      </c>
    </row>
    <row r="64" spans="1:17" x14ac:dyDescent="0.25">
      <c r="A64" s="193"/>
      <c r="B64" s="167" t="s">
        <v>126</v>
      </c>
      <c r="C64" s="215">
        <f>+C63+E63</f>
        <v>0</v>
      </c>
      <c r="D64" s="243">
        <f>'PRIME CPIF RATES (ALL)'!C61</f>
        <v>0</v>
      </c>
      <c r="E64" s="168">
        <f>ROUND(C64*D64,2)</f>
        <v>0</v>
      </c>
      <c r="F64" s="178"/>
      <c r="G64" s="215">
        <f>+G63+I63</f>
        <v>0</v>
      </c>
      <c r="H64" s="243">
        <f>'PRIME CPIF RATES (ALL)'!D61</f>
        <v>0</v>
      </c>
      <c r="I64" s="168">
        <f>ROUND(G64*H64,2)</f>
        <v>0</v>
      </c>
      <c r="J64" s="178"/>
      <c r="K64" s="215">
        <f>+K63+M63</f>
        <v>0</v>
      </c>
      <c r="L64" s="243">
        <f>'PRIME CPIF RATES (ALL)'!E61</f>
        <v>0</v>
      </c>
      <c r="M64" s="168">
        <f>ROUND(K64*L64,2)</f>
        <v>0</v>
      </c>
      <c r="N64" s="178"/>
      <c r="O64" s="215">
        <f>+O63+Q63</f>
        <v>0</v>
      </c>
      <c r="P64" s="243">
        <f>'PRIME CPIF RATES (ALL)'!F61</f>
        <v>0</v>
      </c>
      <c r="Q64" s="168">
        <f>ROUND(O64*P64,2)</f>
        <v>0</v>
      </c>
    </row>
    <row r="65" spans="1:17" x14ac:dyDescent="0.25">
      <c r="A65" s="193"/>
      <c r="B65" s="167" t="s">
        <v>566</v>
      </c>
      <c r="C65" s="215">
        <f>C64+E64</f>
        <v>0</v>
      </c>
      <c r="D65" s="243">
        <f>'PRIME CPIF RATES (ALL)'!C62</f>
        <v>0</v>
      </c>
      <c r="E65" s="168">
        <f>ROUND(C65*D65,2)</f>
        <v>0</v>
      </c>
      <c r="F65" s="165"/>
      <c r="G65" s="215">
        <f>G64+I64</f>
        <v>0</v>
      </c>
      <c r="H65" s="243">
        <f>'PRIME CPIF RATES (ALL)'!D62</f>
        <v>0</v>
      </c>
      <c r="I65" s="168">
        <f>ROUND(G65*H65,2)</f>
        <v>0</v>
      </c>
      <c r="J65" s="165"/>
      <c r="K65" s="215">
        <f>K64+M64</f>
        <v>0</v>
      </c>
      <c r="L65" s="243">
        <f>'PRIME CPIF RATES (ALL)'!E62</f>
        <v>0</v>
      </c>
      <c r="M65" s="168">
        <f>ROUND(K65*L65,2)</f>
        <v>0</v>
      </c>
      <c r="N65" s="165"/>
      <c r="O65" s="215">
        <f>O64+Q64</f>
        <v>0</v>
      </c>
      <c r="P65" s="243">
        <f>'PRIME CPIF RATES (ALL)'!F62</f>
        <v>0</v>
      </c>
      <c r="Q65" s="168">
        <f>ROUND(O65*P65,2)</f>
        <v>0</v>
      </c>
    </row>
    <row r="66" spans="1:17" x14ac:dyDescent="0.25">
      <c r="A66" s="193"/>
      <c r="B66" s="167" t="s">
        <v>127</v>
      </c>
      <c r="C66" s="215">
        <f>+C64+E64</f>
        <v>0</v>
      </c>
      <c r="D66" s="354">
        <f>'PRIME CPIF RATES (ALL)'!C63</f>
        <v>0</v>
      </c>
      <c r="E66" s="168">
        <f>ROUND(C66*D66,2)</f>
        <v>0</v>
      </c>
      <c r="F66" s="165"/>
      <c r="G66" s="215">
        <f>+G64+I64</f>
        <v>0</v>
      </c>
      <c r="H66" s="354">
        <f>'PRIME CPIF RATES (ALL)'!D63</f>
        <v>0</v>
      </c>
      <c r="I66" s="168">
        <f>ROUND(G66*H66,2)</f>
        <v>0</v>
      </c>
      <c r="J66" s="165"/>
      <c r="K66" s="215">
        <f>+K64+M64</f>
        <v>0</v>
      </c>
      <c r="L66" s="354">
        <f>'PRIME CPIF RATES (ALL)'!E63</f>
        <v>0</v>
      </c>
      <c r="M66" s="168">
        <f>ROUND(K66*L66,2)</f>
        <v>0</v>
      </c>
      <c r="N66" s="165"/>
      <c r="O66" s="215">
        <f>+O64+Q64</f>
        <v>0</v>
      </c>
      <c r="P66" s="354">
        <f>'PRIME CPIF RATES (ALL)'!F63</f>
        <v>0</v>
      </c>
      <c r="Q66" s="168">
        <f>ROUND(O66*P66,2)</f>
        <v>0</v>
      </c>
    </row>
    <row r="67" spans="1:17" x14ac:dyDescent="0.25">
      <c r="A67" s="193"/>
      <c r="B67" s="241" t="s">
        <v>260</v>
      </c>
      <c r="C67" s="233"/>
      <c r="D67" s="234"/>
      <c r="E67" s="168">
        <f>+ROUND(SUM(E61:E64),2)</f>
        <v>0</v>
      </c>
      <c r="F67" s="165"/>
      <c r="G67" s="233"/>
      <c r="H67" s="234"/>
      <c r="I67" s="168">
        <f>+ROUND(SUM(I61:I64),2)</f>
        <v>0</v>
      </c>
      <c r="J67" s="165"/>
      <c r="K67" s="233"/>
      <c r="L67" s="234"/>
      <c r="M67" s="168">
        <f>+ROUND(SUM(M61:M64),2)</f>
        <v>0</v>
      </c>
      <c r="N67" s="165"/>
      <c r="O67" s="233"/>
      <c r="P67" s="234"/>
      <c r="Q67" s="168">
        <f>+ROUND(SUM(Q61:Q64),2)</f>
        <v>0</v>
      </c>
    </row>
    <row r="68" spans="1:17" x14ac:dyDescent="0.25">
      <c r="A68" s="193"/>
      <c r="B68" s="241" t="s">
        <v>137</v>
      </c>
      <c r="C68" s="231"/>
      <c r="D68" s="235"/>
      <c r="E68" s="168">
        <f>+ROUND(E65,2)</f>
        <v>0</v>
      </c>
      <c r="F68" s="165"/>
      <c r="G68" s="231"/>
      <c r="H68" s="235"/>
      <c r="I68" s="168">
        <f>+ROUND(I65,2)</f>
        <v>0</v>
      </c>
      <c r="J68" s="165"/>
      <c r="K68" s="231"/>
      <c r="L68" s="235"/>
      <c r="M68" s="168">
        <f>+ROUND(M65,2)</f>
        <v>0</v>
      </c>
      <c r="N68" s="165"/>
      <c r="O68" s="231"/>
      <c r="P68" s="235"/>
      <c r="Q68" s="168">
        <f>+ROUND(Q65,2)</f>
        <v>0</v>
      </c>
    </row>
    <row r="69" spans="1:17" x14ac:dyDescent="0.2">
      <c r="A69" s="186"/>
      <c r="B69" s="241" t="s">
        <v>136</v>
      </c>
      <c r="C69" s="231"/>
      <c r="D69" s="235"/>
      <c r="E69" s="182">
        <f>+ROUND(E66,2)</f>
        <v>0</v>
      </c>
      <c r="F69" s="183"/>
      <c r="G69" s="231"/>
      <c r="H69" s="235"/>
      <c r="I69" s="182">
        <f>+ROUND(I66,2)</f>
        <v>0</v>
      </c>
      <c r="J69" s="183"/>
      <c r="K69" s="231"/>
      <c r="L69" s="235"/>
      <c r="M69" s="182">
        <f>+ROUND(M66,2)</f>
        <v>0</v>
      </c>
      <c r="N69" s="183"/>
      <c r="O69" s="231"/>
      <c r="P69" s="235"/>
      <c r="Q69" s="182">
        <f>+ROUND(Q66,2)</f>
        <v>0</v>
      </c>
    </row>
    <row r="70" spans="1:17" ht="16.5" thickBot="1" x14ac:dyDescent="0.25">
      <c r="A70" s="186"/>
      <c r="B70" s="242" t="s">
        <v>244</v>
      </c>
      <c r="C70" s="236"/>
      <c r="D70" s="237"/>
      <c r="E70" s="160">
        <f>ROUND(SUM(E67:E69),2)</f>
        <v>0</v>
      </c>
      <c r="F70" s="161"/>
      <c r="G70" s="236"/>
      <c r="H70" s="237"/>
      <c r="I70" s="160">
        <f>ROUND(SUM(I67:I69),2)</f>
        <v>0</v>
      </c>
      <c r="J70" s="161"/>
      <c r="K70" s="236"/>
      <c r="L70" s="237"/>
      <c r="M70" s="160">
        <f>ROUND(SUM(M67:M69),2)</f>
        <v>0</v>
      </c>
      <c r="N70" s="161"/>
      <c r="O70" s="236"/>
      <c r="P70" s="237"/>
      <c r="Q70" s="160">
        <f>ROUND(SUM(Q67:Q69),2)</f>
        <v>0</v>
      </c>
    </row>
    <row r="71" spans="1:17" ht="16.5" thickBot="1" x14ac:dyDescent="0.25">
      <c r="A71" s="186"/>
      <c r="B71" s="172"/>
      <c r="E71" s="251"/>
      <c r="F71" s="251"/>
      <c r="G71" s="251"/>
      <c r="H71" s="251"/>
      <c r="I71" s="251"/>
      <c r="J71" s="251"/>
      <c r="K71" s="251"/>
      <c r="N71" s="187"/>
      <c r="O71" s="251"/>
    </row>
    <row r="72" spans="1:17" ht="16.5" thickBot="1" x14ac:dyDescent="0.3">
      <c r="A72" s="186"/>
      <c r="B72" s="628" t="str">
        <f>B58</f>
        <v>CLIN 0003 (CPIF)                                                    TASK 1.02 MATERIAL - CONTRACTOR-PROCURED MATERIAL FOR SIL</v>
      </c>
      <c r="C72" s="614" t="s">
        <v>319</v>
      </c>
      <c r="D72" s="615"/>
      <c r="E72" s="616"/>
      <c r="F72" s="175"/>
      <c r="G72" s="614" t="s">
        <v>319</v>
      </c>
      <c r="H72" s="615"/>
      <c r="I72" s="616"/>
      <c r="J72" s="175"/>
      <c r="K72" s="614" t="s">
        <v>319</v>
      </c>
      <c r="L72" s="615"/>
      <c r="M72" s="616"/>
      <c r="N72" s="175"/>
      <c r="O72" s="614" t="s">
        <v>319</v>
      </c>
      <c r="P72" s="615"/>
      <c r="Q72" s="616"/>
    </row>
    <row r="73" spans="1:17" ht="33.75" customHeight="1" thickBot="1" x14ac:dyDescent="0.3">
      <c r="A73" s="186"/>
      <c r="B73" s="629"/>
      <c r="C73" s="280"/>
      <c r="D73" s="281"/>
      <c r="E73" s="188" t="s">
        <v>371</v>
      </c>
      <c r="F73" s="189"/>
      <c r="G73" s="280"/>
      <c r="H73" s="281"/>
      <c r="I73" s="188" t="s">
        <v>372</v>
      </c>
      <c r="J73" s="189"/>
      <c r="K73" s="280"/>
      <c r="L73" s="281"/>
      <c r="M73" s="188" t="s">
        <v>373</v>
      </c>
      <c r="N73" s="189"/>
      <c r="O73" s="280"/>
      <c r="P73" s="281"/>
      <c r="Q73" s="188" t="s">
        <v>374</v>
      </c>
    </row>
    <row r="74" spans="1:17" x14ac:dyDescent="0.2">
      <c r="A74" s="186"/>
      <c r="B74" s="167" t="s">
        <v>261</v>
      </c>
      <c r="C74" s="282"/>
      <c r="D74" s="282"/>
      <c r="E74" s="190">
        <f>+ROUND(E25+E39+E53+E67,2)</f>
        <v>0</v>
      </c>
      <c r="F74" s="165"/>
      <c r="G74" s="282"/>
      <c r="H74" s="282"/>
      <c r="I74" s="190">
        <f>+ROUND(I25+I39+I53+I67,2)</f>
        <v>0</v>
      </c>
      <c r="J74" s="165"/>
      <c r="K74" s="282"/>
      <c r="L74" s="282"/>
      <c r="M74" s="190">
        <f>+ROUND(M25+M39+M53+M67,2)</f>
        <v>0</v>
      </c>
      <c r="N74" s="165"/>
      <c r="O74" s="282"/>
      <c r="P74" s="282"/>
      <c r="Q74" s="190">
        <f>+ROUND(Q25+Q39+Q53+Q67,2)</f>
        <v>0</v>
      </c>
    </row>
    <row r="75" spans="1:17" x14ac:dyDescent="0.2">
      <c r="A75" s="186"/>
      <c r="B75" s="167" t="s">
        <v>137</v>
      </c>
      <c r="C75" s="282"/>
      <c r="D75" s="282"/>
      <c r="E75" s="168">
        <f>+ROUND(E26+E40+E54+E68,2)</f>
        <v>0</v>
      </c>
      <c r="F75" s="165"/>
      <c r="G75" s="282"/>
      <c r="H75" s="282"/>
      <c r="I75" s="168">
        <f>+ROUND(I26+I40+I54+I68,2)</f>
        <v>0</v>
      </c>
      <c r="J75" s="165"/>
      <c r="K75" s="282"/>
      <c r="L75" s="282"/>
      <c r="M75" s="168">
        <f>+ROUND(M26+M40+M54+M68,2)</f>
        <v>0</v>
      </c>
      <c r="N75" s="165"/>
      <c r="O75" s="282"/>
      <c r="P75" s="282"/>
      <c r="Q75" s="168">
        <f>+ROUND(Q26+Q40+Q54+Q68,2)</f>
        <v>0</v>
      </c>
    </row>
    <row r="76" spans="1:17" x14ac:dyDescent="0.2">
      <c r="A76" s="186"/>
      <c r="B76" s="167" t="s">
        <v>136</v>
      </c>
      <c r="C76" s="282"/>
      <c r="D76" s="282"/>
      <c r="E76" s="169">
        <f>+ROUND(E27+E41+E55+E69,2)</f>
        <v>0</v>
      </c>
      <c r="F76" s="170"/>
      <c r="G76" s="282"/>
      <c r="H76" s="282"/>
      <c r="I76" s="169">
        <f>+ROUND(I27+I41+I55+I69,2)</f>
        <v>0</v>
      </c>
      <c r="J76" s="170"/>
      <c r="K76" s="282"/>
      <c r="L76" s="282"/>
      <c r="M76" s="169">
        <f>+ROUND(M27+M41+M55+M69,2)</f>
        <v>0</v>
      </c>
      <c r="N76" s="170"/>
      <c r="O76" s="282"/>
      <c r="P76" s="282"/>
      <c r="Q76" s="169">
        <f>+ROUND(Q27+Q41+Q55+Q69,2)</f>
        <v>0</v>
      </c>
    </row>
    <row r="77" spans="1:17" ht="32.25" thickBot="1" x14ac:dyDescent="0.3">
      <c r="A77" s="186"/>
      <c r="B77" s="265" t="s">
        <v>536</v>
      </c>
      <c r="C77" s="283"/>
      <c r="D77" s="283"/>
      <c r="E77" s="266">
        <f>SUM(E74:E76)</f>
        <v>0</v>
      </c>
      <c r="F77" s="171"/>
      <c r="G77" s="283"/>
      <c r="H77" s="283"/>
      <c r="I77" s="266">
        <f>SUM(I74:I76)</f>
        <v>0</v>
      </c>
      <c r="J77" s="171"/>
      <c r="K77" s="283"/>
      <c r="L77" s="283"/>
      <c r="M77" s="266">
        <f>SUM(M74:M76)</f>
        <v>0</v>
      </c>
      <c r="N77" s="171"/>
      <c r="O77" s="283"/>
      <c r="P77" s="283"/>
      <c r="Q77" s="266">
        <f>SUM(Q74:Q76)</f>
        <v>0</v>
      </c>
    </row>
    <row r="78" spans="1:17" ht="16.5" thickBot="1" x14ac:dyDescent="0.3"/>
    <row r="79" spans="1:17" ht="31.5" x14ac:dyDescent="0.25">
      <c r="Q79" s="411" t="s">
        <v>537</v>
      </c>
    </row>
    <row r="80" spans="1:17" ht="16.5" thickBot="1" x14ac:dyDescent="0.3">
      <c r="Q80" s="410">
        <f>E77+I77+M77+Q77</f>
        <v>0</v>
      </c>
    </row>
  </sheetData>
  <mergeCells count="46">
    <mergeCell ref="O72:Q72"/>
    <mergeCell ref="C48:E48"/>
    <mergeCell ref="G48:I48"/>
    <mergeCell ref="K48:M48"/>
    <mergeCell ref="B72:B73"/>
    <mergeCell ref="C72:E72"/>
    <mergeCell ref="G72:I72"/>
    <mergeCell ref="K72:M72"/>
    <mergeCell ref="B58:B59"/>
    <mergeCell ref="C58:E58"/>
    <mergeCell ref="G58:I58"/>
    <mergeCell ref="K58:M58"/>
    <mergeCell ref="O59:Q59"/>
    <mergeCell ref="C59:E59"/>
    <mergeCell ref="G59:I59"/>
    <mergeCell ref="K59:M59"/>
    <mergeCell ref="B30:B31"/>
    <mergeCell ref="C30:E30"/>
    <mergeCell ref="G30:I30"/>
    <mergeCell ref="K30:M30"/>
    <mergeCell ref="C31:E31"/>
    <mergeCell ref="G31:I31"/>
    <mergeCell ref="K31:M31"/>
    <mergeCell ref="A3:C3"/>
    <mergeCell ref="B13:B14"/>
    <mergeCell ref="C13:E13"/>
    <mergeCell ref="G13:I13"/>
    <mergeCell ref="K13:M13"/>
    <mergeCell ref="C14:E14"/>
    <mergeCell ref="G14:I14"/>
    <mergeCell ref="K14:M14"/>
    <mergeCell ref="O13:Q13"/>
    <mergeCell ref="O14:Q14"/>
    <mergeCell ref="O30:Q30"/>
    <mergeCell ref="O31:Q31"/>
    <mergeCell ref="O58:Q58"/>
    <mergeCell ref="O48:Q48"/>
    <mergeCell ref="B44:B45"/>
    <mergeCell ref="C44:E44"/>
    <mergeCell ref="G44:I44"/>
    <mergeCell ref="K44:M44"/>
    <mergeCell ref="O44:Q44"/>
    <mergeCell ref="C45:E45"/>
    <mergeCell ref="G45:I45"/>
    <mergeCell ref="K45:M45"/>
    <mergeCell ref="O45:Q45"/>
  </mergeCell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9AA18D-8AAC-4500-B287-35AEAF3DABF8}">
  <sheetPr>
    <tabColor theme="0"/>
  </sheetPr>
  <dimension ref="A1:Q80"/>
  <sheetViews>
    <sheetView zoomScale="80" zoomScaleNormal="80" workbookViewId="0">
      <pane ySplit="11" topLeftCell="A12" activePane="bottomLeft" state="frozen"/>
      <selection pane="bottomLeft" activeCell="P65" sqref="P65"/>
    </sheetView>
    <sheetView workbookViewId="1"/>
  </sheetViews>
  <sheetFormatPr defaultColWidth="15.85546875" defaultRowHeight="15.75" x14ac:dyDescent="0.25"/>
  <cols>
    <col min="1" max="1" width="3.42578125" style="191" customWidth="1"/>
    <col min="2" max="2" width="49.140625" style="174" customWidth="1"/>
    <col min="3" max="3" width="18.28515625" style="186" bestFit="1" customWidth="1"/>
    <col min="4" max="4" width="12.42578125" style="186" bestFit="1" customWidth="1"/>
    <col min="5" max="5" width="32.140625" style="186" bestFit="1" customWidth="1"/>
    <col min="6" max="6" width="1" style="186" customWidth="1"/>
    <col min="7" max="7" width="14.28515625" style="186" customWidth="1"/>
    <col min="8" max="8" width="14.5703125" style="186" customWidth="1"/>
    <col min="9" max="9" width="34.42578125" style="186" bestFit="1" customWidth="1"/>
    <col min="10" max="10" width="1" style="186" customWidth="1"/>
    <col min="11" max="11" width="16.7109375" style="186" customWidth="1"/>
    <col min="12" max="12" width="16.28515625" style="186" customWidth="1"/>
    <col min="13" max="13" width="34.42578125" style="186" bestFit="1" customWidth="1"/>
    <col min="14" max="14" width="0.85546875" style="186" customWidth="1"/>
    <col min="15" max="15" width="16.7109375" style="186" customWidth="1"/>
    <col min="16" max="16" width="16.28515625" style="186" customWidth="1"/>
    <col min="17" max="17" width="34.42578125" style="186" bestFit="1" customWidth="1"/>
    <col min="18" max="16384" width="15.85546875" style="186"/>
  </cols>
  <sheetData>
    <row r="1" spans="1:17" ht="16.5" thickBot="1" x14ac:dyDescent="0.3">
      <c r="B1" s="126" t="s">
        <v>626</v>
      </c>
      <c r="C1" s="494" t="str">
        <f>'FFP CLINs X007-X021'!B1</f>
        <v>NAME</v>
      </c>
    </row>
    <row r="2" spans="1:17" ht="16.5" thickBot="1" x14ac:dyDescent="0.3"/>
    <row r="3" spans="1:17" ht="52.5" customHeight="1" thickBot="1" x14ac:dyDescent="0.3">
      <c r="A3" s="557" t="s">
        <v>376</v>
      </c>
      <c r="B3" s="558"/>
      <c r="C3" s="559"/>
      <c r="I3" s="251" t="s">
        <v>149</v>
      </c>
    </row>
    <row r="5" spans="1:17" s="259" customFormat="1" ht="17.25" customHeight="1" x14ac:dyDescent="0.2">
      <c r="A5" s="260"/>
      <c r="B5" s="261" t="s">
        <v>130</v>
      </c>
    </row>
    <row r="6" spans="1:17" s="259" customFormat="1" x14ac:dyDescent="0.25">
      <c r="A6" s="258"/>
      <c r="B6" s="258" t="s">
        <v>606</v>
      </c>
    </row>
    <row r="7" spans="1:17" s="259" customFormat="1" x14ac:dyDescent="0.25">
      <c r="A7" s="258"/>
      <c r="B7" s="258" t="s">
        <v>390</v>
      </c>
    </row>
    <row r="8" spans="1:17" s="259" customFormat="1" x14ac:dyDescent="0.25">
      <c r="A8" s="258"/>
      <c r="B8" s="258" t="s">
        <v>607</v>
      </c>
    </row>
    <row r="9" spans="1:17" s="259" customFormat="1" x14ac:dyDescent="0.25">
      <c r="A9" s="258"/>
      <c r="B9" s="258" t="s">
        <v>608</v>
      </c>
    </row>
    <row r="10" spans="1:17" x14ac:dyDescent="0.25">
      <c r="A10" s="192"/>
      <c r="B10" s="258" t="s">
        <v>609</v>
      </c>
      <c r="C10" s="194"/>
    </row>
    <row r="11" spans="1:17" x14ac:dyDescent="0.25">
      <c r="A11" s="192"/>
      <c r="B11" s="258" t="s">
        <v>538</v>
      </c>
      <c r="C11" s="194"/>
    </row>
    <row r="12" spans="1:17" ht="16.5" thickBot="1" x14ac:dyDescent="0.3"/>
    <row r="13" spans="1:17" ht="16.5" thickBot="1" x14ac:dyDescent="0.3">
      <c r="A13" s="193"/>
      <c r="B13" s="633" t="s">
        <v>539</v>
      </c>
      <c r="C13" s="594" t="s">
        <v>134</v>
      </c>
      <c r="D13" s="595"/>
      <c r="E13" s="596"/>
      <c r="F13" s="151"/>
      <c r="G13" s="594" t="s">
        <v>134</v>
      </c>
      <c r="H13" s="595"/>
      <c r="I13" s="596"/>
      <c r="J13" s="151"/>
      <c r="K13" s="594" t="s">
        <v>134</v>
      </c>
      <c r="L13" s="595"/>
      <c r="M13" s="596"/>
      <c r="N13" s="151"/>
      <c r="O13" s="594" t="s">
        <v>134</v>
      </c>
      <c r="P13" s="595"/>
      <c r="Q13" s="596"/>
    </row>
    <row r="14" spans="1:17" ht="32.25" customHeight="1" thickBot="1" x14ac:dyDescent="0.3">
      <c r="A14" s="193"/>
      <c r="B14" s="634"/>
      <c r="C14" s="617" t="s">
        <v>367</v>
      </c>
      <c r="D14" s="618"/>
      <c r="E14" s="619"/>
      <c r="F14" s="152"/>
      <c r="G14" s="617" t="s">
        <v>368</v>
      </c>
      <c r="H14" s="618"/>
      <c r="I14" s="619"/>
      <c r="J14" s="152"/>
      <c r="K14" s="617" t="s">
        <v>369</v>
      </c>
      <c r="L14" s="618"/>
      <c r="M14" s="619"/>
      <c r="N14" s="152"/>
      <c r="O14" s="617" t="s">
        <v>370</v>
      </c>
      <c r="P14" s="618"/>
      <c r="Q14" s="619"/>
    </row>
    <row r="15" spans="1:17" x14ac:dyDescent="0.25">
      <c r="A15" s="193"/>
      <c r="B15" s="153" t="s">
        <v>110</v>
      </c>
      <c r="C15" s="153" t="s">
        <v>91</v>
      </c>
      <c r="D15" s="154" t="s">
        <v>133</v>
      </c>
      <c r="E15" s="155" t="s">
        <v>139</v>
      </c>
      <c r="F15" s="156"/>
      <c r="G15" s="153" t="s">
        <v>91</v>
      </c>
      <c r="H15" s="154" t="s">
        <v>133</v>
      </c>
      <c r="I15" s="155" t="s">
        <v>139</v>
      </c>
      <c r="J15" s="156"/>
      <c r="K15" s="153" t="s">
        <v>91</v>
      </c>
      <c r="L15" s="154" t="s">
        <v>133</v>
      </c>
      <c r="M15" s="155" t="s">
        <v>139</v>
      </c>
      <c r="N15" s="156"/>
      <c r="O15" s="153" t="s">
        <v>91</v>
      </c>
      <c r="P15" s="154" t="s">
        <v>133</v>
      </c>
      <c r="Q15" s="155" t="s">
        <v>139</v>
      </c>
    </row>
    <row r="16" spans="1:17" ht="30" customHeight="1" thickBot="1" x14ac:dyDescent="0.3">
      <c r="A16" s="193"/>
      <c r="B16" s="203" t="s">
        <v>558</v>
      </c>
      <c r="C16" s="289"/>
      <c r="D16" s="290"/>
      <c r="E16" s="291"/>
      <c r="F16" s="156"/>
      <c r="G16" s="289"/>
      <c r="H16" s="290"/>
      <c r="I16" s="291"/>
      <c r="J16" s="156"/>
      <c r="K16" s="289"/>
      <c r="L16" s="290"/>
      <c r="M16" s="291"/>
      <c r="N16" s="156"/>
      <c r="O16" s="289"/>
      <c r="P16" s="290"/>
      <c r="Q16" s="291"/>
    </row>
    <row r="17" spans="1:17" ht="16.5" thickBot="1" x14ac:dyDescent="0.3">
      <c r="A17" s="193"/>
      <c r="B17" s="299" t="s">
        <v>151</v>
      </c>
      <c r="C17" s="163">
        <f>'PRIME CPIF LABOR INPUTS'!D364</f>
        <v>0</v>
      </c>
      <c r="D17" s="205"/>
      <c r="E17" s="164">
        <f>'PRIME CPIF LABOR INPUTS'!F364</f>
        <v>0</v>
      </c>
      <c r="F17" s="165"/>
      <c r="G17" s="163">
        <f>'PRIME CPIF LABOR INPUTS'!H364</f>
        <v>0</v>
      </c>
      <c r="H17" s="205"/>
      <c r="I17" s="164">
        <f>'PRIME CPIF LABOR INPUTS'!J364</f>
        <v>0</v>
      </c>
      <c r="J17" s="165"/>
      <c r="K17" s="163">
        <f>'PRIME CPIF LABOR INPUTS'!L364</f>
        <v>0</v>
      </c>
      <c r="L17" s="205"/>
      <c r="M17" s="164">
        <f>'PRIME CPIF LABOR INPUTS'!N364</f>
        <v>0</v>
      </c>
      <c r="N17" s="165"/>
      <c r="O17" s="163">
        <f>'PRIME CPIF LABOR INPUTS'!P364</f>
        <v>0</v>
      </c>
      <c r="P17" s="205"/>
      <c r="Q17" s="164">
        <f>'PRIME CPIF LABOR INPUTS'!R364</f>
        <v>0</v>
      </c>
    </row>
    <row r="18" spans="1:17" x14ac:dyDescent="0.25">
      <c r="A18" s="193"/>
      <c r="B18" s="204"/>
      <c r="C18" s="153" t="s">
        <v>399</v>
      </c>
      <c r="D18" s="154" t="s">
        <v>396</v>
      </c>
      <c r="E18" s="155" t="s">
        <v>398</v>
      </c>
      <c r="F18" s="166"/>
      <c r="G18" s="153" t="s">
        <v>399</v>
      </c>
      <c r="H18" s="154" t="s">
        <v>396</v>
      </c>
      <c r="I18" s="155" t="s">
        <v>398</v>
      </c>
      <c r="J18" s="166"/>
      <c r="K18" s="153" t="s">
        <v>399</v>
      </c>
      <c r="L18" s="154" t="s">
        <v>396</v>
      </c>
      <c r="M18" s="155" t="s">
        <v>398</v>
      </c>
      <c r="N18" s="166"/>
      <c r="O18" s="153" t="s">
        <v>399</v>
      </c>
      <c r="P18" s="154" t="s">
        <v>396</v>
      </c>
      <c r="Q18" s="155" t="s">
        <v>398</v>
      </c>
    </row>
    <row r="19" spans="1:17" ht="64.5" x14ac:dyDescent="0.25">
      <c r="A19" s="193"/>
      <c r="B19" s="344" t="s">
        <v>611</v>
      </c>
      <c r="C19" s="289"/>
      <c r="D19" s="290"/>
      <c r="E19" s="291"/>
      <c r="F19" s="202"/>
      <c r="G19" s="289"/>
      <c r="H19" s="290"/>
      <c r="I19" s="291"/>
      <c r="J19" s="202"/>
      <c r="K19" s="289"/>
      <c r="L19" s="290"/>
      <c r="M19" s="291"/>
      <c r="N19" s="202"/>
      <c r="O19" s="289"/>
      <c r="P19" s="290"/>
      <c r="Q19" s="291"/>
    </row>
    <row r="20" spans="1:17" x14ac:dyDescent="0.25">
      <c r="A20" s="193"/>
      <c r="B20" s="167" t="str">
        <f>'PRIME CPIF RATES (ALL)'!B35</f>
        <v>Indirect Labor Category:  [Labor Fringe]</v>
      </c>
      <c r="C20" s="215">
        <f>+E17</f>
        <v>0</v>
      </c>
      <c r="D20" s="243">
        <f>'PRIME CPIF RATES (ALL)'!C35</f>
        <v>0</v>
      </c>
      <c r="E20" s="168">
        <f>ROUND(C20*D20,2)</f>
        <v>0</v>
      </c>
      <c r="F20" s="165"/>
      <c r="G20" s="215">
        <f>+I17</f>
        <v>0</v>
      </c>
      <c r="H20" s="243">
        <f>'PRIME CPIF RATES (ALL)'!D35</f>
        <v>0</v>
      </c>
      <c r="I20" s="168">
        <f>ROUND(G20*H20,2)</f>
        <v>0</v>
      </c>
      <c r="J20" s="165"/>
      <c r="K20" s="215">
        <f>+M17</f>
        <v>0</v>
      </c>
      <c r="L20" s="243">
        <f>'PRIME CPIF RATES (ALL)'!E35</f>
        <v>0</v>
      </c>
      <c r="M20" s="168">
        <f>ROUND(K20*L20,2)</f>
        <v>0</v>
      </c>
      <c r="N20" s="165"/>
      <c r="O20" s="215">
        <f>+Q17</f>
        <v>0</v>
      </c>
      <c r="P20" s="243">
        <f>'PRIME CPIF RATES (ALL)'!F35</f>
        <v>0</v>
      </c>
      <c r="Q20" s="168">
        <f>ROUND(O20*P20,2)</f>
        <v>0</v>
      </c>
    </row>
    <row r="21" spans="1:17" x14ac:dyDescent="0.25">
      <c r="A21" s="193"/>
      <c r="B21" s="167" t="str">
        <f>'PRIME CPIF RATES (ALL)'!B36</f>
        <v>Indirect Labor Category: [Labor Overhead]</v>
      </c>
      <c r="C21" s="215">
        <f>+C20+E20</f>
        <v>0</v>
      </c>
      <c r="D21" s="243">
        <f>'PRIME CPIF RATES (ALL)'!C36</f>
        <v>0</v>
      </c>
      <c r="E21" s="168">
        <f>ROUND(C21*D21,2)</f>
        <v>0</v>
      </c>
      <c r="F21" s="165"/>
      <c r="G21" s="215">
        <f>+G20+I20</f>
        <v>0</v>
      </c>
      <c r="H21" s="243">
        <f>'PRIME CPIF RATES (ALL)'!D36</f>
        <v>0</v>
      </c>
      <c r="I21" s="168">
        <f>ROUND(G21*H21,2)</f>
        <v>0</v>
      </c>
      <c r="J21" s="165"/>
      <c r="K21" s="215">
        <f>+K20+M20</f>
        <v>0</v>
      </c>
      <c r="L21" s="243">
        <f>'PRIME CPIF RATES (ALL)'!E36</f>
        <v>0</v>
      </c>
      <c r="M21" s="168">
        <f>ROUND(K21*L21,2)</f>
        <v>0</v>
      </c>
      <c r="N21" s="165"/>
      <c r="O21" s="215">
        <f>+O20+Q20</f>
        <v>0</v>
      </c>
      <c r="P21" s="243">
        <f>'PRIME CPIF RATES (ALL)'!F36</f>
        <v>0</v>
      </c>
      <c r="Q21" s="168">
        <f>ROUND(O21*P21,2)</f>
        <v>0</v>
      </c>
    </row>
    <row r="22" spans="1:17" x14ac:dyDescent="0.25">
      <c r="A22" s="193"/>
      <c r="B22" s="167" t="str">
        <f>'PRIME CPIF RATES (ALL)'!B37</f>
        <v>Indirect Labor Category: [G&amp;A]</v>
      </c>
      <c r="C22" s="215">
        <f>+C21+E21</f>
        <v>0</v>
      </c>
      <c r="D22" s="243">
        <f>'PRIME CPIF RATES (ALL)'!C37</f>
        <v>0</v>
      </c>
      <c r="E22" s="168">
        <f>ROUND(C22*D22,2)</f>
        <v>0</v>
      </c>
      <c r="F22" s="165"/>
      <c r="G22" s="215">
        <f>+G21+I21</f>
        <v>0</v>
      </c>
      <c r="H22" s="243">
        <f>'PRIME CPIF RATES (ALL)'!D37</f>
        <v>0</v>
      </c>
      <c r="I22" s="168">
        <f>ROUND(G22*H22,2)</f>
        <v>0</v>
      </c>
      <c r="J22" s="165"/>
      <c r="K22" s="215">
        <f>+K21+M21</f>
        <v>0</v>
      </c>
      <c r="L22" s="243">
        <f>'PRIME CPIF RATES (ALL)'!E37</f>
        <v>0</v>
      </c>
      <c r="M22" s="168">
        <f>ROUND(K22*L22,2)</f>
        <v>0</v>
      </c>
      <c r="N22" s="165"/>
      <c r="O22" s="215">
        <f>+O21+Q21</f>
        <v>0</v>
      </c>
      <c r="P22" s="243">
        <f>'PRIME CPIF RATES (ALL)'!F37</f>
        <v>0</v>
      </c>
      <c r="Q22" s="168">
        <f>ROUND(O22*P22,2)</f>
        <v>0</v>
      </c>
    </row>
    <row r="23" spans="1:17" x14ac:dyDescent="0.25">
      <c r="A23" s="193"/>
      <c r="B23" s="167" t="str">
        <f>'PRIME CPIF RATES (ALL)'!B38</f>
        <v>Indirect Labor Category: [FCCOM]</v>
      </c>
      <c r="C23" s="215">
        <f>C22+E22</f>
        <v>0</v>
      </c>
      <c r="D23" s="243">
        <f>'PRIME CPIF RATES (ALL)'!C38</f>
        <v>0</v>
      </c>
      <c r="E23" s="168">
        <f>ROUND(C23*D23,2)</f>
        <v>0</v>
      </c>
      <c r="F23" s="165"/>
      <c r="G23" s="215">
        <f>G22+I22</f>
        <v>0</v>
      </c>
      <c r="H23" s="243">
        <f>'PRIME CPIF RATES (ALL)'!D38</f>
        <v>0</v>
      </c>
      <c r="I23" s="168">
        <f>ROUND(G23*H23,2)</f>
        <v>0</v>
      </c>
      <c r="J23" s="165"/>
      <c r="K23" s="215">
        <f>K22+M22</f>
        <v>0</v>
      </c>
      <c r="L23" s="243">
        <f>'PRIME CPIF RATES (ALL)'!E38</f>
        <v>0</v>
      </c>
      <c r="M23" s="168">
        <f>ROUND(K23*L23,2)</f>
        <v>0</v>
      </c>
      <c r="N23" s="165"/>
      <c r="O23" s="215">
        <f>O22+Q22</f>
        <v>0</v>
      </c>
      <c r="P23" s="243">
        <f>'PRIME CPIF RATES (ALL)'!F38</f>
        <v>0</v>
      </c>
      <c r="Q23" s="168">
        <f>ROUND(O23*P23,2)</f>
        <v>0</v>
      </c>
    </row>
    <row r="24" spans="1:17" x14ac:dyDescent="0.25">
      <c r="A24" s="193"/>
      <c r="B24" s="167" t="str">
        <f>'PRIME CPIF RATES (ALL)'!B39</f>
        <v>Indirect Labor Category: [Target Fee]</v>
      </c>
      <c r="C24" s="215">
        <f>+C22+E22</f>
        <v>0</v>
      </c>
      <c r="D24" s="243">
        <f>'PRIME CPIF RATES (ALL)'!C39</f>
        <v>0</v>
      </c>
      <c r="E24" s="168">
        <f>ROUND(C24*D24,2)</f>
        <v>0</v>
      </c>
      <c r="F24" s="165"/>
      <c r="G24" s="215">
        <f>+G22+I22</f>
        <v>0</v>
      </c>
      <c r="H24" s="243">
        <f>'PRIME CPIF RATES (ALL)'!D39</f>
        <v>0</v>
      </c>
      <c r="I24" s="168">
        <f>ROUND(G24*H24,2)</f>
        <v>0</v>
      </c>
      <c r="J24" s="165"/>
      <c r="K24" s="215">
        <f>+K22+M22</f>
        <v>0</v>
      </c>
      <c r="L24" s="243">
        <f>'PRIME CPIF RATES (ALL)'!E39</f>
        <v>0</v>
      </c>
      <c r="M24" s="168">
        <f>ROUND(K24*L24,2)</f>
        <v>0</v>
      </c>
      <c r="N24" s="165"/>
      <c r="O24" s="215">
        <f>+O22+Q22</f>
        <v>0</v>
      </c>
      <c r="P24" s="243">
        <f>'PRIME CPIF RATES (ALL)'!F39</f>
        <v>0</v>
      </c>
      <c r="Q24" s="168">
        <f>ROUND(O24*P24,2)</f>
        <v>0</v>
      </c>
    </row>
    <row r="25" spans="1:17" x14ac:dyDescent="0.25">
      <c r="A25" s="193"/>
      <c r="B25" s="262" t="s">
        <v>258</v>
      </c>
      <c r="C25" s="210"/>
      <c r="D25" s="211"/>
      <c r="E25" s="230">
        <f>ROUND(SUM(E17,E20,E21,E22),2)</f>
        <v>0</v>
      </c>
      <c r="F25" s="165"/>
      <c r="G25" s="206"/>
      <c r="H25" s="207"/>
      <c r="I25" s="230">
        <f>ROUND(SUM(I17,I20,I21,I22),2)</f>
        <v>0</v>
      </c>
      <c r="J25" s="165"/>
      <c r="K25" s="206"/>
      <c r="L25" s="207"/>
      <c r="M25" s="230">
        <f>ROUND(SUM(M17,M20,M21,M22),2)</f>
        <v>0</v>
      </c>
      <c r="N25" s="165"/>
      <c r="O25" s="206"/>
      <c r="P25" s="207"/>
      <c r="Q25" s="230">
        <f>ROUND(SUM(Q17,Q20,Q21,Q22),2)</f>
        <v>0</v>
      </c>
    </row>
    <row r="26" spans="1:17" x14ac:dyDescent="0.25">
      <c r="A26" s="193"/>
      <c r="B26" s="262" t="s">
        <v>137</v>
      </c>
      <c r="C26" s="210"/>
      <c r="D26" s="211"/>
      <c r="E26" s="230">
        <f>ROUND(E23,2)</f>
        <v>0</v>
      </c>
      <c r="F26" s="165"/>
      <c r="G26" s="206"/>
      <c r="H26" s="207"/>
      <c r="I26" s="230">
        <f>ROUND(I23,2)</f>
        <v>0</v>
      </c>
      <c r="J26" s="165"/>
      <c r="K26" s="206"/>
      <c r="L26" s="207"/>
      <c r="M26" s="230">
        <f>ROUND(M23,2)</f>
        <v>0</v>
      </c>
      <c r="N26" s="165"/>
      <c r="O26" s="206"/>
      <c r="P26" s="207"/>
      <c r="Q26" s="230">
        <f>ROUND(Q23,2)</f>
        <v>0</v>
      </c>
    </row>
    <row r="27" spans="1:17" x14ac:dyDescent="0.25">
      <c r="A27" s="193"/>
      <c r="B27" s="262" t="s">
        <v>136</v>
      </c>
      <c r="C27" s="210"/>
      <c r="D27" s="211"/>
      <c r="E27" s="245">
        <f>ROUND(E24,2)</f>
        <v>0</v>
      </c>
      <c r="F27" s="170"/>
      <c r="G27" s="206"/>
      <c r="H27" s="207"/>
      <c r="I27" s="245">
        <f>ROUND(I24,2)</f>
        <v>0</v>
      </c>
      <c r="J27" s="170"/>
      <c r="K27" s="206"/>
      <c r="L27" s="207"/>
      <c r="M27" s="245">
        <f>ROUND(M24,2)</f>
        <v>0</v>
      </c>
      <c r="N27" s="170"/>
      <c r="O27" s="206"/>
      <c r="P27" s="207"/>
      <c r="Q27" s="245">
        <f>ROUND(Q24,2)</f>
        <v>0</v>
      </c>
    </row>
    <row r="28" spans="1:17" ht="16.5" thickBot="1" x14ac:dyDescent="0.3">
      <c r="A28" s="193"/>
      <c r="B28" s="263" t="s">
        <v>138</v>
      </c>
      <c r="C28" s="212"/>
      <c r="D28" s="213"/>
      <c r="E28" s="246">
        <f>ROUND(SUM(E25:E27),2)</f>
        <v>0</v>
      </c>
      <c r="F28" s="171"/>
      <c r="G28" s="208"/>
      <c r="H28" s="209"/>
      <c r="I28" s="246">
        <f>ROUND(SUM(I25:I27),2)</f>
        <v>0</v>
      </c>
      <c r="J28" s="171"/>
      <c r="K28" s="208"/>
      <c r="L28" s="209"/>
      <c r="M28" s="246">
        <f>ROUND(SUM(M25:M27),2)</f>
        <v>0</v>
      </c>
      <c r="N28" s="171"/>
      <c r="O28" s="208"/>
      <c r="P28" s="209"/>
      <c r="Q28" s="246">
        <f>ROUND(SUM(Q25:Q27),2)</f>
        <v>0</v>
      </c>
    </row>
    <row r="29" spans="1:17" ht="16.5" thickBot="1" x14ac:dyDescent="0.3">
      <c r="A29" s="193"/>
      <c r="B29" s="172"/>
      <c r="C29" s="173"/>
      <c r="D29" s="173"/>
      <c r="E29" s="256"/>
      <c r="F29" s="256"/>
      <c r="G29" s="256"/>
      <c r="H29" s="256"/>
      <c r="I29" s="256"/>
      <c r="J29" s="256"/>
      <c r="K29" s="256"/>
      <c r="L29" s="173"/>
      <c r="M29" s="173"/>
      <c r="N29" s="165"/>
      <c r="O29" s="256"/>
      <c r="P29" s="173"/>
      <c r="Q29" s="173"/>
    </row>
    <row r="30" spans="1:17" ht="16.5" customHeight="1" thickBot="1" x14ac:dyDescent="0.3">
      <c r="A30" s="193"/>
      <c r="B30" s="620" t="str">
        <f>B13</f>
        <v>CLIN 0003 (CPIF)                                                    TASK 1.03 MATERIAL - ANTICIPATED REQUIRED GFE</v>
      </c>
      <c r="C30" s="594" t="s">
        <v>145</v>
      </c>
      <c r="D30" s="595"/>
      <c r="E30" s="596"/>
      <c r="F30" s="175"/>
      <c r="G30" s="594" t="s">
        <v>145</v>
      </c>
      <c r="H30" s="595"/>
      <c r="I30" s="596"/>
      <c r="J30" s="175"/>
      <c r="K30" s="594" t="s">
        <v>145</v>
      </c>
      <c r="L30" s="595"/>
      <c r="M30" s="596"/>
      <c r="N30" s="175"/>
      <c r="O30" s="594" t="s">
        <v>145</v>
      </c>
      <c r="P30" s="595"/>
      <c r="Q30" s="596"/>
    </row>
    <row r="31" spans="1:17" ht="32.25" customHeight="1" thickBot="1" x14ac:dyDescent="0.3">
      <c r="A31" s="193"/>
      <c r="B31" s="621"/>
      <c r="C31" s="591" t="str">
        <f>C14</f>
        <v>CLIN 0003 - Basic Period (Year 1)</v>
      </c>
      <c r="D31" s="592"/>
      <c r="E31" s="593"/>
      <c r="F31" s="176"/>
      <c r="G31" s="591" t="str">
        <f>G14</f>
        <v>CLIN 0003 - Basic Period (Year 2)</v>
      </c>
      <c r="H31" s="592"/>
      <c r="I31" s="593"/>
      <c r="J31" s="176"/>
      <c r="K31" s="591" t="str">
        <f>K14</f>
        <v>CLIN 0003 - Basic Period (Year 3)</v>
      </c>
      <c r="L31" s="592"/>
      <c r="M31" s="593"/>
      <c r="N31" s="176"/>
      <c r="O31" s="591" t="str">
        <f>O14</f>
        <v>CLIN 0003 - Basic Period (Year 4)</v>
      </c>
      <c r="P31" s="592"/>
      <c r="Q31" s="593"/>
    </row>
    <row r="32" spans="1:17" x14ac:dyDescent="0.25">
      <c r="A32" s="193"/>
      <c r="B32" s="247"/>
      <c r="C32" s="153" t="s">
        <v>399</v>
      </c>
      <c r="D32" s="154" t="s">
        <v>396</v>
      </c>
      <c r="E32" s="155" t="s">
        <v>152</v>
      </c>
      <c r="F32" s="166"/>
      <c r="G32" s="153" t="s">
        <v>399</v>
      </c>
      <c r="H32" s="154" t="s">
        <v>396</v>
      </c>
      <c r="I32" s="155" t="s">
        <v>152</v>
      </c>
      <c r="J32" s="166"/>
      <c r="K32" s="153" t="s">
        <v>399</v>
      </c>
      <c r="L32" s="154" t="s">
        <v>396</v>
      </c>
      <c r="M32" s="155" t="s">
        <v>152</v>
      </c>
      <c r="N32" s="166"/>
      <c r="O32" s="153" t="s">
        <v>399</v>
      </c>
      <c r="P32" s="154" t="s">
        <v>396</v>
      </c>
      <c r="Q32" s="155" t="s">
        <v>152</v>
      </c>
    </row>
    <row r="33" spans="1:17" ht="51.75" x14ac:dyDescent="0.25">
      <c r="A33" s="193"/>
      <c r="B33" s="300" t="s">
        <v>612</v>
      </c>
      <c r="C33" s="231"/>
      <c r="D33" s="232"/>
      <c r="E33" s="400">
        <f>'PRIME CPIF TOTAL MATERIAL'!E31</f>
        <v>0</v>
      </c>
      <c r="F33" s="165"/>
      <c r="G33" s="231"/>
      <c r="H33" s="232"/>
      <c r="I33" s="400">
        <f>'PRIME CPIF TOTAL MATERIAL'!G31</f>
        <v>0</v>
      </c>
      <c r="J33" s="165"/>
      <c r="K33" s="231"/>
      <c r="L33" s="232"/>
      <c r="M33" s="400">
        <f>'PRIME CPIF TOTAL MATERIAL'!I31</f>
        <v>0</v>
      </c>
      <c r="N33" s="165"/>
      <c r="O33" s="231"/>
      <c r="P33" s="232"/>
      <c r="Q33" s="400">
        <f>'PRIME CPIF TOTAL MATERIAL'!K31</f>
        <v>0</v>
      </c>
    </row>
    <row r="34" spans="1:17" ht="67.5" customHeight="1" x14ac:dyDescent="0.25">
      <c r="A34" s="193"/>
      <c r="B34" s="344" t="s">
        <v>389</v>
      </c>
      <c r="C34" s="405"/>
      <c r="D34" s="406"/>
      <c r="E34" s="400"/>
      <c r="F34" s="165"/>
      <c r="G34" s="405"/>
      <c r="H34" s="406"/>
      <c r="I34" s="400"/>
      <c r="J34" s="165"/>
      <c r="K34" s="405"/>
      <c r="L34" s="406"/>
      <c r="M34" s="400"/>
      <c r="N34" s="165"/>
      <c r="O34" s="405"/>
      <c r="P34" s="406"/>
      <c r="Q34" s="400"/>
    </row>
    <row r="35" spans="1:17" x14ac:dyDescent="0.25">
      <c r="A35" s="193"/>
      <c r="B35" s="167" t="str">
        <f>'PRIME CPIF RATES (ALL)'!B52</f>
        <v>Indirect Category: [Material Overhead]</v>
      </c>
      <c r="C35" s="215">
        <f>+E33</f>
        <v>0</v>
      </c>
      <c r="D35" s="243">
        <f>'PRIME CPIF RATES (ALL)'!C52</f>
        <v>0</v>
      </c>
      <c r="E35" s="168">
        <f>ROUND(C35*D35,2)</f>
        <v>0</v>
      </c>
      <c r="F35" s="178"/>
      <c r="G35" s="215">
        <f>+I33</f>
        <v>0</v>
      </c>
      <c r="H35" s="243">
        <f>'PRIME CPIF RATES (ALL)'!D52</f>
        <v>0</v>
      </c>
      <c r="I35" s="168">
        <f>ROUND(G35*H35,2)</f>
        <v>0</v>
      </c>
      <c r="J35" s="178"/>
      <c r="K35" s="215">
        <f>+M33</f>
        <v>0</v>
      </c>
      <c r="L35" s="243">
        <f>'PRIME CPIF RATES (ALL)'!E52</f>
        <v>0</v>
      </c>
      <c r="M35" s="168">
        <f>ROUND(K35*L35,2)</f>
        <v>0</v>
      </c>
      <c r="N35" s="178"/>
      <c r="O35" s="215">
        <f>+Q33</f>
        <v>0</v>
      </c>
      <c r="P35" s="243">
        <f>'PRIME CPIF RATES (ALL)'!F52</f>
        <v>0</v>
      </c>
      <c r="Q35" s="168">
        <f>ROUND(O35*P35,2)</f>
        <v>0</v>
      </c>
    </row>
    <row r="36" spans="1:17" x14ac:dyDescent="0.25">
      <c r="A36" s="193"/>
      <c r="B36" s="167" t="str">
        <f>'PRIME CPIF RATES (ALL)'!B53</f>
        <v>Indirect Category: [G&amp;A]</v>
      </c>
      <c r="C36" s="215">
        <f>+C35+E35</f>
        <v>0</v>
      </c>
      <c r="D36" s="243">
        <f>'PRIME CPIF RATES (ALL)'!C53</f>
        <v>0</v>
      </c>
      <c r="E36" s="168">
        <f>ROUND(C36*D36,2)</f>
        <v>0</v>
      </c>
      <c r="F36" s="178"/>
      <c r="G36" s="215">
        <f>+G35+I35</f>
        <v>0</v>
      </c>
      <c r="H36" s="243">
        <f>'PRIME CPIF RATES (ALL)'!D53</f>
        <v>0</v>
      </c>
      <c r="I36" s="168">
        <f>ROUND(G36*H36,2)</f>
        <v>0</v>
      </c>
      <c r="J36" s="178"/>
      <c r="K36" s="215">
        <f>+K35+M35</f>
        <v>0</v>
      </c>
      <c r="L36" s="243">
        <f>'PRIME CPIF RATES (ALL)'!E53</f>
        <v>0</v>
      </c>
      <c r="M36" s="168">
        <f>ROUND(K36*L36,2)</f>
        <v>0</v>
      </c>
      <c r="N36" s="178"/>
      <c r="O36" s="215">
        <f>+O35+Q35</f>
        <v>0</v>
      </c>
      <c r="P36" s="243">
        <f>'PRIME CPIF RATES (ALL)'!F53</f>
        <v>0</v>
      </c>
      <c r="Q36" s="168">
        <f>ROUND(O36*P36,2)</f>
        <v>0</v>
      </c>
    </row>
    <row r="37" spans="1:17" x14ac:dyDescent="0.25">
      <c r="A37" s="193"/>
      <c r="B37" s="167" t="str">
        <f>'PRIME CPIF RATES (ALL)'!B54</f>
        <v>Indirect Category: [FCCOM]</v>
      </c>
      <c r="C37" s="215">
        <f>C36+E36</f>
        <v>0</v>
      </c>
      <c r="D37" s="243">
        <f>'PRIME CPIF RATES (ALL)'!C54</f>
        <v>0</v>
      </c>
      <c r="E37" s="168">
        <f>ROUND(C37*D37,2)</f>
        <v>0</v>
      </c>
      <c r="F37" s="165"/>
      <c r="G37" s="215">
        <f>G36+I36</f>
        <v>0</v>
      </c>
      <c r="H37" s="243">
        <f>'PRIME CPIF RATES (ALL)'!D54</f>
        <v>0</v>
      </c>
      <c r="I37" s="168">
        <f>ROUND(G37*H37,2)</f>
        <v>0</v>
      </c>
      <c r="J37" s="165"/>
      <c r="K37" s="215">
        <f>K36+M36</f>
        <v>0</v>
      </c>
      <c r="L37" s="243">
        <f>'PRIME CPIF RATES (ALL)'!E54</f>
        <v>0</v>
      </c>
      <c r="M37" s="168">
        <f>ROUND(K37*L37,2)</f>
        <v>0</v>
      </c>
      <c r="N37" s="165"/>
      <c r="O37" s="215">
        <f>O36+Q36</f>
        <v>0</v>
      </c>
      <c r="P37" s="243">
        <f>'PRIME CPIF RATES (ALL)'!F54</f>
        <v>0</v>
      </c>
      <c r="Q37" s="168">
        <f>ROUND(O37*P37,2)</f>
        <v>0</v>
      </c>
    </row>
    <row r="38" spans="1:17" x14ac:dyDescent="0.25">
      <c r="A38" s="193"/>
      <c r="B38" s="167" t="str">
        <f>'PRIME CPIF RATES (ALL)'!B55</f>
        <v>Indirect Category: [Target Fee]</v>
      </c>
      <c r="C38" s="215">
        <f>+C36+E36</f>
        <v>0</v>
      </c>
      <c r="D38" s="243">
        <f>'PRIME CPIF RATES (ALL)'!C55</f>
        <v>0</v>
      </c>
      <c r="E38" s="168">
        <f>ROUND(C38*D38,2)</f>
        <v>0</v>
      </c>
      <c r="F38" s="165"/>
      <c r="G38" s="215">
        <f>+G36+I36</f>
        <v>0</v>
      </c>
      <c r="H38" s="243">
        <f>'PRIME CPIF RATES (ALL)'!D55</f>
        <v>0</v>
      </c>
      <c r="I38" s="168">
        <f>ROUND(G38*H38,2)</f>
        <v>0</v>
      </c>
      <c r="J38" s="165"/>
      <c r="K38" s="215">
        <f>+K36+M36</f>
        <v>0</v>
      </c>
      <c r="L38" s="243">
        <f>'PRIME CPIF RATES (ALL)'!E55</f>
        <v>0</v>
      </c>
      <c r="M38" s="168">
        <f>ROUND(K38*L38,2)</f>
        <v>0</v>
      </c>
      <c r="N38" s="165"/>
      <c r="O38" s="215">
        <f>+O36+Q36</f>
        <v>0</v>
      </c>
      <c r="P38" s="243">
        <f>'PRIME CPIF RATES (ALL)'!F55</f>
        <v>0</v>
      </c>
      <c r="Q38" s="168">
        <f>ROUND(O38*P38,2)</f>
        <v>0</v>
      </c>
    </row>
    <row r="39" spans="1:17" x14ac:dyDescent="0.25">
      <c r="A39" s="193"/>
      <c r="B39" s="241" t="s">
        <v>259</v>
      </c>
      <c r="C39" s="233"/>
      <c r="D39" s="234"/>
      <c r="E39" s="168">
        <f>+ROUND(SUM(E33:E36),2)</f>
        <v>0</v>
      </c>
      <c r="F39" s="165"/>
      <c r="G39" s="233"/>
      <c r="H39" s="234"/>
      <c r="I39" s="168">
        <f>+ROUND(SUM(I33:I36),2)</f>
        <v>0</v>
      </c>
      <c r="J39" s="165"/>
      <c r="K39" s="233"/>
      <c r="L39" s="234"/>
      <c r="M39" s="168">
        <f>+ROUND(SUM(M33:M36),2)</f>
        <v>0</v>
      </c>
      <c r="N39" s="165"/>
      <c r="O39" s="233"/>
      <c r="P39" s="234"/>
      <c r="Q39" s="168">
        <f>+ROUND(SUM(Q33:Q36),2)</f>
        <v>0</v>
      </c>
    </row>
    <row r="40" spans="1:17" x14ac:dyDescent="0.25">
      <c r="A40" s="193"/>
      <c r="B40" s="241" t="s">
        <v>128</v>
      </c>
      <c r="C40" s="231"/>
      <c r="D40" s="235"/>
      <c r="E40" s="168">
        <f>+ROUND(E37,2)</f>
        <v>0</v>
      </c>
      <c r="F40" s="165"/>
      <c r="G40" s="231"/>
      <c r="H40" s="235"/>
      <c r="I40" s="168">
        <f>+ROUND(I37,2)</f>
        <v>0</v>
      </c>
      <c r="J40" s="165"/>
      <c r="K40" s="231"/>
      <c r="L40" s="235"/>
      <c r="M40" s="168">
        <f>+ROUND(M37,2)</f>
        <v>0</v>
      </c>
      <c r="N40" s="165"/>
      <c r="O40" s="231"/>
      <c r="P40" s="235"/>
      <c r="Q40" s="168">
        <f>+ROUND(Q37,2)</f>
        <v>0</v>
      </c>
    </row>
    <row r="41" spans="1:17" x14ac:dyDescent="0.2">
      <c r="B41" s="241" t="s">
        <v>136</v>
      </c>
      <c r="C41" s="231"/>
      <c r="D41" s="235"/>
      <c r="E41" s="182">
        <f>+ROUND(E38,2)</f>
        <v>0</v>
      </c>
      <c r="F41" s="183"/>
      <c r="G41" s="231"/>
      <c r="H41" s="235"/>
      <c r="I41" s="182">
        <f>+ROUND(I38,2)</f>
        <v>0</v>
      </c>
      <c r="J41" s="183"/>
      <c r="K41" s="231"/>
      <c r="L41" s="235"/>
      <c r="M41" s="182">
        <f>+ROUND(M38,2)</f>
        <v>0</v>
      </c>
      <c r="N41" s="183"/>
      <c r="O41" s="231"/>
      <c r="P41" s="235"/>
      <c r="Q41" s="182">
        <f>+ROUND(Q38,2)</f>
        <v>0</v>
      </c>
    </row>
    <row r="42" spans="1:17" ht="16.5" thickBot="1" x14ac:dyDescent="0.25">
      <c r="B42" s="242" t="s">
        <v>243</v>
      </c>
      <c r="C42" s="236"/>
      <c r="D42" s="237"/>
      <c r="E42" s="160">
        <f>ROUND(SUM(E39:E41),2)</f>
        <v>0</v>
      </c>
      <c r="F42" s="161"/>
      <c r="G42" s="236"/>
      <c r="H42" s="237"/>
      <c r="I42" s="160">
        <f>ROUND(SUM(I39:I41),2)</f>
        <v>0</v>
      </c>
      <c r="J42" s="161"/>
      <c r="K42" s="236"/>
      <c r="L42" s="237"/>
      <c r="M42" s="160">
        <f>ROUND(SUM(M39:M41),2)</f>
        <v>0</v>
      </c>
      <c r="N42" s="161"/>
      <c r="O42" s="236"/>
      <c r="P42" s="237"/>
      <c r="Q42" s="160">
        <f>ROUND(SUM(Q39:Q41),2)</f>
        <v>0</v>
      </c>
    </row>
    <row r="43" spans="1:17" ht="16.5" thickBot="1" x14ac:dyDescent="0.25">
      <c r="B43" s="172"/>
      <c r="E43" s="251"/>
      <c r="F43" s="251"/>
      <c r="G43" s="251"/>
      <c r="H43" s="251"/>
      <c r="I43" s="251"/>
      <c r="J43" s="251"/>
      <c r="K43" s="251"/>
      <c r="N43" s="187"/>
      <c r="O43" s="251"/>
    </row>
    <row r="44" spans="1:17" ht="16.5" thickBot="1" x14ac:dyDescent="0.3">
      <c r="B44" s="620" t="str">
        <f>B13</f>
        <v>CLIN 0003 (CPIF)                                                    TASK 1.03 MATERIAL - ANTICIPATED REQUIRED GFE</v>
      </c>
      <c r="C44" s="594" t="s">
        <v>318</v>
      </c>
      <c r="D44" s="595"/>
      <c r="E44" s="596"/>
      <c r="F44" s="175"/>
      <c r="G44" s="594" t="s">
        <v>318</v>
      </c>
      <c r="H44" s="595"/>
      <c r="I44" s="596"/>
      <c r="J44" s="175"/>
      <c r="K44" s="594" t="s">
        <v>318</v>
      </c>
      <c r="L44" s="595"/>
      <c r="M44" s="596"/>
      <c r="N44" s="175"/>
      <c r="O44" s="594" t="s">
        <v>318</v>
      </c>
      <c r="P44" s="595"/>
      <c r="Q44" s="596"/>
    </row>
    <row r="45" spans="1:17" ht="27.75" customHeight="1" thickBot="1" x14ac:dyDescent="0.3">
      <c r="B45" s="621"/>
      <c r="C45" s="617" t="str">
        <f>C31</f>
        <v>CLIN 0003 - Basic Period (Year 1)</v>
      </c>
      <c r="D45" s="618"/>
      <c r="E45" s="619"/>
      <c r="F45" s="176"/>
      <c r="G45" s="617" t="str">
        <f>G31</f>
        <v>CLIN 0003 - Basic Period (Year 2)</v>
      </c>
      <c r="H45" s="618"/>
      <c r="I45" s="619"/>
      <c r="J45" s="176"/>
      <c r="K45" s="617" t="str">
        <f>K31</f>
        <v>CLIN 0003 - Basic Period (Year 3)</v>
      </c>
      <c r="L45" s="618"/>
      <c r="M45" s="619"/>
      <c r="N45" s="176"/>
      <c r="O45" s="617" t="str">
        <f>O31</f>
        <v>CLIN 0003 - Basic Period (Year 4)</v>
      </c>
      <c r="P45" s="618"/>
      <c r="Q45" s="619"/>
    </row>
    <row r="46" spans="1:17" x14ac:dyDescent="0.25">
      <c r="B46" s="248"/>
      <c r="C46" s="153" t="s">
        <v>399</v>
      </c>
      <c r="D46" s="154" t="s">
        <v>396</v>
      </c>
      <c r="E46" s="155" t="s">
        <v>397</v>
      </c>
      <c r="F46" s="166"/>
      <c r="G46" s="153" t="s">
        <v>399</v>
      </c>
      <c r="H46" s="154" t="s">
        <v>396</v>
      </c>
      <c r="I46" s="155" t="s">
        <v>397</v>
      </c>
      <c r="J46" s="166"/>
      <c r="K46" s="153" t="s">
        <v>399</v>
      </c>
      <c r="L46" s="154" t="s">
        <v>396</v>
      </c>
      <c r="M46" s="155" t="s">
        <v>397</v>
      </c>
      <c r="N46" s="166"/>
      <c r="O46" s="153" t="s">
        <v>399</v>
      </c>
      <c r="P46" s="154" t="s">
        <v>396</v>
      </c>
      <c r="Q46" s="155" t="s">
        <v>397</v>
      </c>
    </row>
    <row r="47" spans="1:17" ht="25.5" x14ac:dyDescent="0.2">
      <c r="B47" s="300" t="s">
        <v>560</v>
      </c>
      <c r="C47" s="285"/>
      <c r="D47" s="285"/>
      <c r="E47" s="345">
        <f>'PRIME CPIF TOTAL SUB'!E31</f>
        <v>0</v>
      </c>
      <c r="F47" s="288"/>
      <c r="G47" s="231"/>
      <c r="H47" s="285"/>
      <c r="I47" s="345">
        <f>'PRIME CPIF TOTAL SUB'!G31</f>
        <v>0</v>
      </c>
      <c r="J47" s="288"/>
      <c r="K47" s="231"/>
      <c r="L47" s="285"/>
      <c r="M47" s="345">
        <f>'PRIME CPIF TOTAL SUB'!I31</f>
        <v>0</v>
      </c>
      <c r="N47" s="165"/>
      <c r="O47" s="231"/>
      <c r="P47" s="285"/>
      <c r="Q47" s="345">
        <f>'PRIME CPIF TOTAL SUB'!K31</f>
        <v>0</v>
      </c>
    </row>
    <row r="48" spans="1:17" ht="76.5" x14ac:dyDescent="0.2">
      <c r="B48" s="344" t="s">
        <v>613</v>
      </c>
      <c r="C48" s="624" t="s">
        <v>5</v>
      </c>
      <c r="D48" s="625"/>
      <c r="E48" s="626"/>
      <c r="F48" s="178"/>
      <c r="G48" s="627"/>
      <c r="H48" s="625"/>
      <c r="I48" s="626"/>
      <c r="J48" s="178"/>
      <c r="K48" s="627"/>
      <c r="L48" s="625"/>
      <c r="M48" s="626"/>
      <c r="N48" s="178"/>
      <c r="O48" s="627"/>
      <c r="P48" s="625"/>
      <c r="Q48" s="626"/>
    </row>
    <row r="49" spans="1:17" x14ac:dyDescent="0.2">
      <c r="B49" s="287" t="str">
        <f>'PRIME CPIF RATES (ALL)'!B44</f>
        <v>Indirect Category: [Overhead]</v>
      </c>
      <c r="C49" s="286">
        <f>E47</f>
        <v>0</v>
      </c>
      <c r="D49" s="243">
        <f>'PRIME CPIF RATES (ALL)'!C44</f>
        <v>0</v>
      </c>
      <c r="E49" s="168">
        <f>ROUND(C49*D49,2)</f>
        <v>0</v>
      </c>
      <c r="F49" s="178"/>
      <c r="G49" s="215">
        <f>I47</f>
        <v>0</v>
      </c>
      <c r="H49" s="243">
        <f>'PRIME CPIF RATES (ALL)'!D44</f>
        <v>0</v>
      </c>
      <c r="I49" s="168">
        <f>ROUND(G49*H49,2)</f>
        <v>0</v>
      </c>
      <c r="J49" s="178"/>
      <c r="K49" s="215">
        <f>M47</f>
        <v>0</v>
      </c>
      <c r="L49" s="243">
        <f>'PRIME CPIF RATES (ALL)'!E44</f>
        <v>0</v>
      </c>
      <c r="M49" s="168">
        <f>ROUND(K49*L49,2)</f>
        <v>0</v>
      </c>
      <c r="N49" s="178"/>
      <c r="O49" s="215">
        <f>Q47</f>
        <v>0</v>
      </c>
      <c r="P49" s="243">
        <f>'PRIME CPIF RATES (ALL)'!F44</f>
        <v>0</v>
      </c>
      <c r="Q49" s="168">
        <f>ROUND(O49*P49,2)</f>
        <v>0</v>
      </c>
    </row>
    <row r="50" spans="1:17" x14ac:dyDescent="0.2">
      <c r="B50" s="287" t="str">
        <f>'PRIME CPIF RATES (ALL)'!B45</f>
        <v>Indirect Category: [G&amp;A]</v>
      </c>
      <c r="C50" s="286">
        <f>C49+E49</f>
        <v>0</v>
      </c>
      <c r="D50" s="243">
        <f>'PRIME CPIF RATES (ALL)'!C45</f>
        <v>0</v>
      </c>
      <c r="E50" s="168">
        <f>ROUND(C50*D50,2)</f>
        <v>0</v>
      </c>
      <c r="F50" s="288"/>
      <c r="G50" s="286">
        <f>G49+I49</f>
        <v>0</v>
      </c>
      <c r="H50" s="243">
        <f>'PRIME CPIF RATES (ALL)'!D45</f>
        <v>0</v>
      </c>
      <c r="I50" s="168">
        <f>ROUND(G50*H50,2)</f>
        <v>0</v>
      </c>
      <c r="J50" s="288"/>
      <c r="K50" s="286">
        <f>K49+M49</f>
        <v>0</v>
      </c>
      <c r="L50" s="243">
        <f>'PRIME CPIF RATES (ALL)'!E45</f>
        <v>0</v>
      </c>
      <c r="M50" s="168">
        <f>ROUND(K50*L50,2)</f>
        <v>0</v>
      </c>
      <c r="N50" s="165"/>
      <c r="O50" s="286">
        <f>O49+Q49</f>
        <v>0</v>
      </c>
      <c r="P50" s="243">
        <f>'PRIME CPIF RATES (ALL)'!F45</f>
        <v>0</v>
      </c>
      <c r="Q50" s="168">
        <f>ROUND(O50*P50,2)</f>
        <v>0</v>
      </c>
    </row>
    <row r="51" spans="1:17" x14ac:dyDescent="0.2">
      <c r="B51" s="351" t="str">
        <f>'PRIME CPIF RATES (ALL)'!B46</f>
        <v>Indirect Category: [FCCOM]</v>
      </c>
      <c r="C51" s="215">
        <f>C50+E50</f>
        <v>0</v>
      </c>
      <c r="D51" s="243">
        <f>'PRIME CPIF RATES (ALL)'!C46</f>
        <v>0</v>
      </c>
      <c r="E51" s="353">
        <f>ROUND(C51*D51,2)</f>
        <v>0</v>
      </c>
      <c r="F51" s="288"/>
      <c r="G51" s="215">
        <f>G50+I50</f>
        <v>0</v>
      </c>
      <c r="H51" s="243">
        <f>'PRIME CPIF RATES (ALL)'!D46</f>
        <v>0</v>
      </c>
      <c r="I51" s="353">
        <f>ROUND(G51*H51,2)</f>
        <v>0</v>
      </c>
      <c r="J51" s="288"/>
      <c r="K51" s="215">
        <f>K50+M50</f>
        <v>0</v>
      </c>
      <c r="L51" s="243">
        <f>'PRIME CPIF RATES (ALL)'!E46</f>
        <v>0</v>
      </c>
      <c r="M51" s="353">
        <f>ROUND(K51*L51,2)</f>
        <v>0</v>
      </c>
      <c r="N51" s="165"/>
      <c r="O51" s="215">
        <f>O50+Q50</f>
        <v>0</v>
      </c>
      <c r="P51" s="243">
        <f>'PRIME CPIF RATES (ALL)'!F46</f>
        <v>0</v>
      </c>
      <c r="Q51" s="353">
        <f>ROUND(O51*P51,2)</f>
        <v>0</v>
      </c>
    </row>
    <row r="52" spans="1:17" x14ac:dyDescent="0.2">
      <c r="B52" s="167" t="str">
        <f>'PRIME CPIF RATES (ALL)'!B47</f>
        <v>Indirect Category: [Target Fee]</v>
      </c>
      <c r="C52" s="214">
        <f>C50+E50</f>
        <v>0</v>
      </c>
      <c r="D52" s="354">
        <f>'PRIME CPIF RATES (ALL)'!C47</f>
        <v>0</v>
      </c>
      <c r="E52" s="353">
        <f>ROUND(C52*D52,2)</f>
        <v>0</v>
      </c>
      <c r="F52" s="288"/>
      <c r="G52" s="214">
        <f>G50+I50</f>
        <v>0</v>
      </c>
      <c r="H52" s="354">
        <f>'PRIME CPIF RATES (ALL)'!D47</f>
        <v>0</v>
      </c>
      <c r="I52" s="353">
        <f>ROUND(G52*H52,2)</f>
        <v>0</v>
      </c>
      <c r="J52" s="288"/>
      <c r="K52" s="214">
        <f>K50+M50</f>
        <v>0</v>
      </c>
      <c r="L52" s="354">
        <f>'PRIME CPIF RATES (ALL)'!E47</f>
        <v>0</v>
      </c>
      <c r="M52" s="353">
        <f>ROUND(K52*L52,2)</f>
        <v>0</v>
      </c>
      <c r="N52" s="165"/>
      <c r="O52" s="214">
        <f>O50+Q50</f>
        <v>0</v>
      </c>
      <c r="P52" s="354">
        <f>'PRIME CPIF RATES (ALL)'!F47</f>
        <v>0</v>
      </c>
      <c r="Q52" s="353">
        <f>ROUND(O52*P52,2)</f>
        <v>0</v>
      </c>
    </row>
    <row r="53" spans="1:17" x14ac:dyDescent="0.2">
      <c r="B53" s="241" t="s">
        <v>320</v>
      </c>
      <c r="C53" s="233"/>
      <c r="D53" s="234"/>
      <c r="E53" s="168">
        <f>ROUND(E47+E49+E50,2)</f>
        <v>0</v>
      </c>
      <c r="F53" s="288"/>
      <c r="G53" s="233"/>
      <c r="H53" s="234"/>
      <c r="I53" s="168">
        <f>ROUND(I47+I49+I50,2)</f>
        <v>0</v>
      </c>
      <c r="J53" s="288"/>
      <c r="K53" s="233"/>
      <c r="L53" s="234"/>
      <c r="M53" s="168">
        <f>ROUND(M47+M49+M50,2)</f>
        <v>0</v>
      </c>
      <c r="N53" s="165"/>
      <c r="O53" s="233"/>
      <c r="P53" s="234"/>
      <c r="Q53" s="168">
        <f>ROUND(Q47+Q49+Q50,2)</f>
        <v>0</v>
      </c>
    </row>
    <row r="54" spans="1:17" x14ac:dyDescent="0.2">
      <c r="B54" s="241" t="s">
        <v>298</v>
      </c>
      <c r="C54" s="231"/>
      <c r="D54" s="235"/>
      <c r="E54" s="168">
        <f>ROUND(E51,2)</f>
        <v>0</v>
      </c>
      <c r="F54" s="288"/>
      <c r="G54" s="231"/>
      <c r="H54" s="235"/>
      <c r="I54" s="168">
        <f>ROUND(I51,2)</f>
        <v>0</v>
      </c>
      <c r="J54" s="288"/>
      <c r="K54" s="231"/>
      <c r="L54" s="235"/>
      <c r="M54" s="168">
        <f>ROUND(M51,2)</f>
        <v>0</v>
      </c>
      <c r="N54" s="165"/>
      <c r="O54" s="231"/>
      <c r="P54" s="235"/>
      <c r="Q54" s="168">
        <f>ROUND(Q51,2)</f>
        <v>0</v>
      </c>
    </row>
    <row r="55" spans="1:17" x14ac:dyDescent="0.2">
      <c r="B55" s="241" t="s">
        <v>136</v>
      </c>
      <c r="C55" s="231"/>
      <c r="D55" s="235"/>
      <c r="E55" s="182">
        <f>ROUND(E52,2)</f>
        <v>0</v>
      </c>
      <c r="F55" s="183"/>
      <c r="G55" s="231"/>
      <c r="H55" s="235"/>
      <c r="I55" s="182">
        <f>ROUND(I52,2)</f>
        <v>0</v>
      </c>
      <c r="J55" s="183"/>
      <c r="K55" s="231"/>
      <c r="L55" s="235"/>
      <c r="M55" s="182">
        <f>ROUND(M52,2)</f>
        <v>0</v>
      </c>
      <c r="N55" s="183"/>
      <c r="O55" s="231"/>
      <c r="P55" s="235"/>
      <c r="Q55" s="182">
        <f>ROUND(Q52,2)</f>
        <v>0</v>
      </c>
    </row>
    <row r="56" spans="1:17" ht="16.5" thickBot="1" x14ac:dyDescent="0.25">
      <c r="B56" s="242" t="s">
        <v>321</v>
      </c>
      <c r="C56" s="236"/>
      <c r="D56" s="237"/>
      <c r="E56" s="160">
        <f>ROUND(SUM(E53:E55),2)</f>
        <v>0</v>
      </c>
      <c r="F56" s="161"/>
      <c r="G56" s="236"/>
      <c r="H56" s="237"/>
      <c r="I56" s="160">
        <f>ROUND(SUM(I53:I55),2)</f>
        <v>0</v>
      </c>
      <c r="J56" s="161"/>
      <c r="K56" s="236"/>
      <c r="L56" s="237"/>
      <c r="M56" s="160">
        <f>ROUND(SUM(M53:M55),2)</f>
        <v>0</v>
      </c>
      <c r="N56" s="161"/>
      <c r="O56" s="236"/>
      <c r="P56" s="237"/>
      <c r="Q56" s="160">
        <f>ROUND(SUM(Q53:Q55),2)</f>
        <v>0</v>
      </c>
    </row>
    <row r="57" spans="1:17" ht="16.5" thickBot="1" x14ac:dyDescent="0.25">
      <c r="B57" s="172"/>
      <c r="E57" s="251"/>
      <c r="F57" s="251"/>
      <c r="G57" s="251"/>
      <c r="H57" s="251"/>
      <c r="I57" s="251"/>
      <c r="J57" s="251"/>
      <c r="K57" s="251"/>
      <c r="N57" s="187"/>
      <c r="O57" s="251"/>
    </row>
    <row r="58" spans="1:17" ht="16.5" customHeight="1" thickBot="1" x14ac:dyDescent="0.3">
      <c r="A58" s="193"/>
      <c r="B58" s="635" t="str">
        <f>B30</f>
        <v>CLIN 0003 (CPIF)                                                    TASK 1.03 MATERIAL - ANTICIPATED REQUIRED GFE</v>
      </c>
      <c r="C58" s="594" t="s">
        <v>146</v>
      </c>
      <c r="D58" s="595"/>
      <c r="E58" s="596"/>
      <c r="F58" s="175"/>
      <c r="G58" s="594" t="s">
        <v>147</v>
      </c>
      <c r="H58" s="595"/>
      <c r="I58" s="596"/>
      <c r="J58" s="175"/>
      <c r="K58" s="594" t="s">
        <v>147</v>
      </c>
      <c r="L58" s="595"/>
      <c r="M58" s="596"/>
      <c r="N58" s="175"/>
      <c r="O58" s="594" t="s">
        <v>147</v>
      </c>
      <c r="P58" s="595"/>
      <c r="Q58" s="596"/>
    </row>
    <row r="59" spans="1:17" ht="33.75" customHeight="1" thickBot="1" x14ac:dyDescent="0.3">
      <c r="A59" s="193"/>
      <c r="B59" s="636"/>
      <c r="C59" s="591" t="str">
        <f>C31</f>
        <v>CLIN 0003 - Basic Period (Year 1)</v>
      </c>
      <c r="D59" s="592"/>
      <c r="E59" s="593"/>
      <c r="F59" s="176"/>
      <c r="G59" s="591" t="str">
        <f>G31</f>
        <v>CLIN 0003 - Basic Period (Year 2)</v>
      </c>
      <c r="H59" s="592"/>
      <c r="I59" s="593"/>
      <c r="J59" s="176"/>
      <c r="K59" s="591" t="str">
        <f>K31</f>
        <v>CLIN 0003 - Basic Period (Year 3)</v>
      </c>
      <c r="L59" s="592"/>
      <c r="M59" s="593"/>
      <c r="N59" s="176"/>
      <c r="O59" s="591" t="str">
        <f>O31</f>
        <v>CLIN 0003 - Basic Period (Year 4)</v>
      </c>
      <c r="P59" s="592"/>
      <c r="Q59" s="593"/>
    </row>
    <row r="60" spans="1:17" x14ac:dyDescent="0.25">
      <c r="A60" s="193"/>
      <c r="B60" s="248"/>
      <c r="C60" s="153" t="s">
        <v>399</v>
      </c>
      <c r="D60" s="154" t="s">
        <v>396</v>
      </c>
      <c r="E60" s="155" t="s">
        <v>153</v>
      </c>
      <c r="F60" s="166"/>
      <c r="G60" s="153" t="s">
        <v>399</v>
      </c>
      <c r="H60" s="154" t="s">
        <v>396</v>
      </c>
      <c r="I60" s="155" t="s">
        <v>153</v>
      </c>
      <c r="J60" s="166"/>
      <c r="K60" s="153" t="s">
        <v>399</v>
      </c>
      <c r="L60" s="154" t="s">
        <v>396</v>
      </c>
      <c r="M60" s="155" t="s">
        <v>153</v>
      </c>
      <c r="N60" s="166"/>
      <c r="O60" s="153" t="s">
        <v>399</v>
      </c>
      <c r="P60" s="154" t="s">
        <v>396</v>
      </c>
      <c r="Q60" s="155" t="s">
        <v>153</v>
      </c>
    </row>
    <row r="61" spans="1:17" ht="26.25" x14ac:dyDescent="0.25">
      <c r="A61" s="193"/>
      <c r="B61" s="300" t="s">
        <v>561</v>
      </c>
      <c r="C61" s="231"/>
      <c r="D61" s="232"/>
      <c r="E61" s="345">
        <f>'PRIME CPIF TOTAL ODC'!E31</f>
        <v>0</v>
      </c>
      <c r="F61" s="165"/>
      <c r="G61" s="231"/>
      <c r="H61" s="232"/>
      <c r="I61" s="345">
        <f>'PRIME CPIF TOTAL ODC'!G31</f>
        <v>0</v>
      </c>
      <c r="J61" s="165"/>
      <c r="K61" s="231"/>
      <c r="L61" s="232"/>
      <c r="M61" s="400">
        <f>'PRIME CPIF TOTAL ODC'!I31</f>
        <v>0</v>
      </c>
      <c r="N61" s="165"/>
      <c r="O61" s="231"/>
      <c r="P61" s="232"/>
      <c r="Q61" s="400">
        <f>'PRIME CPIF TOTAL ODC'!K31</f>
        <v>0</v>
      </c>
    </row>
    <row r="62" spans="1:17" ht="66" customHeight="1" x14ac:dyDescent="0.25">
      <c r="A62" s="193"/>
      <c r="B62" s="490" t="s">
        <v>614</v>
      </c>
      <c r="C62" s="404"/>
      <c r="D62" s="404"/>
      <c r="E62" s="403"/>
      <c r="F62" s="288"/>
      <c r="G62" s="405"/>
      <c r="H62" s="404"/>
      <c r="I62" s="403"/>
      <c r="J62" s="288"/>
      <c r="K62" s="405"/>
      <c r="L62" s="404"/>
      <c r="M62" s="400"/>
      <c r="N62" s="165"/>
      <c r="O62" s="405"/>
      <c r="P62" s="404"/>
      <c r="Q62" s="400"/>
    </row>
    <row r="63" spans="1:17" x14ac:dyDescent="0.25">
      <c r="A63" s="193"/>
      <c r="B63" s="167" t="s">
        <v>125</v>
      </c>
      <c r="C63" s="215">
        <f>+E61</f>
        <v>0</v>
      </c>
      <c r="D63" s="243">
        <f>'PRIME CPIF RATES (ALL)'!C60</f>
        <v>0</v>
      </c>
      <c r="E63" s="168">
        <f>ROUND(C63*D63,2)</f>
        <v>0</v>
      </c>
      <c r="F63" s="178"/>
      <c r="G63" s="215">
        <f>+I61</f>
        <v>0</v>
      </c>
      <c r="H63" s="243">
        <f>'PRIME CPIF RATES (ALL)'!D60</f>
        <v>0</v>
      </c>
      <c r="I63" s="168">
        <f>ROUND(G63*H63,2)</f>
        <v>0</v>
      </c>
      <c r="J63" s="178"/>
      <c r="K63" s="215">
        <f>+M61</f>
        <v>0</v>
      </c>
      <c r="L63" s="243">
        <f>'PRIME CPIF RATES (ALL)'!E60</f>
        <v>0</v>
      </c>
      <c r="M63" s="168">
        <f>ROUND(K63*L63,2)</f>
        <v>0</v>
      </c>
      <c r="N63" s="178"/>
      <c r="O63" s="215">
        <f>+Q61</f>
        <v>0</v>
      </c>
      <c r="P63" s="243">
        <f>'PRIME CPIF RATES (ALL)'!F60</f>
        <v>0</v>
      </c>
      <c r="Q63" s="168">
        <f>ROUND(O63*P63,2)</f>
        <v>0</v>
      </c>
    </row>
    <row r="64" spans="1:17" x14ac:dyDescent="0.25">
      <c r="A64" s="193"/>
      <c r="B64" s="167" t="s">
        <v>126</v>
      </c>
      <c r="C64" s="215">
        <f>+C63+E63</f>
        <v>0</v>
      </c>
      <c r="D64" s="243">
        <f>'PRIME CPIF RATES (ALL)'!C61</f>
        <v>0</v>
      </c>
      <c r="E64" s="168">
        <f>ROUND(C64*D64,2)</f>
        <v>0</v>
      </c>
      <c r="F64" s="178"/>
      <c r="G64" s="215">
        <f>+G63+I63</f>
        <v>0</v>
      </c>
      <c r="H64" s="243">
        <f>'PRIME CPIF RATES (ALL)'!D61</f>
        <v>0</v>
      </c>
      <c r="I64" s="168">
        <f>ROUND(G64*H64,2)</f>
        <v>0</v>
      </c>
      <c r="J64" s="178"/>
      <c r="K64" s="215">
        <f>+K63+M63</f>
        <v>0</v>
      </c>
      <c r="L64" s="243">
        <f>'PRIME CPIF RATES (ALL)'!E61</f>
        <v>0</v>
      </c>
      <c r="M64" s="168">
        <f>ROUND(K64*L64,2)</f>
        <v>0</v>
      </c>
      <c r="N64" s="178"/>
      <c r="O64" s="215">
        <f>+O63+Q63</f>
        <v>0</v>
      </c>
      <c r="P64" s="243">
        <f>'PRIME CPIF RATES (ALL)'!F61</f>
        <v>0</v>
      </c>
      <c r="Q64" s="168">
        <f>ROUND(O64*P64,2)</f>
        <v>0</v>
      </c>
    </row>
    <row r="65" spans="1:17" x14ac:dyDescent="0.25">
      <c r="A65" s="193"/>
      <c r="B65" s="167" t="s">
        <v>566</v>
      </c>
      <c r="C65" s="215">
        <f>C64+E64</f>
        <v>0</v>
      </c>
      <c r="D65" s="243">
        <f>'PRIME CPIF RATES (ALL)'!C62</f>
        <v>0</v>
      </c>
      <c r="E65" s="168">
        <f>ROUND(C65*D65,2)</f>
        <v>0</v>
      </c>
      <c r="F65" s="165"/>
      <c r="G65" s="215">
        <f>G64+I64</f>
        <v>0</v>
      </c>
      <c r="H65" s="243">
        <f>'PRIME CPIF RATES (ALL)'!D62</f>
        <v>0</v>
      </c>
      <c r="I65" s="168">
        <f>ROUND(G65*H65,2)</f>
        <v>0</v>
      </c>
      <c r="J65" s="165"/>
      <c r="K65" s="215">
        <f>K64+M64</f>
        <v>0</v>
      </c>
      <c r="L65" s="243">
        <f>'PRIME CPIF RATES (ALL)'!E62</f>
        <v>0</v>
      </c>
      <c r="M65" s="168">
        <f>ROUND(K65*L65,2)</f>
        <v>0</v>
      </c>
      <c r="N65" s="165"/>
      <c r="O65" s="215">
        <f>O64+Q64</f>
        <v>0</v>
      </c>
      <c r="P65" s="243">
        <f>'PRIME CPIF RATES (ALL)'!F62</f>
        <v>0</v>
      </c>
      <c r="Q65" s="168">
        <f>ROUND(O65*P65,2)</f>
        <v>0</v>
      </c>
    </row>
    <row r="66" spans="1:17" x14ac:dyDescent="0.25">
      <c r="A66" s="193"/>
      <c r="B66" s="167" t="s">
        <v>127</v>
      </c>
      <c r="C66" s="215">
        <f>+C64+E64</f>
        <v>0</v>
      </c>
      <c r="D66" s="354">
        <f>'PRIME CPIF RATES (ALL)'!C63</f>
        <v>0</v>
      </c>
      <c r="E66" s="168">
        <f>ROUND(C66*D66,2)</f>
        <v>0</v>
      </c>
      <c r="F66" s="165"/>
      <c r="G66" s="215">
        <f>+G64+I64</f>
        <v>0</v>
      </c>
      <c r="H66" s="354">
        <f>'PRIME CPIF RATES (ALL)'!D63</f>
        <v>0</v>
      </c>
      <c r="I66" s="168">
        <f>ROUND(G66*H66,2)</f>
        <v>0</v>
      </c>
      <c r="J66" s="165"/>
      <c r="K66" s="215">
        <f>+K64+M64</f>
        <v>0</v>
      </c>
      <c r="L66" s="354">
        <f>'PRIME CPIF RATES (ALL)'!E63</f>
        <v>0</v>
      </c>
      <c r="M66" s="168">
        <f>ROUND(K66*L66,2)</f>
        <v>0</v>
      </c>
      <c r="N66" s="165"/>
      <c r="O66" s="215">
        <f>+O64+Q64</f>
        <v>0</v>
      </c>
      <c r="P66" s="354">
        <f>'PRIME CPIF RATES (ALL)'!F63</f>
        <v>0</v>
      </c>
      <c r="Q66" s="168">
        <f>ROUND(O66*P66,2)</f>
        <v>0</v>
      </c>
    </row>
    <row r="67" spans="1:17" x14ac:dyDescent="0.25">
      <c r="A67" s="193"/>
      <c r="B67" s="241" t="s">
        <v>260</v>
      </c>
      <c r="C67" s="233"/>
      <c r="D67" s="234"/>
      <c r="E67" s="168">
        <f>+ROUND(SUM(E61:E64),2)</f>
        <v>0</v>
      </c>
      <c r="F67" s="165"/>
      <c r="G67" s="233"/>
      <c r="H67" s="234"/>
      <c r="I67" s="168">
        <f>+ROUND(SUM(I61:I64),2)</f>
        <v>0</v>
      </c>
      <c r="J67" s="165"/>
      <c r="K67" s="233"/>
      <c r="L67" s="234"/>
      <c r="M67" s="168">
        <f>+ROUND(SUM(M61:M64),2)</f>
        <v>0</v>
      </c>
      <c r="N67" s="165"/>
      <c r="O67" s="233"/>
      <c r="P67" s="234"/>
      <c r="Q67" s="168">
        <f>+ROUND(SUM(Q61:Q64),2)</f>
        <v>0</v>
      </c>
    </row>
    <row r="68" spans="1:17" x14ac:dyDescent="0.25">
      <c r="A68" s="193"/>
      <c r="B68" s="241" t="s">
        <v>128</v>
      </c>
      <c r="C68" s="231"/>
      <c r="D68" s="235"/>
      <c r="E68" s="168">
        <f>+ROUND(E65,2)</f>
        <v>0</v>
      </c>
      <c r="F68" s="165"/>
      <c r="G68" s="231"/>
      <c r="H68" s="235"/>
      <c r="I68" s="168">
        <f>+ROUND(I65,2)</f>
        <v>0</v>
      </c>
      <c r="J68" s="165"/>
      <c r="K68" s="231"/>
      <c r="L68" s="235"/>
      <c r="M68" s="168">
        <f>+ROUND(M65,2)</f>
        <v>0</v>
      </c>
      <c r="N68" s="165"/>
      <c r="O68" s="231"/>
      <c r="P68" s="235"/>
      <c r="Q68" s="168">
        <f>+ROUND(Q65,2)</f>
        <v>0</v>
      </c>
    </row>
    <row r="69" spans="1:17" x14ac:dyDescent="0.2">
      <c r="A69" s="186"/>
      <c r="B69" s="241" t="s">
        <v>136</v>
      </c>
      <c r="C69" s="231"/>
      <c r="D69" s="235"/>
      <c r="E69" s="182">
        <f>+ROUND(E66,2)</f>
        <v>0</v>
      </c>
      <c r="F69" s="183"/>
      <c r="G69" s="231"/>
      <c r="H69" s="235"/>
      <c r="I69" s="182">
        <f>+ROUND(I66,2)</f>
        <v>0</v>
      </c>
      <c r="J69" s="183"/>
      <c r="K69" s="231"/>
      <c r="L69" s="235"/>
      <c r="M69" s="182">
        <f>+ROUND(M66,2)</f>
        <v>0</v>
      </c>
      <c r="N69" s="183"/>
      <c r="O69" s="231"/>
      <c r="P69" s="235"/>
      <c r="Q69" s="182">
        <f>+ROUND(Q66,2)</f>
        <v>0</v>
      </c>
    </row>
    <row r="70" spans="1:17" ht="16.5" thickBot="1" x14ac:dyDescent="0.25">
      <c r="A70" s="186"/>
      <c r="B70" s="242" t="s">
        <v>244</v>
      </c>
      <c r="C70" s="236"/>
      <c r="D70" s="237"/>
      <c r="E70" s="160">
        <f>ROUND(SUM(E67:E69),2)</f>
        <v>0</v>
      </c>
      <c r="F70" s="161"/>
      <c r="G70" s="236"/>
      <c r="H70" s="237"/>
      <c r="I70" s="160">
        <f>ROUND(SUM(I67:I69),2)</f>
        <v>0</v>
      </c>
      <c r="J70" s="161"/>
      <c r="K70" s="236"/>
      <c r="L70" s="237"/>
      <c r="M70" s="160">
        <f>ROUND(SUM(M67:M69),2)</f>
        <v>0</v>
      </c>
      <c r="N70" s="161"/>
      <c r="O70" s="236"/>
      <c r="P70" s="237"/>
      <c r="Q70" s="160">
        <f>ROUND(SUM(Q67:Q69),2)</f>
        <v>0</v>
      </c>
    </row>
    <row r="71" spans="1:17" ht="16.5" thickBot="1" x14ac:dyDescent="0.25">
      <c r="A71" s="186"/>
      <c r="B71" s="172"/>
      <c r="E71" s="251"/>
      <c r="F71" s="251"/>
      <c r="G71" s="251"/>
      <c r="H71" s="251"/>
      <c r="I71" s="251"/>
      <c r="J71" s="251"/>
      <c r="K71" s="251"/>
      <c r="N71" s="187"/>
      <c r="O71" s="251"/>
    </row>
    <row r="72" spans="1:17" ht="16.5" thickBot="1" x14ac:dyDescent="0.3">
      <c r="A72" s="186"/>
      <c r="B72" s="628" t="str">
        <f>B58</f>
        <v>CLIN 0003 (CPIF)                                                    TASK 1.03 MATERIAL - ANTICIPATED REQUIRED GFE</v>
      </c>
      <c r="C72" s="614" t="s">
        <v>319</v>
      </c>
      <c r="D72" s="615"/>
      <c r="E72" s="616"/>
      <c r="F72" s="175"/>
      <c r="G72" s="614" t="s">
        <v>319</v>
      </c>
      <c r="H72" s="615"/>
      <c r="I72" s="616"/>
      <c r="J72" s="175"/>
      <c r="K72" s="614" t="s">
        <v>319</v>
      </c>
      <c r="L72" s="615"/>
      <c r="M72" s="616"/>
      <c r="N72" s="175"/>
      <c r="O72" s="614" t="s">
        <v>319</v>
      </c>
      <c r="P72" s="615"/>
      <c r="Q72" s="616"/>
    </row>
    <row r="73" spans="1:17" ht="33.75" customHeight="1" thickBot="1" x14ac:dyDescent="0.3">
      <c r="A73" s="186"/>
      <c r="B73" s="629"/>
      <c r="C73" s="280"/>
      <c r="D73" s="281"/>
      <c r="E73" s="188" t="s">
        <v>371</v>
      </c>
      <c r="F73" s="189"/>
      <c r="G73" s="280"/>
      <c r="H73" s="281"/>
      <c r="I73" s="188" t="s">
        <v>372</v>
      </c>
      <c r="J73" s="189"/>
      <c r="K73" s="280"/>
      <c r="L73" s="281"/>
      <c r="M73" s="188" t="s">
        <v>373</v>
      </c>
      <c r="N73" s="189"/>
      <c r="O73" s="280"/>
      <c r="P73" s="281"/>
      <c r="Q73" s="188" t="s">
        <v>374</v>
      </c>
    </row>
    <row r="74" spans="1:17" x14ac:dyDescent="0.2">
      <c r="A74" s="186"/>
      <c r="B74" s="167" t="s">
        <v>261</v>
      </c>
      <c r="C74" s="282"/>
      <c r="D74" s="282"/>
      <c r="E74" s="190">
        <f>+ROUND(E25+E39+E53+E67,2)</f>
        <v>0</v>
      </c>
      <c r="F74" s="165"/>
      <c r="G74" s="282"/>
      <c r="H74" s="282"/>
      <c r="I74" s="190">
        <f>+ROUND(I25+I39+I53+I67,2)</f>
        <v>0</v>
      </c>
      <c r="J74" s="165"/>
      <c r="K74" s="282"/>
      <c r="L74" s="282"/>
      <c r="M74" s="190">
        <f>+ROUND(M25+M39+M53+M67,2)</f>
        <v>0</v>
      </c>
      <c r="N74" s="165"/>
      <c r="O74" s="282"/>
      <c r="P74" s="282"/>
      <c r="Q74" s="190">
        <f>+ROUND(Q25+Q39+Q53+Q67,2)</f>
        <v>0</v>
      </c>
    </row>
    <row r="75" spans="1:17" x14ac:dyDescent="0.2">
      <c r="A75" s="186"/>
      <c r="B75" s="167" t="s">
        <v>137</v>
      </c>
      <c r="C75" s="282"/>
      <c r="D75" s="282"/>
      <c r="E75" s="168">
        <f>+ROUND(E26+E40+E54+E68,2)</f>
        <v>0</v>
      </c>
      <c r="F75" s="165"/>
      <c r="G75" s="282"/>
      <c r="H75" s="282"/>
      <c r="I75" s="168">
        <f>+ROUND(I26+I40+I54+I68,2)</f>
        <v>0</v>
      </c>
      <c r="J75" s="165"/>
      <c r="K75" s="282"/>
      <c r="L75" s="282"/>
      <c r="M75" s="168">
        <f>+ROUND(M26+M40+M54+M68,2)</f>
        <v>0</v>
      </c>
      <c r="N75" s="165"/>
      <c r="O75" s="282"/>
      <c r="P75" s="282"/>
      <c r="Q75" s="168">
        <f>+ROUND(Q26+Q40+Q54+Q68,2)</f>
        <v>0</v>
      </c>
    </row>
    <row r="76" spans="1:17" x14ac:dyDescent="0.2">
      <c r="A76" s="186"/>
      <c r="B76" s="167" t="s">
        <v>136</v>
      </c>
      <c r="C76" s="282"/>
      <c r="D76" s="282"/>
      <c r="E76" s="169">
        <f>+ROUND(E27+E41+E55+E69,2)</f>
        <v>0</v>
      </c>
      <c r="F76" s="170"/>
      <c r="G76" s="282"/>
      <c r="H76" s="282"/>
      <c r="I76" s="169">
        <f>+ROUND(I27+I41+I55+I69,2)</f>
        <v>0</v>
      </c>
      <c r="J76" s="170"/>
      <c r="K76" s="282"/>
      <c r="L76" s="282"/>
      <c r="M76" s="169">
        <f>+ROUND(M27+M41+M55+M69,2)</f>
        <v>0</v>
      </c>
      <c r="N76" s="170"/>
      <c r="O76" s="282"/>
      <c r="P76" s="282"/>
      <c r="Q76" s="169">
        <f>+ROUND(Q27+Q41+Q55+Q69,2)</f>
        <v>0</v>
      </c>
    </row>
    <row r="77" spans="1:17" ht="32.25" thickBot="1" x14ac:dyDescent="0.3">
      <c r="A77" s="186"/>
      <c r="B77" s="265" t="s">
        <v>540</v>
      </c>
      <c r="C77" s="283"/>
      <c r="D77" s="283"/>
      <c r="E77" s="266">
        <f>SUM(E74:E76)</f>
        <v>0</v>
      </c>
      <c r="F77" s="171"/>
      <c r="G77" s="283"/>
      <c r="H77" s="283"/>
      <c r="I77" s="266">
        <f>SUM(I74:I76)</f>
        <v>0</v>
      </c>
      <c r="J77" s="171"/>
      <c r="K77" s="283"/>
      <c r="L77" s="283"/>
      <c r="M77" s="266">
        <f>SUM(M74:M76)</f>
        <v>0</v>
      </c>
      <c r="N77" s="171"/>
      <c r="O77" s="283"/>
      <c r="P77" s="283"/>
      <c r="Q77" s="266">
        <f>SUM(Q74:Q76)</f>
        <v>0</v>
      </c>
    </row>
    <row r="78" spans="1:17" ht="16.5" thickBot="1" x14ac:dyDescent="0.3"/>
    <row r="79" spans="1:17" ht="31.5" x14ac:dyDescent="0.25">
      <c r="Q79" s="411" t="s">
        <v>541</v>
      </c>
    </row>
    <row r="80" spans="1:17" ht="16.5" thickBot="1" x14ac:dyDescent="0.3">
      <c r="Q80" s="410">
        <f>E77+I77+M77+Q77</f>
        <v>0</v>
      </c>
    </row>
  </sheetData>
  <mergeCells count="46">
    <mergeCell ref="O48:Q48"/>
    <mergeCell ref="B72:B73"/>
    <mergeCell ref="C72:E72"/>
    <mergeCell ref="G72:I72"/>
    <mergeCell ref="K72:M72"/>
    <mergeCell ref="O72:Q72"/>
    <mergeCell ref="O59:Q59"/>
    <mergeCell ref="O58:Q58"/>
    <mergeCell ref="C59:E59"/>
    <mergeCell ref="G59:I59"/>
    <mergeCell ref="K59:M59"/>
    <mergeCell ref="C31:E31"/>
    <mergeCell ref="G31:I31"/>
    <mergeCell ref="K31:M31"/>
    <mergeCell ref="B58:B59"/>
    <mergeCell ref="C58:E58"/>
    <mergeCell ref="G58:I58"/>
    <mergeCell ref="K58:M58"/>
    <mergeCell ref="C48:E48"/>
    <mergeCell ref="G48:I48"/>
    <mergeCell ref="K48:M48"/>
    <mergeCell ref="B44:B45"/>
    <mergeCell ref="C44:E44"/>
    <mergeCell ref="G44:I44"/>
    <mergeCell ref="K44:M44"/>
    <mergeCell ref="O13:Q13"/>
    <mergeCell ref="O14:Q14"/>
    <mergeCell ref="O30:Q30"/>
    <mergeCell ref="O31:Q31"/>
    <mergeCell ref="A3:C3"/>
    <mergeCell ref="B13:B14"/>
    <mergeCell ref="C13:E13"/>
    <mergeCell ref="G13:I13"/>
    <mergeCell ref="K13:M13"/>
    <mergeCell ref="C14:E14"/>
    <mergeCell ref="G14:I14"/>
    <mergeCell ref="K14:M14"/>
    <mergeCell ref="B30:B31"/>
    <mergeCell ref="C30:E30"/>
    <mergeCell ref="G30:I30"/>
    <mergeCell ref="K30:M30"/>
    <mergeCell ref="O44:Q44"/>
    <mergeCell ref="C45:E45"/>
    <mergeCell ref="G45:I45"/>
    <mergeCell ref="K45:M45"/>
    <mergeCell ref="O45:Q45"/>
  </mergeCell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A1EE12-81DD-48CC-95E2-581A780C5297}">
  <sheetPr>
    <tabColor theme="0"/>
  </sheetPr>
  <dimension ref="A1:Q82"/>
  <sheetViews>
    <sheetView zoomScale="80" zoomScaleNormal="80" workbookViewId="0">
      <pane ySplit="11" topLeftCell="A12" activePane="bottomLeft" state="frozen"/>
      <selection pane="bottomLeft" activeCell="P65" sqref="P65"/>
    </sheetView>
    <sheetView workbookViewId="1"/>
  </sheetViews>
  <sheetFormatPr defaultColWidth="15.85546875" defaultRowHeight="15.75" x14ac:dyDescent="0.25"/>
  <cols>
    <col min="1" max="1" width="3.42578125" style="191" customWidth="1"/>
    <col min="2" max="2" width="49.140625" style="174" customWidth="1"/>
    <col min="3" max="3" width="18.28515625" style="186" bestFit="1" customWidth="1"/>
    <col min="4" max="4" width="12.42578125" style="186" bestFit="1" customWidth="1"/>
    <col min="5" max="5" width="32.140625" style="186" bestFit="1" customWidth="1"/>
    <col min="6" max="6" width="1" style="186" customWidth="1"/>
    <col min="7" max="7" width="14.28515625" style="186" customWidth="1"/>
    <col min="8" max="8" width="14.5703125" style="186" customWidth="1"/>
    <col min="9" max="9" width="34.42578125" style="186" bestFit="1" customWidth="1"/>
    <col min="10" max="10" width="1" style="186" customWidth="1"/>
    <col min="11" max="11" width="16.7109375" style="186" customWidth="1"/>
    <col min="12" max="12" width="16.28515625" style="186" customWidth="1"/>
    <col min="13" max="13" width="34.42578125" style="186" bestFit="1" customWidth="1"/>
    <col min="14" max="14" width="0.85546875" style="186" customWidth="1"/>
    <col min="15" max="15" width="16.7109375" style="186" customWidth="1"/>
    <col min="16" max="16" width="16.28515625" style="186" customWidth="1"/>
    <col min="17" max="17" width="34.42578125" style="186" bestFit="1" customWidth="1"/>
    <col min="18" max="16384" width="15.85546875" style="186"/>
  </cols>
  <sheetData>
    <row r="1" spans="1:17" ht="16.5" thickBot="1" x14ac:dyDescent="0.3">
      <c r="B1" s="126" t="s">
        <v>626</v>
      </c>
      <c r="C1" s="494" t="str">
        <f>'FFP CLINs X007-X021'!B1</f>
        <v>NAME</v>
      </c>
    </row>
    <row r="2" spans="1:17" ht="16.5" thickBot="1" x14ac:dyDescent="0.3"/>
    <row r="3" spans="1:17" ht="52.5" customHeight="1" thickBot="1" x14ac:dyDescent="0.3">
      <c r="A3" s="557" t="s">
        <v>542</v>
      </c>
      <c r="B3" s="558"/>
      <c r="C3" s="559"/>
      <c r="I3" s="251" t="s">
        <v>149</v>
      </c>
    </row>
    <row r="5" spans="1:17" s="259" customFormat="1" ht="17.25" customHeight="1" x14ac:dyDescent="0.2">
      <c r="A5" s="260"/>
      <c r="B5" s="261" t="s">
        <v>130</v>
      </c>
    </row>
    <row r="6" spans="1:17" s="259" customFormat="1" x14ac:dyDescent="0.25">
      <c r="A6" s="258"/>
      <c r="B6" s="258" t="s">
        <v>606</v>
      </c>
    </row>
    <row r="7" spans="1:17" s="259" customFormat="1" x14ac:dyDescent="0.25">
      <c r="A7" s="258"/>
      <c r="B7" s="258" t="s">
        <v>390</v>
      </c>
    </row>
    <row r="8" spans="1:17" s="259" customFormat="1" x14ac:dyDescent="0.25">
      <c r="A8" s="258"/>
      <c r="B8" s="258" t="s">
        <v>607</v>
      </c>
    </row>
    <row r="9" spans="1:17" s="259" customFormat="1" x14ac:dyDescent="0.25">
      <c r="A9" s="258"/>
      <c r="B9" s="258" t="s">
        <v>608</v>
      </c>
    </row>
    <row r="10" spans="1:17" x14ac:dyDescent="0.25">
      <c r="A10" s="192"/>
      <c r="B10" s="258" t="s">
        <v>609</v>
      </c>
      <c r="C10" s="194"/>
    </row>
    <row r="11" spans="1:17" x14ac:dyDescent="0.25">
      <c r="A11" s="192"/>
      <c r="B11" s="258" t="s">
        <v>543</v>
      </c>
      <c r="C11" s="194"/>
    </row>
    <row r="12" spans="1:17" ht="16.5" thickBot="1" x14ac:dyDescent="0.3"/>
    <row r="13" spans="1:17" ht="16.5" thickBot="1" x14ac:dyDescent="0.3">
      <c r="A13" s="193"/>
      <c r="B13" s="633" t="s">
        <v>544</v>
      </c>
      <c r="C13" s="594" t="s">
        <v>134</v>
      </c>
      <c r="D13" s="595"/>
      <c r="E13" s="596"/>
      <c r="F13" s="151"/>
      <c r="G13" s="594" t="s">
        <v>134</v>
      </c>
      <c r="H13" s="595"/>
      <c r="I13" s="596"/>
      <c r="J13" s="151"/>
      <c r="K13" s="594" t="s">
        <v>134</v>
      </c>
      <c r="L13" s="595"/>
      <c r="M13" s="596"/>
      <c r="N13" s="151"/>
      <c r="O13" s="594" t="s">
        <v>134</v>
      </c>
      <c r="P13" s="595"/>
      <c r="Q13" s="596"/>
    </row>
    <row r="14" spans="1:17" ht="32.25" customHeight="1" thickBot="1" x14ac:dyDescent="0.3">
      <c r="A14" s="193"/>
      <c r="B14" s="634"/>
      <c r="C14" s="617" t="s">
        <v>367</v>
      </c>
      <c r="D14" s="618"/>
      <c r="E14" s="619"/>
      <c r="F14" s="152"/>
      <c r="G14" s="617" t="s">
        <v>368</v>
      </c>
      <c r="H14" s="618"/>
      <c r="I14" s="619"/>
      <c r="J14" s="152"/>
      <c r="K14" s="617" t="s">
        <v>369</v>
      </c>
      <c r="L14" s="618"/>
      <c r="M14" s="619"/>
      <c r="N14" s="152"/>
      <c r="O14" s="617" t="s">
        <v>370</v>
      </c>
      <c r="P14" s="618"/>
      <c r="Q14" s="619"/>
    </row>
    <row r="15" spans="1:17" x14ac:dyDescent="0.25">
      <c r="A15" s="193"/>
      <c r="B15" s="153" t="s">
        <v>110</v>
      </c>
      <c r="C15" s="153" t="s">
        <v>91</v>
      </c>
      <c r="D15" s="154" t="s">
        <v>133</v>
      </c>
      <c r="E15" s="155" t="s">
        <v>139</v>
      </c>
      <c r="F15" s="156"/>
      <c r="G15" s="153" t="s">
        <v>91</v>
      </c>
      <c r="H15" s="154" t="s">
        <v>133</v>
      </c>
      <c r="I15" s="155" t="s">
        <v>139</v>
      </c>
      <c r="J15" s="156"/>
      <c r="K15" s="153" t="s">
        <v>91</v>
      </c>
      <c r="L15" s="154" t="s">
        <v>133</v>
      </c>
      <c r="M15" s="155" t="s">
        <v>139</v>
      </c>
      <c r="N15" s="156"/>
      <c r="O15" s="153" t="s">
        <v>91</v>
      </c>
      <c r="P15" s="154" t="s">
        <v>133</v>
      </c>
      <c r="Q15" s="155" t="s">
        <v>139</v>
      </c>
    </row>
    <row r="16" spans="1:17" ht="30" customHeight="1" thickBot="1" x14ac:dyDescent="0.3">
      <c r="A16" s="193"/>
      <c r="B16" s="203" t="s">
        <v>558</v>
      </c>
      <c r="C16" s="289"/>
      <c r="D16" s="290"/>
      <c r="E16" s="291"/>
      <c r="F16" s="156"/>
      <c r="G16" s="289"/>
      <c r="H16" s="290"/>
      <c r="I16" s="291"/>
      <c r="J16" s="156"/>
      <c r="K16" s="289"/>
      <c r="L16" s="290"/>
      <c r="M16" s="291"/>
      <c r="N16" s="156"/>
      <c r="O16" s="289"/>
      <c r="P16" s="290"/>
      <c r="Q16" s="291"/>
    </row>
    <row r="17" spans="1:17" ht="16.5" thickBot="1" x14ac:dyDescent="0.3">
      <c r="A17" s="193"/>
      <c r="B17" s="162" t="s">
        <v>151</v>
      </c>
      <c r="C17" s="163">
        <f>'PRIME CPIF LABOR INPUTS'!D385</f>
        <v>0</v>
      </c>
      <c r="D17" s="205"/>
      <c r="E17" s="164">
        <f>'PRIME CPIF LABOR INPUTS'!F385</f>
        <v>0</v>
      </c>
      <c r="F17" s="165"/>
      <c r="G17" s="163">
        <f>'PRIME CPIF LABOR INPUTS'!H385</f>
        <v>0</v>
      </c>
      <c r="H17" s="205"/>
      <c r="I17" s="164">
        <f>'PRIME CPIF LABOR INPUTS'!J385</f>
        <v>0</v>
      </c>
      <c r="J17" s="165"/>
      <c r="K17" s="163">
        <f>'PRIME CPIF LABOR INPUTS'!L385</f>
        <v>0</v>
      </c>
      <c r="L17" s="205"/>
      <c r="M17" s="164">
        <f>'PRIME CPIF LABOR INPUTS'!N385</f>
        <v>0</v>
      </c>
      <c r="N17" s="165"/>
      <c r="O17" s="163">
        <f>'PRIME CPIF LABOR INPUTS'!P385</f>
        <v>0</v>
      </c>
      <c r="P17" s="205"/>
      <c r="Q17" s="164">
        <f>'PRIME CPIF LABOR INPUTS'!R385</f>
        <v>0</v>
      </c>
    </row>
    <row r="18" spans="1:17" x14ac:dyDescent="0.25">
      <c r="A18" s="193"/>
      <c r="B18" s="204"/>
      <c r="C18" s="153" t="s">
        <v>399</v>
      </c>
      <c r="D18" s="154" t="s">
        <v>396</v>
      </c>
      <c r="E18" s="155" t="s">
        <v>398</v>
      </c>
      <c r="F18" s="166"/>
      <c r="G18" s="153" t="s">
        <v>399</v>
      </c>
      <c r="H18" s="154" t="s">
        <v>396</v>
      </c>
      <c r="I18" s="155" t="s">
        <v>398</v>
      </c>
      <c r="J18" s="166"/>
      <c r="K18" s="153" t="s">
        <v>399</v>
      </c>
      <c r="L18" s="154" t="s">
        <v>396</v>
      </c>
      <c r="M18" s="155" t="s">
        <v>398</v>
      </c>
      <c r="N18" s="166"/>
      <c r="O18" s="153" t="s">
        <v>399</v>
      </c>
      <c r="P18" s="154" t="s">
        <v>396</v>
      </c>
      <c r="Q18" s="155" t="s">
        <v>398</v>
      </c>
    </row>
    <row r="19" spans="1:17" ht="64.5" x14ac:dyDescent="0.25">
      <c r="A19" s="193"/>
      <c r="B19" s="344" t="s">
        <v>611</v>
      </c>
      <c r="C19" s="289"/>
      <c r="D19" s="290"/>
      <c r="E19" s="291"/>
      <c r="F19" s="202"/>
      <c r="G19" s="289"/>
      <c r="H19" s="290"/>
      <c r="I19" s="291"/>
      <c r="J19" s="202"/>
      <c r="K19" s="289"/>
      <c r="L19" s="290"/>
      <c r="M19" s="291"/>
      <c r="N19" s="202"/>
      <c r="O19" s="289"/>
      <c r="P19" s="290"/>
      <c r="Q19" s="291"/>
    </row>
    <row r="20" spans="1:17" x14ac:dyDescent="0.25">
      <c r="A20" s="193"/>
      <c r="B20" s="167" t="str">
        <f>'PRIME CPIF RATES (ALL)'!B35</f>
        <v>Indirect Labor Category:  [Labor Fringe]</v>
      </c>
      <c r="C20" s="215">
        <f>+E17</f>
        <v>0</v>
      </c>
      <c r="D20" s="243">
        <f>'PRIME CPIF RATES (ALL)'!C35</f>
        <v>0</v>
      </c>
      <c r="E20" s="168">
        <f>ROUND(C20*D20,2)</f>
        <v>0</v>
      </c>
      <c r="F20" s="165"/>
      <c r="G20" s="215">
        <f>+I17</f>
        <v>0</v>
      </c>
      <c r="H20" s="243">
        <f>'PRIME CPIF RATES (ALL)'!D35</f>
        <v>0</v>
      </c>
      <c r="I20" s="168">
        <f>ROUND(G20*H20,2)</f>
        <v>0</v>
      </c>
      <c r="J20" s="165"/>
      <c r="K20" s="215">
        <f>+M17</f>
        <v>0</v>
      </c>
      <c r="L20" s="243">
        <f>'PRIME CPIF RATES (ALL)'!E35</f>
        <v>0</v>
      </c>
      <c r="M20" s="168">
        <f>ROUND(K20*L20,2)</f>
        <v>0</v>
      </c>
      <c r="N20" s="165"/>
      <c r="O20" s="215">
        <f>+Q17</f>
        <v>0</v>
      </c>
      <c r="P20" s="243">
        <f>'PRIME CPIF RATES (ALL)'!F35</f>
        <v>0</v>
      </c>
      <c r="Q20" s="168">
        <f>ROUND(O20*P20,2)</f>
        <v>0</v>
      </c>
    </row>
    <row r="21" spans="1:17" x14ac:dyDescent="0.25">
      <c r="A21" s="193"/>
      <c r="B21" s="167" t="str">
        <f>'PRIME CPIF RATES (ALL)'!B36</f>
        <v>Indirect Labor Category: [Labor Overhead]</v>
      </c>
      <c r="C21" s="215">
        <f>+C20+E20</f>
        <v>0</v>
      </c>
      <c r="D21" s="243">
        <f>'PRIME CPIF RATES (ALL)'!C36</f>
        <v>0</v>
      </c>
      <c r="E21" s="168">
        <f>ROUND(C21*D21,2)</f>
        <v>0</v>
      </c>
      <c r="F21" s="165"/>
      <c r="G21" s="215">
        <f>+G20+I20</f>
        <v>0</v>
      </c>
      <c r="H21" s="243">
        <f>'PRIME CPIF RATES (ALL)'!D36</f>
        <v>0</v>
      </c>
      <c r="I21" s="168">
        <f>ROUND(G21*H21,2)</f>
        <v>0</v>
      </c>
      <c r="J21" s="165"/>
      <c r="K21" s="215">
        <f>+K20+M20</f>
        <v>0</v>
      </c>
      <c r="L21" s="243">
        <f>'PRIME CPIF RATES (ALL)'!E36</f>
        <v>0</v>
      </c>
      <c r="M21" s="168">
        <f>ROUND(K21*L21,2)</f>
        <v>0</v>
      </c>
      <c r="N21" s="165"/>
      <c r="O21" s="215">
        <f>+O20+Q20</f>
        <v>0</v>
      </c>
      <c r="P21" s="243">
        <f>'PRIME CPIF RATES (ALL)'!F36</f>
        <v>0</v>
      </c>
      <c r="Q21" s="168">
        <f>ROUND(O21*P21,2)</f>
        <v>0</v>
      </c>
    </row>
    <row r="22" spans="1:17" x14ac:dyDescent="0.25">
      <c r="A22" s="193"/>
      <c r="B22" s="167" t="str">
        <f>'PRIME CPIF RATES (ALL)'!B37</f>
        <v>Indirect Labor Category: [G&amp;A]</v>
      </c>
      <c r="C22" s="215">
        <f>+C21+E21</f>
        <v>0</v>
      </c>
      <c r="D22" s="243">
        <f>'PRIME CPIF RATES (ALL)'!C37</f>
        <v>0</v>
      </c>
      <c r="E22" s="168">
        <f>ROUND(C22*D22,2)</f>
        <v>0</v>
      </c>
      <c r="F22" s="165"/>
      <c r="G22" s="215">
        <f>+G21+I21</f>
        <v>0</v>
      </c>
      <c r="H22" s="243">
        <f>'PRIME CPIF RATES (ALL)'!D37</f>
        <v>0</v>
      </c>
      <c r="I22" s="168">
        <f>ROUND(G22*H22,2)</f>
        <v>0</v>
      </c>
      <c r="J22" s="165"/>
      <c r="K22" s="215">
        <f>+K21+M21</f>
        <v>0</v>
      </c>
      <c r="L22" s="243">
        <f>'PRIME CPIF RATES (ALL)'!E37</f>
        <v>0</v>
      </c>
      <c r="M22" s="168">
        <f>ROUND(K22*L22,2)</f>
        <v>0</v>
      </c>
      <c r="N22" s="165"/>
      <c r="O22" s="215">
        <f>+O21+Q21</f>
        <v>0</v>
      </c>
      <c r="P22" s="243">
        <f>'PRIME CPIF RATES (ALL)'!F37</f>
        <v>0</v>
      </c>
      <c r="Q22" s="168">
        <f>ROUND(O22*P22,2)</f>
        <v>0</v>
      </c>
    </row>
    <row r="23" spans="1:17" x14ac:dyDescent="0.25">
      <c r="A23" s="193"/>
      <c r="B23" s="167" t="str">
        <f>'PRIME CPIF RATES (ALL)'!B38</f>
        <v>Indirect Labor Category: [FCCOM]</v>
      </c>
      <c r="C23" s="215">
        <f>C22+E22</f>
        <v>0</v>
      </c>
      <c r="D23" s="243">
        <f>'PRIME CPIF RATES (ALL)'!C38</f>
        <v>0</v>
      </c>
      <c r="E23" s="168">
        <f>ROUND(C23*D23,2)</f>
        <v>0</v>
      </c>
      <c r="F23" s="165"/>
      <c r="G23" s="215">
        <f>G22+I22</f>
        <v>0</v>
      </c>
      <c r="H23" s="243">
        <f>'PRIME CPIF RATES (ALL)'!D38</f>
        <v>0</v>
      </c>
      <c r="I23" s="168">
        <f>ROUND(G23*H23,2)</f>
        <v>0</v>
      </c>
      <c r="J23" s="165"/>
      <c r="K23" s="215">
        <f>K22+M22</f>
        <v>0</v>
      </c>
      <c r="L23" s="243">
        <f>'PRIME CPIF RATES (ALL)'!E38</f>
        <v>0</v>
      </c>
      <c r="M23" s="168">
        <f>ROUND(K23*L23,2)</f>
        <v>0</v>
      </c>
      <c r="N23" s="165"/>
      <c r="O23" s="215">
        <f>O22+Q22</f>
        <v>0</v>
      </c>
      <c r="P23" s="243">
        <f>'PRIME CPIF RATES (ALL)'!F38</f>
        <v>0</v>
      </c>
      <c r="Q23" s="168">
        <f>ROUND(O23*P23,2)</f>
        <v>0</v>
      </c>
    </row>
    <row r="24" spans="1:17" x14ac:dyDescent="0.25">
      <c r="A24" s="193"/>
      <c r="B24" s="167" t="str">
        <f>'PRIME CPIF RATES (ALL)'!B39</f>
        <v>Indirect Labor Category: [Target Fee]</v>
      </c>
      <c r="C24" s="215">
        <f>+C22+E22</f>
        <v>0</v>
      </c>
      <c r="D24" s="243">
        <f>'PRIME CPIF RATES (ALL)'!C39</f>
        <v>0</v>
      </c>
      <c r="E24" s="168">
        <f>ROUND(C24*D24,2)</f>
        <v>0</v>
      </c>
      <c r="F24" s="165"/>
      <c r="G24" s="215">
        <f>+G22+I22</f>
        <v>0</v>
      </c>
      <c r="H24" s="243">
        <f>'PRIME CPIF RATES (ALL)'!D39</f>
        <v>0</v>
      </c>
      <c r="I24" s="168">
        <f>ROUND(G24*H24,2)</f>
        <v>0</v>
      </c>
      <c r="J24" s="165"/>
      <c r="K24" s="215">
        <f>+K22+M22</f>
        <v>0</v>
      </c>
      <c r="L24" s="243">
        <f>'PRIME CPIF RATES (ALL)'!E39</f>
        <v>0</v>
      </c>
      <c r="M24" s="168">
        <f>ROUND(K24*L24,2)</f>
        <v>0</v>
      </c>
      <c r="N24" s="165"/>
      <c r="O24" s="215">
        <f>+O22+Q22</f>
        <v>0</v>
      </c>
      <c r="P24" s="243">
        <f>'PRIME CPIF RATES (ALL)'!F39</f>
        <v>0</v>
      </c>
      <c r="Q24" s="168">
        <f>ROUND(O24*P24,2)</f>
        <v>0</v>
      </c>
    </row>
    <row r="25" spans="1:17" x14ac:dyDescent="0.25">
      <c r="A25" s="193"/>
      <c r="B25" s="262" t="s">
        <v>258</v>
      </c>
      <c r="C25" s="210"/>
      <c r="D25" s="211"/>
      <c r="E25" s="230">
        <f>ROUND(SUM(E17,E20,E21,E22),2)</f>
        <v>0</v>
      </c>
      <c r="F25" s="165"/>
      <c r="G25" s="206"/>
      <c r="H25" s="207"/>
      <c r="I25" s="230">
        <f>ROUND(SUM(I17,I20,I21,I22),2)</f>
        <v>0</v>
      </c>
      <c r="J25" s="165"/>
      <c r="K25" s="206"/>
      <c r="L25" s="207"/>
      <c r="M25" s="230">
        <f>ROUND(SUM(M17,M20,M21,M22),2)</f>
        <v>0</v>
      </c>
      <c r="N25" s="165"/>
      <c r="O25" s="206"/>
      <c r="P25" s="207"/>
      <c r="Q25" s="230">
        <f>ROUND(SUM(Q17,Q20,Q21,Q22),2)</f>
        <v>0</v>
      </c>
    </row>
    <row r="26" spans="1:17" x14ac:dyDescent="0.25">
      <c r="A26" s="193"/>
      <c r="B26" s="262" t="s">
        <v>137</v>
      </c>
      <c r="C26" s="210"/>
      <c r="D26" s="211"/>
      <c r="E26" s="230">
        <f>ROUND(E23,2)</f>
        <v>0</v>
      </c>
      <c r="F26" s="165"/>
      <c r="G26" s="206"/>
      <c r="H26" s="207"/>
      <c r="I26" s="230">
        <f>ROUND(I23,2)</f>
        <v>0</v>
      </c>
      <c r="J26" s="165"/>
      <c r="K26" s="206"/>
      <c r="L26" s="207"/>
      <c r="M26" s="230">
        <f>ROUND(M23,2)</f>
        <v>0</v>
      </c>
      <c r="N26" s="165"/>
      <c r="O26" s="206"/>
      <c r="P26" s="207"/>
      <c r="Q26" s="230">
        <f>ROUND(Q23,2)</f>
        <v>0</v>
      </c>
    </row>
    <row r="27" spans="1:17" x14ac:dyDescent="0.25">
      <c r="A27" s="193"/>
      <c r="B27" s="262" t="s">
        <v>136</v>
      </c>
      <c r="C27" s="210"/>
      <c r="D27" s="211"/>
      <c r="E27" s="245">
        <f>ROUND(E24,2)</f>
        <v>0</v>
      </c>
      <c r="F27" s="170"/>
      <c r="G27" s="206"/>
      <c r="H27" s="207"/>
      <c r="I27" s="245">
        <f>ROUND(I24,2)</f>
        <v>0</v>
      </c>
      <c r="J27" s="170"/>
      <c r="K27" s="206"/>
      <c r="L27" s="207"/>
      <c r="M27" s="245">
        <f>ROUND(M24,2)</f>
        <v>0</v>
      </c>
      <c r="N27" s="170"/>
      <c r="O27" s="206"/>
      <c r="P27" s="207"/>
      <c r="Q27" s="245">
        <f>ROUND(Q24,2)</f>
        <v>0</v>
      </c>
    </row>
    <row r="28" spans="1:17" ht="16.5" thickBot="1" x14ac:dyDescent="0.3">
      <c r="A28" s="193"/>
      <c r="B28" s="263" t="s">
        <v>138</v>
      </c>
      <c r="C28" s="212"/>
      <c r="D28" s="213"/>
      <c r="E28" s="246">
        <f>ROUND(SUM(E25:E27),2)</f>
        <v>0</v>
      </c>
      <c r="F28" s="171"/>
      <c r="G28" s="208"/>
      <c r="H28" s="209"/>
      <c r="I28" s="246">
        <f>ROUND(SUM(I25:I27),2)</f>
        <v>0</v>
      </c>
      <c r="J28" s="171"/>
      <c r="K28" s="208"/>
      <c r="L28" s="209"/>
      <c r="M28" s="246">
        <f>ROUND(SUM(M25:M27),2)</f>
        <v>0</v>
      </c>
      <c r="N28" s="171"/>
      <c r="O28" s="208"/>
      <c r="P28" s="209"/>
      <c r="Q28" s="246">
        <f>ROUND(SUM(Q25:Q27),2)</f>
        <v>0</v>
      </c>
    </row>
    <row r="29" spans="1:17" ht="16.5" thickBot="1" x14ac:dyDescent="0.3">
      <c r="A29" s="193"/>
      <c r="B29" s="172"/>
      <c r="C29" s="173"/>
      <c r="D29" s="173"/>
      <c r="E29" s="256"/>
      <c r="F29" s="256"/>
      <c r="G29" s="256"/>
      <c r="H29" s="256"/>
      <c r="I29" s="256"/>
      <c r="J29" s="256"/>
      <c r="K29" s="256"/>
      <c r="L29" s="173"/>
      <c r="M29" s="173"/>
      <c r="N29" s="165"/>
      <c r="O29" s="256"/>
      <c r="P29" s="173"/>
      <c r="Q29" s="173"/>
    </row>
    <row r="30" spans="1:17" ht="16.5" customHeight="1" thickBot="1" x14ac:dyDescent="0.3">
      <c r="A30" s="193"/>
      <c r="B30" s="620" t="str">
        <f>B13</f>
        <v>CLIN 0003 (CPIF)                                                    TASK 1.04 Material - DELIVERY OF SIL TO TO GOVERNMENT</v>
      </c>
      <c r="C30" s="594" t="s">
        <v>145</v>
      </c>
      <c r="D30" s="595"/>
      <c r="E30" s="596"/>
      <c r="F30" s="175"/>
      <c r="G30" s="594" t="s">
        <v>145</v>
      </c>
      <c r="H30" s="595"/>
      <c r="I30" s="596"/>
      <c r="J30" s="175"/>
      <c r="K30" s="594" t="s">
        <v>145</v>
      </c>
      <c r="L30" s="595"/>
      <c r="M30" s="596"/>
      <c r="N30" s="175"/>
      <c r="O30" s="594" t="s">
        <v>145</v>
      </c>
      <c r="P30" s="595"/>
      <c r="Q30" s="596"/>
    </row>
    <row r="31" spans="1:17" ht="32.25" customHeight="1" thickBot="1" x14ac:dyDescent="0.3">
      <c r="A31" s="193"/>
      <c r="B31" s="621"/>
      <c r="C31" s="591" t="str">
        <f>C14</f>
        <v>CLIN 0003 - Basic Period (Year 1)</v>
      </c>
      <c r="D31" s="592"/>
      <c r="E31" s="593"/>
      <c r="F31" s="176"/>
      <c r="G31" s="591" t="str">
        <f>G14</f>
        <v>CLIN 0003 - Basic Period (Year 2)</v>
      </c>
      <c r="H31" s="592"/>
      <c r="I31" s="593"/>
      <c r="J31" s="176"/>
      <c r="K31" s="591" t="str">
        <f>K14</f>
        <v>CLIN 0003 - Basic Period (Year 3)</v>
      </c>
      <c r="L31" s="592"/>
      <c r="M31" s="593"/>
      <c r="N31" s="176"/>
      <c r="O31" s="591" t="str">
        <f>O14</f>
        <v>CLIN 0003 - Basic Period (Year 4)</v>
      </c>
      <c r="P31" s="592"/>
      <c r="Q31" s="593"/>
    </row>
    <row r="32" spans="1:17" x14ac:dyDescent="0.25">
      <c r="A32" s="193"/>
      <c r="B32" s="247"/>
      <c r="C32" s="153" t="s">
        <v>399</v>
      </c>
      <c r="D32" s="154" t="s">
        <v>396</v>
      </c>
      <c r="E32" s="155" t="s">
        <v>152</v>
      </c>
      <c r="F32" s="166"/>
      <c r="G32" s="153" t="s">
        <v>399</v>
      </c>
      <c r="H32" s="154" t="s">
        <v>396</v>
      </c>
      <c r="I32" s="155" t="s">
        <v>152</v>
      </c>
      <c r="J32" s="166"/>
      <c r="K32" s="153" t="s">
        <v>399</v>
      </c>
      <c r="L32" s="154" t="s">
        <v>396</v>
      </c>
      <c r="M32" s="155" t="s">
        <v>152</v>
      </c>
      <c r="N32" s="166"/>
      <c r="O32" s="153" t="s">
        <v>399</v>
      </c>
      <c r="P32" s="154" t="s">
        <v>396</v>
      </c>
      <c r="Q32" s="155" t="s">
        <v>152</v>
      </c>
    </row>
    <row r="33" spans="1:17" ht="51.75" x14ac:dyDescent="0.25">
      <c r="A33" s="193"/>
      <c r="B33" s="300" t="s">
        <v>612</v>
      </c>
      <c r="C33" s="231"/>
      <c r="D33" s="232"/>
      <c r="E33" s="400">
        <f>'PRIME CPIF TOTAL MATERIAL'!E32</f>
        <v>0</v>
      </c>
      <c r="F33" s="165"/>
      <c r="G33" s="231"/>
      <c r="H33" s="232"/>
      <c r="I33" s="400">
        <f>'PRIME CPIF TOTAL MATERIAL'!G32</f>
        <v>0</v>
      </c>
      <c r="J33" s="165"/>
      <c r="K33" s="231"/>
      <c r="L33" s="232"/>
      <c r="M33" s="400">
        <f>'PRIME CPIF TOTAL MATERIAL'!I32</f>
        <v>0</v>
      </c>
      <c r="N33" s="165"/>
      <c r="O33" s="231"/>
      <c r="P33" s="232"/>
      <c r="Q33" s="400">
        <f>'PRIME CPIF TOTAL MATERIAL'!K32</f>
        <v>0</v>
      </c>
    </row>
    <row r="34" spans="1:17" ht="67.5" customHeight="1" x14ac:dyDescent="0.25">
      <c r="A34" s="193"/>
      <c r="B34" s="344" t="s">
        <v>389</v>
      </c>
      <c r="C34" s="405"/>
      <c r="D34" s="406"/>
      <c r="E34" s="400"/>
      <c r="F34" s="165"/>
      <c r="G34" s="405"/>
      <c r="H34" s="406"/>
      <c r="I34" s="400"/>
      <c r="J34" s="165"/>
      <c r="K34" s="405"/>
      <c r="L34" s="406"/>
      <c r="M34" s="400"/>
      <c r="N34" s="165"/>
      <c r="O34" s="405"/>
      <c r="P34" s="406"/>
      <c r="Q34" s="400"/>
    </row>
    <row r="35" spans="1:17" x14ac:dyDescent="0.25">
      <c r="A35" s="193"/>
      <c r="B35" s="167" t="str">
        <f>'PRIME CPIF RATES (ALL)'!B52</f>
        <v>Indirect Category: [Material Overhead]</v>
      </c>
      <c r="C35" s="215">
        <f>+E33</f>
        <v>0</v>
      </c>
      <c r="D35" s="243">
        <f>'PRIME CPIF RATES (ALL)'!C52</f>
        <v>0</v>
      </c>
      <c r="E35" s="168">
        <f>ROUND(C35*D35,2)</f>
        <v>0</v>
      </c>
      <c r="F35" s="178"/>
      <c r="G35" s="215">
        <f>+I33</f>
        <v>0</v>
      </c>
      <c r="H35" s="243">
        <f>'PRIME CPIF RATES (ALL)'!D52</f>
        <v>0</v>
      </c>
      <c r="I35" s="168">
        <f>ROUND(G35*H35,2)</f>
        <v>0</v>
      </c>
      <c r="J35" s="178"/>
      <c r="K35" s="215">
        <f>+M33</f>
        <v>0</v>
      </c>
      <c r="L35" s="243">
        <f>'PRIME CPIF RATES (ALL)'!E52</f>
        <v>0</v>
      </c>
      <c r="M35" s="168">
        <f>ROUND(K35*L35,2)</f>
        <v>0</v>
      </c>
      <c r="N35" s="178"/>
      <c r="O35" s="215">
        <f>+Q33</f>
        <v>0</v>
      </c>
      <c r="P35" s="243">
        <f>'PRIME CPIF RATES (ALL)'!F52</f>
        <v>0</v>
      </c>
      <c r="Q35" s="168">
        <f>ROUND(O35*P35,2)</f>
        <v>0</v>
      </c>
    </row>
    <row r="36" spans="1:17" x14ac:dyDescent="0.25">
      <c r="A36" s="193"/>
      <c r="B36" s="167" t="str">
        <f>'PRIME CPIF RATES (ALL)'!B53</f>
        <v>Indirect Category: [G&amp;A]</v>
      </c>
      <c r="C36" s="215">
        <f>+C35+E35</f>
        <v>0</v>
      </c>
      <c r="D36" s="243">
        <f>'PRIME CPIF RATES (ALL)'!C53</f>
        <v>0</v>
      </c>
      <c r="E36" s="168">
        <f>ROUND(C36*D36,2)</f>
        <v>0</v>
      </c>
      <c r="F36" s="178"/>
      <c r="G36" s="215">
        <f>+G35+I35</f>
        <v>0</v>
      </c>
      <c r="H36" s="243">
        <f>'PRIME CPIF RATES (ALL)'!D53</f>
        <v>0</v>
      </c>
      <c r="I36" s="168">
        <f>ROUND(G36*H36,2)</f>
        <v>0</v>
      </c>
      <c r="J36" s="178"/>
      <c r="K36" s="215">
        <f>+K35+M35</f>
        <v>0</v>
      </c>
      <c r="L36" s="243">
        <f>'PRIME CPIF RATES (ALL)'!E53</f>
        <v>0</v>
      </c>
      <c r="M36" s="168">
        <f>ROUND(K36*L36,2)</f>
        <v>0</v>
      </c>
      <c r="N36" s="178"/>
      <c r="O36" s="215">
        <f>+O35+Q35</f>
        <v>0</v>
      </c>
      <c r="P36" s="243">
        <f>'PRIME CPIF RATES (ALL)'!F53</f>
        <v>0</v>
      </c>
      <c r="Q36" s="168">
        <f>ROUND(O36*P36,2)</f>
        <v>0</v>
      </c>
    </row>
    <row r="37" spans="1:17" x14ac:dyDescent="0.25">
      <c r="A37" s="193"/>
      <c r="B37" s="167" t="str">
        <f>'PRIME CPIF RATES (ALL)'!B54</f>
        <v>Indirect Category: [FCCOM]</v>
      </c>
      <c r="C37" s="215">
        <f>C36+E36</f>
        <v>0</v>
      </c>
      <c r="D37" s="243">
        <f>'PRIME CPIF RATES (ALL)'!C54</f>
        <v>0</v>
      </c>
      <c r="E37" s="168">
        <f>ROUND(C37*D37,2)</f>
        <v>0</v>
      </c>
      <c r="F37" s="165"/>
      <c r="G37" s="215">
        <f>G36+I36</f>
        <v>0</v>
      </c>
      <c r="H37" s="243">
        <f>'PRIME CPIF RATES (ALL)'!D54</f>
        <v>0</v>
      </c>
      <c r="I37" s="168">
        <f>ROUND(G37*H37,2)</f>
        <v>0</v>
      </c>
      <c r="J37" s="165"/>
      <c r="K37" s="215">
        <f>K36+M36</f>
        <v>0</v>
      </c>
      <c r="L37" s="243">
        <f>'PRIME CPIF RATES (ALL)'!E54</f>
        <v>0</v>
      </c>
      <c r="M37" s="168">
        <f>ROUND(K37*L37,2)</f>
        <v>0</v>
      </c>
      <c r="N37" s="165"/>
      <c r="O37" s="215">
        <f>O36+Q36</f>
        <v>0</v>
      </c>
      <c r="P37" s="243">
        <f>'PRIME CPIF RATES (ALL)'!F54</f>
        <v>0</v>
      </c>
      <c r="Q37" s="168">
        <f>ROUND(O37*P37,2)</f>
        <v>0</v>
      </c>
    </row>
    <row r="38" spans="1:17" x14ac:dyDescent="0.25">
      <c r="A38" s="193"/>
      <c r="B38" s="167" t="str">
        <f>'PRIME CPIF RATES (ALL)'!B55</f>
        <v>Indirect Category: [Target Fee]</v>
      </c>
      <c r="C38" s="215">
        <f>+C36+E36</f>
        <v>0</v>
      </c>
      <c r="D38" s="243">
        <f>'PRIME CPIF RATES (ALL)'!C55</f>
        <v>0</v>
      </c>
      <c r="E38" s="168">
        <f>ROUND(C38*D38,2)</f>
        <v>0</v>
      </c>
      <c r="F38" s="165"/>
      <c r="G38" s="215">
        <f>+G36+I36</f>
        <v>0</v>
      </c>
      <c r="H38" s="243">
        <f>'PRIME CPIF RATES (ALL)'!D55</f>
        <v>0</v>
      </c>
      <c r="I38" s="168">
        <f>ROUND(G38*H38,2)</f>
        <v>0</v>
      </c>
      <c r="J38" s="165"/>
      <c r="K38" s="215">
        <f>+K36+M36</f>
        <v>0</v>
      </c>
      <c r="L38" s="243">
        <f>'PRIME CPIF RATES (ALL)'!E55</f>
        <v>0</v>
      </c>
      <c r="M38" s="168">
        <f>ROUND(K38*L38,2)</f>
        <v>0</v>
      </c>
      <c r="N38" s="165"/>
      <c r="O38" s="215">
        <f>+O36+Q36</f>
        <v>0</v>
      </c>
      <c r="P38" s="243">
        <f>'PRIME CPIF RATES (ALL)'!F55</f>
        <v>0</v>
      </c>
      <c r="Q38" s="168">
        <f>ROUND(O38*P38,2)</f>
        <v>0</v>
      </c>
    </row>
    <row r="39" spans="1:17" x14ac:dyDescent="0.25">
      <c r="A39" s="193"/>
      <c r="B39" s="241" t="s">
        <v>259</v>
      </c>
      <c r="C39" s="233"/>
      <c r="D39" s="234"/>
      <c r="E39" s="168">
        <f>+ROUND(SUM(E33:E36),2)</f>
        <v>0</v>
      </c>
      <c r="F39" s="165"/>
      <c r="G39" s="233"/>
      <c r="H39" s="234"/>
      <c r="I39" s="168">
        <f>+ROUND(SUM(I33:I36),2)</f>
        <v>0</v>
      </c>
      <c r="J39" s="165"/>
      <c r="K39" s="233"/>
      <c r="L39" s="234"/>
      <c r="M39" s="168">
        <f>+ROUND(SUM(M33:M36),2)</f>
        <v>0</v>
      </c>
      <c r="N39" s="165"/>
      <c r="O39" s="233"/>
      <c r="P39" s="234"/>
      <c r="Q39" s="168">
        <f>+ROUND(SUM(Q33:Q36),2)</f>
        <v>0</v>
      </c>
    </row>
    <row r="40" spans="1:17" x14ac:dyDescent="0.25">
      <c r="A40" s="193"/>
      <c r="B40" s="241" t="s">
        <v>137</v>
      </c>
      <c r="C40" s="231"/>
      <c r="D40" s="235"/>
      <c r="E40" s="168">
        <f>+ROUND(E37,2)</f>
        <v>0</v>
      </c>
      <c r="F40" s="165"/>
      <c r="G40" s="231"/>
      <c r="H40" s="235"/>
      <c r="I40" s="168">
        <f>+ROUND(I37,2)</f>
        <v>0</v>
      </c>
      <c r="J40" s="165"/>
      <c r="K40" s="231"/>
      <c r="L40" s="235"/>
      <c r="M40" s="168">
        <f>+ROUND(M37,2)</f>
        <v>0</v>
      </c>
      <c r="N40" s="165"/>
      <c r="O40" s="231"/>
      <c r="P40" s="235"/>
      <c r="Q40" s="168">
        <f>+ROUND(Q37,2)</f>
        <v>0</v>
      </c>
    </row>
    <row r="41" spans="1:17" x14ac:dyDescent="0.2">
      <c r="B41" s="241" t="s">
        <v>136</v>
      </c>
      <c r="C41" s="231"/>
      <c r="D41" s="235"/>
      <c r="E41" s="182">
        <f>+ROUND(E38,2)</f>
        <v>0</v>
      </c>
      <c r="F41" s="183"/>
      <c r="G41" s="231"/>
      <c r="H41" s="235"/>
      <c r="I41" s="182">
        <f>+ROUND(I38,2)</f>
        <v>0</v>
      </c>
      <c r="J41" s="183"/>
      <c r="K41" s="231"/>
      <c r="L41" s="235"/>
      <c r="M41" s="182">
        <f>+ROUND(M38,2)</f>
        <v>0</v>
      </c>
      <c r="N41" s="183"/>
      <c r="O41" s="231"/>
      <c r="P41" s="235"/>
      <c r="Q41" s="182">
        <f>+ROUND(Q38,2)</f>
        <v>0</v>
      </c>
    </row>
    <row r="42" spans="1:17" ht="16.5" thickBot="1" x14ac:dyDescent="0.25">
      <c r="B42" s="242" t="s">
        <v>243</v>
      </c>
      <c r="C42" s="236"/>
      <c r="D42" s="237"/>
      <c r="E42" s="160">
        <f>ROUND(SUM(E39:E41),2)</f>
        <v>0</v>
      </c>
      <c r="F42" s="161"/>
      <c r="G42" s="236"/>
      <c r="H42" s="237"/>
      <c r="I42" s="160">
        <f>ROUND(SUM(I39:I41),2)</f>
        <v>0</v>
      </c>
      <c r="J42" s="161"/>
      <c r="K42" s="236"/>
      <c r="L42" s="237"/>
      <c r="M42" s="160">
        <f>ROUND(SUM(M39:M41),2)</f>
        <v>0</v>
      </c>
      <c r="N42" s="161"/>
      <c r="O42" s="236"/>
      <c r="P42" s="237"/>
      <c r="Q42" s="160">
        <f>ROUND(SUM(Q39:Q41),2)</f>
        <v>0</v>
      </c>
    </row>
    <row r="43" spans="1:17" ht="16.5" thickBot="1" x14ac:dyDescent="0.25">
      <c r="B43" s="172"/>
      <c r="E43" s="251"/>
      <c r="F43" s="251"/>
      <c r="G43" s="251"/>
      <c r="H43" s="251"/>
      <c r="I43" s="251"/>
      <c r="J43" s="251"/>
      <c r="K43" s="251"/>
      <c r="N43" s="187"/>
      <c r="O43" s="251"/>
    </row>
    <row r="44" spans="1:17" ht="16.5" thickBot="1" x14ac:dyDescent="0.3">
      <c r="B44" s="620" t="str">
        <f>B13</f>
        <v>CLIN 0003 (CPIF)                                                    TASK 1.04 Material - DELIVERY OF SIL TO TO GOVERNMENT</v>
      </c>
      <c r="C44" s="594" t="s">
        <v>318</v>
      </c>
      <c r="D44" s="595"/>
      <c r="E44" s="596"/>
      <c r="F44" s="175"/>
      <c r="G44" s="594" t="s">
        <v>318</v>
      </c>
      <c r="H44" s="595"/>
      <c r="I44" s="596"/>
      <c r="J44" s="175"/>
      <c r="K44" s="594" t="s">
        <v>318</v>
      </c>
      <c r="L44" s="595"/>
      <c r="M44" s="596"/>
      <c r="N44" s="175"/>
      <c r="O44" s="594" t="s">
        <v>318</v>
      </c>
      <c r="P44" s="595"/>
      <c r="Q44" s="596"/>
    </row>
    <row r="45" spans="1:17" ht="27.75" customHeight="1" thickBot="1" x14ac:dyDescent="0.3">
      <c r="B45" s="621"/>
      <c r="C45" s="617" t="str">
        <f>C31</f>
        <v>CLIN 0003 - Basic Period (Year 1)</v>
      </c>
      <c r="D45" s="618"/>
      <c r="E45" s="619"/>
      <c r="F45" s="176"/>
      <c r="G45" s="617" t="str">
        <f>G31</f>
        <v>CLIN 0003 - Basic Period (Year 2)</v>
      </c>
      <c r="H45" s="618"/>
      <c r="I45" s="619"/>
      <c r="J45" s="176"/>
      <c r="K45" s="617" t="str">
        <f>K31</f>
        <v>CLIN 0003 - Basic Period (Year 3)</v>
      </c>
      <c r="L45" s="618"/>
      <c r="M45" s="619"/>
      <c r="N45" s="176"/>
      <c r="O45" s="617" t="str">
        <f>O31</f>
        <v>CLIN 0003 - Basic Period (Year 4)</v>
      </c>
      <c r="P45" s="618"/>
      <c r="Q45" s="619"/>
    </row>
    <row r="46" spans="1:17" x14ac:dyDescent="0.25">
      <c r="B46" s="248"/>
      <c r="C46" s="153" t="s">
        <v>399</v>
      </c>
      <c r="D46" s="154" t="s">
        <v>396</v>
      </c>
      <c r="E46" s="155" t="s">
        <v>397</v>
      </c>
      <c r="F46" s="166"/>
      <c r="G46" s="153" t="s">
        <v>399</v>
      </c>
      <c r="H46" s="154" t="s">
        <v>396</v>
      </c>
      <c r="I46" s="155" t="s">
        <v>397</v>
      </c>
      <c r="J46" s="166"/>
      <c r="K46" s="153" t="s">
        <v>399</v>
      </c>
      <c r="L46" s="154" t="s">
        <v>396</v>
      </c>
      <c r="M46" s="155" t="s">
        <v>397</v>
      </c>
      <c r="N46" s="166"/>
      <c r="O46" s="153" t="s">
        <v>399</v>
      </c>
      <c r="P46" s="154" t="s">
        <v>396</v>
      </c>
      <c r="Q46" s="155" t="s">
        <v>397</v>
      </c>
    </row>
    <row r="47" spans="1:17" ht="25.5" x14ac:dyDescent="0.2">
      <c r="B47" s="300" t="s">
        <v>560</v>
      </c>
      <c r="C47" s="285"/>
      <c r="D47" s="285"/>
      <c r="E47" s="345">
        <f>'PRIME CPIF TOTAL SUB'!E32</f>
        <v>0</v>
      </c>
      <c r="F47" s="288"/>
      <c r="G47" s="231"/>
      <c r="H47" s="285"/>
      <c r="I47" s="345">
        <f>'PRIME CPIF TOTAL SUB'!G32</f>
        <v>0</v>
      </c>
      <c r="J47" s="288"/>
      <c r="K47" s="231"/>
      <c r="L47" s="285"/>
      <c r="M47" s="345">
        <f>'PRIME CPIF TOTAL SUB'!I32</f>
        <v>0</v>
      </c>
      <c r="N47" s="165"/>
      <c r="O47" s="231"/>
      <c r="P47" s="285"/>
      <c r="Q47" s="345">
        <f>'PRIME CPIF TOTAL SUB'!K32</f>
        <v>0</v>
      </c>
    </row>
    <row r="48" spans="1:17" ht="76.5" x14ac:dyDescent="0.2">
      <c r="B48" s="344" t="s">
        <v>613</v>
      </c>
      <c r="C48" s="624" t="s">
        <v>5</v>
      </c>
      <c r="D48" s="625"/>
      <c r="E48" s="626"/>
      <c r="F48" s="178"/>
      <c r="G48" s="627"/>
      <c r="H48" s="625"/>
      <c r="I48" s="626"/>
      <c r="J48" s="178"/>
      <c r="K48" s="627"/>
      <c r="L48" s="625"/>
      <c r="M48" s="626"/>
      <c r="N48" s="178"/>
      <c r="O48" s="627"/>
      <c r="P48" s="625"/>
      <c r="Q48" s="626"/>
    </row>
    <row r="49" spans="1:17" x14ac:dyDescent="0.2">
      <c r="B49" s="287" t="str">
        <f>'PRIME CPIF RATES (ALL)'!B44</f>
        <v>Indirect Category: [Overhead]</v>
      </c>
      <c r="C49" s="286">
        <f>E47</f>
        <v>0</v>
      </c>
      <c r="D49" s="243">
        <f>'PRIME CPIF RATES (ALL)'!C44</f>
        <v>0</v>
      </c>
      <c r="E49" s="168">
        <f>ROUND(C49*D49,2)</f>
        <v>0</v>
      </c>
      <c r="F49" s="178"/>
      <c r="G49" s="215">
        <f>I47</f>
        <v>0</v>
      </c>
      <c r="H49" s="243">
        <f>'PRIME CPIF RATES (ALL)'!D44</f>
        <v>0</v>
      </c>
      <c r="I49" s="168">
        <f>ROUND(G49*H49,2)</f>
        <v>0</v>
      </c>
      <c r="J49" s="178"/>
      <c r="K49" s="215">
        <f>M47</f>
        <v>0</v>
      </c>
      <c r="L49" s="243">
        <f>'PRIME CPIF RATES (ALL)'!E44</f>
        <v>0</v>
      </c>
      <c r="M49" s="168">
        <f>ROUND(K49*L49,2)</f>
        <v>0</v>
      </c>
      <c r="N49" s="178"/>
      <c r="O49" s="215">
        <f>Q47</f>
        <v>0</v>
      </c>
      <c r="P49" s="243">
        <f>'PRIME CPIF RATES (ALL)'!F44</f>
        <v>0</v>
      </c>
      <c r="Q49" s="168">
        <f>ROUND(O49*P49,2)</f>
        <v>0</v>
      </c>
    </row>
    <row r="50" spans="1:17" x14ac:dyDescent="0.2">
      <c r="B50" s="287" t="str">
        <f>'PRIME CPIF RATES (ALL)'!B45</f>
        <v>Indirect Category: [G&amp;A]</v>
      </c>
      <c r="C50" s="286">
        <f>C49+E49</f>
        <v>0</v>
      </c>
      <c r="D50" s="243">
        <f>'PRIME CPIF RATES (ALL)'!C45</f>
        <v>0</v>
      </c>
      <c r="E50" s="168">
        <f>ROUND(C50*D50,2)</f>
        <v>0</v>
      </c>
      <c r="F50" s="288"/>
      <c r="G50" s="286">
        <f>G49+I49</f>
        <v>0</v>
      </c>
      <c r="H50" s="243">
        <f>'PRIME CPIF RATES (ALL)'!D45</f>
        <v>0</v>
      </c>
      <c r="I50" s="168">
        <f>ROUND(G50*H50,2)</f>
        <v>0</v>
      </c>
      <c r="J50" s="288"/>
      <c r="K50" s="286">
        <f>K49+M49</f>
        <v>0</v>
      </c>
      <c r="L50" s="243">
        <f>'PRIME CPIF RATES (ALL)'!E45</f>
        <v>0</v>
      </c>
      <c r="M50" s="168">
        <f>ROUND(K50*L50,2)</f>
        <v>0</v>
      </c>
      <c r="N50" s="165"/>
      <c r="O50" s="286">
        <f>O49+Q49</f>
        <v>0</v>
      </c>
      <c r="P50" s="243">
        <f>'PRIME CPIF RATES (ALL)'!F45</f>
        <v>0</v>
      </c>
      <c r="Q50" s="168">
        <f>ROUND(O50*P50,2)</f>
        <v>0</v>
      </c>
    </row>
    <row r="51" spans="1:17" x14ac:dyDescent="0.2">
      <c r="B51" s="351" t="str">
        <f>'PRIME CPIF RATES (ALL)'!B46</f>
        <v>Indirect Category: [FCCOM]</v>
      </c>
      <c r="C51" s="215">
        <f>C50+E50</f>
        <v>0</v>
      </c>
      <c r="D51" s="243">
        <f>'PRIME CPIF RATES (ALL)'!C46</f>
        <v>0</v>
      </c>
      <c r="E51" s="353">
        <f>ROUND(C51*D51,2)</f>
        <v>0</v>
      </c>
      <c r="F51" s="288"/>
      <c r="G51" s="215">
        <f>G50+I50</f>
        <v>0</v>
      </c>
      <c r="H51" s="243">
        <f>'PRIME CPIF RATES (ALL)'!D46</f>
        <v>0</v>
      </c>
      <c r="I51" s="353">
        <f>ROUND(G51*H51,2)</f>
        <v>0</v>
      </c>
      <c r="J51" s="288"/>
      <c r="K51" s="215">
        <f>K50+M50</f>
        <v>0</v>
      </c>
      <c r="L51" s="243">
        <f>'PRIME CPIF RATES (ALL)'!E46</f>
        <v>0</v>
      </c>
      <c r="M51" s="353">
        <f>ROUND(K51*L51,2)</f>
        <v>0</v>
      </c>
      <c r="N51" s="165"/>
      <c r="O51" s="215">
        <f>O50+Q50</f>
        <v>0</v>
      </c>
      <c r="P51" s="243">
        <f>'PRIME CPIF RATES (ALL)'!F46</f>
        <v>0</v>
      </c>
      <c r="Q51" s="353">
        <f>ROUND(O51*P51,2)</f>
        <v>0</v>
      </c>
    </row>
    <row r="52" spans="1:17" x14ac:dyDescent="0.2">
      <c r="B52" s="167" t="str">
        <f>'PRIME CPIF RATES (ALL)'!B47</f>
        <v>Indirect Category: [Target Fee]</v>
      </c>
      <c r="C52" s="214">
        <f>C50+E50</f>
        <v>0</v>
      </c>
      <c r="D52" s="354">
        <f>'PRIME CPIF RATES (ALL)'!C47</f>
        <v>0</v>
      </c>
      <c r="E52" s="353">
        <f>ROUND(C52*D52,2)</f>
        <v>0</v>
      </c>
      <c r="F52" s="288"/>
      <c r="G52" s="214">
        <f>G50+I50</f>
        <v>0</v>
      </c>
      <c r="H52" s="354">
        <f>'PRIME CPIF RATES (ALL)'!D47</f>
        <v>0</v>
      </c>
      <c r="I52" s="353">
        <f>ROUND(G52*H52,2)</f>
        <v>0</v>
      </c>
      <c r="J52" s="288"/>
      <c r="K52" s="214">
        <f>K50+M50</f>
        <v>0</v>
      </c>
      <c r="L52" s="354">
        <f>'PRIME CPIF RATES (ALL)'!E47</f>
        <v>0</v>
      </c>
      <c r="M52" s="353">
        <f>ROUND(K52*L52,2)</f>
        <v>0</v>
      </c>
      <c r="N52" s="165"/>
      <c r="O52" s="214">
        <f>O50+Q50</f>
        <v>0</v>
      </c>
      <c r="P52" s="354">
        <f>'PRIME CPIF RATES (ALL)'!F47</f>
        <v>0</v>
      </c>
      <c r="Q52" s="353">
        <f>ROUND(O52*P52,2)</f>
        <v>0</v>
      </c>
    </row>
    <row r="53" spans="1:17" x14ac:dyDescent="0.2">
      <c r="B53" s="241" t="s">
        <v>320</v>
      </c>
      <c r="C53" s="233"/>
      <c r="D53" s="234"/>
      <c r="E53" s="168">
        <f>ROUND(E47+E49+E50,2)</f>
        <v>0</v>
      </c>
      <c r="F53" s="288"/>
      <c r="G53" s="233"/>
      <c r="H53" s="234"/>
      <c r="I53" s="168">
        <f>ROUND(I47+I49+I50,2)</f>
        <v>0</v>
      </c>
      <c r="J53" s="288"/>
      <c r="K53" s="233"/>
      <c r="L53" s="234"/>
      <c r="M53" s="168">
        <f>ROUND(M47+M49+M50,2)</f>
        <v>0</v>
      </c>
      <c r="N53" s="165"/>
      <c r="O53" s="233"/>
      <c r="P53" s="234"/>
      <c r="Q53" s="168">
        <f>ROUND(Q47+Q49+Q50,2)</f>
        <v>0</v>
      </c>
    </row>
    <row r="54" spans="1:17" x14ac:dyDescent="0.2">
      <c r="B54" s="241" t="s">
        <v>298</v>
      </c>
      <c r="C54" s="231"/>
      <c r="D54" s="235"/>
      <c r="E54" s="168">
        <f>ROUND(E51,2)</f>
        <v>0</v>
      </c>
      <c r="F54" s="288"/>
      <c r="G54" s="231"/>
      <c r="H54" s="235"/>
      <c r="I54" s="168">
        <f>ROUND(I51,2)</f>
        <v>0</v>
      </c>
      <c r="J54" s="288"/>
      <c r="K54" s="231"/>
      <c r="L54" s="235"/>
      <c r="M54" s="168">
        <f>ROUND(M51,2)</f>
        <v>0</v>
      </c>
      <c r="N54" s="165"/>
      <c r="O54" s="231"/>
      <c r="P54" s="235"/>
      <c r="Q54" s="168">
        <f>ROUND(Q51,2)</f>
        <v>0</v>
      </c>
    </row>
    <row r="55" spans="1:17" x14ac:dyDescent="0.2">
      <c r="B55" s="241" t="s">
        <v>136</v>
      </c>
      <c r="C55" s="231"/>
      <c r="D55" s="235"/>
      <c r="E55" s="182">
        <f>ROUND(E52,2)</f>
        <v>0</v>
      </c>
      <c r="F55" s="183"/>
      <c r="G55" s="231"/>
      <c r="H55" s="235"/>
      <c r="I55" s="182">
        <f>ROUND(I52,2)</f>
        <v>0</v>
      </c>
      <c r="J55" s="183"/>
      <c r="K55" s="231"/>
      <c r="L55" s="235"/>
      <c r="M55" s="182">
        <f>ROUND(M52,2)</f>
        <v>0</v>
      </c>
      <c r="N55" s="183"/>
      <c r="O55" s="231"/>
      <c r="P55" s="235"/>
      <c r="Q55" s="182">
        <f>ROUND(Q52,2)</f>
        <v>0</v>
      </c>
    </row>
    <row r="56" spans="1:17" ht="16.5" thickBot="1" x14ac:dyDescent="0.25">
      <c r="B56" s="242" t="s">
        <v>321</v>
      </c>
      <c r="C56" s="236"/>
      <c r="D56" s="237"/>
      <c r="E56" s="160">
        <f>ROUND(SUM(E53:E55),2)</f>
        <v>0</v>
      </c>
      <c r="F56" s="161"/>
      <c r="G56" s="236"/>
      <c r="H56" s="237"/>
      <c r="I56" s="160">
        <f>ROUND(SUM(I53:I55),2)</f>
        <v>0</v>
      </c>
      <c r="J56" s="161"/>
      <c r="K56" s="236"/>
      <c r="L56" s="237"/>
      <c r="M56" s="160">
        <f>ROUND(SUM(M53:M55),2)</f>
        <v>0</v>
      </c>
      <c r="N56" s="161"/>
      <c r="O56" s="236"/>
      <c r="P56" s="237"/>
      <c r="Q56" s="160">
        <f>ROUND(SUM(Q53:Q55),2)</f>
        <v>0</v>
      </c>
    </row>
    <row r="57" spans="1:17" ht="16.5" thickBot="1" x14ac:dyDescent="0.25">
      <c r="B57" s="172"/>
      <c r="E57" s="251"/>
      <c r="F57" s="251"/>
      <c r="G57" s="251"/>
      <c r="H57" s="251"/>
      <c r="I57" s="251"/>
      <c r="J57" s="251"/>
      <c r="K57" s="251"/>
      <c r="N57" s="187"/>
      <c r="O57" s="251"/>
    </row>
    <row r="58" spans="1:17" ht="16.5" customHeight="1" thickBot="1" x14ac:dyDescent="0.3">
      <c r="A58" s="193"/>
      <c r="B58" s="620" t="str">
        <f>B30</f>
        <v>CLIN 0003 (CPIF)                                                    TASK 1.04 Material - DELIVERY OF SIL TO TO GOVERNMENT</v>
      </c>
      <c r="C58" s="594" t="s">
        <v>146</v>
      </c>
      <c r="D58" s="595"/>
      <c r="E58" s="596"/>
      <c r="F58" s="175"/>
      <c r="G58" s="594" t="s">
        <v>147</v>
      </c>
      <c r="H58" s="595"/>
      <c r="I58" s="596"/>
      <c r="J58" s="175"/>
      <c r="K58" s="594" t="s">
        <v>147</v>
      </c>
      <c r="L58" s="595"/>
      <c r="M58" s="596"/>
      <c r="N58" s="175"/>
      <c r="O58" s="594" t="s">
        <v>147</v>
      </c>
      <c r="P58" s="595"/>
      <c r="Q58" s="596"/>
    </row>
    <row r="59" spans="1:17" ht="33.75" customHeight="1" thickBot="1" x14ac:dyDescent="0.3">
      <c r="A59" s="193"/>
      <c r="B59" s="621"/>
      <c r="C59" s="591" t="str">
        <f>C31</f>
        <v>CLIN 0003 - Basic Period (Year 1)</v>
      </c>
      <c r="D59" s="592"/>
      <c r="E59" s="593"/>
      <c r="F59" s="176"/>
      <c r="G59" s="591" t="str">
        <f>G31</f>
        <v>CLIN 0003 - Basic Period (Year 2)</v>
      </c>
      <c r="H59" s="592"/>
      <c r="I59" s="593"/>
      <c r="J59" s="176"/>
      <c r="K59" s="591" t="str">
        <f>K31</f>
        <v>CLIN 0003 - Basic Period (Year 3)</v>
      </c>
      <c r="L59" s="592"/>
      <c r="M59" s="593"/>
      <c r="N59" s="176"/>
      <c r="O59" s="591" t="str">
        <f>O31</f>
        <v>CLIN 0003 - Basic Period (Year 4)</v>
      </c>
      <c r="P59" s="592"/>
      <c r="Q59" s="593"/>
    </row>
    <row r="60" spans="1:17" x14ac:dyDescent="0.25">
      <c r="A60" s="193"/>
      <c r="B60" s="248"/>
      <c r="C60" s="153" t="s">
        <v>399</v>
      </c>
      <c r="D60" s="154" t="s">
        <v>396</v>
      </c>
      <c r="E60" s="155" t="s">
        <v>153</v>
      </c>
      <c r="F60" s="166"/>
      <c r="G60" s="153" t="s">
        <v>399</v>
      </c>
      <c r="H60" s="154" t="s">
        <v>396</v>
      </c>
      <c r="I60" s="155" t="s">
        <v>153</v>
      </c>
      <c r="J60" s="166"/>
      <c r="K60" s="153" t="s">
        <v>399</v>
      </c>
      <c r="L60" s="154" t="s">
        <v>396</v>
      </c>
      <c r="M60" s="155" t="s">
        <v>153</v>
      </c>
      <c r="N60" s="166"/>
      <c r="O60" s="153" t="s">
        <v>399</v>
      </c>
      <c r="P60" s="154" t="s">
        <v>396</v>
      </c>
      <c r="Q60" s="155" t="s">
        <v>153</v>
      </c>
    </row>
    <row r="61" spans="1:17" ht="26.25" x14ac:dyDescent="0.25">
      <c r="A61" s="193"/>
      <c r="B61" s="300" t="s">
        <v>561</v>
      </c>
      <c r="C61" s="231"/>
      <c r="D61" s="232"/>
      <c r="E61" s="345">
        <f>'PRIME CPIF TOTAL ODC'!E32</f>
        <v>0</v>
      </c>
      <c r="F61" s="165"/>
      <c r="G61" s="231"/>
      <c r="H61" s="232"/>
      <c r="I61" s="345">
        <f>'PRIME CPIF TOTAL ODC'!G32</f>
        <v>0</v>
      </c>
      <c r="J61" s="165"/>
      <c r="K61" s="231"/>
      <c r="L61" s="232"/>
      <c r="M61" s="400">
        <f>'PRIME CPIF TOTAL ODC'!I32</f>
        <v>0</v>
      </c>
      <c r="N61" s="165"/>
      <c r="O61" s="231"/>
      <c r="P61" s="232"/>
      <c r="Q61" s="400">
        <f>'PRIME CPIF TOTAL ODC'!K32</f>
        <v>0</v>
      </c>
    </row>
    <row r="62" spans="1:17" ht="66" customHeight="1" x14ac:dyDescent="0.25">
      <c r="A62" s="193"/>
      <c r="B62" s="490" t="s">
        <v>614</v>
      </c>
      <c r="C62" s="404"/>
      <c r="D62" s="404"/>
      <c r="E62" s="403"/>
      <c r="F62" s="288"/>
      <c r="G62" s="405"/>
      <c r="H62" s="404"/>
      <c r="I62" s="403"/>
      <c r="J62" s="288"/>
      <c r="K62" s="405"/>
      <c r="L62" s="404"/>
      <c r="M62" s="400"/>
      <c r="N62" s="165"/>
      <c r="O62" s="405"/>
      <c r="P62" s="404"/>
      <c r="Q62" s="400"/>
    </row>
    <row r="63" spans="1:17" x14ac:dyDescent="0.25">
      <c r="A63" s="193"/>
      <c r="B63" s="167" t="s">
        <v>125</v>
      </c>
      <c r="C63" s="392">
        <f>+E61</f>
        <v>0</v>
      </c>
      <c r="D63" s="243">
        <f>'PRIME CPIF RATES (ALL)'!C60</f>
        <v>0</v>
      </c>
      <c r="E63" s="168">
        <f>ROUND(C63*D63,2)</f>
        <v>0</v>
      </c>
      <c r="F63" s="178"/>
      <c r="G63" s="392">
        <f>+I61</f>
        <v>0</v>
      </c>
      <c r="H63" s="243">
        <f>'PRIME CPIF RATES (ALL)'!D60</f>
        <v>0</v>
      </c>
      <c r="I63" s="168">
        <f>ROUND(G63*H63,2)</f>
        <v>0</v>
      </c>
      <c r="J63" s="178"/>
      <c r="K63" s="392">
        <f>+M61</f>
        <v>0</v>
      </c>
      <c r="L63" s="243">
        <f>'PRIME CPIF RATES (ALL)'!E60</f>
        <v>0</v>
      </c>
      <c r="M63" s="168">
        <f>ROUND(K63*L63,2)</f>
        <v>0</v>
      </c>
      <c r="N63" s="178"/>
      <c r="O63" s="392">
        <f>+Q61</f>
        <v>0</v>
      </c>
      <c r="P63" s="243">
        <f>'PRIME CPIF RATES (ALL)'!F60</f>
        <v>0</v>
      </c>
      <c r="Q63" s="168">
        <f>ROUND(O63*P63,2)</f>
        <v>0</v>
      </c>
    </row>
    <row r="64" spans="1:17" x14ac:dyDescent="0.25">
      <c r="A64" s="193"/>
      <c r="B64" s="167" t="s">
        <v>126</v>
      </c>
      <c r="C64" s="392">
        <f>+C63+E63</f>
        <v>0</v>
      </c>
      <c r="D64" s="243">
        <f>'PRIME CPIF RATES (ALL)'!C61</f>
        <v>0</v>
      </c>
      <c r="E64" s="168">
        <f>ROUND(C64*D64,2)</f>
        <v>0</v>
      </c>
      <c r="F64" s="178"/>
      <c r="G64" s="392">
        <f>+G63+I63</f>
        <v>0</v>
      </c>
      <c r="H64" s="243">
        <f>'PRIME CPIF RATES (ALL)'!D61</f>
        <v>0</v>
      </c>
      <c r="I64" s="168">
        <f>ROUND(G64*H64,2)</f>
        <v>0</v>
      </c>
      <c r="J64" s="178"/>
      <c r="K64" s="392">
        <f>+K63+M63</f>
        <v>0</v>
      </c>
      <c r="L64" s="243">
        <f>'PRIME CPIF RATES (ALL)'!E61</f>
        <v>0</v>
      </c>
      <c r="M64" s="168">
        <f>ROUND(K64*L64,2)</f>
        <v>0</v>
      </c>
      <c r="N64" s="178"/>
      <c r="O64" s="392">
        <f>+O63+Q63</f>
        <v>0</v>
      </c>
      <c r="P64" s="243">
        <f>'PRIME CPIF RATES (ALL)'!F61</f>
        <v>0</v>
      </c>
      <c r="Q64" s="168">
        <f>ROUND(O64*P64,2)</f>
        <v>0</v>
      </c>
    </row>
    <row r="65" spans="1:17" x14ac:dyDescent="0.25">
      <c r="A65" s="193"/>
      <c r="B65" s="167" t="s">
        <v>566</v>
      </c>
      <c r="C65" s="215">
        <f>C64+E64</f>
        <v>0</v>
      </c>
      <c r="D65" s="243">
        <f>'PRIME CPIF RATES (ALL)'!C62</f>
        <v>0</v>
      </c>
      <c r="E65" s="168">
        <f>ROUND(C65*D65,2)</f>
        <v>0</v>
      </c>
      <c r="F65" s="165"/>
      <c r="G65" s="215">
        <f>G64+I64</f>
        <v>0</v>
      </c>
      <c r="H65" s="243">
        <f>'PRIME CPIF RATES (ALL)'!D62</f>
        <v>0</v>
      </c>
      <c r="I65" s="168">
        <f>ROUND(G65*H65,2)</f>
        <v>0</v>
      </c>
      <c r="J65" s="165"/>
      <c r="K65" s="215">
        <f>K64+M64</f>
        <v>0</v>
      </c>
      <c r="L65" s="243">
        <f>'PRIME CPIF RATES (ALL)'!E62</f>
        <v>0</v>
      </c>
      <c r="M65" s="168">
        <f>ROUND(K65*L65,2)</f>
        <v>0</v>
      </c>
      <c r="N65" s="165"/>
      <c r="O65" s="215">
        <f>O64+Q64</f>
        <v>0</v>
      </c>
      <c r="P65" s="243">
        <f>'PRIME CPIF RATES (ALL)'!F62</f>
        <v>0</v>
      </c>
      <c r="Q65" s="168">
        <f>ROUND(O65*P65,2)</f>
        <v>0</v>
      </c>
    </row>
    <row r="66" spans="1:17" x14ac:dyDescent="0.25">
      <c r="A66" s="193"/>
      <c r="B66" s="167" t="s">
        <v>127</v>
      </c>
      <c r="C66" s="392">
        <f>+C64+E64</f>
        <v>0</v>
      </c>
      <c r="D66" s="354">
        <f>'PRIME CPIF RATES (ALL)'!C63</f>
        <v>0</v>
      </c>
      <c r="E66" s="168">
        <f>ROUND(C66*D66,2)</f>
        <v>0</v>
      </c>
      <c r="F66" s="165"/>
      <c r="G66" s="392">
        <f>+G64+I64</f>
        <v>0</v>
      </c>
      <c r="H66" s="354">
        <f>'PRIME CPIF RATES (ALL)'!D63</f>
        <v>0</v>
      </c>
      <c r="I66" s="168">
        <f>ROUND(G66*H66,2)</f>
        <v>0</v>
      </c>
      <c r="J66" s="165"/>
      <c r="K66" s="392">
        <f>+K64+M64</f>
        <v>0</v>
      </c>
      <c r="L66" s="354">
        <f>'PRIME CPIF RATES (ALL)'!E63</f>
        <v>0</v>
      </c>
      <c r="M66" s="168">
        <f>ROUND(K66*L66,2)</f>
        <v>0</v>
      </c>
      <c r="N66" s="165"/>
      <c r="O66" s="392">
        <f>+O64+Q64</f>
        <v>0</v>
      </c>
      <c r="P66" s="354">
        <f>'PRIME CPIF RATES (ALL)'!F63</f>
        <v>0</v>
      </c>
      <c r="Q66" s="168">
        <f>ROUND(O66*P66,2)</f>
        <v>0</v>
      </c>
    </row>
    <row r="67" spans="1:17" x14ac:dyDescent="0.25">
      <c r="A67" s="193"/>
      <c r="B67" s="241" t="s">
        <v>260</v>
      </c>
      <c r="C67" s="233"/>
      <c r="D67" s="234"/>
      <c r="E67" s="168">
        <f>+ROUND(SUM(E61:E64),2)</f>
        <v>0</v>
      </c>
      <c r="F67" s="165"/>
      <c r="G67" s="233"/>
      <c r="H67" s="234"/>
      <c r="I67" s="168">
        <f>+ROUND(SUM(I61:I64),2)</f>
        <v>0</v>
      </c>
      <c r="J67" s="165"/>
      <c r="K67" s="233"/>
      <c r="L67" s="234"/>
      <c r="M67" s="168">
        <f>+ROUND(SUM(M61:M64),2)</f>
        <v>0</v>
      </c>
      <c r="N67" s="165"/>
      <c r="O67" s="233"/>
      <c r="P67" s="234"/>
      <c r="Q67" s="168">
        <f>+ROUND(SUM(Q61:Q64),2)</f>
        <v>0</v>
      </c>
    </row>
    <row r="68" spans="1:17" x14ac:dyDescent="0.25">
      <c r="A68" s="193"/>
      <c r="B68" s="241" t="s">
        <v>137</v>
      </c>
      <c r="C68" s="231"/>
      <c r="D68" s="235"/>
      <c r="E68" s="168">
        <f>+ROUND(E65,2)</f>
        <v>0</v>
      </c>
      <c r="F68" s="165"/>
      <c r="G68" s="231"/>
      <c r="H68" s="235"/>
      <c r="I68" s="168">
        <f>+ROUND(I65,2)</f>
        <v>0</v>
      </c>
      <c r="J68" s="165"/>
      <c r="K68" s="231"/>
      <c r="L68" s="235"/>
      <c r="M68" s="168">
        <f>+ROUND(M65,2)</f>
        <v>0</v>
      </c>
      <c r="N68" s="165"/>
      <c r="O68" s="231"/>
      <c r="P68" s="235"/>
      <c r="Q68" s="168">
        <f>+ROUND(Q65,2)</f>
        <v>0</v>
      </c>
    </row>
    <row r="69" spans="1:17" x14ac:dyDescent="0.2">
      <c r="A69" s="186"/>
      <c r="B69" s="241" t="s">
        <v>136</v>
      </c>
      <c r="C69" s="231"/>
      <c r="D69" s="235"/>
      <c r="E69" s="182">
        <f>+ROUND(E66,2)</f>
        <v>0</v>
      </c>
      <c r="F69" s="183"/>
      <c r="G69" s="231"/>
      <c r="H69" s="235"/>
      <c r="I69" s="182">
        <f>+ROUND(I66,2)</f>
        <v>0</v>
      </c>
      <c r="J69" s="183"/>
      <c r="K69" s="231"/>
      <c r="L69" s="235"/>
      <c r="M69" s="182">
        <f>+ROUND(M66,2)</f>
        <v>0</v>
      </c>
      <c r="N69" s="183"/>
      <c r="O69" s="231"/>
      <c r="P69" s="235"/>
      <c r="Q69" s="182">
        <f>+ROUND(Q66,2)</f>
        <v>0</v>
      </c>
    </row>
    <row r="70" spans="1:17" ht="16.5" thickBot="1" x14ac:dyDescent="0.25">
      <c r="A70" s="186"/>
      <c r="B70" s="242" t="s">
        <v>244</v>
      </c>
      <c r="C70" s="236"/>
      <c r="D70" s="237"/>
      <c r="E70" s="160">
        <f>ROUND(SUM(E67:E69),2)</f>
        <v>0</v>
      </c>
      <c r="F70" s="161"/>
      <c r="G70" s="236"/>
      <c r="H70" s="237"/>
      <c r="I70" s="160">
        <f>ROUND(SUM(I67:I69),2)</f>
        <v>0</v>
      </c>
      <c r="J70" s="161"/>
      <c r="K70" s="236"/>
      <c r="L70" s="237"/>
      <c r="M70" s="160">
        <f>ROUND(SUM(M67:M69),2)</f>
        <v>0</v>
      </c>
      <c r="N70" s="161"/>
      <c r="O70" s="236"/>
      <c r="P70" s="237"/>
      <c r="Q70" s="160">
        <f>ROUND(SUM(Q67:Q69),2)</f>
        <v>0</v>
      </c>
    </row>
    <row r="71" spans="1:17" ht="16.5" thickBot="1" x14ac:dyDescent="0.25">
      <c r="A71" s="186"/>
      <c r="B71" s="172"/>
      <c r="E71" s="251"/>
      <c r="F71" s="251"/>
      <c r="G71" s="251"/>
      <c r="H71" s="251"/>
      <c r="I71" s="251"/>
      <c r="J71" s="251"/>
      <c r="K71" s="251"/>
      <c r="N71" s="187"/>
      <c r="O71" s="251"/>
    </row>
    <row r="72" spans="1:17" ht="16.5" thickBot="1" x14ac:dyDescent="0.3">
      <c r="A72" s="186"/>
      <c r="B72" s="628" t="str">
        <f>B58</f>
        <v>CLIN 0003 (CPIF)                                                    TASK 1.04 Material - DELIVERY OF SIL TO TO GOVERNMENT</v>
      </c>
      <c r="C72" s="614" t="s">
        <v>319</v>
      </c>
      <c r="D72" s="615"/>
      <c r="E72" s="616"/>
      <c r="F72" s="175"/>
      <c r="G72" s="614" t="s">
        <v>319</v>
      </c>
      <c r="H72" s="615"/>
      <c r="I72" s="616"/>
      <c r="J72" s="175"/>
      <c r="K72" s="614" t="s">
        <v>319</v>
      </c>
      <c r="L72" s="615"/>
      <c r="M72" s="616"/>
      <c r="N72" s="175"/>
      <c r="O72" s="614" t="s">
        <v>319</v>
      </c>
      <c r="P72" s="615"/>
      <c r="Q72" s="616"/>
    </row>
    <row r="73" spans="1:17" ht="33.75" customHeight="1" thickBot="1" x14ac:dyDescent="0.3">
      <c r="A73" s="186"/>
      <c r="B73" s="629"/>
      <c r="C73" s="280"/>
      <c r="D73" s="281"/>
      <c r="E73" s="188" t="s">
        <v>371</v>
      </c>
      <c r="F73" s="189"/>
      <c r="G73" s="280"/>
      <c r="H73" s="281"/>
      <c r="I73" s="188" t="s">
        <v>372</v>
      </c>
      <c r="J73" s="189"/>
      <c r="K73" s="280"/>
      <c r="L73" s="281"/>
      <c r="M73" s="188" t="s">
        <v>373</v>
      </c>
      <c r="N73" s="189"/>
      <c r="O73" s="280"/>
      <c r="P73" s="281"/>
      <c r="Q73" s="188" t="s">
        <v>374</v>
      </c>
    </row>
    <row r="74" spans="1:17" x14ac:dyDescent="0.2">
      <c r="A74" s="186"/>
      <c r="B74" s="167" t="s">
        <v>261</v>
      </c>
      <c r="C74" s="282"/>
      <c r="D74" s="282"/>
      <c r="E74" s="190">
        <f>+ROUND(E25+E39+E53+E67,2)</f>
        <v>0</v>
      </c>
      <c r="F74" s="165"/>
      <c r="G74" s="282"/>
      <c r="H74" s="282"/>
      <c r="I74" s="190">
        <f>+ROUND(I25+I39+I53+I67,2)</f>
        <v>0</v>
      </c>
      <c r="J74" s="165"/>
      <c r="K74" s="282"/>
      <c r="L74" s="282"/>
      <c r="M74" s="190">
        <f>+ROUND(M25+M39+M53+M67,2)</f>
        <v>0</v>
      </c>
      <c r="N74" s="165"/>
      <c r="O74" s="282"/>
      <c r="P74" s="282"/>
      <c r="Q74" s="190">
        <f>+ROUND(Q25+Q39+Q53+Q67,2)</f>
        <v>0</v>
      </c>
    </row>
    <row r="75" spans="1:17" x14ac:dyDescent="0.2">
      <c r="A75" s="186"/>
      <c r="B75" s="167" t="s">
        <v>137</v>
      </c>
      <c r="C75" s="282"/>
      <c r="D75" s="282"/>
      <c r="E75" s="168">
        <f>+ROUND(E26+E40+E54+E68,2)</f>
        <v>0</v>
      </c>
      <c r="F75" s="165"/>
      <c r="G75" s="282"/>
      <c r="H75" s="282"/>
      <c r="I75" s="168">
        <f>+ROUND(I26+I40+I54+I68,2)</f>
        <v>0</v>
      </c>
      <c r="J75" s="165"/>
      <c r="K75" s="282"/>
      <c r="L75" s="282"/>
      <c r="M75" s="168">
        <f>+ROUND(M26+M40+M54+M68,2)</f>
        <v>0</v>
      </c>
      <c r="N75" s="165"/>
      <c r="O75" s="282"/>
      <c r="P75" s="282"/>
      <c r="Q75" s="168">
        <f>+ROUND(Q26+Q40+Q54+Q68,2)</f>
        <v>0</v>
      </c>
    </row>
    <row r="76" spans="1:17" x14ac:dyDescent="0.2">
      <c r="A76" s="186"/>
      <c r="B76" s="167" t="s">
        <v>136</v>
      </c>
      <c r="C76" s="282"/>
      <c r="D76" s="282"/>
      <c r="E76" s="169">
        <f>+ROUND(E27+E41+E55+E69,2)</f>
        <v>0</v>
      </c>
      <c r="F76" s="170"/>
      <c r="G76" s="282"/>
      <c r="H76" s="282"/>
      <c r="I76" s="169">
        <f>+ROUND(I27+I41+I55+I69,2)</f>
        <v>0</v>
      </c>
      <c r="J76" s="170"/>
      <c r="K76" s="282"/>
      <c r="L76" s="282"/>
      <c r="M76" s="169">
        <f>+ROUND(M27+M41+M55+M69,2)</f>
        <v>0</v>
      </c>
      <c r="N76" s="170"/>
      <c r="O76" s="282"/>
      <c r="P76" s="282"/>
      <c r="Q76" s="169">
        <f>+ROUND(Q27+Q41+Q55+Q69,2)</f>
        <v>0</v>
      </c>
    </row>
    <row r="77" spans="1:17" ht="32.25" thickBot="1" x14ac:dyDescent="0.3">
      <c r="A77" s="186"/>
      <c r="B77" s="265" t="s">
        <v>545</v>
      </c>
      <c r="C77" s="283"/>
      <c r="D77" s="283"/>
      <c r="E77" s="266">
        <f>SUM(E74:E76)</f>
        <v>0</v>
      </c>
      <c r="F77" s="171"/>
      <c r="G77" s="283"/>
      <c r="H77" s="283"/>
      <c r="I77" s="266">
        <f>SUM(I74:I76)</f>
        <v>0</v>
      </c>
      <c r="J77" s="171"/>
      <c r="K77" s="283"/>
      <c r="L77" s="283"/>
      <c r="M77" s="266">
        <f>SUM(M74:M76)</f>
        <v>0</v>
      </c>
      <c r="N77" s="171"/>
      <c r="O77" s="283"/>
      <c r="P77" s="283"/>
      <c r="Q77" s="266">
        <f>SUM(Q74:Q76)</f>
        <v>0</v>
      </c>
    </row>
    <row r="78" spans="1:17" ht="16.5" thickBot="1" x14ac:dyDescent="0.3"/>
    <row r="79" spans="1:17" ht="31.5" x14ac:dyDescent="0.25">
      <c r="Q79" s="411" t="s">
        <v>546</v>
      </c>
    </row>
    <row r="80" spans="1:17" ht="16.5" thickBot="1" x14ac:dyDescent="0.3">
      <c r="Q80" s="410">
        <f>E77+I77+M77+Q77</f>
        <v>0</v>
      </c>
    </row>
    <row r="82" spans="17:17" x14ac:dyDescent="0.25">
      <c r="Q82" s="470" t="s">
        <v>5</v>
      </c>
    </row>
  </sheetData>
  <mergeCells count="46">
    <mergeCell ref="O72:Q72"/>
    <mergeCell ref="C48:E48"/>
    <mergeCell ref="G48:I48"/>
    <mergeCell ref="K48:M48"/>
    <mergeCell ref="B72:B73"/>
    <mergeCell ref="C72:E72"/>
    <mergeCell ref="G72:I72"/>
    <mergeCell ref="K72:M72"/>
    <mergeCell ref="B58:B59"/>
    <mergeCell ref="C58:E58"/>
    <mergeCell ref="G58:I58"/>
    <mergeCell ref="K58:M58"/>
    <mergeCell ref="O59:Q59"/>
    <mergeCell ref="C59:E59"/>
    <mergeCell ref="G59:I59"/>
    <mergeCell ref="K59:M59"/>
    <mergeCell ref="B30:B31"/>
    <mergeCell ref="C30:E30"/>
    <mergeCell ref="G30:I30"/>
    <mergeCell ref="K30:M30"/>
    <mergeCell ref="C31:E31"/>
    <mergeCell ref="G31:I31"/>
    <mergeCell ref="K31:M31"/>
    <mergeCell ref="A3:C3"/>
    <mergeCell ref="B13:B14"/>
    <mergeCell ref="C13:E13"/>
    <mergeCell ref="G13:I13"/>
    <mergeCell ref="K13:M13"/>
    <mergeCell ref="C14:E14"/>
    <mergeCell ref="G14:I14"/>
    <mergeCell ref="K14:M14"/>
    <mergeCell ref="O13:Q13"/>
    <mergeCell ref="O14:Q14"/>
    <mergeCell ref="O30:Q30"/>
    <mergeCell ref="O31:Q31"/>
    <mergeCell ref="O58:Q58"/>
    <mergeCell ref="O48:Q48"/>
    <mergeCell ref="B44:B45"/>
    <mergeCell ref="C44:E44"/>
    <mergeCell ref="G44:I44"/>
    <mergeCell ref="K44:M44"/>
    <mergeCell ref="O44:Q44"/>
    <mergeCell ref="C45:E45"/>
    <mergeCell ref="G45:I45"/>
    <mergeCell ref="K45:M45"/>
    <mergeCell ref="O45:Q45"/>
  </mergeCell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6DA49E-DAD2-48B3-B46E-6C12715458C1}">
  <dimension ref="A1:S75"/>
  <sheetViews>
    <sheetView zoomScale="80" zoomScaleNormal="80" workbookViewId="0">
      <pane ySplit="7" topLeftCell="A8" activePane="bottomLeft" state="frozen"/>
      <selection pane="bottomLeft" activeCell="C1" sqref="C1"/>
    </sheetView>
    <sheetView workbookViewId="1"/>
  </sheetViews>
  <sheetFormatPr defaultColWidth="15.85546875" defaultRowHeight="15.75" x14ac:dyDescent="0.25"/>
  <cols>
    <col min="1" max="1" width="3.42578125" style="191" customWidth="1"/>
    <col min="2" max="2" width="49.140625" style="174" customWidth="1"/>
    <col min="3" max="3" width="18.28515625" style="186" bestFit="1" customWidth="1"/>
    <col min="4" max="4" width="12.42578125" style="186" bestFit="1" customWidth="1"/>
    <col min="5" max="5" width="32.140625" style="186" bestFit="1" customWidth="1"/>
    <col min="6" max="6" width="1" style="186" customWidth="1"/>
    <col min="7" max="7" width="14.28515625" style="186" customWidth="1"/>
    <col min="8" max="8" width="14.5703125" style="186" customWidth="1"/>
    <col min="9" max="9" width="33.28515625" style="186" bestFit="1" customWidth="1"/>
    <col min="10" max="10" width="1" style="186" customWidth="1"/>
    <col min="11" max="11" width="16.7109375" style="186" customWidth="1"/>
    <col min="12" max="12" width="16.28515625" style="186" customWidth="1"/>
    <col min="13" max="13" width="34" style="186" bestFit="1" customWidth="1"/>
    <col min="14" max="14" width="0.85546875" style="186" customWidth="1"/>
    <col min="15" max="15" width="16.7109375" style="186" customWidth="1"/>
    <col min="16" max="16" width="16.28515625" style="186" customWidth="1"/>
    <col min="17" max="17" width="34" style="186" bestFit="1" customWidth="1"/>
    <col min="18" max="18" width="4.7109375" style="186" customWidth="1"/>
    <col min="19" max="16384" width="15.85546875" style="186"/>
  </cols>
  <sheetData>
    <row r="1" spans="1:17" ht="16.5" thickBot="1" x14ac:dyDescent="0.3">
      <c r="B1" s="126" t="s">
        <v>626</v>
      </c>
      <c r="C1" s="494" t="str">
        <f>'FFP CLINs X007-X021'!B1</f>
        <v>NAME</v>
      </c>
    </row>
    <row r="2" spans="1:17" ht="16.5" thickBot="1" x14ac:dyDescent="0.3"/>
    <row r="3" spans="1:17" ht="31.5" customHeight="1" thickBot="1" x14ac:dyDescent="0.3">
      <c r="A3" s="557" t="s">
        <v>378</v>
      </c>
      <c r="B3" s="558"/>
      <c r="C3" s="559"/>
      <c r="I3" s="251"/>
      <c r="J3" s="251"/>
      <c r="K3" s="251"/>
      <c r="L3" s="251"/>
      <c r="O3" s="251"/>
      <c r="P3" s="251"/>
    </row>
    <row r="4" spans="1:17" x14ac:dyDescent="0.25">
      <c r="I4" s="251"/>
      <c r="J4" s="251"/>
      <c r="K4" s="251"/>
      <c r="L4" s="251"/>
      <c r="O4" s="251"/>
      <c r="P4" s="251"/>
    </row>
    <row r="5" spans="1:17" x14ac:dyDescent="0.2">
      <c r="B5" s="261" t="s">
        <v>130</v>
      </c>
      <c r="C5" s="194"/>
    </row>
    <row r="6" spans="1:17" x14ac:dyDescent="0.25">
      <c r="A6" s="192"/>
      <c r="B6" s="258" t="s">
        <v>163</v>
      </c>
      <c r="C6" s="194"/>
    </row>
    <row r="7" spans="1:17" x14ac:dyDescent="0.25">
      <c r="A7" s="192"/>
      <c r="B7" s="258" t="s">
        <v>617</v>
      </c>
      <c r="C7" s="194"/>
    </row>
    <row r="8" spans="1:17" ht="16.5" thickBot="1" x14ac:dyDescent="0.3"/>
    <row r="9" spans="1:17" ht="16.5" thickBot="1" x14ac:dyDescent="0.3">
      <c r="A9" s="193"/>
      <c r="B9" s="620" t="s">
        <v>377</v>
      </c>
      <c r="C9" s="594" t="s">
        <v>134</v>
      </c>
      <c r="D9" s="595"/>
      <c r="E9" s="596"/>
      <c r="F9" s="151"/>
      <c r="G9" s="594" t="s">
        <v>134</v>
      </c>
      <c r="H9" s="595"/>
      <c r="I9" s="596"/>
      <c r="J9" s="151"/>
      <c r="K9" s="594" t="s">
        <v>134</v>
      </c>
      <c r="L9" s="595"/>
      <c r="M9" s="596"/>
      <c r="N9" s="151"/>
      <c r="O9" s="594" t="s">
        <v>134</v>
      </c>
      <c r="P9" s="595"/>
      <c r="Q9" s="596"/>
    </row>
    <row r="10" spans="1:17" ht="32.25" customHeight="1" thickBot="1" x14ac:dyDescent="0.3">
      <c r="A10" s="193"/>
      <c r="B10" s="621"/>
      <c r="C10" s="617" t="s">
        <v>367</v>
      </c>
      <c r="D10" s="618"/>
      <c r="E10" s="619"/>
      <c r="F10" s="152"/>
      <c r="G10" s="617" t="s">
        <v>368</v>
      </c>
      <c r="H10" s="618"/>
      <c r="I10" s="619"/>
      <c r="J10" s="152"/>
      <c r="K10" s="617" t="s">
        <v>369</v>
      </c>
      <c r="L10" s="618"/>
      <c r="M10" s="619"/>
      <c r="N10" s="152"/>
      <c r="O10" s="617" t="s">
        <v>370</v>
      </c>
      <c r="P10" s="618"/>
      <c r="Q10" s="619"/>
    </row>
    <row r="11" spans="1:17" x14ac:dyDescent="0.25">
      <c r="A11" s="193"/>
      <c r="B11" s="153" t="s">
        <v>110</v>
      </c>
      <c r="C11" s="153" t="s">
        <v>91</v>
      </c>
      <c r="D11" s="154" t="s">
        <v>133</v>
      </c>
      <c r="E11" s="155" t="s">
        <v>139</v>
      </c>
      <c r="F11" s="156"/>
      <c r="G11" s="153" t="s">
        <v>91</v>
      </c>
      <c r="H11" s="154" t="s">
        <v>133</v>
      </c>
      <c r="I11" s="155" t="s">
        <v>139</v>
      </c>
      <c r="J11" s="156"/>
      <c r="K11" s="153" t="s">
        <v>91</v>
      </c>
      <c r="L11" s="154" t="s">
        <v>133</v>
      </c>
      <c r="M11" s="155" t="s">
        <v>139</v>
      </c>
      <c r="N11" s="156"/>
      <c r="O11" s="153" t="s">
        <v>91</v>
      </c>
      <c r="P11" s="154" t="s">
        <v>133</v>
      </c>
      <c r="Q11" s="155" t="s">
        <v>139</v>
      </c>
    </row>
    <row r="12" spans="1:17" ht="16.5" thickBot="1" x14ac:dyDescent="0.3">
      <c r="A12" s="193"/>
      <c r="B12" s="203" t="s">
        <v>5</v>
      </c>
      <c r="C12" s="289"/>
      <c r="D12" s="290"/>
      <c r="E12" s="291"/>
      <c r="F12" s="156"/>
      <c r="G12" s="289"/>
      <c r="H12" s="290"/>
      <c r="I12" s="291"/>
      <c r="J12" s="156"/>
      <c r="K12" s="289"/>
      <c r="L12" s="290"/>
      <c r="M12" s="291"/>
      <c r="N12" s="156"/>
      <c r="O12" s="289"/>
      <c r="P12" s="290"/>
      <c r="Q12" s="291"/>
    </row>
    <row r="13" spans="1:17" ht="16.5" thickBot="1" x14ac:dyDescent="0.3">
      <c r="A13" s="193"/>
      <c r="B13" s="299" t="s">
        <v>151</v>
      </c>
      <c r="C13" s="163">
        <f>'CPIF CLIN 0003-TASK 1.01 INPUTS'!C17+'CPIF CLIN 0003-TASK 1.02 INPUTS'!C17+'CPIF CLIN 0003-TASK 1.03 INPUTS'!C17+'CPIF CLIN 0003-TASK 1.04 INPUTS'!C17</f>
        <v>0</v>
      </c>
      <c r="D13" s="205"/>
      <c r="E13" s="163">
        <f>'CPIF CLIN 0003-TASK 1.01 INPUTS'!E17+'CPIF CLIN 0003-TASK 1.02 INPUTS'!E17+'CPIF CLIN 0003-TASK 1.03 INPUTS'!E17+'CPIF CLIN 0003-TASK 1.04 INPUTS'!E17</f>
        <v>0</v>
      </c>
      <c r="F13" s="165"/>
      <c r="G13" s="163">
        <f>'CPIF CLIN 0003-TASK 1.01 INPUTS'!G17+'CPIF CLIN 0003-TASK 1.02 INPUTS'!G17+'CPIF CLIN 0003-TASK 1.03 INPUTS'!G17+'CPIF CLIN 0003-TASK 1.04 INPUTS'!G17</f>
        <v>0</v>
      </c>
      <c r="H13" s="205"/>
      <c r="I13" s="163">
        <f>'CPIF CLIN 0003-TASK 1.01 INPUTS'!I17+'CPIF CLIN 0003-TASK 1.02 INPUTS'!I17+'CPIF CLIN 0003-TASK 1.03 INPUTS'!I17+'CPIF CLIN 0003-TASK 1.04 INPUTS'!I17</f>
        <v>0</v>
      </c>
      <c r="J13" s="165"/>
      <c r="K13" s="163">
        <f>'CPIF CLIN 0003-TASK 1.01 INPUTS'!K17+'CPIF CLIN 0003-TASK 1.02 INPUTS'!K17+'CPIF CLIN 0003-TASK 1.03 INPUTS'!K17+'CPIF CLIN 0003-TASK 1.04 INPUTS'!K17</f>
        <v>0</v>
      </c>
      <c r="L13" s="205"/>
      <c r="M13" s="163">
        <f>'CPIF CLIN 0003-TASK 1.01 INPUTS'!M17+'CPIF CLIN 0003-TASK 1.02 INPUTS'!M17+'CPIF CLIN 0003-TASK 1.03 INPUTS'!M17+'CPIF CLIN 0003-TASK 1.04 INPUTS'!M17</f>
        <v>0</v>
      </c>
      <c r="N13" s="165"/>
      <c r="O13" s="163">
        <f>'CPIF CLIN 0003-TASK 1.01 INPUTS'!O17+'CPIF CLIN 0003-TASK 1.02 INPUTS'!O17+'CPIF CLIN 0003-TASK 1.03 INPUTS'!O17+'CPIF CLIN 0003-TASK 1.04 INPUTS'!O17</f>
        <v>0</v>
      </c>
      <c r="P13" s="205"/>
      <c r="Q13" s="163">
        <f>'CPIF CLIN 0003-TASK 1.01 INPUTS'!Q17+'CPIF CLIN 0003-TASK 1.02 INPUTS'!Q17+'CPIF CLIN 0003-TASK 1.03 INPUTS'!Q17+'CPIF CLIN 0003-TASK 1.04 INPUTS'!Q17</f>
        <v>0</v>
      </c>
    </row>
    <row r="14" spans="1:17" x14ac:dyDescent="0.25">
      <c r="A14" s="193"/>
      <c r="B14" s="204"/>
      <c r="C14" s="153" t="s">
        <v>399</v>
      </c>
      <c r="D14" s="154" t="s">
        <v>396</v>
      </c>
      <c r="E14" s="155" t="s">
        <v>398</v>
      </c>
      <c r="F14" s="166"/>
      <c r="G14" s="153" t="s">
        <v>399</v>
      </c>
      <c r="H14" s="154" t="s">
        <v>396</v>
      </c>
      <c r="I14" s="155" t="s">
        <v>398</v>
      </c>
      <c r="J14" s="166"/>
      <c r="K14" s="153" t="s">
        <v>399</v>
      </c>
      <c r="L14" s="154" t="s">
        <v>396</v>
      </c>
      <c r="M14" s="155" t="s">
        <v>398</v>
      </c>
      <c r="N14" s="166"/>
      <c r="O14" s="153" t="s">
        <v>399</v>
      </c>
      <c r="P14" s="154" t="s">
        <v>396</v>
      </c>
      <c r="Q14" s="155" t="s">
        <v>398</v>
      </c>
    </row>
    <row r="15" spans="1:17" x14ac:dyDescent="0.25">
      <c r="A15" s="193"/>
      <c r="B15" s="203" t="s">
        <v>5</v>
      </c>
      <c r="C15" s="289"/>
      <c r="D15" s="290"/>
      <c r="E15" s="291"/>
      <c r="F15" s="202"/>
      <c r="G15" s="289"/>
      <c r="H15" s="290"/>
      <c r="I15" s="291"/>
      <c r="J15" s="202"/>
      <c r="K15" s="289"/>
      <c r="L15" s="290"/>
      <c r="M15" s="291"/>
      <c r="N15" s="202"/>
      <c r="O15" s="289"/>
      <c r="P15" s="290"/>
      <c r="Q15" s="291"/>
    </row>
    <row r="16" spans="1:17" x14ac:dyDescent="0.25">
      <c r="A16" s="193"/>
      <c r="B16" s="167" t="str">
        <f>'PRIME CPIF RATES (ALL)'!B35</f>
        <v>Indirect Labor Category:  [Labor Fringe]</v>
      </c>
      <c r="C16" s="215"/>
      <c r="D16" s="243"/>
      <c r="E16" s="168">
        <f>'CPIF CLIN 0003-TASK 1.01 INPUTS'!E20+'CPIF CLIN 0003-TASK 1.02 INPUTS'!E20+'CPIF CLIN 0003-TASK 1.03 INPUTS'!E20+'CPIF CLIN 0003-TASK 1.04 INPUTS'!E20</f>
        <v>0</v>
      </c>
      <c r="F16" s="165"/>
      <c r="G16" s="215"/>
      <c r="H16" s="243"/>
      <c r="I16" s="168">
        <f>'CPIF CLIN 0003-TASK 1.01 INPUTS'!I20+'CPIF CLIN 0003-TASK 1.02 INPUTS'!I20+'CPIF CLIN 0003-TASK 1.03 INPUTS'!I20+'CPIF CLIN 0003-TASK 1.04 INPUTS'!I20</f>
        <v>0</v>
      </c>
      <c r="J16" s="165"/>
      <c r="K16" s="215"/>
      <c r="L16" s="243"/>
      <c r="M16" s="168">
        <f>'CPIF CLIN 0003-TASK 1.01 INPUTS'!M20+'CPIF CLIN 0003-TASK 1.02 INPUTS'!M20+'CPIF CLIN 0003-TASK 1.03 INPUTS'!M20+'CPIF CLIN 0003-TASK 1.04 INPUTS'!M20</f>
        <v>0</v>
      </c>
      <c r="N16" s="165"/>
      <c r="O16" s="215"/>
      <c r="P16" s="243"/>
      <c r="Q16" s="168">
        <f>'CPIF CLIN 0003-TASK 1.01 INPUTS'!Q20+'CPIF CLIN 0003-TASK 1.02 INPUTS'!Q20+'CPIF CLIN 0003-TASK 1.03 INPUTS'!Q20+'CPIF CLIN 0003-TASK 1.04 INPUTS'!Q20</f>
        <v>0</v>
      </c>
    </row>
    <row r="17" spans="1:17" x14ac:dyDescent="0.25">
      <c r="A17" s="193"/>
      <c r="B17" s="167" t="str">
        <f>'PRIME CPIF RATES (ALL)'!B36</f>
        <v>Indirect Labor Category: [Labor Overhead]</v>
      </c>
      <c r="C17" s="215"/>
      <c r="D17" s="243"/>
      <c r="E17" s="168">
        <f>'CPIF CLIN 0003-TASK 1.01 INPUTS'!E21+'CPIF CLIN 0003-TASK 1.02 INPUTS'!E21+'CPIF CLIN 0003-TASK 1.03 INPUTS'!E21+'CPIF CLIN 0003-TASK 1.04 INPUTS'!E21</f>
        <v>0</v>
      </c>
      <c r="F17" s="165"/>
      <c r="G17" s="215"/>
      <c r="H17" s="243"/>
      <c r="I17" s="168">
        <f>'CPIF CLIN 0003-TASK 1.01 INPUTS'!I21+'CPIF CLIN 0003-TASK 1.02 INPUTS'!I21+'CPIF CLIN 0003-TASK 1.03 INPUTS'!I21+'CPIF CLIN 0003-TASK 1.04 INPUTS'!I21</f>
        <v>0</v>
      </c>
      <c r="J17" s="165"/>
      <c r="K17" s="215"/>
      <c r="L17" s="243"/>
      <c r="M17" s="168">
        <f>'CPIF CLIN 0003-TASK 1.01 INPUTS'!M21+'CPIF CLIN 0003-TASK 1.02 INPUTS'!M21+'CPIF CLIN 0003-TASK 1.03 INPUTS'!M21+'CPIF CLIN 0003-TASK 1.04 INPUTS'!M21</f>
        <v>0</v>
      </c>
      <c r="N17" s="165"/>
      <c r="O17" s="215"/>
      <c r="P17" s="243"/>
      <c r="Q17" s="168">
        <f>'CPIF CLIN 0003-TASK 1.01 INPUTS'!Q21+'CPIF CLIN 0003-TASK 1.02 INPUTS'!Q21+'CPIF CLIN 0003-TASK 1.03 INPUTS'!Q21+'CPIF CLIN 0003-TASK 1.04 INPUTS'!Q21</f>
        <v>0</v>
      </c>
    </row>
    <row r="18" spans="1:17" x14ac:dyDescent="0.25">
      <c r="A18" s="193"/>
      <c r="B18" s="167" t="str">
        <f>'PRIME CPIF RATES (ALL)'!B37</f>
        <v>Indirect Labor Category: [G&amp;A]</v>
      </c>
      <c r="C18" s="215"/>
      <c r="D18" s="243"/>
      <c r="E18" s="168">
        <f>'CPIF CLIN 0003-TASK 1.01 INPUTS'!E22+'CPIF CLIN 0003-TASK 1.02 INPUTS'!E22+'CPIF CLIN 0003-TASK 1.03 INPUTS'!E22+'CPIF CLIN 0003-TASK 1.04 INPUTS'!E22</f>
        <v>0</v>
      </c>
      <c r="F18" s="165"/>
      <c r="G18" s="215"/>
      <c r="H18" s="243"/>
      <c r="I18" s="168">
        <f>'CPIF CLIN 0003-TASK 1.01 INPUTS'!I22+'CPIF CLIN 0003-TASK 1.02 INPUTS'!I22+'CPIF CLIN 0003-TASK 1.03 INPUTS'!I22+'CPIF CLIN 0003-TASK 1.04 INPUTS'!I22</f>
        <v>0</v>
      </c>
      <c r="J18" s="165"/>
      <c r="K18" s="215"/>
      <c r="L18" s="243"/>
      <c r="M18" s="168">
        <f>'CPIF CLIN 0003-TASK 1.01 INPUTS'!M22+'CPIF CLIN 0003-TASK 1.02 INPUTS'!M22+'CPIF CLIN 0003-TASK 1.03 INPUTS'!M22+'CPIF CLIN 0003-TASK 1.04 INPUTS'!M22</f>
        <v>0</v>
      </c>
      <c r="N18" s="165"/>
      <c r="O18" s="215"/>
      <c r="P18" s="243"/>
      <c r="Q18" s="168">
        <f>'CPIF CLIN 0003-TASK 1.01 INPUTS'!Q22+'CPIF CLIN 0003-TASK 1.02 INPUTS'!Q22+'CPIF CLIN 0003-TASK 1.03 INPUTS'!Q22+'CPIF CLIN 0003-TASK 1.04 INPUTS'!Q22</f>
        <v>0</v>
      </c>
    </row>
    <row r="19" spans="1:17" x14ac:dyDescent="0.25">
      <c r="A19" s="193"/>
      <c r="B19" s="167" t="str">
        <f>'PRIME CPIF RATES (ALL)'!B38</f>
        <v>Indirect Labor Category: [FCCOM]</v>
      </c>
      <c r="C19" s="215"/>
      <c r="D19" s="473"/>
      <c r="E19" s="168">
        <f>'CPIF CLIN 0003-TASK 1.01 INPUTS'!E23+'CPIF CLIN 0003-TASK 1.02 INPUTS'!E23+'CPIF CLIN 0003-TASK 1.03 INPUTS'!E23+'CPIF CLIN 0003-TASK 1.04 INPUTS'!E23</f>
        <v>0</v>
      </c>
      <c r="F19" s="165"/>
      <c r="G19" s="215"/>
      <c r="H19" s="473"/>
      <c r="I19" s="168">
        <f>'CPIF CLIN 0003-TASK 1.01 INPUTS'!I23+'CPIF CLIN 0003-TASK 1.02 INPUTS'!I23+'CPIF CLIN 0003-TASK 1.03 INPUTS'!I23+'CPIF CLIN 0003-TASK 1.04 INPUTS'!I23</f>
        <v>0</v>
      </c>
      <c r="J19" s="165"/>
      <c r="K19" s="215"/>
      <c r="L19" s="473"/>
      <c r="M19" s="168">
        <f>'CPIF CLIN 0003-TASK 1.01 INPUTS'!M23+'CPIF CLIN 0003-TASK 1.02 INPUTS'!M23+'CPIF CLIN 0003-TASK 1.03 INPUTS'!M23+'CPIF CLIN 0003-TASK 1.04 INPUTS'!M23</f>
        <v>0</v>
      </c>
      <c r="N19" s="165"/>
      <c r="O19" s="215"/>
      <c r="P19" s="473"/>
      <c r="Q19" s="168">
        <f>'CPIF CLIN 0003-TASK 1.01 INPUTS'!Q23+'CPIF CLIN 0003-TASK 1.02 INPUTS'!Q23+'CPIF CLIN 0003-TASK 1.03 INPUTS'!Q23+'CPIF CLIN 0003-TASK 1.04 INPUTS'!Q23</f>
        <v>0</v>
      </c>
    </row>
    <row r="20" spans="1:17" x14ac:dyDescent="0.25">
      <c r="A20" s="193"/>
      <c r="B20" s="167" t="str">
        <f>'PRIME CPIF RATES (ALL)'!B39</f>
        <v>Indirect Labor Category: [Target Fee]</v>
      </c>
      <c r="C20" s="215"/>
      <c r="D20" s="243"/>
      <c r="E20" s="168">
        <f>'CPIF CLIN 0003-TASK 1.01 INPUTS'!E24+'CPIF CLIN 0003-TASK 1.02 INPUTS'!E24+'CPIF CLIN 0003-TASK 1.03 INPUTS'!E24+'CPIF CLIN 0003-TASK 1.04 INPUTS'!E24</f>
        <v>0</v>
      </c>
      <c r="F20" s="165"/>
      <c r="G20" s="215"/>
      <c r="H20" s="243"/>
      <c r="I20" s="168">
        <f>'CPIF CLIN 0003-TASK 1.01 INPUTS'!I24+'CPIF CLIN 0003-TASK 1.02 INPUTS'!I24+'CPIF CLIN 0003-TASK 1.03 INPUTS'!I24+'CPIF CLIN 0003-TASK 1.04 INPUTS'!I24</f>
        <v>0</v>
      </c>
      <c r="J20" s="165"/>
      <c r="K20" s="215"/>
      <c r="L20" s="243"/>
      <c r="M20" s="168">
        <f>'CPIF CLIN 0003-TASK 1.01 INPUTS'!M24+'CPIF CLIN 0003-TASK 1.02 INPUTS'!M24+'CPIF CLIN 0003-TASK 1.03 INPUTS'!M24+'CPIF CLIN 0003-TASK 1.04 INPUTS'!M24</f>
        <v>0</v>
      </c>
      <c r="N20" s="165"/>
      <c r="O20" s="215"/>
      <c r="P20" s="243"/>
      <c r="Q20" s="168">
        <f>'CPIF CLIN 0003-TASK 1.01 INPUTS'!Q24+'CPIF CLIN 0003-TASK 1.02 INPUTS'!Q24+'CPIF CLIN 0003-TASK 1.03 INPUTS'!Q24+'CPIF CLIN 0003-TASK 1.04 INPUTS'!Q24</f>
        <v>0</v>
      </c>
    </row>
    <row r="21" spans="1:17" x14ac:dyDescent="0.25">
      <c r="A21" s="193"/>
      <c r="B21" s="262" t="s">
        <v>258</v>
      </c>
      <c r="C21" s="210"/>
      <c r="D21" s="211"/>
      <c r="E21" s="230">
        <f>+SUM(E13,E16,E17,E18)</f>
        <v>0</v>
      </c>
      <c r="F21" s="165"/>
      <c r="G21" s="206"/>
      <c r="H21" s="207"/>
      <c r="I21" s="230">
        <f>+SUM(I13,I16,I17,I18)</f>
        <v>0</v>
      </c>
      <c r="J21" s="165"/>
      <c r="K21" s="206"/>
      <c r="L21" s="207"/>
      <c r="M21" s="230">
        <f>+SUM(M13,M16,M17,M18)</f>
        <v>0</v>
      </c>
      <c r="N21" s="165"/>
      <c r="O21" s="206"/>
      <c r="P21" s="207"/>
      <c r="Q21" s="230">
        <f>+SUM(Q13,Q16,Q17,Q18)</f>
        <v>0</v>
      </c>
    </row>
    <row r="22" spans="1:17" x14ac:dyDescent="0.25">
      <c r="A22" s="193"/>
      <c r="B22" s="262" t="s">
        <v>137</v>
      </c>
      <c r="C22" s="210"/>
      <c r="D22" s="211"/>
      <c r="E22" s="230">
        <f>+E19</f>
        <v>0</v>
      </c>
      <c r="F22" s="165"/>
      <c r="G22" s="206"/>
      <c r="H22" s="207"/>
      <c r="I22" s="230">
        <f>+I19</f>
        <v>0</v>
      </c>
      <c r="J22" s="165"/>
      <c r="K22" s="206"/>
      <c r="L22" s="207"/>
      <c r="M22" s="230">
        <f>+M19</f>
        <v>0</v>
      </c>
      <c r="N22" s="165"/>
      <c r="O22" s="206"/>
      <c r="P22" s="207"/>
      <c r="Q22" s="230">
        <f>+Q19</f>
        <v>0</v>
      </c>
    </row>
    <row r="23" spans="1:17" x14ac:dyDescent="0.25">
      <c r="A23" s="193"/>
      <c r="B23" s="262" t="s">
        <v>136</v>
      </c>
      <c r="C23" s="210"/>
      <c r="D23" s="211"/>
      <c r="E23" s="245">
        <f>+E20</f>
        <v>0</v>
      </c>
      <c r="F23" s="170"/>
      <c r="G23" s="206"/>
      <c r="H23" s="207"/>
      <c r="I23" s="245">
        <f>+I20</f>
        <v>0</v>
      </c>
      <c r="J23" s="170"/>
      <c r="K23" s="206"/>
      <c r="L23" s="207"/>
      <c r="M23" s="245">
        <f>+M20</f>
        <v>0</v>
      </c>
      <c r="N23" s="170"/>
      <c r="O23" s="206"/>
      <c r="P23" s="207"/>
      <c r="Q23" s="245">
        <f>+Q20</f>
        <v>0</v>
      </c>
    </row>
    <row r="24" spans="1:17" ht="16.5" thickBot="1" x14ac:dyDescent="0.3">
      <c r="A24" s="193"/>
      <c r="B24" s="263" t="s">
        <v>138</v>
      </c>
      <c r="C24" s="212"/>
      <c r="D24" s="213"/>
      <c r="E24" s="246">
        <f>SUM(E21:E23)</f>
        <v>0</v>
      </c>
      <c r="F24" s="171"/>
      <c r="G24" s="208"/>
      <c r="H24" s="209"/>
      <c r="I24" s="246">
        <f>SUM(I21:I23)</f>
        <v>0</v>
      </c>
      <c r="J24" s="171"/>
      <c r="K24" s="208"/>
      <c r="L24" s="209"/>
      <c r="M24" s="246">
        <f>SUM(M21:M23)</f>
        <v>0</v>
      </c>
      <c r="N24" s="171"/>
      <c r="O24" s="208"/>
      <c r="P24" s="209"/>
      <c r="Q24" s="246">
        <f>SUM(Q21:Q23)</f>
        <v>0</v>
      </c>
    </row>
    <row r="25" spans="1:17" ht="16.5" thickBot="1" x14ac:dyDescent="0.3">
      <c r="A25" s="193"/>
      <c r="B25" s="172"/>
      <c r="C25" s="173"/>
      <c r="D25" s="173"/>
      <c r="E25" s="256"/>
      <c r="F25" s="256"/>
      <c r="G25" s="256"/>
      <c r="H25" s="256"/>
      <c r="I25" s="256"/>
      <c r="J25" s="256"/>
      <c r="K25" s="256"/>
      <c r="L25" s="173"/>
      <c r="M25" s="173"/>
      <c r="N25" s="165"/>
      <c r="O25" s="256"/>
      <c r="P25" s="173"/>
      <c r="Q25" s="173"/>
    </row>
    <row r="26" spans="1:17" ht="16.5" customHeight="1" thickBot="1" x14ac:dyDescent="0.3">
      <c r="A26" s="193"/>
      <c r="B26" s="620" t="str">
        <f>B9</f>
        <v>CLIN 0003 (CPIF)                                                  TOTAL</v>
      </c>
      <c r="C26" s="594" t="s">
        <v>145</v>
      </c>
      <c r="D26" s="595"/>
      <c r="E26" s="596"/>
      <c r="F26" s="175"/>
      <c r="G26" s="594" t="s">
        <v>145</v>
      </c>
      <c r="H26" s="595"/>
      <c r="I26" s="596"/>
      <c r="J26" s="175"/>
      <c r="K26" s="594" t="s">
        <v>145</v>
      </c>
      <c r="L26" s="595"/>
      <c r="M26" s="596"/>
      <c r="N26" s="175"/>
      <c r="O26" s="594" t="s">
        <v>145</v>
      </c>
      <c r="P26" s="595"/>
      <c r="Q26" s="596"/>
    </row>
    <row r="27" spans="1:17" ht="32.25" customHeight="1" thickBot="1" x14ac:dyDescent="0.3">
      <c r="A27" s="193"/>
      <c r="B27" s="621"/>
      <c r="C27" s="591" t="str">
        <f>C10</f>
        <v>CLIN 0003 - Basic Period (Year 1)</v>
      </c>
      <c r="D27" s="592"/>
      <c r="E27" s="593"/>
      <c r="F27" s="176"/>
      <c r="G27" s="591" t="str">
        <f>G10</f>
        <v>CLIN 0003 - Basic Period (Year 2)</v>
      </c>
      <c r="H27" s="592"/>
      <c r="I27" s="593"/>
      <c r="J27" s="176"/>
      <c r="K27" s="591" t="str">
        <f>K10</f>
        <v>CLIN 0003 - Basic Period (Year 3)</v>
      </c>
      <c r="L27" s="592"/>
      <c r="M27" s="593"/>
      <c r="N27" s="176"/>
      <c r="O27" s="591" t="str">
        <f>O10</f>
        <v>CLIN 0003 - Basic Period (Year 4)</v>
      </c>
      <c r="P27" s="592"/>
      <c r="Q27" s="593"/>
    </row>
    <row r="28" spans="1:17" x14ac:dyDescent="0.25">
      <c r="A28" s="193"/>
      <c r="B28" s="247"/>
      <c r="C28" s="153" t="s">
        <v>399</v>
      </c>
      <c r="D28" s="154" t="s">
        <v>396</v>
      </c>
      <c r="E28" s="155" t="s">
        <v>152</v>
      </c>
      <c r="F28" s="166"/>
      <c r="G28" s="153" t="s">
        <v>399</v>
      </c>
      <c r="H28" s="154" t="s">
        <v>396</v>
      </c>
      <c r="I28" s="155" t="s">
        <v>152</v>
      </c>
      <c r="J28" s="166"/>
      <c r="K28" s="153" t="s">
        <v>399</v>
      </c>
      <c r="L28" s="154" t="s">
        <v>396</v>
      </c>
      <c r="M28" s="155" t="s">
        <v>152</v>
      </c>
      <c r="N28" s="166"/>
      <c r="O28" s="153" t="s">
        <v>399</v>
      </c>
      <c r="P28" s="154" t="s">
        <v>396</v>
      </c>
      <c r="Q28" s="155" t="s">
        <v>152</v>
      </c>
    </row>
    <row r="29" spans="1:17" x14ac:dyDescent="0.25">
      <c r="A29" s="193"/>
      <c r="B29" s="274" t="s">
        <v>5</v>
      </c>
      <c r="C29" s="231"/>
      <c r="D29" s="232"/>
      <c r="E29" s="216">
        <f>'CPIF CLIN 0002-TASK 1.01 INPUTS'!E33+'CPIF CLIN 0002-TASK 1.02 INPUTS'!E33+'CPIF CLIN 0002-TASK 1.03 INPUTS'!E33+'CPIF CLIN 0003-TASK 1.04 INPUTS'!E33</f>
        <v>0</v>
      </c>
      <c r="F29" s="165"/>
      <c r="G29" s="231"/>
      <c r="H29" s="232"/>
      <c r="I29" s="216">
        <f>'CPIF CLIN 0002-TASK 1.01 INPUTS'!I33+'CPIF CLIN 0002-TASK 1.02 INPUTS'!I33+'CPIF CLIN 0002-TASK 1.03 INPUTS'!I33+'CPIF CLIN 0003-TASK 1.04 INPUTS'!I33</f>
        <v>0</v>
      </c>
      <c r="J29" s="165"/>
      <c r="K29" s="231"/>
      <c r="L29" s="232"/>
      <c r="M29" s="216">
        <f>'CPIF CLIN 0002-TASK 1.01 INPUTS'!M33+'CPIF CLIN 0002-TASK 1.02 INPUTS'!M33+'CPIF CLIN 0002-TASK 1.03 INPUTS'!M33+'CPIF CLIN 0003-TASK 1.04 INPUTS'!M33</f>
        <v>0</v>
      </c>
      <c r="N29" s="165"/>
      <c r="O29" s="231"/>
      <c r="P29" s="232"/>
      <c r="Q29" s="216">
        <f>'CPIF CLIN 0002-TASK 1.01 INPUTS'!Q33+'CPIF CLIN 0002-TASK 1.02 INPUTS'!Q33+'CPIF CLIN 0002-TASK 1.03 INPUTS'!Q33+'CPIF CLIN 0003-TASK 1.04 INPUTS'!Q33</f>
        <v>0</v>
      </c>
    </row>
    <row r="30" spans="1:17" x14ac:dyDescent="0.25">
      <c r="A30" s="193"/>
      <c r="B30" s="167" t="str">
        <f>'PRIME CPIF RATES (ALL)'!B52</f>
        <v>Indirect Category: [Material Overhead]</v>
      </c>
      <c r="C30" s="215"/>
      <c r="D30" s="243"/>
      <c r="E30" s="168">
        <f>'CPIF CLIN 0003-TASK 1.01 INPUTS'!E35+'CPIF CLIN 0003-TASK 1.02 INPUTS'!E35+'CPIF CLIN 0003-TASK 1.03 INPUTS'!E35+'CPIF CLIN 0003-TASK 1.04 INPUTS'!E35</f>
        <v>0</v>
      </c>
      <c r="F30" s="178"/>
      <c r="G30" s="215"/>
      <c r="H30" s="243"/>
      <c r="I30" s="168">
        <f>'CPIF CLIN 0003-TASK 1.01 INPUTS'!I35+'CPIF CLIN 0003-TASK 1.02 INPUTS'!I35+'CPIF CLIN 0003-TASK 1.03 INPUTS'!I35+'CPIF CLIN 0003-TASK 1.04 INPUTS'!I35</f>
        <v>0</v>
      </c>
      <c r="J30" s="178"/>
      <c r="K30" s="215"/>
      <c r="L30" s="243"/>
      <c r="M30" s="168">
        <f>'CPIF CLIN 0003-TASK 1.01 INPUTS'!M35+'CPIF CLIN 0003-TASK 1.02 INPUTS'!M35+'CPIF CLIN 0003-TASK 1.03 INPUTS'!M35+'CPIF CLIN 0003-TASK 1.04 INPUTS'!M35</f>
        <v>0</v>
      </c>
      <c r="N30" s="178"/>
      <c r="O30" s="215"/>
      <c r="P30" s="243"/>
      <c r="Q30" s="168">
        <f>'CPIF CLIN 0003-TASK 1.01 INPUTS'!Q35+'CPIF CLIN 0003-TASK 1.02 INPUTS'!Q35+'CPIF CLIN 0003-TASK 1.03 INPUTS'!Q35+'CPIF CLIN 0003-TASK 1.04 INPUTS'!Q35</f>
        <v>0</v>
      </c>
    </row>
    <row r="31" spans="1:17" x14ac:dyDescent="0.25">
      <c r="A31" s="193"/>
      <c r="B31" s="167" t="str">
        <f>'PRIME CPIF RATES (ALL)'!B53</f>
        <v>Indirect Category: [G&amp;A]</v>
      </c>
      <c r="C31" s="215"/>
      <c r="D31" s="243"/>
      <c r="E31" s="168">
        <f>'CPIF CLIN 0003-TASK 1.01 INPUTS'!E36+'CPIF CLIN 0003-TASK 1.02 INPUTS'!E36+'CPIF CLIN 0003-TASK 1.03 INPUTS'!E36+'CPIF CLIN 0003-TASK 1.04 INPUTS'!E36</f>
        <v>0</v>
      </c>
      <c r="F31" s="178"/>
      <c r="G31" s="215"/>
      <c r="H31" s="243"/>
      <c r="I31" s="168">
        <f>'CPIF CLIN 0003-TASK 1.01 INPUTS'!I36+'CPIF CLIN 0003-TASK 1.02 INPUTS'!I36+'CPIF CLIN 0003-TASK 1.03 INPUTS'!I36+'CPIF CLIN 0003-TASK 1.04 INPUTS'!I36</f>
        <v>0</v>
      </c>
      <c r="J31" s="178"/>
      <c r="K31" s="215"/>
      <c r="L31" s="243"/>
      <c r="M31" s="168">
        <f>'CPIF CLIN 0003-TASK 1.01 INPUTS'!M36+'CPIF CLIN 0003-TASK 1.02 INPUTS'!M36+'CPIF CLIN 0003-TASK 1.03 INPUTS'!M36+'CPIF CLIN 0003-TASK 1.04 INPUTS'!M36</f>
        <v>0</v>
      </c>
      <c r="N31" s="178"/>
      <c r="O31" s="215"/>
      <c r="P31" s="243"/>
      <c r="Q31" s="168">
        <f>'CPIF CLIN 0003-TASK 1.01 INPUTS'!Q36+'CPIF CLIN 0003-TASK 1.02 INPUTS'!Q36+'CPIF CLIN 0003-TASK 1.03 INPUTS'!Q36+'CPIF CLIN 0003-TASK 1.04 INPUTS'!Q36</f>
        <v>0</v>
      </c>
    </row>
    <row r="32" spans="1:17" x14ac:dyDescent="0.25">
      <c r="A32" s="193"/>
      <c r="B32" s="167" t="str">
        <f>'PRIME CPIF RATES (ALL)'!B54</f>
        <v>Indirect Category: [FCCOM]</v>
      </c>
      <c r="C32" s="215"/>
      <c r="D32" s="244"/>
      <c r="E32" s="168">
        <f>'CPIF CLIN 0003-TASK 1.01 INPUTS'!E37+'CPIF CLIN 0003-TASK 1.02 INPUTS'!E37+'CPIF CLIN 0003-TASK 1.03 INPUTS'!E37+'CPIF CLIN 0003-TASK 1.04 INPUTS'!E37</f>
        <v>0</v>
      </c>
      <c r="F32" s="165"/>
      <c r="G32" s="215"/>
      <c r="H32" s="244"/>
      <c r="I32" s="168">
        <f>'CPIF CLIN 0003-TASK 1.01 INPUTS'!I37+'CPIF CLIN 0003-TASK 1.02 INPUTS'!I37+'CPIF CLIN 0003-TASK 1.03 INPUTS'!I37+'CPIF CLIN 0003-TASK 1.04 INPUTS'!I37</f>
        <v>0</v>
      </c>
      <c r="J32" s="165"/>
      <c r="K32" s="215"/>
      <c r="L32" s="244"/>
      <c r="M32" s="168">
        <f>'CPIF CLIN 0003-TASK 1.01 INPUTS'!M37+'CPIF CLIN 0003-TASK 1.02 INPUTS'!M37+'CPIF CLIN 0003-TASK 1.03 INPUTS'!M37+'CPIF CLIN 0003-TASK 1.04 INPUTS'!M37</f>
        <v>0</v>
      </c>
      <c r="N32" s="165"/>
      <c r="O32" s="215"/>
      <c r="P32" s="244"/>
      <c r="Q32" s="168">
        <f>'CPIF CLIN 0003-TASK 1.01 INPUTS'!Q37+'CPIF CLIN 0003-TASK 1.02 INPUTS'!Q37+'CPIF CLIN 0003-TASK 1.03 INPUTS'!Q37+'CPIF CLIN 0003-TASK 1.04 INPUTS'!Q37</f>
        <v>0</v>
      </c>
    </row>
    <row r="33" spans="1:17" x14ac:dyDescent="0.25">
      <c r="A33" s="193"/>
      <c r="B33" s="167" t="str">
        <f>'PRIME CPIF RATES (ALL)'!B55</f>
        <v>Indirect Category: [Target Fee]</v>
      </c>
      <c r="C33" s="215"/>
      <c r="D33" s="243"/>
      <c r="E33" s="168">
        <f>'CPIF CLIN 0003-TASK 1.01 INPUTS'!E38+'CPIF CLIN 0003-TASK 1.02 INPUTS'!E38+'CPIF CLIN 0003-TASK 1.03 INPUTS'!E38+'CPIF CLIN 0003-TASK 1.04 INPUTS'!E38</f>
        <v>0</v>
      </c>
      <c r="F33" s="165"/>
      <c r="G33" s="215"/>
      <c r="H33" s="243"/>
      <c r="I33" s="168">
        <f>'CPIF CLIN 0003-TASK 1.01 INPUTS'!I38+'CPIF CLIN 0003-TASK 1.02 INPUTS'!I38+'CPIF CLIN 0003-TASK 1.03 INPUTS'!I38+'CPIF CLIN 0003-TASK 1.04 INPUTS'!I38</f>
        <v>0</v>
      </c>
      <c r="J33" s="165"/>
      <c r="K33" s="215"/>
      <c r="L33" s="243"/>
      <c r="M33" s="168">
        <f>'CPIF CLIN 0003-TASK 1.01 INPUTS'!M38+'CPIF CLIN 0003-TASK 1.02 INPUTS'!M38+'CPIF CLIN 0003-TASK 1.03 INPUTS'!M38+'CPIF CLIN 0003-TASK 1.04 INPUTS'!M38</f>
        <v>0</v>
      </c>
      <c r="N33" s="165"/>
      <c r="O33" s="215"/>
      <c r="P33" s="243"/>
      <c r="Q33" s="168">
        <f>'CPIF CLIN 0003-TASK 1.01 INPUTS'!Q38+'CPIF CLIN 0003-TASK 1.02 INPUTS'!Q38+'CPIF CLIN 0003-TASK 1.03 INPUTS'!Q38+'CPIF CLIN 0003-TASK 1.04 INPUTS'!Q38</f>
        <v>0</v>
      </c>
    </row>
    <row r="34" spans="1:17" x14ac:dyDescent="0.25">
      <c r="A34" s="193"/>
      <c r="B34" s="241" t="s">
        <v>259</v>
      </c>
      <c r="C34" s="233"/>
      <c r="D34" s="234"/>
      <c r="E34" s="168">
        <f>+ROUND(SUM(E29:E31),2)</f>
        <v>0</v>
      </c>
      <c r="F34" s="165"/>
      <c r="G34" s="233"/>
      <c r="H34" s="234"/>
      <c r="I34" s="168">
        <f>+ROUND(SUM(I29:I31),2)</f>
        <v>0</v>
      </c>
      <c r="J34" s="165"/>
      <c r="K34" s="233"/>
      <c r="L34" s="234"/>
      <c r="M34" s="168">
        <f>+ROUND(SUM(M29:M31),2)</f>
        <v>0</v>
      </c>
      <c r="N34" s="165"/>
      <c r="O34" s="233"/>
      <c r="P34" s="234"/>
      <c r="Q34" s="168">
        <f>+ROUND(SUM(Q29:Q31),2)</f>
        <v>0</v>
      </c>
    </row>
    <row r="35" spans="1:17" x14ac:dyDescent="0.25">
      <c r="A35" s="193"/>
      <c r="B35" s="241" t="s">
        <v>137</v>
      </c>
      <c r="C35" s="231"/>
      <c r="D35" s="235"/>
      <c r="E35" s="168">
        <f>+ROUND(E32,2)</f>
        <v>0</v>
      </c>
      <c r="F35" s="165"/>
      <c r="G35" s="231"/>
      <c r="H35" s="235"/>
      <c r="I35" s="168">
        <f>+ROUND(I32,2)</f>
        <v>0</v>
      </c>
      <c r="J35" s="165"/>
      <c r="K35" s="231"/>
      <c r="L35" s="235"/>
      <c r="M35" s="168">
        <f>+ROUND(M32,2)</f>
        <v>0</v>
      </c>
      <c r="N35" s="165"/>
      <c r="O35" s="231"/>
      <c r="P35" s="235"/>
      <c r="Q35" s="168">
        <f>+ROUND(Q32,2)</f>
        <v>0</v>
      </c>
    </row>
    <row r="36" spans="1:17" x14ac:dyDescent="0.2">
      <c r="B36" s="241" t="s">
        <v>136</v>
      </c>
      <c r="C36" s="231"/>
      <c r="D36" s="235"/>
      <c r="E36" s="182">
        <f>+ROUND(E33,2)</f>
        <v>0</v>
      </c>
      <c r="F36" s="183"/>
      <c r="G36" s="231"/>
      <c r="H36" s="235"/>
      <c r="I36" s="182">
        <f>+ROUND(I33,2)</f>
        <v>0</v>
      </c>
      <c r="J36" s="183"/>
      <c r="K36" s="231"/>
      <c r="L36" s="235"/>
      <c r="M36" s="182">
        <f>+ROUND(M33,2)</f>
        <v>0</v>
      </c>
      <c r="N36" s="183"/>
      <c r="O36" s="231"/>
      <c r="P36" s="235"/>
      <c r="Q36" s="182">
        <f>+ROUND(Q33,2)</f>
        <v>0</v>
      </c>
    </row>
    <row r="37" spans="1:17" ht="16.5" thickBot="1" x14ac:dyDescent="0.25">
      <c r="B37" s="242" t="s">
        <v>243</v>
      </c>
      <c r="C37" s="236"/>
      <c r="D37" s="237"/>
      <c r="E37" s="160">
        <f t="shared" ref="E37" si="0">SUM(E34:E36)</f>
        <v>0</v>
      </c>
      <c r="F37" s="161"/>
      <c r="G37" s="236"/>
      <c r="H37" s="237"/>
      <c r="I37" s="160">
        <f t="shared" ref="I37" si="1">SUM(I34:I36)</f>
        <v>0</v>
      </c>
      <c r="J37" s="161"/>
      <c r="K37" s="236"/>
      <c r="L37" s="237"/>
      <c r="M37" s="160">
        <f t="shared" ref="M37" si="2">SUM(M34:M36)</f>
        <v>0</v>
      </c>
      <c r="N37" s="161"/>
      <c r="O37" s="236"/>
      <c r="P37" s="237"/>
      <c r="Q37" s="160">
        <f t="shared" ref="Q37" si="3">SUM(Q34:Q36)</f>
        <v>0</v>
      </c>
    </row>
    <row r="38" spans="1:17" ht="16.5" thickBot="1" x14ac:dyDescent="0.25">
      <c r="B38" s="172"/>
      <c r="E38" s="251"/>
      <c r="F38" s="251"/>
      <c r="G38" s="251"/>
      <c r="H38" s="251"/>
      <c r="I38" s="251"/>
      <c r="J38" s="251"/>
      <c r="K38" s="251"/>
      <c r="N38" s="187"/>
      <c r="O38" s="251"/>
    </row>
    <row r="39" spans="1:17" ht="16.5" thickBot="1" x14ac:dyDescent="0.3">
      <c r="B39" s="620" t="str">
        <f>B9</f>
        <v>CLIN 0003 (CPIF)                                                  TOTAL</v>
      </c>
      <c r="C39" s="594" t="s">
        <v>318</v>
      </c>
      <c r="D39" s="595"/>
      <c r="E39" s="596"/>
      <c r="F39" s="175"/>
      <c r="G39" s="594" t="s">
        <v>318</v>
      </c>
      <c r="H39" s="595"/>
      <c r="I39" s="596"/>
      <c r="J39" s="175"/>
      <c r="K39" s="594" t="s">
        <v>318</v>
      </c>
      <c r="L39" s="595"/>
      <c r="M39" s="596"/>
      <c r="N39" s="175"/>
      <c r="O39" s="594" t="s">
        <v>318</v>
      </c>
      <c r="P39" s="595"/>
      <c r="Q39" s="596"/>
    </row>
    <row r="40" spans="1:17" ht="27.75" customHeight="1" thickBot="1" x14ac:dyDescent="0.3">
      <c r="B40" s="621"/>
      <c r="C40" s="617" t="str">
        <f>C27</f>
        <v>CLIN 0003 - Basic Period (Year 1)</v>
      </c>
      <c r="D40" s="618"/>
      <c r="E40" s="619"/>
      <c r="F40" s="176"/>
      <c r="G40" s="617" t="str">
        <f>G27</f>
        <v>CLIN 0003 - Basic Period (Year 2)</v>
      </c>
      <c r="H40" s="618"/>
      <c r="I40" s="619"/>
      <c r="J40" s="176"/>
      <c r="K40" s="617" t="str">
        <f>K27</f>
        <v>CLIN 0003 - Basic Period (Year 3)</v>
      </c>
      <c r="L40" s="618"/>
      <c r="M40" s="619"/>
      <c r="N40" s="176"/>
      <c r="O40" s="617" t="str">
        <f>O27</f>
        <v>CLIN 0003 - Basic Period (Year 4)</v>
      </c>
      <c r="P40" s="618"/>
      <c r="Q40" s="619"/>
    </row>
    <row r="41" spans="1:17" x14ac:dyDescent="0.25">
      <c r="B41" s="248"/>
      <c r="C41" s="153" t="s">
        <v>399</v>
      </c>
      <c r="D41" s="154" t="s">
        <v>396</v>
      </c>
      <c r="E41" s="155" t="s">
        <v>397</v>
      </c>
      <c r="F41" s="166"/>
      <c r="G41" s="153" t="s">
        <v>399</v>
      </c>
      <c r="H41" s="154" t="s">
        <v>396</v>
      </c>
      <c r="I41" s="155" t="s">
        <v>397</v>
      </c>
      <c r="J41" s="166"/>
      <c r="K41" s="153" t="s">
        <v>399</v>
      </c>
      <c r="L41" s="154" t="s">
        <v>396</v>
      </c>
      <c r="M41" s="155" t="s">
        <v>397</v>
      </c>
      <c r="N41" s="166"/>
      <c r="O41" s="153" t="s">
        <v>399</v>
      </c>
      <c r="P41" s="154" t="s">
        <v>396</v>
      </c>
      <c r="Q41" s="155" t="s">
        <v>397</v>
      </c>
    </row>
    <row r="42" spans="1:17" x14ac:dyDescent="0.2">
      <c r="B42" s="344" t="s">
        <v>5</v>
      </c>
      <c r="C42" s="285"/>
      <c r="D42" s="285"/>
      <c r="E42" s="345">
        <f>'PRIME CPIF TOTAL SUB'!E33</f>
        <v>0</v>
      </c>
      <c r="F42" s="288"/>
      <c r="G42" s="231"/>
      <c r="H42" s="285"/>
      <c r="I42" s="345">
        <f>'PRIME CPIF TOTAL SUB'!G33</f>
        <v>0</v>
      </c>
      <c r="J42" s="288"/>
      <c r="K42" s="231"/>
      <c r="L42" s="285"/>
      <c r="M42" s="345">
        <f>'PRIME CPIF TOTAL SUB'!I33</f>
        <v>0</v>
      </c>
      <c r="N42" s="165"/>
      <c r="O42" s="231"/>
      <c r="P42" s="285"/>
      <c r="Q42" s="345">
        <f>'PRIME CPIF TOTAL SUB'!K33</f>
        <v>0</v>
      </c>
    </row>
    <row r="43" spans="1:17" x14ac:dyDescent="0.2">
      <c r="B43" s="287" t="s">
        <v>5</v>
      </c>
      <c r="C43" s="624" t="s">
        <v>5</v>
      </c>
      <c r="D43" s="625"/>
      <c r="E43" s="626"/>
      <c r="F43" s="178"/>
      <c r="G43" s="627"/>
      <c r="H43" s="625"/>
      <c r="I43" s="626"/>
      <c r="J43" s="178"/>
      <c r="K43" s="627"/>
      <c r="L43" s="625"/>
      <c r="M43" s="626"/>
      <c r="N43" s="178"/>
      <c r="O43" s="627"/>
      <c r="P43" s="625"/>
      <c r="Q43" s="626"/>
    </row>
    <row r="44" spans="1:17" x14ac:dyDescent="0.2">
      <c r="B44" s="287" t="str">
        <f>'PRIME CPIF RATES (ALL)'!B44</f>
        <v>Indirect Category: [Overhead]</v>
      </c>
      <c r="C44" s="286"/>
      <c r="D44" s="243"/>
      <c r="E44" s="168">
        <f>'CPIF CLIN 0003-TASK 1.01 INPUTS'!E49+'CPIF CLIN 0003-TASK 1.02 INPUTS'!E49+'CPIF CLIN 0003-TASK 1.03 INPUTS'!E49+'CPIF CLIN 0003-TASK 1.04 INPUTS'!E49</f>
        <v>0</v>
      </c>
      <c r="F44" s="178"/>
      <c r="G44" s="215"/>
      <c r="H44" s="243"/>
      <c r="I44" s="168">
        <f>'CPIF CLIN 0003-TASK 1.01 INPUTS'!I49+'CPIF CLIN 0003-TASK 1.02 INPUTS'!I49+'CPIF CLIN 0003-TASK 1.03 INPUTS'!I49+'CPIF CLIN 0003-TASK 1.04 INPUTS'!I49</f>
        <v>0</v>
      </c>
      <c r="J44" s="178"/>
      <c r="K44" s="215"/>
      <c r="L44" s="243"/>
      <c r="M44" s="168">
        <f>'CPIF CLIN 0003-TASK 1.01 INPUTS'!M49+'CPIF CLIN 0003-TASK 1.02 INPUTS'!M49+'CPIF CLIN 0003-TASK 1.03 INPUTS'!M49+'CPIF CLIN 0003-TASK 1.04 INPUTS'!M49</f>
        <v>0</v>
      </c>
      <c r="N44" s="178"/>
      <c r="O44" s="215"/>
      <c r="P44" s="243"/>
      <c r="Q44" s="168">
        <f>'CPIF CLIN 0003-TASK 1.01 INPUTS'!Q49+'CPIF CLIN 0003-TASK 1.02 INPUTS'!Q49+'CPIF CLIN 0003-TASK 1.03 INPUTS'!Q49+'CPIF CLIN 0003-TASK 1.04 INPUTS'!Q49</f>
        <v>0</v>
      </c>
    </row>
    <row r="45" spans="1:17" x14ac:dyDescent="0.2">
      <c r="B45" s="287" t="str">
        <f>'PRIME CPIF RATES (ALL)'!B45</f>
        <v>Indirect Category: [G&amp;A]</v>
      </c>
      <c r="C45" s="286"/>
      <c r="D45" s="243"/>
      <c r="E45" s="168">
        <f>'CPIF CLIN 0003-TASK 1.01 INPUTS'!E50+'CPIF CLIN 0003-TASK 1.02 INPUTS'!E50+'CPIF CLIN 0003-TASK 1.03 INPUTS'!E50+'CPIF CLIN 0003-TASK 1.04 INPUTS'!E50</f>
        <v>0</v>
      </c>
      <c r="F45" s="288"/>
      <c r="G45" s="286"/>
      <c r="H45" s="243"/>
      <c r="I45" s="168">
        <f>'CPIF CLIN 0003-TASK 1.01 INPUTS'!I50+'CPIF CLIN 0003-TASK 1.02 INPUTS'!I50+'CPIF CLIN 0003-TASK 1.03 INPUTS'!I50+'CPIF CLIN 0003-TASK 1.04 INPUTS'!I50</f>
        <v>0</v>
      </c>
      <c r="J45" s="288"/>
      <c r="K45" s="286"/>
      <c r="L45" s="243"/>
      <c r="M45" s="168">
        <f>'CPIF CLIN 0003-TASK 1.01 INPUTS'!M50+'CPIF CLIN 0003-TASK 1.02 INPUTS'!M50+'CPIF CLIN 0003-TASK 1.03 INPUTS'!M50+'CPIF CLIN 0003-TASK 1.04 INPUTS'!M50</f>
        <v>0</v>
      </c>
      <c r="N45" s="165"/>
      <c r="O45" s="286"/>
      <c r="P45" s="243"/>
      <c r="Q45" s="168">
        <f>'CPIF CLIN 0003-TASK 1.01 INPUTS'!Q50+'CPIF CLIN 0003-TASK 1.02 INPUTS'!Q50+'CPIF CLIN 0003-TASK 1.03 INPUTS'!Q50+'CPIF CLIN 0003-TASK 1.04 INPUTS'!Q50</f>
        <v>0</v>
      </c>
    </row>
    <row r="46" spans="1:17" x14ac:dyDescent="0.2">
      <c r="B46" s="351" t="str">
        <f>'PRIME CPIF RATES (ALL)'!B46</f>
        <v>Indirect Category: [FCCOM]</v>
      </c>
      <c r="C46" s="215"/>
      <c r="D46" s="352"/>
      <c r="E46" s="168">
        <f>'CPIF CLIN 0003-TASK 1.01 INPUTS'!E51+'CPIF CLIN 0003-TASK 1.02 INPUTS'!E51+'CPIF CLIN 0003-TASK 1.03 INPUTS'!E51+'CPIF CLIN 0003-TASK 1.04 INPUTS'!E51</f>
        <v>0</v>
      </c>
      <c r="F46" s="288"/>
      <c r="G46" s="215"/>
      <c r="H46" s="352"/>
      <c r="I46" s="168">
        <f>'CPIF CLIN 0003-TASK 1.01 INPUTS'!I51+'CPIF CLIN 0003-TASK 1.02 INPUTS'!I51+'CPIF CLIN 0003-TASK 1.03 INPUTS'!I51+'CPIF CLIN 0003-TASK 1.04 INPUTS'!I51</f>
        <v>0</v>
      </c>
      <c r="J46" s="288"/>
      <c r="K46" s="215"/>
      <c r="L46" s="352"/>
      <c r="M46" s="168">
        <f>'CPIF CLIN 0003-TASK 1.01 INPUTS'!M51+'CPIF CLIN 0003-TASK 1.02 INPUTS'!M51+'CPIF CLIN 0003-TASK 1.03 INPUTS'!M51+'CPIF CLIN 0003-TASK 1.04 INPUTS'!M51</f>
        <v>0</v>
      </c>
      <c r="N46" s="165"/>
      <c r="O46" s="215"/>
      <c r="P46" s="352"/>
      <c r="Q46" s="168">
        <f>'CPIF CLIN 0003-TASK 1.01 INPUTS'!Q51+'CPIF CLIN 0003-TASK 1.02 INPUTS'!Q51+'CPIF CLIN 0003-TASK 1.03 INPUTS'!Q51+'CPIF CLIN 0003-TASK 1.04 INPUTS'!Q51</f>
        <v>0</v>
      </c>
    </row>
    <row r="47" spans="1:17" x14ac:dyDescent="0.2">
      <c r="B47" s="167" t="str">
        <f>'PRIME CPIF RATES (ALL)'!B47</f>
        <v>Indirect Category: [Target Fee]</v>
      </c>
      <c r="C47" s="214"/>
      <c r="D47" s="354"/>
      <c r="E47" s="168">
        <f>'CPIF CLIN 0003-TASK 1.01 INPUTS'!E52+'CPIF CLIN 0003-TASK 1.02 INPUTS'!E52+'CPIF CLIN 0003-TASK 1.03 INPUTS'!E52+'CPIF CLIN 0003-TASK 1.04 INPUTS'!E52</f>
        <v>0</v>
      </c>
      <c r="F47" s="288"/>
      <c r="G47" s="214"/>
      <c r="H47" s="354"/>
      <c r="I47" s="168">
        <f>'CPIF CLIN 0003-TASK 1.01 INPUTS'!I52+'CPIF CLIN 0003-TASK 1.02 INPUTS'!I52+'CPIF CLIN 0003-TASK 1.03 INPUTS'!I52+'CPIF CLIN 0003-TASK 1.04 INPUTS'!I52</f>
        <v>0</v>
      </c>
      <c r="J47" s="288"/>
      <c r="K47" s="214"/>
      <c r="L47" s="354"/>
      <c r="M47" s="168">
        <f>'CPIF CLIN 0003-TASK 1.01 INPUTS'!M52+'CPIF CLIN 0003-TASK 1.02 INPUTS'!M52+'CPIF CLIN 0003-TASK 1.03 INPUTS'!M52+'CPIF CLIN 0003-TASK 1.04 INPUTS'!M52</f>
        <v>0</v>
      </c>
      <c r="N47" s="165"/>
      <c r="O47" s="214"/>
      <c r="P47" s="354"/>
      <c r="Q47" s="168">
        <f>'CPIF CLIN 0003-TASK 1.01 INPUTS'!Q52+'CPIF CLIN 0003-TASK 1.02 INPUTS'!Q52+'CPIF CLIN 0003-TASK 1.03 INPUTS'!Q52+'CPIF CLIN 0003-TASK 1.04 INPUTS'!Q52</f>
        <v>0</v>
      </c>
    </row>
    <row r="48" spans="1:17" x14ac:dyDescent="0.2">
      <c r="B48" s="241" t="s">
        <v>320</v>
      </c>
      <c r="C48" s="233"/>
      <c r="D48" s="234"/>
      <c r="E48" s="168">
        <f>E42+E44+E45</f>
        <v>0</v>
      </c>
      <c r="F48" s="288"/>
      <c r="G48" s="233"/>
      <c r="H48" s="234"/>
      <c r="I48" s="168">
        <f>I42+I44+I45</f>
        <v>0</v>
      </c>
      <c r="J48" s="288"/>
      <c r="K48" s="233"/>
      <c r="L48" s="234"/>
      <c r="M48" s="168">
        <f>M42+M44+M45</f>
        <v>0</v>
      </c>
      <c r="N48" s="165"/>
      <c r="O48" s="233"/>
      <c r="P48" s="234"/>
      <c r="Q48" s="168">
        <f>Q42+Q44+Q45</f>
        <v>0</v>
      </c>
    </row>
    <row r="49" spans="1:17" x14ac:dyDescent="0.2">
      <c r="B49" s="241" t="s">
        <v>298</v>
      </c>
      <c r="C49" s="231"/>
      <c r="D49" s="235"/>
      <c r="E49" s="168">
        <f>ROUND(E46,2)</f>
        <v>0</v>
      </c>
      <c r="F49" s="288"/>
      <c r="G49" s="231"/>
      <c r="H49" s="235"/>
      <c r="I49" s="168">
        <f>ROUND(I46,2)</f>
        <v>0</v>
      </c>
      <c r="J49" s="288"/>
      <c r="K49" s="231"/>
      <c r="L49" s="235"/>
      <c r="M49" s="168">
        <f>ROUND(M46,2)</f>
        <v>0</v>
      </c>
      <c r="N49" s="165"/>
      <c r="O49" s="231"/>
      <c r="P49" s="235"/>
      <c r="Q49" s="168">
        <f>ROUND(Q46,2)</f>
        <v>0</v>
      </c>
    </row>
    <row r="50" spans="1:17" x14ac:dyDescent="0.2">
      <c r="B50" s="241" t="s">
        <v>136</v>
      </c>
      <c r="C50" s="231"/>
      <c r="D50" s="235"/>
      <c r="E50" s="182">
        <f>ROUND(E47,2)</f>
        <v>0</v>
      </c>
      <c r="F50" s="183"/>
      <c r="G50" s="231"/>
      <c r="H50" s="235"/>
      <c r="I50" s="182">
        <f>ROUND(I47,2)</f>
        <v>0</v>
      </c>
      <c r="J50" s="183"/>
      <c r="K50" s="231"/>
      <c r="L50" s="235"/>
      <c r="M50" s="182">
        <f>ROUND(M47,2)</f>
        <v>0</v>
      </c>
      <c r="N50" s="183"/>
      <c r="O50" s="231"/>
      <c r="P50" s="235"/>
      <c r="Q50" s="182">
        <f>ROUND(Q47,2)</f>
        <v>0</v>
      </c>
    </row>
    <row r="51" spans="1:17" ht="16.5" thickBot="1" x14ac:dyDescent="0.25">
      <c r="B51" s="242" t="s">
        <v>321</v>
      </c>
      <c r="C51" s="236"/>
      <c r="D51" s="237"/>
      <c r="E51" s="160">
        <f>SUM(E48:E50)</f>
        <v>0</v>
      </c>
      <c r="F51" s="161"/>
      <c r="G51" s="236"/>
      <c r="H51" s="237"/>
      <c r="I51" s="160">
        <f>SUM(I48:I50)</f>
        <v>0</v>
      </c>
      <c r="J51" s="161"/>
      <c r="K51" s="236"/>
      <c r="L51" s="237"/>
      <c r="M51" s="160">
        <f>SUM(M48:M50)</f>
        <v>0</v>
      </c>
      <c r="N51" s="161"/>
      <c r="O51" s="236"/>
      <c r="P51" s="237"/>
      <c r="Q51" s="160">
        <f>SUM(Q48:Q50)</f>
        <v>0</v>
      </c>
    </row>
    <row r="52" spans="1:17" ht="16.5" thickBot="1" x14ac:dyDescent="0.25">
      <c r="B52" s="172"/>
      <c r="E52" s="251"/>
      <c r="F52" s="251"/>
      <c r="G52" s="251"/>
      <c r="H52" s="251"/>
      <c r="I52" s="251"/>
      <c r="J52" s="251"/>
      <c r="K52" s="251"/>
      <c r="N52" s="187"/>
      <c r="O52" s="251"/>
    </row>
    <row r="53" spans="1:17" ht="16.5" customHeight="1" thickBot="1" x14ac:dyDescent="0.3">
      <c r="A53" s="193"/>
      <c r="B53" s="620" t="str">
        <f>B26</f>
        <v>CLIN 0003 (CPIF)                                                  TOTAL</v>
      </c>
      <c r="C53" s="594" t="s">
        <v>146</v>
      </c>
      <c r="D53" s="595"/>
      <c r="E53" s="596"/>
      <c r="F53" s="175"/>
      <c r="G53" s="594" t="s">
        <v>147</v>
      </c>
      <c r="H53" s="595"/>
      <c r="I53" s="596"/>
      <c r="J53" s="175"/>
      <c r="K53" s="594" t="s">
        <v>147</v>
      </c>
      <c r="L53" s="595"/>
      <c r="M53" s="596"/>
      <c r="N53" s="175"/>
      <c r="O53" s="594" t="s">
        <v>147</v>
      </c>
      <c r="P53" s="595"/>
      <c r="Q53" s="596"/>
    </row>
    <row r="54" spans="1:17" ht="33.75" customHeight="1" thickBot="1" x14ac:dyDescent="0.3">
      <c r="A54" s="193"/>
      <c r="B54" s="621"/>
      <c r="C54" s="591" t="str">
        <f>C27</f>
        <v>CLIN 0003 - Basic Period (Year 1)</v>
      </c>
      <c r="D54" s="592"/>
      <c r="E54" s="593"/>
      <c r="F54" s="176"/>
      <c r="G54" s="591" t="str">
        <f>G27</f>
        <v>CLIN 0003 - Basic Period (Year 2)</v>
      </c>
      <c r="H54" s="592"/>
      <c r="I54" s="593"/>
      <c r="J54" s="176"/>
      <c r="K54" s="591" t="str">
        <f>K27</f>
        <v>CLIN 0003 - Basic Period (Year 3)</v>
      </c>
      <c r="L54" s="592"/>
      <c r="M54" s="593"/>
      <c r="N54" s="176"/>
      <c r="O54" s="591" t="str">
        <f>O27</f>
        <v>CLIN 0003 - Basic Period (Year 4)</v>
      </c>
      <c r="P54" s="592"/>
      <c r="Q54" s="593"/>
    </row>
    <row r="55" spans="1:17" x14ac:dyDescent="0.25">
      <c r="A55" s="193"/>
      <c r="B55" s="248"/>
      <c r="C55" s="153" t="s">
        <v>399</v>
      </c>
      <c r="D55" s="154" t="s">
        <v>396</v>
      </c>
      <c r="E55" s="155" t="s">
        <v>153</v>
      </c>
      <c r="F55" s="166"/>
      <c r="G55" s="153" t="s">
        <v>399</v>
      </c>
      <c r="H55" s="154" t="s">
        <v>396</v>
      </c>
      <c r="I55" s="155" t="s">
        <v>123</v>
      </c>
      <c r="J55" s="166"/>
      <c r="K55" s="153" t="s">
        <v>399</v>
      </c>
      <c r="L55" s="154" t="s">
        <v>396</v>
      </c>
      <c r="M55" s="155" t="s">
        <v>123</v>
      </c>
      <c r="N55" s="166"/>
      <c r="O55" s="153" t="s">
        <v>399</v>
      </c>
      <c r="P55" s="154" t="s">
        <v>396</v>
      </c>
      <c r="Q55" s="155" t="s">
        <v>123</v>
      </c>
    </row>
    <row r="56" spans="1:17" x14ac:dyDescent="0.25">
      <c r="A56" s="193"/>
      <c r="B56" s="300" t="s">
        <v>5</v>
      </c>
      <c r="C56" s="231"/>
      <c r="D56" s="232"/>
      <c r="E56" s="214">
        <f>'CPIF CLIN 0002-TASK 1.01 INPUTS'!E61+'CPIF CLIN 0002-TASK 1.02 INPUTS'!E61+'CPIF CLIN 0002-TASK 1.03 INPUTS'!E61+'CPIF CLIN 0003-TASK 1.04 INPUTS'!E61</f>
        <v>0</v>
      </c>
      <c r="F56" s="165"/>
      <c r="G56" s="231"/>
      <c r="H56" s="232"/>
      <c r="I56" s="214">
        <f>'CPIF CLIN 0002-TASK 1.01 INPUTS'!I61+'CPIF CLIN 0002-TASK 1.02 INPUTS'!I61+'CPIF CLIN 0002-TASK 1.03 INPUTS'!I61+'CPIF CLIN 0003-TASK 1.04 INPUTS'!I61</f>
        <v>0</v>
      </c>
      <c r="J56" s="165"/>
      <c r="K56" s="231"/>
      <c r="L56" s="232"/>
      <c r="M56" s="216">
        <f>'CPIF CLIN 0002-TASK 1.01 INPUTS'!M61+'CPIF CLIN 0002-TASK 1.02 INPUTS'!M61+'CPIF CLIN 0002-TASK 1.03 INPUTS'!M61+'CPIF CLIN 0003-TASK 1.04 INPUTS'!M61</f>
        <v>0</v>
      </c>
      <c r="N56" s="165"/>
      <c r="O56" s="231"/>
      <c r="P56" s="232"/>
      <c r="Q56" s="216">
        <f>'CPIF CLIN 0002-TASK 1.01 INPUTS'!Q61+'CPIF CLIN 0002-TASK 1.02 INPUTS'!Q61+'CPIF CLIN 0002-TASK 1.03 INPUTS'!Q61+'CPIF CLIN 0003-TASK 1.04 INPUTS'!Q61</f>
        <v>0</v>
      </c>
    </row>
    <row r="57" spans="1:17" x14ac:dyDescent="0.25">
      <c r="A57" s="193"/>
      <c r="B57" s="167" t="s">
        <v>125</v>
      </c>
      <c r="C57" s="215"/>
      <c r="D57" s="243"/>
      <c r="E57" s="168">
        <f>'CPIF CLIN 0003-TASK 1.01 INPUTS'!E63+'CPIF CLIN 0003-TASK 1.02 INPUTS'!E63+'CPIF CLIN 0003-TASK 1.03 INPUTS'!E63+'CPIF CLIN 0003-TASK 1.04 INPUTS'!E63</f>
        <v>0</v>
      </c>
      <c r="F57" s="178"/>
      <c r="G57" s="215"/>
      <c r="H57" s="243"/>
      <c r="I57" s="168">
        <f>'CPIF CLIN 0003-TASK 1.01 INPUTS'!I63+'CPIF CLIN 0003-TASK 1.02 INPUTS'!I63+'CPIF CLIN 0003-TASK 1.03 INPUTS'!I63+'CPIF CLIN 0003-TASK 1.04 INPUTS'!I63</f>
        <v>0</v>
      </c>
      <c r="J57" s="178"/>
      <c r="K57" s="215"/>
      <c r="L57" s="243"/>
      <c r="M57" s="168">
        <f>'CPIF CLIN 0003-TASK 1.01 INPUTS'!M63+'CPIF CLIN 0003-TASK 1.02 INPUTS'!M63+'CPIF CLIN 0003-TASK 1.03 INPUTS'!M63+'CPIF CLIN 0003-TASK 1.04 INPUTS'!M63</f>
        <v>0</v>
      </c>
      <c r="N57" s="178"/>
      <c r="O57" s="215"/>
      <c r="P57" s="243"/>
      <c r="Q57" s="168">
        <f>'CPIF CLIN 0003-TASK 1.01 INPUTS'!Q63+'CPIF CLIN 0003-TASK 1.02 INPUTS'!Q63+'CPIF CLIN 0003-TASK 1.03 INPUTS'!Q63+'CPIF CLIN 0003-TASK 1.04 INPUTS'!Q63</f>
        <v>0</v>
      </c>
    </row>
    <row r="58" spans="1:17" x14ac:dyDescent="0.25">
      <c r="A58" s="193"/>
      <c r="B58" s="167" t="s">
        <v>126</v>
      </c>
      <c r="C58" s="215"/>
      <c r="D58" s="243"/>
      <c r="E58" s="168">
        <f>'CPIF CLIN 0003-TASK 1.01 INPUTS'!E64+'CPIF CLIN 0003-TASK 1.02 INPUTS'!E64+'CPIF CLIN 0003-TASK 1.03 INPUTS'!E64+'CPIF CLIN 0003-TASK 1.04 INPUTS'!E64</f>
        <v>0</v>
      </c>
      <c r="F58" s="178"/>
      <c r="G58" s="215"/>
      <c r="H58" s="243"/>
      <c r="I58" s="168">
        <f>'CPIF CLIN 0003-TASK 1.01 INPUTS'!I64+'CPIF CLIN 0003-TASK 1.02 INPUTS'!I64+'CPIF CLIN 0003-TASK 1.03 INPUTS'!I64+'CPIF CLIN 0003-TASK 1.04 INPUTS'!I64</f>
        <v>0</v>
      </c>
      <c r="J58" s="178"/>
      <c r="K58" s="215"/>
      <c r="L58" s="243"/>
      <c r="M58" s="168">
        <f>'CPIF CLIN 0003-TASK 1.01 INPUTS'!M64+'CPIF CLIN 0003-TASK 1.02 INPUTS'!M64+'CPIF CLIN 0003-TASK 1.03 INPUTS'!M64+'CPIF CLIN 0003-TASK 1.04 INPUTS'!M64</f>
        <v>0</v>
      </c>
      <c r="N58" s="178"/>
      <c r="O58" s="215"/>
      <c r="P58" s="243"/>
      <c r="Q58" s="168">
        <f>'CPIF CLIN 0003-TASK 1.01 INPUTS'!Q64+'CPIF CLIN 0003-TASK 1.02 INPUTS'!Q64+'CPIF CLIN 0003-TASK 1.03 INPUTS'!Q64+'CPIF CLIN 0003-TASK 1.04 INPUTS'!Q64</f>
        <v>0</v>
      </c>
    </row>
    <row r="59" spans="1:17" x14ac:dyDescent="0.25">
      <c r="A59" s="193"/>
      <c r="B59" s="167" t="s">
        <v>566</v>
      </c>
      <c r="C59" s="215"/>
      <c r="D59" s="352"/>
      <c r="E59" s="168">
        <f>'CPIF CLIN 0003-TASK 1.01 INPUTS'!E65+'CPIF CLIN 0003-TASK 1.02 INPUTS'!E65+'CPIF CLIN 0003-TASK 1.03 INPUTS'!E65+'CPIF CLIN 0003-TASK 1.04 INPUTS'!E65</f>
        <v>0</v>
      </c>
      <c r="F59" s="165"/>
      <c r="G59" s="215"/>
      <c r="H59" s="352"/>
      <c r="I59" s="168">
        <f>'CPIF CLIN 0003-TASK 1.01 INPUTS'!I65+'CPIF CLIN 0003-TASK 1.02 INPUTS'!I65+'CPIF CLIN 0003-TASK 1.03 INPUTS'!I65+'CPIF CLIN 0003-TASK 1.04 INPUTS'!I65</f>
        <v>0</v>
      </c>
      <c r="J59" s="165"/>
      <c r="K59" s="215"/>
      <c r="L59" s="352"/>
      <c r="M59" s="168">
        <f>'CPIF CLIN 0003-TASK 1.01 INPUTS'!M65+'CPIF CLIN 0003-TASK 1.02 INPUTS'!M65+'CPIF CLIN 0003-TASK 1.03 INPUTS'!M65+'CPIF CLIN 0003-TASK 1.04 INPUTS'!M65</f>
        <v>0</v>
      </c>
      <c r="N59" s="165"/>
      <c r="O59" s="215"/>
      <c r="P59" s="352"/>
      <c r="Q59" s="168">
        <f>'CPIF CLIN 0003-TASK 1.01 INPUTS'!Q65+'CPIF CLIN 0003-TASK 1.02 INPUTS'!Q65+'CPIF CLIN 0003-TASK 1.03 INPUTS'!Q65+'CPIF CLIN 0003-TASK 1.04 INPUTS'!Q65</f>
        <v>0</v>
      </c>
    </row>
    <row r="60" spans="1:17" x14ac:dyDescent="0.25">
      <c r="A60" s="193"/>
      <c r="B60" s="167" t="s">
        <v>127</v>
      </c>
      <c r="C60" s="215"/>
      <c r="D60" s="354"/>
      <c r="E60" s="168">
        <f>'CPIF CLIN 0003-TASK 1.01 INPUTS'!E66+'CPIF CLIN 0003-TASK 1.02 INPUTS'!E66+'CPIF CLIN 0003-TASK 1.03 INPUTS'!E66+'CPIF CLIN 0003-TASK 1.04 INPUTS'!E66</f>
        <v>0</v>
      </c>
      <c r="F60" s="165"/>
      <c r="G60" s="215"/>
      <c r="H60" s="354"/>
      <c r="I60" s="168">
        <f>'CPIF CLIN 0003-TASK 1.01 INPUTS'!I66+'CPIF CLIN 0003-TASK 1.02 INPUTS'!I66+'CPIF CLIN 0003-TASK 1.03 INPUTS'!I66+'CPIF CLIN 0003-TASK 1.04 INPUTS'!I66</f>
        <v>0</v>
      </c>
      <c r="J60" s="165"/>
      <c r="K60" s="215"/>
      <c r="L60" s="354"/>
      <c r="M60" s="168">
        <f>'CPIF CLIN 0003-TASK 1.01 INPUTS'!M66+'CPIF CLIN 0003-TASK 1.02 INPUTS'!M66+'CPIF CLIN 0003-TASK 1.03 INPUTS'!M66+'CPIF CLIN 0003-TASK 1.04 INPUTS'!M66</f>
        <v>0</v>
      </c>
      <c r="N60" s="165"/>
      <c r="O60" s="215"/>
      <c r="P60" s="354"/>
      <c r="Q60" s="168">
        <f>'CPIF CLIN 0003-TASK 1.01 INPUTS'!Q66+'CPIF CLIN 0003-TASK 1.02 INPUTS'!Q66+'CPIF CLIN 0003-TASK 1.03 INPUTS'!Q66+'CPIF CLIN 0003-TASK 1.04 INPUTS'!Q66</f>
        <v>0</v>
      </c>
    </row>
    <row r="61" spans="1:17" x14ac:dyDescent="0.25">
      <c r="A61" s="193"/>
      <c r="B61" s="241" t="s">
        <v>260</v>
      </c>
      <c r="C61" s="233"/>
      <c r="D61" s="234"/>
      <c r="E61" s="168">
        <f>+ROUND(SUM(E56:E58),2)</f>
        <v>0</v>
      </c>
      <c r="F61" s="165"/>
      <c r="G61" s="233"/>
      <c r="H61" s="234"/>
      <c r="I61" s="168">
        <f>+ROUND(SUM(I56:I58),2)</f>
        <v>0</v>
      </c>
      <c r="J61" s="165"/>
      <c r="K61" s="233"/>
      <c r="L61" s="234"/>
      <c r="M61" s="168">
        <f>+ROUND(SUM(M56:M58),2)</f>
        <v>0</v>
      </c>
      <c r="N61" s="165"/>
      <c r="O61" s="233"/>
      <c r="P61" s="234"/>
      <c r="Q61" s="168">
        <f>+ROUND(SUM(Q56:Q58),2)</f>
        <v>0</v>
      </c>
    </row>
    <row r="62" spans="1:17" x14ac:dyDescent="0.25">
      <c r="A62" s="193"/>
      <c r="B62" s="241" t="s">
        <v>137</v>
      </c>
      <c r="C62" s="231"/>
      <c r="D62" s="235"/>
      <c r="E62" s="168">
        <f>+ROUND(E59,2)</f>
        <v>0</v>
      </c>
      <c r="F62" s="165"/>
      <c r="G62" s="231"/>
      <c r="H62" s="235"/>
      <c r="I62" s="168">
        <f>+ROUND(I59,2)</f>
        <v>0</v>
      </c>
      <c r="J62" s="165"/>
      <c r="K62" s="231"/>
      <c r="L62" s="235"/>
      <c r="M62" s="168">
        <f>+ROUND(M59,2)</f>
        <v>0</v>
      </c>
      <c r="N62" s="165"/>
      <c r="O62" s="231"/>
      <c r="P62" s="235"/>
      <c r="Q62" s="168">
        <f>+ROUND(Q59,2)</f>
        <v>0</v>
      </c>
    </row>
    <row r="63" spans="1:17" x14ac:dyDescent="0.2">
      <c r="A63" s="186"/>
      <c r="B63" s="241" t="s">
        <v>136</v>
      </c>
      <c r="C63" s="231"/>
      <c r="D63" s="235"/>
      <c r="E63" s="182">
        <f>+ROUND(E60,2)</f>
        <v>0</v>
      </c>
      <c r="F63" s="183"/>
      <c r="G63" s="231"/>
      <c r="H63" s="235"/>
      <c r="I63" s="182">
        <f>+ROUND(I60,2)</f>
        <v>0</v>
      </c>
      <c r="J63" s="183"/>
      <c r="K63" s="231"/>
      <c r="L63" s="235"/>
      <c r="M63" s="182">
        <f>+ROUND(M60,2)</f>
        <v>0</v>
      </c>
      <c r="N63" s="183"/>
      <c r="O63" s="231"/>
      <c r="P63" s="235"/>
      <c r="Q63" s="182">
        <f>+ROUND(Q60,2)</f>
        <v>0</v>
      </c>
    </row>
    <row r="64" spans="1:17" ht="16.5" thickBot="1" x14ac:dyDescent="0.25">
      <c r="A64" s="186"/>
      <c r="B64" s="242" t="s">
        <v>244</v>
      </c>
      <c r="C64" s="236"/>
      <c r="D64" s="237"/>
      <c r="E64" s="160">
        <f t="shared" ref="E64" si="4">SUM(E61:E63)</f>
        <v>0</v>
      </c>
      <c r="F64" s="161"/>
      <c r="G64" s="236"/>
      <c r="H64" s="237"/>
      <c r="I64" s="160">
        <f t="shared" ref="I64" si="5">SUM(I61:I63)</f>
        <v>0</v>
      </c>
      <c r="J64" s="161"/>
      <c r="K64" s="236"/>
      <c r="L64" s="237"/>
      <c r="M64" s="160">
        <f t="shared" ref="M64" si="6">SUM(M61:M63)</f>
        <v>0</v>
      </c>
      <c r="N64" s="161"/>
      <c r="O64" s="236"/>
      <c r="P64" s="237"/>
      <c r="Q64" s="160">
        <f t="shared" ref="Q64" si="7">SUM(Q61:Q63)</f>
        <v>0</v>
      </c>
    </row>
    <row r="65" spans="1:19" ht="16.5" thickBot="1" x14ac:dyDescent="0.25">
      <c r="A65" s="186"/>
      <c r="B65" s="172"/>
      <c r="E65" s="251"/>
      <c r="F65" s="251"/>
      <c r="G65" s="251"/>
      <c r="H65" s="251"/>
      <c r="I65" s="251"/>
      <c r="J65" s="251"/>
      <c r="K65" s="251"/>
      <c r="N65" s="187"/>
      <c r="O65" s="251"/>
    </row>
    <row r="66" spans="1:19" ht="16.5" thickBot="1" x14ac:dyDescent="0.3">
      <c r="A66" s="186"/>
      <c r="B66" s="628" t="str">
        <f>B53</f>
        <v>CLIN 0003 (CPIF)                                                  TOTAL</v>
      </c>
      <c r="C66" s="614" t="s">
        <v>319</v>
      </c>
      <c r="D66" s="615"/>
      <c r="E66" s="616"/>
      <c r="F66" s="175"/>
      <c r="G66" s="614" t="s">
        <v>319</v>
      </c>
      <c r="H66" s="615"/>
      <c r="I66" s="616"/>
      <c r="J66" s="175"/>
      <c r="K66" s="614" t="s">
        <v>319</v>
      </c>
      <c r="L66" s="615"/>
      <c r="M66" s="616"/>
      <c r="N66" s="175"/>
      <c r="O66" s="614" t="s">
        <v>319</v>
      </c>
      <c r="P66" s="615"/>
      <c r="Q66" s="616"/>
    </row>
    <row r="67" spans="1:19" ht="33.75" customHeight="1" thickBot="1" x14ac:dyDescent="0.3">
      <c r="A67" s="186"/>
      <c r="B67" s="629"/>
      <c r="C67" s="280"/>
      <c r="D67" s="281"/>
      <c r="E67" s="188" t="s">
        <v>371</v>
      </c>
      <c r="F67" s="189"/>
      <c r="G67" s="280"/>
      <c r="H67" s="281"/>
      <c r="I67" s="188" t="s">
        <v>372</v>
      </c>
      <c r="J67" s="189"/>
      <c r="K67" s="280"/>
      <c r="L67" s="281"/>
      <c r="M67" s="188" t="s">
        <v>373</v>
      </c>
      <c r="N67" s="189"/>
      <c r="O67" s="280"/>
      <c r="P67" s="281"/>
      <c r="Q67" s="188" t="s">
        <v>374</v>
      </c>
      <c r="S67" s="480" t="s">
        <v>21</v>
      </c>
    </row>
    <row r="68" spans="1:19" x14ac:dyDescent="0.2">
      <c r="A68" s="186"/>
      <c r="B68" s="167" t="s">
        <v>261</v>
      </c>
      <c r="C68" s="282"/>
      <c r="D68" s="282"/>
      <c r="E68" s="190">
        <f>+ROUND(E21+E34+E48+E61,2)</f>
        <v>0</v>
      </c>
      <c r="F68" s="165"/>
      <c r="G68" s="282"/>
      <c r="H68" s="282"/>
      <c r="I68" s="190">
        <f>+ROUND(I21+I34+I48+I61,2)</f>
        <v>0</v>
      </c>
      <c r="J68" s="165"/>
      <c r="K68" s="282"/>
      <c r="L68" s="282"/>
      <c r="M68" s="190">
        <f>+ROUND(M21+M34+M48+M61,2)</f>
        <v>0</v>
      </c>
      <c r="N68" s="165"/>
      <c r="O68" s="282"/>
      <c r="P68" s="282"/>
      <c r="Q68" s="190">
        <f>+ROUND(Q21+Q34+Q48+Q61,2)</f>
        <v>0</v>
      </c>
      <c r="S68" s="470">
        <f>E68+I68+M68+Q68</f>
        <v>0</v>
      </c>
    </row>
    <row r="69" spans="1:19" x14ac:dyDescent="0.2">
      <c r="A69" s="186"/>
      <c r="B69" s="167" t="s">
        <v>137</v>
      </c>
      <c r="C69" s="282"/>
      <c r="D69" s="282"/>
      <c r="E69" s="168">
        <f>+ROUND(E22+E35+E49+E62,2)</f>
        <v>0</v>
      </c>
      <c r="F69" s="165"/>
      <c r="G69" s="282"/>
      <c r="H69" s="282"/>
      <c r="I69" s="168">
        <f>+ROUND(I22+I35+I49+I62,2)</f>
        <v>0</v>
      </c>
      <c r="J69" s="165"/>
      <c r="K69" s="282"/>
      <c r="L69" s="282"/>
      <c r="M69" s="168">
        <f>+ROUND(M22+M35+M49+M62,2)</f>
        <v>0</v>
      </c>
      <c r="N69" s="165"/>
      <c r="O69" s="282"/>
      <c r="P69" s="282"/>
      <c r="Q69" s="168">
        <f>+ROUND(Q22+Q35+Q49+Q62,2)</f>
        <v>0</v>
      </c>
      <c r="S69" s="470">
        <f t="shared" ref="S69:S71" si="8">E69+I69+M69+Q69</f>
        <v>0</v>
      </c>
    </row>
    <row r="70" spans="1:19" x14ac:dyDescent="0.2">
      <c r="A70" s="186"/>
      <c r="B70" s="167" t="s">
        <v>136</v>
      </c>
      <c r="C70" s="282"/>
      <c r="D70" s="282"/>
      <c r="E70" s="169">
        <f>+ROUND(E23+E36+E50+E63,2)</f>
        <v>0</v>
      </c>
      <c r="F70" s="170"/>
      <c r="G70" s="282"/>
      <c r="H70" s="282"/>
      <c r="I70" s="169">
        <f>+ROUND(I23+I36+I50+I63,2)</f>
        <v>0</v>
      </c>
      <c r="J70" s="170"/>
      <c r="K70" s="282"/>
      <c r="L70" s="282"/>
      <c r="M70" s="169">
        <f>+ROUND(M23+M36+M50+M63,2)</f>
        <v>0</v>
      </c>
      <c r="N70" s="170"/>
      <c r="O70" s="282"/>
      <c r="P70" s="282"/>
      <c r="Q70" s="169">
        <f>+ROUND(Q23+Q36+Q50+Q63,2)</f>
        <v>0</v>
      </c>
      <c r="S70" s="470">
        <f t="shared" si="8"/>
        <v>0</v>
      </c>
    </row>
    <row r="71" spans="1:19" ht="16.5" thickBot="1" x14ac:dyDescent="0.3">
      <c r="A71" s="186"/>
      <c r="B71" s="267" t="s">
        <v>379</v>
      </c>
      <c r="C71" s="283"/>
      <c r="D71" s="283"/>
      <c r="E71" s="266">
        <f>SUM(E68:E70)</f>
        <v>0</v>
      </c>
      <c r="F71" s="171"/>
      <c r="G71" s="283"/>
      <c r="H71" s="283"/>
      <c r="I71" s="266">
        <f>SUM(I68:I70)</f>
        <v>0</v>
      </c>
      <c r="J71" s="171"/>
      <c r="K71" s="283"/>
      <c r="L71" s="283"/>
      <c r="M71" s="266">
        <f>SUM(M68:M70)</f>
        <v>0</v>
      </c>
      <c r="N71" s="171"/>
      <c r="O71" s="283"/>
      <c r="P71" s="283"/>
      <c r="Q71" s="266">
        <f>SUM(Q68:Q70)</f>
        <v>0</v>
      </c>
      <c r="S71" s="479">
        <f t="shared" si="8"/>
        <v>0</v>
      </c>
    </row>
    <row r="72" spans="1:19" ht="16.5" thickBot="1" x14ac:dyDescent="0.3"/>
    <row r="73" spans="1:19" ht="95.25" thickBot="1" x14ac:dyDescent="0.3">
      <c r="P73" s="408" t="s">
        <v>393</v>
      </c>
      <c r="Q73" s="409">
        <f>E71+I71+M71+Q71</f>
        <v>0</v>
      </c>
    </row>
    <row r="75" spans="1:19" x14ac:dyDescent="0.25">
      <c r="P75" s="481" t="s">
        <v>22</v>
      </c>
      <c r="Q75" s="482">
        <f>'CPIF CLIN 0003-TASK 1.01 INPUTS'!Q80+'CPIF CLIN 0003-TASK 1.02 INPUTS'!Q80+'CPIF CLIN 0003-TASK 1.03 INPUTS'!Q80+'CPIF CLIN 0003-TASK 1.04 INPUTS'!Q80</f>
        <v>0</v>
      </c>
    </row>
  </sheetData>
  <mergeCells count="46">
    <mergeCell ref="K26:M26"/>
    <mergeCell ref="C27:E27"/>
    <mergeCell ref="G27:I27"/>
    <mergeCell ref="K27:M27"/>
    <mergeCell ref="B66:B67"/>
    <mergeCell ref="C66:E66"/>
    <mergeCell ref="G66:I66"/>
    <mergeCell ref="K66:M66"/>
    <mergeCell ref="C54:E54"/>
    <mergeCell ref="G54:I54"/>
    <mergeCell ref="K54:M54"/>
    <mergeCell ref="B53:B54"/>
    <mergeCell ref="C53:E53"/>
    <mergeCell ref="G53:I53"/>
    <mergeCell ref="K53:M53"/>
    <mergeCell ref="B39:B40"/>
    <mergeCell ref="A3:C3"/>
    <mergeCell ref="B9:B10"/>
    <mergeCell ref="C9:E9"/>
    <mergeCell ref="G9:I9"/>
    <mergeCell ref="B26:B27"/>
    <mergeCell ref="C26:E26"/>
    <mergeCell ref="G26:I26"/>
    <mergeCell ref="K9:M9"/>
    <mergeCell ref="C10:E10"/>
    <mergeCell ref="G10:I10"/>
    <mergeCell ref="K10:M10"/>
    <mergeCell ref="O9:Q9"/>
    <mergeCell ref="O10:Q10"/>
    <mergeCell ref="O53:Q53"/>
    <mergeCell ref="O54:Q54"/>
    <mergeCell ref="O66:Q66"/>
    <mergeCell ref="O26:Q26"/>
    <mergeCell ref="O27:Q27"/>
    <mergeCell ref="C43:E43"/>
    <mergeCell ref="G43:I43"/>
    <mergeCell ref="K43:M43"/>
    <mergeCell ref="O43:Q43"/>
    <mergeCell ref="K39:M39"/>
    <mergeCell ref="O39:Q39"/>
    <mergeCell ref="C40:E40"/>
    <mergeCell ref="G40:I40"/>
    <mergeCell ref="K40:M40"/>
    <mergeCell ref="O40:Q40"/>
    <mergeCell ref="C39:E39"/>
    <mergeCell ref="G39:I39"/>
  </mergeCell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B0482B-8730-4B32-86D1-35AEFFAD1424}">
  <sheetPr>
    <tabColor theme="9" tint="0.59999389629810485"/>
  </sheetPr>
  <dimension ref="A1:Q17"/>
  <sheetViews>
    <sheetView workbookViewId="0">
      <pane xSplit="1" ySplit="13" topLeftCell="B14" activePane="bottomRight" state="frozen"/>
      <selection pane="topRight" activeCell="B1" sqref="B1"/>
      <selection pane="bottomLeft" activeCell="A7" sqref="A7"/>
      <selection pane="bottomRight" activeCell="F14" sqref="F14"/>
    </sheetView>
    <sheetView workbookViewId="1"/>
  </sheetViews>
  <sheetFormatPr defaultColWidth="8.85546875" defaultRowHeight="15" x14ac:dyDescent="0.25"/>
  <cols>
    <col min="1" max="1" width="8.85546875" style="84"/>
    <col min="2" max="2" width="8.85546875" style="63"/>
    <col min="3" max="3" width="85.42578125" style="63" bestFit="1" customWidth="1"/>
    <col min="4" max="4" width="11.5703125" style="63" customWidth="1"/>
    <col min="5" max="6" width="8.85546875" style="63"/>
    <col min="7" max="7" width="11.140625" style="63" bestFit="1" customWidth="1"/>
    <col min="8" max="8" width="10.140625" style="63" bestFit="1" customWidth="1"/>
    <col min="9" max="10" width="8.85546875" style="63"/>
    <col min="11" max="11" width="11.140625" style="63" bestFit="1" customWidth="1"/>
    <col min="12" max="12" width="12.140625" style="63" customWidth="1"/>
    <col min="13" max="13" width="10.28515625" style="63" customWidth="1"/>
    <col min="14" max="14" width="11.85546875" style="63" bestFit="1" customWidth="1"/>
    <col min="15" max="15" width="10" style="63" bestFit="1" customWidth="1"/>
    <col min="16" max="16" width="11.85546875" style="63" bestFit="1" customWidth="1"/>
    <col min="17" max="17" width="12" style="63" customWidth="1"/>
    <col min="18" max="16384" width="8.85546875" style="63"/>
  </cols>
  <sheetData>
    <row r="1" spans="1:17" ht="15.75" thickBot="1" x14ac:dyDescent="0.3">
      <c r="B1" s="126" t="s">
        <v>626</v>
      </c>
      <c r="C1" s="493" t="str">
        <f>'FFP CLINs X007-X021'!B1</f>
        <v>NAME</v>
      </c>
    </row>
    <row r="2" spans="1:17" x14ac:dyDescent="0.25">
      <c r="B2" s="412"/>
      <c r="C2" s="76"/>
    </row>
    <row r="3" spans="1:17" s="186" customFormat="1" ht="15.75" x14ac:dyDescent="0.2">
      <c r="A3" s="191"/>
      <c r="B3" s="261" t="s">
        <v>130</v>
      </c>
      <c r="C3" s="194"/>
    </row>
    <row r="4" spans="1:17" s="186" customFormat="1" ht="15.75" x14ac:dyDescent="0.25">
      <c r="A4" s="192"/>
      <c r="B4" s="258" t="s">
        <v>163</v>
      </c>
      <c r="C4" s="194"/>
    </row>
    <row r="5" spans="1:17" s="186" customFormat="1" ht="15.75" x14ac:dyDescent="0.25">
      <c r="A5" s="192"/>
      <c r="B5" s="258" t="s">
        <v>401</v>
      </c>
      <c r="C5" s="194"/>
    </row>
    <row r="6" spans="1:17" s="186" customFormat="1" ht="15.75" x14ac:dyDescent="0.25">
      <c r="A6" s="192"/>
      <c r="B6" s="258" t="s">
        <v>402</v>
      </c>
      <c r="C6" s="194"/>
    </row>
    <row r="7" spans="1:17" s="186" customFormat="1" ht="15.75" x14ac:dyDescent="0.25">
      <c r="A7" s="192"/>
      <c r="B7" s="258" t="s">
        <v>403</v>
      </c>
      <c r="C7" s="194"/>
    </row>
    <row r="8" spans="1:17" s="186" customFormat="1" ht="16.5" thickBot="1" x14ac:dyDescent="0.3">
      <c r="A8" s="192"/>
      <c r="B8" s="258"/>
      <c r="C8" s="194"/>
    </row>
    <row r="9" spans="1:17" ht="18.75" thickBot="1" x14ac:dyDescent="0.3">
      <c r="A9" s="642" t="s">
        <v>5</v>
      </c>
      <c r="B9" s="643"/>
      <c r="C9" s="643"/>
      <c r="D9" s="643"/>
      <c r="E9" s="643"/>
      <c r="F9" s="643"/>
      <c r="G9" s="643"/>
      <c r="H9" s="643"/>
      <c r="I9" s="643"/>
      <c r="J9" s="643"/>
      <c r="K9" s="643"/>
      <c r="L9" s="643"/>
      <c r="M9" s="643"/>
      <c r="N9" s="643"/>
      <c r="O9" s="643"/>
      <c r="P9" s="643"/>
      <c r="Q9" s="644"/>
    </row>
    <row r="10" spans="1:17" ht="46.5" customHeight="1" x14ac:dyDescent="0.25">
      <c r="A10" s="306"/>
      <c r="B10" s="306"/>
      <c r="C10" s="306"/>
      <c r="D10" s="306"/>
      <c r="E10" s="306"/>
      <c r="F10" s="306"/>
      <c r="G10" s="306"/>
      <c r="H10" s="306"/>
      <c r="I10" s="306"/>
      <c r="J10" s="306"/>
      <c r="K10" s="306"/>
      <c r="L10" s="650" t="s">
        <v>271</v>
      </c>
      <c r="M10" s="651"/>
      <c r="N10" s="645" t="s">
        <v>270</v>
      </c>
      <c r="O10" s="646"/>
      <c r="P10" s="646"/>
      <c r="Q10" s="647"/>
    </row>
    <row r="11" spans="1:17" ht="30" x14ac:dyDescent="0.25">
      <c r="A11" s="85" t="s">
        <v>2</v>
      </c>
      <c r="B11" s="85" t="s">
        <v>59</v>
      </c>
      <c r="C11" s="378" t="s">
        <v>60</v>
      </c>
      <c r="D11" s="86" t="s">
        <v>32</v>
      </c>
      <c r="E11" s="86" t="s">
        <v>61</v>
      </c>
      <c r="F11" s="86" t="s">
        <v>8</v>
      </c>
      <c r="G11" s="86" t="s">
        <v>62</v>
      </c>
      <c r="H11" s="86" t="s">
        <v>264</v>
      </c>
      <c r="I11" s="86" t="s">
        <v>265</v>
      </c>
      <c r="J11" s="86" t="s">
        <v>266</v>
      </c>
      <c r="K11" s="86" t="s">
        <v>267</v>
      </c>
      <c r="L11" s="86" t="s">
        <v>268</v>
      </c>
      <c r="M11" s="86" t="s">
        <v>269</v>
      </c>
      <c r="N11" s="648" t="s">
        <v>63</v>
      </c>
      <c r="O11" s="649"/>
      <c r="P11" s="648" t="s">
        <v>64</v>
      </c>
      <c r="Q11" s="649"/>
    </row>
    <row r="12" spans="1:17" ht="6.75" customHeight="1" x14ac:dyDescent="0.25">
      <c r="A12" s="82"/>
      <c r="B12" s="83"/>
      <c r="C12" s="83"/>
      <c r="D12" s="83"/>
      <c r="E12" s="83"/>
      <c r="F12" s="83"/>
      <c r="G12" s="83"/>
      <c r="H12" s="83"/>
      <c r="I12" s="83"/>
      <c r="J12" s="83"/>
      <c r="K12" s="83"/>
      <c r="L12" s="83"/>
      <c r="M12" s="83"/>
      <c r="N12" s="83"/>
      <c r="O12" s="83"/>
      <c r="P12" s="83"/>
      <c r="Q12" s="83"/>
    </row>
    <row r="13" spans="1:17" x14ac:dyDescent="0.25">
      <c r="A13" s="639" t="s">
        <v>5</v>
      </c>
      <c r="B13" s="640"/>
      <c r="C13" s="640"/>
      <c r="D13" s="640"/>
      <c r="E13" s="640"/>
      <c r="F13" s="640"/>
      <c r="G13" s="640"/>
      <c r="H13" s="640"/>
      <c r="I13" s="640"/>
      <c r="J13" s="640"/>
      <c r="K13" s="640"/>
      <c r="L13" s="640"/>
      <c r="M13" s="641"/>
      <c r="N13" s="87" t="s">
        <v>66</v>
      </c>
      <c r="O13" s="87" t="s">
        <v>67</v>
      </c>
      <c r="P13" s="88" t="s">
        <v>66</v>
      </c>
      <c r="Q13" s="87" t="s">
        <v>67</v>
      </c>
    </row>
    <row r="14" spans="1:17" ht="18.75" customHeight="1" x14ac:dyDescent="0.25">
      <c r="A14" s="77" t="s">
        <v>68</v>
      </c>
      <c r="B14" s="637" t="s">
        <v>65</v>
      </c>
      <c r="C14" s="78" t="s">
        <v>26</v>
      </c>
      <c r="D14" s="79" t="s">
        <v>34</v>
      </c>
      <c r="E14" s="80">
        <f>[1]Summary!E8</f>
        <v>1</v>
      </c>
      <c r="F14" s="79" t="str">
        <f>[1]Summary!D8</f>
        <v>LOT</v>
      </c>
      <c r="G14" s="304">
        <f>'CPIF CLIN 0001 TOTAL'!S68</f>
        <v>0</v>
      </c>
      <c r="H14" s="81">
        <f>'CPIF CLIN 0001 TOTAL'!S70</f>
        <v>0</v>
      </c>
      <c r="I14" s="393" t="e">
        <f>H14/G14</f>
        <v>#DIV/0!</v>
      </c>
      <c r="J14" s="305">
        <f>'CPIF CLIN 0001 TOTAL'!S69</f>
        <v>0</v>
      </c>
      <c r="K14" s="81">
        <f>G14+H14+J14</f>
        <v>0</v>
      </c>
      <c r="L14" s="346">
        <v>0.04</v>
      </c>
      <c r="M14" s="346">
        <v>0.12</v>
      </c>
      <c r="N14" s="347">
        <v>0.8</v>
      </c>
      <c r="O14" s="347">
        <v>0.2</v>
      </c>
      <c r="P14" s="347">
        <v>0.8</v>
      </c>
      <c r="Q14" s="347">
        <v>0.2</v>
      </c>
    </row>
    <row r="15" spans="1:17" ht="18.75" customHeight="1" x14ac:dyDescent="0.25">
      <c r="A15" s="77" t="s">
        <v>69</v>
      </c>
      <c r="B15" s="638"/>
      <c r="C15" s="78" t="s">
        <v>27</v>
      </c>
      <c r="D15" s="79" t="s">
        <v>34</v>
      </c>
      <c r="E15" s="80">
        <f>[1]Summary!E9</f>
        <v>1</v>
      </c>
      <c r="F15" s="79" t="str">
        <f>[1]Summary!D9</f>
        <v>LOT</v>
      </c>
      <c r="G15" s="304">
        <f>'CPIF CLIN 0002 TOTAL'!S67</f>
        <v>0</v>
      </c>
      <c r="H15" s="81">
        <f>'CPIF CLIN 0002 TOTAL'!S69</f>
        <v>0</v>
      </c>
      <c r="I15" s="393" t="e">
        <f t="shared" ref="I15:I16" si="0">H15/G15</f>
        <v>#DIV/0!</v>
      </c>
      <c r="J15" s="305">
        <f>'CPIF CLIN 0002 TOTAL'!S68</f>
        <v>0</v>
      </c>
      <c r="K15" s="81">
        <f t="shared" ref="K15:K16" si="1">G15+H15+J15</f>
        <v>0</v>
      </c>
      <c r="L15" s="346">
        <v>0.04</v>
      </c>
      <c r="M15" s="346">
        <v>0.12</v>
      </c>
      <c r="N15" s="347">
        <v>0.8</v>
      </c>
      <c r="O15" s="347">
        <v>0.2</v>
      </c>
      <c r="P15" s="347">
        <v>0.8</v>
      </c>
      <c r="Q15" s="347">
        <v>0.2</v>
      </c>
    </row>
    <row r="16" spans="1:17" ht="18.75" customHeight="1" x14ac:dyDescent="0.25">
      <c r="A16" s="77" t="s">
        <v>70</v>
      </c>
      <c r="B16" s="638"/>
      <c r="C16" s="78" t="s">
        <v>28</v>
      </c>
      <c r="D16" s="79" t="s">
        <v>34</v>
      </c>
      <c r="E16" s="80">
        <v>1</v>
      </c>
      <c r="F16" s="79" t="s">
        <v>263</v>
      </c>
      <c r="G16" s="304">
        <f>'CPIF CLIN 0003 TOTAL'!S68</f>
        <v>0</v>
      </c>
      <c r="H16" s="81">
        <f>'CPIF CLIN 0003 TOTAL'!S70</f>
        <v>0</v>
      </c>
      <c r="I16" s="393" t="e">
        <f t="shared" si="0"/>
        <v>#DIV/0!</v>
      </c>
      <c r="J16" s="305">
        <f>'CPIF CLIN 0003 TOTAL'!S69</f>
        <v>0</v>
      </c>
      <c r="K16" s="81">
        <f t="shared" si="1"/>
        <v>0</v>
      </c>
      <c r="L16" s="346">
        <v>0.04</v>
      </c>
      <c r="M16" s="346">
        <v>0.12</v>
      </c>
      <c r="N16" s="347">
        <v>0.8</v>
      </c>
      <c r="O16" s="347">
        <v>0.2</v>
      </c>
      <c r="P16" s="347">
        <v>0.8</v>
      </c>
      <c r="Q16" s="347">
        <v>0.2</v>
      </c>
    </row>
    <row r="17" spans="1:17" ht="6.75" customHeight="1" x14ac:dyDescent="0.25">
      <c r="A17" s="82"/>
      <c r="B17" s="83"/>
      <c r="C17" s="83"/>
      <c r="D17" s="83"/>
      <c r="E17" s="83"/>
      <c r="F17" s="83"/>
      <c r="G17" s="83"/>
      <c r="H17" s="83"/>
      <c r="I17" s="83"/>
      <c r="J17" s="83"/>
      <c r="K17" s="83"/>
      <c r="L17" s="83"/>
      <c r="M17" s="83"/>
      <c r="N17" s="83"/>
      <c r="O17" s="83"/>
      <c r="P17" s="83"/>
      <c r="Q17" s="83"/>
    </row>
  </sheetData>
  <sheetProtection algorithmName="SHA-512" hashValue="oaIoa8vndApmZr07VB0OswrqoyBkS46Tg6c1wGT+cMsHrJBQ1usuDgb7nF1xBMKpm1nBUnfZVLdCyCBOyHCogg==" saltValue="ygJ1yEfjwcWLYiHO+2jTeg==" spinCount="100000" sheet="1" formatCells="0" formatColumns="0" formatRows="0"/>
  <mergeCells count="7">
    <mergeCell ref="B14:B16"/>
    <mergeCell ref="A13:M13"/>
    <mergeCell ref="A9:Q9"/>
    <mergeCell ref="N10:Q10"/>
    <mergeCell ref="N11:O11"/>
    <mergeCell ref="P11:Q11"/>
    <mergeCell ref="L10:M10"/>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lcf76f155ced4ddcb4097134ff3c332f xmlns="3d6ddd35-1fde-46ef-80b5-bdfe0e49412b">
      <Terms xmlns="http://schemas.microsoft.com/office/infopath/2007/PartnerControls"/>
    </lcf76f155ced4ddcb4097134ff3c332f>
    <TaxCatchAll xmlns="bac4e3eb-747f-43bc-bf10-c1bbb893ecac" xsi:nil="true"/>
    <_ip_UnifiedCompliancePolicyProperties xmlns="http://schemas.microsoft.com/sharepoint/v3" xsi:nil="true"/>
    <Comments xmlns="3d6ddd35-1fde-46ef-80b5-bdfe0e49412b" xsi:nil="true"/>
    <Hyperlink xmlns="3d6ddd35-1fde-46ef-80b5-bdfe0e49412b">
      <Url xsi:nil="true"/>
      <Description xsi:nil="true"/>
    </Hyperlink>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72DD254C78FC1C4485D3A951242AA7F0" ma:contentTypeVersion="19" ma:contentTypeDescription="Create a new document." ma:contentTypeScope="" ma:versionID="b62713f94befd9777838ca04c72ba039">
  <xsd:schema xmlns:xsd="http://www.w3.org/2001/XMLSchema" xmlns:xs="http://www.w3.org/2001/XMLSchema" xmlns:p="http://schemas.microsoft.com/office/2006/metadata/properties" xmlns:ns1="http://schemas.microsoft.com/sharepoint/v3" xmlns:ns2="3d6ddd35-1fde-46ef-80b5-bdfe0e49412b" xmlns:ns3="8c937298-eda0-428b-a149-c8bd66a8c06d" xmlns:ns4="bac4e3eb-747f-43bc-bf10-c1bbb893ecac" targetNamespace="http://schemas.microsoft.com/office/2006/metadata/properties" ma:root="true" ma:fieldsID="6fee478c139f736e7ba6a413ff62f308" ns1:_="" ns2:_="" ns3:_="" ns4:_="">
    <xsd:import namespace="http://schemas.microsoft.com/sharepoint/v3"/>
    <xsd:import namespace="3d6ddd35-1fde-46ef-80b5-bdfe0e49412b"/>
    <xsd:import namespace="8c937298-eda0-428b-a149-c8bd66a8c06d"/>
    <xsd:import namespace="bac4e3eb-747f-43bc-bf10-c1bbb893ecac"/>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Comments" minOccurs="0"/>
                <xsd:element ref="ns2:lcf76f155ced4ddcb4097134ff3c332f" minOccurs="0"/>
                <xsd:element ref="ns4:TaxCatchAll" minOccurs="0"/>
                <xsd:element ref="ns2:MediaLengthInSeconds" minOccurs="0"/>
                <xsd:element ref="ns1:_ip_UnifiedCompliancePolicyProperties" minOccurs="0"/>
                <xsd:element ref="ns1:_ip_UnifiedCompliancePolicyUIAction" minOccurs="0"/>
                <xsd:element ref="ns2:Hyperlink"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2" nillable="true" ma:displayName="Unified Compliance Policy Properties" ma:hidden="true" ma:internalName="_ip_UnifiedCompliancePolicyProperties">
      <xsd:simpleType>
        <xsd:restriction base="dms:Note"/>
      </xsd:simpleType>
    </xsd:element>
    <xsd:element name="_ip_UnifiedCompliancePolicyUIAction" ma:index="23"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d6ddd35-1fde-46ef-80b5-bdfe0e49412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Comments" ma:index="17" nillable="true" ma:displayName="Comments" ma:format="Dropdown" ma:internalName="Comments">
      <xsd:simpleType>
        <xsd:restriction base="dms:Text">
          <xsd:maxLength value="255"/>
        </xsd:restrictio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95476efd-2625-4ffb-b020-68dbe4abf389" ma:termSetId="09814cd3-568e-fe90-9814-8d621ff8fb84" ma:anchorId="fba54fb3-c3e1-fe81-a776-ca4b69148c4d" ma:open="true" ma:isKeyword="false">
      <xsd:complexType>
        <xsd:sequence>
          <xsd:element ref="pc:Terms" minOccurs="0" maxOccurs="1"/>
        </xsd:sequence>
      </xsd:complexType>
    </xsd:element>
    <xsd:element name="MediaLengthInSeconds" ma:index="21" nillable="true" ma:displayName="MediaLengthInSeconds" ma:hidden="true" ma:internalName="MediaLengthInSeconds" ma:readOnly="true">
      <xsd:simpleType>
        <xsd:restriction base="dms:Unknown"/>
      </xsd:simpleType>
    </xsd:element>
    <xsd:element name="Hyperlink" ma:index="24" nillable="true" ma:displayName="Hyperlink" ma:format="Hyperlink" ma:internalName="Hyperlink">
      <xsd:complexType>
        <xsd:complexContent>
          <xsd:extension base="dms:URL">
            <xsd:sequence>
              <xsd:element name="Url" type="dms:ValidUrl" minOccurs="0" nillable="true"/>
              <xsd:element name="Description" type="xsd:string" nillable="true"/>
            </xsd:sequence>
          </xsd:extension>
        </xsd:complexContent>
      </xsd:complex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c937298-eda0-428b-a149-c8bd66a8c06d"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bac4e3eb-747f-43bc-bf10-c1bbb893ecac"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f1f8f505-7b2b-4dc5-96f6-f246045c0890}" ma:internalName="TaxCatchAll" ma:showField="CatchAllData" ma:web="989d1e1f-d3c1-4345-a6e6-600df36c41e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B01DFEF-4723-4242-B318-97EFA86A3D2A}">
  <ds:schemaRefs>
    <ds:schemaRef ds:uri="http://schemas.microsoft.com/sharepoint/v3/contenttype/forms"/>
  </ds:schemaRefs>
</ds:datastoreItem>
</file>

<file path=customXml/itemProps2.xml><?xml version="1.0" encoding="utf-8"?>
<ds:datastoreItem xmlns:ds="http://schemas.openxmlformats.org/officeDocument/2006/customXml" ds:itemID="{AB962EC3-4DCE-4A2A-8051-7A348B3F25E2}">
  <ds:schemaRefs>
    <ds:schemaRef ds:uri="http://schemas.microsoft.com/office/infopath/2007/PartnerControls"/>
    <ds:schemaRef ds:uri="http://schemas.openxmlformats.org/package/2006/metadata/core-properties"/>
    <ds:schemaRef ds:uri="2acb7ee1-6894-40b0-b6e2-7728e95822c3"/>
    <ds:schemaRef ds:uri="http://www.w3.org/XML/1998/namespace"/>
    <ds:schemaRef ds:uri="http://purl.org/dc/terms/"/>
    <ds:schemaRef ds:uri="http://schemas.microsoft.com/office/2006/metadata/properties"/>
    <ds:schemaRef ds:uri="http://purl.org/dc/dcmitype/"/>
    <ds:schemaRef ds:uri="http://schemas.microsoft.com/office/2006/documentManagement/types"/>
    <ds:schemaRef ds:uri="http://purl.org/dc/elements/1.1/"/>
  </ds:schemaRefs>
</ds:datastoreItem>
</file>

<file path=customXml/itemProps3.xml><?xml version="1.0" encoding="utf-8"?>
<ds:datastoreItem xmlns:ds="http://schemas.openxmlformats.org/officeDocument/2006/customXml" ds:itemID="{7AC1269C-9AC5-4DE1-904F-9DC63B9F6A29}"/>
</file>

<file path=docMetadata/LabelInfo.xml><?xml version="1.0" encoding="utf-8"?>
<clbl:labelList xmlns:clbl="http://schemas.microsoft.com/office/2020/mipLabelMetadata">
  <clbl:label id="{37adc8ff-f4a3-4a14-9c0d-84b4985de0d2}" enabled="1" method="Privileged" siteId="{8331b18d-2d87-48ef-a35f-ac8818ebf9b4}"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38</vt:i4>
      </vt:variant>
    </vt:vector>
  </HeadingPairs>
  <TitlesOfParts>
    <vt:vector size="38" baseType="lpstr">
      <vt:lpstr>INSTRUCTIONS</vt:lpstr>
      <vt:lpstr>CALCULATION METHODOLOGY</vt:lpstr>
      <vt:lpstr>SUMMARY</vt:lpstr>
      <vt:lpstr>TOTAL EVALUATED PRICE ROLLUP</vt:lpstr>
      <vt:lpstr>FFP CLINs X007-X021</vt:lpstr>
      <vt:lpstr>SPARES-FFP CLIN X021 INPUTS</vt:lpstr>
      <vt:lpstr>PRIME CPIF RATES (ALL)</vt:lpstr>
      <vt:lpstr>PRIME CPIF RATE DESC (ALL)</vt:lpstr>
      <vt:lpstr>PRIME CPIF LABOR by TASK</vt:lpstr>
      <vt:lpstr>PRIME CPIF LABOR INPUTS</vt:lpstr>
      <vt:lpstr>PRIME CPIF TOTAL MATERIAL</vt:lpstr>
      <vt:lpstr>PRIME CPIF TOTAL SUB</vt:lpstr>
      <vt:lpstr>PRIME CPIF TOTAL ODC</vt:lpstr>
      <vt:lpstr>CPIF CLIN 0001 SUMMARY</vt:lpstr>
      <vt:lpstr>CPIF CLIN 0001-TASK 1.01 INPUTS</vt:lpstr>
      <vt:lpstr>CPIF CLIN 0001-TASK 1.02 INPUTS</vt:lpstr>
      <vt:lpstr>CPIF CLIN 0001-TASK 1.03 INPUTS</vt:lpstr>
      <vt:lpstr>CPIF CLIN 0001 TASK 1.04 INPUTS</vt:lpstr>
      <vt:lpstr>CPIF CLIN 0001-TASK 1.05 INPUTS</vt:lpstr>
      <vt:lpstr>CPIF CLIN 0001-TASK 1.06 INPUTS</vt:lpstr>
      <vt:lpstr>CPIF CLIN 0001-TASK 1.07 INPUTS</vt:lpstr>
      <vt:lpstr>CPIF CLIN 0001-TASK 1.08 INPUTS</vt:lpstr>
      <vt:lpstr>CPIF CLIN 0001-TASK 1.09 INPUTS</vt:lpstr>
      <vt:lpstr>CPIF CLIN 0001-TASK 1.10 INPUTS</vt:lpstr>
      <vt:lpstr>CPIF CLIN 0001-TASK 1.11 INPUTS</vt:lpstr>
      <vt:lpstr>CPIF CLIN 0001 TOTAL</vt:lpstr>
      <vt:lpstr>CPIF CLIN 0002 SUMMARY</vt:lpstr>
      <vt:lpstr>CPIF CLIN 0002-TASK 1.01 INPUTS</vt:lpstr>
      <vt:lpstr>CPIF CLIN 0002-TASK 1.02 INPUTS</vt:lpstr>
      <vt:lpstr>CPIF CLIN 0002-TASK 1.03 INPUTS</vt:lpstr>
      <vt:lpstr>CPIF CLIN 0002 TOTAL</vt:lpstr>
      <vt:lpstr>CPIF CLIN 0003 SUMMARY</vt:lpstr>
      <vt:lpstr>CPIF CLIN 0003-TASK 1.01 INPUTS</vt:lpstr>
      <vt:lpstr>CPIF CLIN 0003-TASK 1.02 INPUTS</vt:lpstr>
      <vt:lpstr>CPIF CLIN 0003-TASK 1.03 INPUTS</vt:lpstr>
      <vt:lpstr>CPIF CLIN 0003-TASK 1.04 INPUTS</vt:lpstr>
      <vt:lpstr>CPIF CLIN 0003 TOTAL</vt:lpstr>
      <vt:lpstr>CPIF CLIN BREAKDOWN</vt:lpstr>
    </vt:vector>
  </TitlesOfParts>
  <Manager/>
  <Company>U.S. Air Force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LEIST, KURT C CTR USAF AFMC AFLCMC/WLDJ</dc:creator>
  <cp:keywords/>
  <dc:description/>
  <cp:lastModifiedBy>JORDAN, DEBORAH D CIV USAF AFMC AFSC/PZCF</cp:lastModifiedBy>
  <cp:revision/>
  <dcterms:created xsi:type="dcterms:W3CDTF">2023-01-26T20:47:28Z</dcterms:created>
  <dcterms:modified xsi:type="dcterms:W3CDTF">2026-03-10T16:24:02Z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0x01010072DD254C78FC1C4485D3A951242AA7F0</vt:lpwstr>
  </property>
</Properties>
</file>