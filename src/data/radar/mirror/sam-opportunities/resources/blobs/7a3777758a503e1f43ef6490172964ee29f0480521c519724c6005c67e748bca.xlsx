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saf-my.dps.mil/personal/kacie_cram_us_af_mil/Documents/Desktop/WBK-1/KIT PRODUCTION/Solicitation/Attachments/FINAL/"/>
    </mc:Choice>
  </mc:AlternateContent>
  <xr:revisionPtr revIDLastSave="0" documentId="8_{9F371973-7946-4529-89ED-B0724A2506EB}" xr6:coauthVersionLast="47" xr6:coauthVersionMax="47" xr10:uidLastSave="{00000000-0000-0000-0000-000000000000}"/>
  <bookViews>
    <workbookView xWindow="-120" yWindow="90" windowWidth="29040" windowHeight="15510" activeTab="2" xr2:uid="{1991A660-0A97-4C3B-AC37-8B1A51B75044}"/>
  </bookViews>
  <sheets>
    <sheet name="Instructions" sheetId="5" r:id="rId1"/>
    <sheet name="Calculation Methodology" sheetId="3" r:id="rId2"/>
    <sheet name="Pricing Matrix" sheetId="2" r:id="rId3"/>
    <sheet name="Long Lead Parts Grp A" sheetId="6" r:id="rId4"/>
    <sheet name="Long Lead Parts Grp B" sheetId="7" r:id="rId5"/>
    <sheet name="Long Lead Parts Grp E"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5" l="1"/>
  <c r="C17" i="5"/>
  <c r="C16" i="5"/>
  <c r="C15" i="5"/>
  <c r="C14" i="5"/>
  <c r="C13" i="5"/>
  <c r="C12" i="5"/>
  <c r="G24" i="2"/>
  <c r="G23" i="2"/>
  <c r="G22" i="2"/>
  <c r="G8" i="2"/>
  <c r="G62" i="8" l="1"/>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63" i="8" s="1"/>
  <c r="D1" i="8"/>
  <c r="C1" i="8"/>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63" i="7" s="1"/>
  <c r="D1" i="7"/>
  <c r="C1" i="7"/>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10" i="6"/>
  <c r="D1" i="6"/>
  <c r="C1" i="6"/>
  <c r="G63" i="6" l="1"/>
  <c r="AG39" i="2"/>
  <c r="AG38" i="2"/>
  <c r="AG37" i="2"/>
  <c r="AG36" i="2"/>
  <c r="AG35" i="2"/>
  <c r="AG34" i="2"/>
  <c r="AG32" i="2"/>
  <c r="AG31" i="2"/>
  <c r="AG30" i="2"/>
  <c r="AG29" i="2"/>
  <c r="AG28" i="2"/>
  <c r="AH28" i="2" s="1"/>
  <c r="AG27" i="2"/>
  <c r="AH27" i="2" s="1"/>
  <c r="AG26" i="2"/>
  <c r="AH26" i="2" s="1"/>
  <c r="AD39" i="2"/>
  <c r="AD38" i="2"/>
  <c r="AD37" i="2"/>
  <c r="AD36" i="2"/>
  <c r="AD35" i="2"/>
  <c r="AD34" i="2"/>
  <c r="AD32" i="2"/>
  <c r="AD31" i="2"/>
  <c r="AD30" i="2"/>
  <c r="AD29" i="2"/>
  <c r="AD28" i="2"/>
  <c r="AE28" i="2" s="1"/>
  <c r="AD27" i="2"/>
  <c r="AE27" i="2" s="1"/>
  <c r="AD26" i="2"/>
  <c r="AE26" i="2" s="1"/>
  <c r="AA39" i="2"/>
  <c r="AA38" i="2"/>
  <c r="AA37" i="2"/>
  <c r="AA36" i="2"/>
  <c r="AA35" i="2"/>
  <c r="AA34" i="2"/>
  <c r="AA32" i="2"/>
  <c r="AA31" i="2"/>
  <c r="AA30" i="2"/>
  <c r="AA29" i="2"/>
  <c r="AA28" i="2"/>
  <c r="AB28" i="2" s="1"/>
  <c r="AA27" i="2"/>
  <c r="AB27" i="2" s="1"/>
  <c r="AA26" i="2"/>
  <c r="AB26" i="2" s="1"/>
  <c r="X39" i="2"/>
  <c r="X38" i="2"/>
  <c r="X37" i="2"/>
  <c r="X36" i="2"/>
  <c r="X35" i="2"/>
  <c r="X34" i="2"/>
  <c r="X32" i="2"/>
  <c r="X31" i="2"/>
  <c r="X30" i="2"/>
  <c r="X29" i="2"/>
  <c r="X28" i="2"/>
  <c r="Y28" i="2" s="1"/>
  <c r="X27" i="2"/>
  <c r="Y27" i="2" s="1"/>
  <c r="X26" i="2"/>
  <c r="Y26" i="2" s="1"/>
  <c r="U39" i="2"/>
  <c r="U38" i="2"/>
  <c r="U37" i="2"/>
  <c r="U36" i="2"/>
  <c r="U35" i="2"/>
  <c r="U34" i="2"/>
  <c r="U32" i="2"/>
  <c r="U31" i="2"/>
  <c r="U30" i="2"/>
  <c r="U29" i="2"/>
  <c r="U28" i="2"/>
  <c r="V28" i="2" s="1"/>
  <c r="U27" i="2"/>
  <c r="V27" i="2" s="1"/>
  <c r="U26" i="2"/>
  <c r="V26" i="2" s="1"/>
  <c r="R39" i="2"/>
  <c r="R38" i="2"/>
  <c r="R37" i="2"/>
  <c r="R36" i="2"/>
  <c r="R35" i="2"/>
  <c r="R34" i="2"/>
  <c r="R32" i="2"/>
  <c r="R31" i="2"/>
  <c r="R30" i="2"/>
  <c r="R29" i="2"/>
  <c r="R28" i="2"/>
  <c r="S28" i="2" s="1"/>
  <c r="R27" i="2"/>
  <c r="S27" i="2" s="1"/>
  <c r="R26" i="2"/>
  <c r="S26" i="2" s="1"/>
  <c r="O39" i="2"/>
  <c r="O38" i="2"/>
  <c r="O37" i="2"/>
  <c r="O36" i="2"/>
  <c r="O35" i="2"/>
  <c r="O34" i="2"/>
  <c r="O32" i="2"/>
  <c r="O31" i="2"/>
  <c r="O30" i="2"/>
  <c r="O29" i="2"/>
  <c r="O28" i="2"/>
  <c r="P28" i="2" s="1"/>
  <c r="O27" i="2"/>
  <c r="P27" i="2" s="1"/>
  <c r="O26" i="2"/>
  <c r="P26" i="2" s="1"/>
  <c r="L39" i="2"/>
  <c r="L38" i="2"/>
  <c r="L37" i="2"/>
  <c r="L36" i="2"/>
  <c r="L35" i="2"/>
  <c r="L34" i="2"/>
  <c r="L32" i="2"/>
  <c r="L31" i="2"/>
  <c r="L30" i="2"/>
  <c r="L29" i="2"/>
  <c r="L28" i="2"/>
  <c r="M28" i="2" s="1"/>
  <c r="L27" i="2"/>
  <c r="M27" i="2" s="1"/>
  <c r="L26" i="2"/>
  <c r="M26" i="2" s="1"/>
  <c r="I39" i="2"/>
  <c r="I38" i="2"/>
  <c r="I37" i="2"/>
  <c r="I36" i="2"/>
  <c r="I35" i="2"/>
  <c r="I34" i="2"/>
  <c r="I32" i="2"/>
  <c r="I31" i="2"/>
  <c r="I30" i="2"/>
  <c r="I29" i="2"/>
  <c r="I28" i="2"/>
  <c r="J28" i="2" s="1"/>
  <c r="I27" i="2"/>
  <c r="J27" i="2" s="1"/>
  <c r="I26" i="2"/>
  <c r="J26" i="2" s="1"/>
  <c r="F28" i="2"/>
  <c r="G28" i="2" s="1"/>
  <c r="F27" i="2"/>
  <c r="G27" i="2" s="1"/>
  <c r="F26" i="2"/>
  <c r="G26" i="2" s="1"/>
  <c r="F39" i="2"/>
  <c r="F38" i="2"/>
  <c r="F37" i="2"/>
  <c r="F36" i="2"/>
  <c r="F35" i="2"/>
  <c r="F34" i="2"/>
  <c r="F32" i="2"/>
  <c r="F31" i="2"/>
  <c r="F30" i="2"/>
  <c r="F29" i="2"/>
  <c r="AG11" i="2"/>
  <c r="AD11" i="2"/>
  <c r="AA11" i="2"/>
  <c r="X11" i="2"/>
  <c r="Y11" i="2" s="1"/>
  <c r="U11" i="2"/>
  <c r="R11" i="2"/>
  <c r="O11" i="2"/>
  <c r="L11" i="2"/>
  <c r="I11" i="2"/>
  <c r="F11" i="2"/>
  <c r="AG42" i="2"/>
  <c r="AD42" i="2"/>
  <c r="AA42" i="2"/>
  <c r="X42" i="2"/>
  <c r="U42" i="2"/>
  <c r="R42" i="2"/>
  <c r="O42" i="2"/>
  <c r="L42" i="2"/>
  <c r="I42" i="2"/>
  <c r="F42" i="2"/>
  <c r="AJ26" i="2" l="1"/>
  <c r="AJ28" i="2"/>
  <c r="AJ27" i="2"/>
  <c r="AK33" i="2"/>
  <c r="AK34" i="2"/>
  <c r="AK35" i="2"/>
  <c r="AK36" i="2"/>
  <c r="AK37" i="2"/>
  <c r="AK38" i="2"/>
  <c r="AK39" i="2"/>
  <c r="AK13" i="2"/>
  <c r="AK14" i="2"/>
  <c r="AK15" i="2"/>
  <c r="AK16" i="2"/>
  <c r="AK17" i="2"/>
  <c r="AK18" i="2"/>
  <c r="AK19" i="2"/>
  <c r="AK20" i="2"/>
  <c r="AK22" i="2"/>
  <c r="AK23" i="2"/>
  <c r="AK24" i="2"/>
  <c r="AK29" i="2"/>
  <c r="AK30" i="2"/>
  <c r="AK31" i="2"/>
  <c r="AK32" i="2"/>
  <c r="G11" i="2"/>
  <c r="A6" i="3"/>
  <c r="B6" i="3"/>
  <c r="A7" i="3"/>
  <c r="B7" i="3"/>
  <c r="A8" i="3"/>
  <c r="B8" i="3"/>
  <c r="A9" i="3"/>
  <c r="B9" i="3"/>
  <c r="A10" i="3"/>
  <c r="B10" i="3"/>
  <c r="A11" i="3"/>
  <c r="B11" i="3"/>
  <c r="A12" i="3"/>
  <c r="B12" i="3"/>
  <c r="A13" i="3"/>
  <c r="B13" i="3"/>
  <c r="A14" i="3"/>
  <c r="B14" i="3"/>
  <c r="A15" i="3"/>
  <c r="B15" i="3"/>
  <c r="A16" i="3"/>
  <c r="B16" i="3"/>
  <c r="A17" i="3"/>
  <c r="B17" i="3"/>
  <c r="A18" i="3"/>
  <c r="B18" i="3"/>
  <c r="A19" i="3"/>
  <c r="B19" i="3"/>
  <c r="A20" i="3"/>
  <c r="B20" i="3"/>
  <c r="A21" i="3"/>
  <c r="B21" i="3"/>
  <c r="A22" i="3"/>
  <c r="B22" i="3"/>
  <c r="A23" i="3"/>
  <c r="B23" i="3"/>
  <c r="A24" i="3"/>
  <c r="B24" i="3"/>
  <c r="A25" i="3"/>
  <c r="B25" i="3"/>
  <c r="A26" i="3"/>
  <c r="B26" i="3"/>
  <c r="A27" i="3"/>
  <c r="B27" i="3"/>
  <c r="A28" i="3"/>
  <c r="B28" i="3"/>
  <c r="A29" i="3"/>
  <c r="B29" i="3"/>
  <c r="A30" i="3"/>
  <c r="B30" i="3"/>
  <c r="A31" i="3"/>
  <c r="B31" i="3"/>
  <c r="B5" i="3"/>
  <c r="A5" i="3"/>
  <c r="AH36" i="2"/>
  <c r="AE36" i="2"/>
  <c r="AB36" i="2"/>
  <c r="Y36" i="2"/>
  <c r="V36" i="2"/>
  <c r="S36" i="2"/>
  <c r="P36" i="2"/>
  <c r="M36" i="2"/>
  <c r="J36" i="2"/>
  <c r="G36" i="2"/>
  <c r="AH35" i="2"/>
  <c r="AE35" i="2"/>
  <c r="AB35" i="2"/>
  <c r="Y35" i="2"/>
  <c r="V35" i="2"/>
  <c r="S35" i="2"/>
  <c r="P35" i="2"/>
  <c r="M35" i="2"/>
  <c r="J35" i="2"/>
  <c r="G35" i="2"/>
  <c r="AH34" i="2"/>
  <c r="AE34" i="2"/>
  <c r="AB34" i="2"/>
  <c r="Y34" i="2"/>
  <c r="V34" i="2"/>
  <c r="S34" i="2"/>
  <c r="P34" i="2"/>
  <c r="M34" i="2"/>
  <c r="J34" i="2"/>
  <c r="G34" i="2"/>
  <c r="AH39" i="2"/>
  <c r="AE39" i="2"/>
  <c r="AB39" i="2"/>
  <c r="Y39" i="2"/>
  <c r="V39" i="2"/>
  <c r="S39" i="2"/>
  <c r="P39" i="2"/>
  <c r="M39" i="2"/>
  <c r="J39" i="2"/>
  <c r="G39" i="2"/>
  <c r="AH38" i="2"/>
  <c r="AE38" i="2"/>
  <c r="AB38" i="2"/>
  <c r="Y38" i="2"/>
  <c r="V38" i="2"/>
  <c r="S38" i="2"/>
  <c r="P38" i="2"/>
  <c r="M38" i="2"/>
  <c r="J38" i="2"/>
  <c r="G38" i="2"/>
  <c r="AH37" i="2"/>
  <c r="AE37" i="2"/>
  <c r="AB37" i="2"/>
  <c r="Y37" i="2"/>
  <c r="V37" i="2"/>
  <c r="S37" i="2"/>
  <c r="P37" i="2"/>
  <c r="M37" i="2"/>
  <c r="J37" i="2"/>
  <c r="G37" i="2"/>
  <c r="AH32" i="2"/>
  <c r="AE32" i="2"/>
  <c r="AB32" i="2"/>
  <c r="Y32" i="2"/>
  <c r="V32" i="2"/>
  <c r="S32" i="2"/>
  <c r="P32" i="2"/>
  <c r="M32" i="2"/>
  <c r="J32" i="2"/>
  <c r="G32" i="2"/>
  <c r="AH31" i="2"/>
  <c r="AE31" i="2"/>
  <c r="AB31" i="2"/>
  <c r="Y31" i="2"/>
  <c r="V31" i="2"/>
  <c r="S31" i="2"/>
  <c r="P31" i="2"/>
  <c r="M31" i="2"/>
  <c r="J31" i="2"/>
  <c r="G31" i="2"/>
  <c r="AH30" i="2"/>
  <c r="AE30" i="2"/>
  <c r="AB30" i="2"/>
  <c r="Y30" i="2"/>
  <c r="V30" i="2"/>
  <c r="S30" i="2"/>
  <c r="P30" i="2"/>
  <c r="M30" i="2"/>
  <c r="J30" i="2"/>
  <c r="G30" i="2"/>
  <c r="AH29" i="2"/>
  <c r="AE29" i="2"/>
  <c r="AB29" i="2"/>
  <c r="Y29" i="2"/>
  <c r="V29" i="2"/>
  <c r="S29" i="2"/>
  <c r="P29" i="2"/>
  <c r="M29" i="2"/>
  <c r="J29" i="2"/>
  <c r="G29" i="2"/>
  <c r="AH24" i="2"/>
  <c r="AE24" i="2"/>
  <c r="AB24" i="2"/>
  <c r="Y24" i="2"/>
  <c r="V24" i="2"/>
  <c r="S24" i="2"/>
  <c r="P24" i="2"/>
  <c r="M24" i="2"/>
  <c r="J24" i="2"/>
  <c r="AH23" i="2"/>
  <c r="AE23" i="2"/>
  <c r="AB23" i="2"/>
  <c r="Y23" i="2"/>
  <c r="V23" i="2"/>
  <c r="S23" i="2"/>
  <c r="P23" i="2"/>
  <c r="M23" i="2"/>
  <c r="J23" i="2"/>
  <c r="AH22" i="2"/>
  <c r="AE22" i="2"/>
  <c r="AB22" i="2"/>
  <c r="Y22" i="2"/>
  <c r="V22" i="2"/>
  <c r="S22" i="2"/>
  <c r="P22" i="2"/>
  <c r="M22" i="2"/>
  <c r="J22" i="2"/>
  <c r="AH20" i="2"/>
  <c r="AE20" i="2"/>
  <c r="AB20" i="2"/>
  <c r="Y20" i="2"/>
  <c r="V20" i="2"/>
  <c r="S20" i="2"/>
  <c r="P20" i="2"/>
  <c r="M20" i="2"/>
  <c r="J20" i="2"/>
  <c r="G20" i="2"/>
  <c r="AH19" i="2"/>
  <c r="AE19" i="2"/>
  <c r="AB19" i="2"/>
  <c r="Y19" i="2"/>
  <c r="V19" i="2"/>
  <c r="S19" i="2"/>
  <c r="P19" i="2"/>
  <c r="M19" i="2"/>
  <c r="J19" i="2"/>
  <c r="G19" i="2"/>
  <c r="AJ19" i="2" s="1"/>
  <c r="AH11" i="2"/>
  <c r="AE11" i="2"/>
  <c r="AB11" i="2"/>
  <c r="V11" i="2"/>
  <c r="S11" i="2"/>
  <c r="P11" i="2"/>
  <c r="M11" i="2"/>
  <c r="J11" i="2"/>
  <c r="AH17" i="2"/>
  <c r="AH16" i="2"/>
  <c r="AH14" i="2"/>
  <c r="AH13" i="2"/>
  <c r="AE17" i="2"/>
  <c r="AE16" i="2"/>
  <c r="AE14" i="2"/>
  <c r="AE13" i="2"/>
  <c r="AB17" i="2"/>
  <c r="AB16" i="2"/>
  <c r="AB14" i="2"/>
  <c r="AB13" i="2"/>
  <c r="Y17" i="2"/>
  <c r="Y16" i="2"/>
  <c r="Y14" i="2"/>
  <c r="Y13" i="2"/>
  <c r="V17" i="2"/>
  <c r="V16" i="2"/>
  <c r="V14" i="2"/>
  <c r="V13" i="2"/>
  <c r="S17" i="2"/>
  <c r="S16" i="2"/>
  <c r="S14" i="2"/>
  <c r="S13" i="2"/>
  <c r="P17" i="2"/>
  <c r="P16" i="2"/>
  <c r="P14" i="2"/>
  <c r="P13" i="2"/>
  <c r="M17" i="2"/>
  <c r="M16" i="2"/>
  <c r="M14" i="2"/>
  <c r="M13" i="2"/>
  <c r="J17" i="2"/>
  <c r="J16" i="2"/>
  <c r="J14" i="2"/>
  <c r="J13" i="2"/>
  <c r="G17" i="2"/>
  <c r="G16" i="2"/>
  <c r="AJ16" i="2" s="1"/>
  <c r="G14" i="2"/>
  <c r="G13" i="2"/>
  <c r="AJ13" i="2" s="1"/>
  <c r="AK12" i="2"/>
  <c r="AK11" i="2"/>
  <c r="AK10" i="2"/>
  <c r="AH10" i="2"/>
  <c r="AE10" i="2"/>
  <c r="AB10" i="2"/>
  <c r="Y10" i="2"/>
  <c r="V10" i="2"/>
  <c r="S10" i="2"/>
  <c r="P10" i="2"/>
  <c r="M10" i="2"/>
  <c r="J10" i="2"/>
  <c r="G10" i="2"/>
  <c r="AK9" i="2"/>
  <c r="AH9" i="2"/>
  <c r="AE9" i="2"/>
  <c r="AB9" i="2"/>
  <c r="Y9" i="2"/>
  <c r="V9" i="2"/>
  <c r="S9" i="2"/>
  <c r="P9" i="2"/>
  <c r="M9" i="2"/>
  <c r="J9" i="2"/>
  <c r="G9" i="2"/>
  <c r="AK8" i="2"/>
  <c r="AH8" i="2"/>
  <c r="AE8" i="2"/>
  <c r="AB8" i="2"/>
  <c r="Y8" i="2"/>
  <c r="V8" i="2"/>
  <c r="S8" i="2"/>
  <c r="P8" i="2"/>
  <c r="M8" i="2"/>
  <c r="J8" i="2"/>
  <c r="AJ31" i="2" l="1"/>
  <c r="AJ30" i="2"/>
  <c r="AJ39" i="2"/>
  <c r="AJ37" i="2"/>
  <c r="AJ38" i="2"/>
  <c r="AJ32" i="2"/>
  <c r="AJ36" i="2"/>
  <c r="AJ29" i="2"/>
  <c r="AJ20" i="2"/>
  <c r="AJ10" i="2"/>
  <c r="AJ9" i="2"/>
  <c r="AH40" i="2"/>
  <c r="AJ8" i="2"/>
  <c r="AE40" i="2"/>
  <c r="AB40" i="2"/>
  <c r="Y40" i="2"/>
  <c r="P40" i="2"/>
  <c r="AJ35" i="2"/>
  <c r="AJ34" i="2"/>
  <c r="S40" i="2"/>
  <c r="AJ11" i="2"/>
  <c r="AJ17" i="2"/>
  <c r="G40" i="2"/>
  <c r="V40" i="2"/>
  <c r="AJ24" i="2"/>
  <c r="AJ23" i="2"/>
  <c r="AJ22" i="2"/>
  <c r="M40" i="2"/>
  <c r="AJ14" i="2"/>
  <c r="J40" i="2"/>
  <c r="AJ41" i="2" l="1"/>
  <c r="AJ40" i="2"/>
</calcChain>
</file>

<file path=xl/sharedStrings.xml><?xml version="1.0" encoding="utf-8"?>
<sst xmlns="http://schemas.openxmlformats.org/spreadsheetml/2006/main" count="771" uniqueCount="170">
  <si>
    <t>B-52J Commercial Engine Replacement Program (CERP) Kit Production</t>
  </si>
  <si>
    <r>
      <t xml:space="preserve">Pricing Matrix Instructions - </t>
    </r>
    <r>
      <rPr>
        <b/>
        <u/>
        <sz val="12"/>
        <color rgb="FFFF0000"/>
        <rFont val="Times New Roman"/>
        <family val="1"/>
      </rPr>
      <t>DRAFT</t>
    </r>
  </si>
  <si>
    <t xml:space="preserve">Enter Offeror name in Cell B1 of the "Pricing Matrix:"
Enter proposed unit prices in the "Pricing Matrix" worksheet in ALL yellow highlighted cells.
Enter all proposed rates into the Rates Table in the "Pricing Matrix" worksheet.
</t>
  </si>
  <si>
    <t>Note: The gray-highlighted cells in the Pricing Matrix are linked to the Rate Table and will populate automatically. The extended price is calculated by adding 100% to the proposed indirect/burden rates and multiplying by the evaluation dollar estimate.</t>
  </si>
  <si>
    <t xml:space="preserve">Example: A proposed Prime Material Handling Rate of 7.55% in the Rate Table is included in the Pricing Matrix on the applicable CLIN as 107.55%. </t>
  </si>
  <si>
    <t>Complete the worksheets for Long Lead Parts Group A, B, and E and follow the instructions included in the worksheet.</t>
  </si>
  <si>
    <t>Rounding:
All proposed dollar amounts shall be rounded to the nearest cent. All proposed labor rates shall be rounded to the nearest cent. All indirect/burden rates shall be rounded to four decimal places and entered as a percentage (ex. 0.0755 = 7.55%) in the rate table. At the CLIN level, the rate will be entered as 100% plus the proposed rate (ex. 7.55% is entered as 107.55%).</t>
  </si>
  <si>
    <t>For a detailed breakdown of how the extended price for each CLIN and the Total Evaluated Price (TEP) is calculated, refer to the "Calculation Methodology" worksheet.</t>
  </si>
  <si>
    <t>The X reference for the CLINs in Column A will become the number of the applicable basic period or option period as labeled in Row 4. For example, CLIN X001 will be 0001 for the Basic Period (Year 1), 1001 for Basic Period (Year 2), and 2001 for Basic Period (Year 3), etc.</t>
  </si>
  <si>
    <t>The following Notes are also included in the Pricing Matrix worksheet.</t>
  </si>
  <si>
    <t xml:space="preserve">Note 1: </t>
  </si>
  <si>
    <t>Engineering, Administrative, and Fabrication labor rates will be applied to the applicable CLIN based on the TDP update. Reference Requirements Update Process Change Document for details.</t>
  </si>
  <si>
    <t>Note 2:</t>
  </si>
  <si>
    <t>Note 3:</t>
  </si>
  <si>
    <t>While fixed hourly labor rates are being used for evaluation purposes, the proposed overtime or premium rates may be required during the life of the contract and will be utilized and applied as applicable.</t>
  </si>
  <si>
    <t>Note 4:</t>
  </si>
  <si>
    <t>Quantities in the Pricing Matrix, are notional, and actual quantities may vary during contract performance based on funding availability and program constraints.</t>
  </si>
  <si>
    <t xml:space="preserve">Note 5: </t>
  </si>
  <si>
    <t>All rates should be proposed sufficiently to ensure adequate coverage of all labor costs, all indirect costs, including G&amp;A, COM, and so forth as well as prime and subcontractor profit in every contract out-year.</t>
  </si>
  <si>
    <t>CLIN</t>
  </si>
  <si>
    <t>Description</t>
  </si>
  <si>
    <t>Calculation Methodology</t>
  </si>
  <si>
    <t>Proposed monthly unit price per year is multiplied by the by the applicable number of months to establish the extended price for each year. The sum of the extended prices for all years equals the total CLIN price.</t>
  </si>
  <si>
    <t>The proposed Travel G&amp;A rate per year is multiplied by the Evaluation Travel Dollars per year as applicable to establish the extended price for each year. The sum of the extended prices for all years equals the total CLIN price.</t>
  </si>
  <si>
    <t>Proposed  unit price per year is multiplied by the by the estimated quantity per year to establish the extended price for each year. The sum of the extended prices for all years equals the total CLIN price.</t>
  </si>
  <si>
    <t>The proposed unit price per year is multiplied by the evaluation quantity per year as applicable to establish the extended price for each year. The sum of the extended prices for all years equals the total CLIN price.</t>
  </si>
  <si>
    <t>The proposed applicable Prime or Subcontractor Material Handling Rate per year is multiplied by the Evaluation Material Dollars per year as applicable to establish the extended price for each year. The sum of the extended prices for all years equals the total CLIN price.</t>
  </si>
  <si>
    <t>NOT EVALUATED</t>
  </si>
  <si>
    <t>The proposed Engineering Fixed Hourly Labor Rate per year is multiplied by the Evaluation Labor Hours per year as applicable to establish the extended price for each year. The sum of the extended prices for all years equals the total CLIN price.</t>
  </si>
  <si>
    <t>The proposed applicable Subcontractor Material Handling Rate per year is multiplied by the Evaluation Material Dollars per year as applicable to establish the extended price for each year. The sum of the extended prices for all years equals the total CLIN price.</t>
  </si>
  <si>
    <t>The proposed Transportation/Shipping  G&amp;A rate per year is multiplied by Evaluation Transportation/Shipping Dollars per year as applicable to establish the extended price for each year. The sum of the extended prices for all years equals the total CLIN price.</t>
  </si>
  <si>
    <t>Total Evaluated Price (TEP)</t>
  </si>
  <si>
    <t>The sum of the total price for all CLINs for the Basic Period Years 1-4 and all Option Period Years 5-10.</t>
  </si>
  <si>
    <t>The TEP is for evaluation purposes only and is not the contract award amount.</t>
  </si>
  <si>
    <t>Offeror:</t>
  </si>
  <si>
    <t>Review the Instructions Worksheet before completing the Pricing Matrix</t>
  </si>
  <si>
    <t>CLINs 00XX</t>
  </si>
  <si>
    <t>CLINs 10XX</t>
  </si>
  <si>
    <t>CLINs 20XX</t>
  </si>
  <si>
    <t>CLINs 30XX</t>
  </si>
  <si>
    <t>CLINs 40XX</t>
  </si>
  <si>
    <t>CLINs 50XX</t>
  </si>
  <si>
    <t>CLINs 60XX</t>
  </si>
  <si>
    <t>CLINs 70XX</t>
  </si>
  <si>
    <t>CLINs 800X</t>
  </si>
  <si>
    <t>CLINs 90XX</t>
  </si>
  <si>
    <t>B-52J Commercial Engine Replacement 
Program (CERP) Kit Production</t>
  </si>
  <si>
    <t>Basic Period 
(Year 1)</t>
  </si>
  <si>
    <t>Basic Period 
(Year 2)</t>
  </si>
  <si>
    <t>Basic Period 
(Year 3)</t>
  </si>
  <si>
    <t>Basic Period 
(Year 4)</t>
  </si>
  <si>
    <t>Option Period 1
(Year 5)</t>
  </si>
  <si>
    <t>Option Period 2
(Year 6)</t>
  </si>
  <si>
    <t>Option Period 3
(Year 7)</t>
  </si>
  <si>
    <t>Option Period 4
(Year 8)</t>
  </si>
  <si>
    <t>Option Period 5
(Year 9)</t>
  </si>
  <si>
    <t>Option Period 6
(Year 10)</t>
  </si>
  <si>
    <t xml:space="preserve">CLIN </t>
  </si>
  <si>
    <t>Contract
Type</t>
  </si>
  <si>
    <t>Unit of Issue</t>
  </si>
  <si>
    <t>Qty</t>
  </si>
  <si>
    <t>Unit Price</t>
  </si>
  <si>
    <t>Extended Price</t>
  </si>
  <si>
    <t>Total Evaluated Price</t>
  </si>
  <si>
    <t>X001</t>
  </si>
  <si>
    <t>FFP</t>
  </si>
  <si>
    <t>Program/Manufacturing Management</t>
  </si>
  <si>
    <t>MO</t>
  </si>
  <si>
    <t>X002</t>
  </si>
  <si>
    <t>Integrated Logistics Support</t>
  </si>
  <si>
    <t>X003</t>
  </si>
  <si>
    <t>FSR Support - Tinker AFB (Depot)</t>
  </si>
  <si>
    <t>X004</t>
  </si>
  <si>
    <t>TBN (FFP)</t>
  </si>
  <si>
    <r>
      <t xml:space="preserve">Travel and Per Diem - To Be Negotiated (TBN) Per Occurrence - </t>
    </r>
    <r>
      <rPr>
        <b/>
        <sz val="10"/>
        <rFont val="Times New Roman"/>
        <family val="1"/>
      </rPr>
      <t>Travel G&amp;A Rate</t>
    </r>
  </si>
  <si>
    <t>EA</t>
  </si>
  <si>
    <t>X005</t>
  </si>
  <si>
    <t>Lot 1 Kit Group #A</t>
  </si>
  <si>
    <t>X005AA</t>
  </si>
  <si>
    <t>Long Lead Parts</t>
  </si>
  <si>
    <t>X005AB</t>
  </si>
  <si>
    <t>Non-Long Lead Parts</t>
  </si>
  <si>
    <t>X006</t>
  </si>
  <si>
    <t>Lot 1 Kit Group #B</t>
  </si>
  <si>
    <t>X006AA</t>
  </si>
  <si>
    <t>X006AB</t>
  </si>
  <si>
    <t>X007</t>
  </si>
  <si>
    <t>Lot 1 Kit Group #E</t>
  </si>
  <si>
    <t>X007AA</t>
  </si>
  <si>
    <t>X007AB</t>
  </si>
  <si>
    <t>Lots 2-6 Kits</t>
  </si>
  <si>
    <t>X008</t>
  </si>
  <si>
    <t>FPEPA</t>
  </si>
  <si>
    <t>Lots 2-6 Kit Group #A</t>
  </si>
  <si>
    <t>X009</t>
  </si>
  <si>
    <t>Lots 2-6 Kit Group #B</t>
  </si>
  <si>
    <t>X010</t>
  </si>
  <si>
    <t>Lots 2-6 Kit Group #E</t>
  </si>
  <si>
    <t>Technical Data Package (TDP) Updates 
See Note 1 Below</t>
  </si>
  <si>
    <t>Engineering Fixed Hourly Rate</t>
  </si>
  <si>
    <t>Administrative Fixed Hourly Rate</t>
  </si>
  <si>
    <t>Fabrication Fixed Hourly Rate</t>
  </si>
  <si>
    <t>X011</t>
  </si>
  <si>
    <t>X012</t>
  </si>
  <si>
    <t>X013</t>
  </si>
  <si>
    <t>X014</t>
  </si>
  <si>
    <t>X015</t>
  </si>
  <si>
    <t>NSP</t>
  </si>
  <si>
    <t>Data (Not Separately Priced)</t>
  </si>
  <si>
    <t>X016</t>
  </si>
  <si>
    <r>
      <t xml:space="preserve">Data (Separately Priced) - TBN Per Occurrence - </t>
    </r>
    <r>
      <rPr>
        <b/>
        <sz val="10"/>
        <rFont val="Times New Roman"/>
        <family val="1"/>
      </rPr>
      <t>Engineering Fixed Hourly Labor Rates</t>
    </r>
  </si>
  <si>
    <t>X017</t>
  </si>
  <si>
    <r>
      <t xml:space="preserve">Over &amp; Above Labor - TBN Per Occurrence - </t>
    </r>
    <r>
      <rPr>
        <b/>
        <sz val="10"/>
        <rFont val="Times New Roman"/>
        <family val="1"/>
      </rPr>
      <t>Engineering Fixed Hourly Labor Rates</t>
    </r>
  </si>
  <si>
    <t>X018</t>
  </si>
  <si>
    <t>X019</t>
  </si>
  <si>
    <r>
      <t xml:space="preserve">Over &amp; Above Storage - TBN Per Occurrence - </t>
    </r>
    <r>
      <rPr>
        <b/>
        <sz val="10"/>
        <rFont val="Times New Roman"/>
        <family val="1"/>
      </rPr>
      <t>Transportation/Shipping G&amp;A Rate</t>
    </r>
  </si>
  <si>
    <t>X020</t>
  </si>
  <si>
    <r>
      <t xml:space="preserve">Over &amp; Above Shipping - TBN Per Occurrence - </t>
    </r>
    <r>
      <rPr>
        <b/>
        <sz val="10"/>
        <rFont val="Times New Roman"/>
        <family val="1"/>
      </rPr>
      <t>Transportation/Shipping G&amp;A Rate</t>
    </r>
  </si>
  <si>
    <t>X021</t>
  </si>
  <si>
    <r>
      <t xml:space="preserve">Over &amp; Above Travel - TBN Per Occurrence -  </t>
    </r>
    <r>
      <rPr>
        <b/>
        <sz val="10"/>
        <rFont val="Times New Roman"/>
        <family val="1"/>
      </rPr>
      <t>Travel G&amp;A Rate</t>
    </r>
  </si>
  <si>
    <t>TOTAL</t>
  </si>
  <si>
    <t>cross check</t>
  </si>
  <si>
    <t>Rate Table</t>
  </si>
  <si>
    <t>Labor</t>
  </si>
  <si>
    <t>Administrative Overtime Rate</t>
  </si>
  <si>
    <t>Administrative Premium Rate</t>
  </si>
  <si>
    <t>Engineering Overtime Rate</t>
  </si>
  <si>
    <t>Engineering Premium Rate</t>
  </si>
  <si>
    <t>Fabrication Overtime Rate</t>
  </si>
  <si>
    <t>Fabrication Premium Rate</t>
  </si>
  <si>
    <t>Prime Material Handling Rate</t>
  </si>
  <si>
    <t>Mhx</t>
  </si>
  <si>
    <t>Subcontractor Material Handling Rate</t>
  </si>
  <si>
    <t>Travel G&amp;A Rate</t>
  </si>
  <si>
    <t>Travel</t>
  </si>
  <si>
    <t>Transportation/Shipping G&amp;A Rate</t>
  </si>
  <si>
    <t>Trans/Ship</t>
  </si>
  <si>
    <t>For evaluation purposes, CLINs X011-X013 apply the Prime Material Handling Rate and CLINs X014 and X018 apply the Subcontractor Material Handling Rate.</t>
  </si>
  <si>
    <t>INSTRUCTIONS - Fill in the yellow highlighted cells as follows:</t>
  </si>
  <si>
    <t>Insert the Description of Long Lead Parts for Lot 1 Kit Group #A in Column C.
Insert the Proposed Unit Prices (Column E) and Proposed Quantities (Column F) for the Basic Period Year 1.
Offerors may insert additional rows as needed.</t>
  </si>
  <si>
    <t>Enter the total price for CLIN X005AA in the corresponding cell (proposed unit price) in the Pricing Matrix spreadsheet for Basic Period Year 1.</t>
  </si>
  <si>
    <t>B-52J CERP Kit Production</t>
  </si>
  <si>
    <t>Basic Period (Year 1)</t>
  </si>
  <si>
    <t>Contract Type</t>
  </si>
  <si>
    <t>Proposed Unit Price</t>
  </si>
  <si>
    <t>Proposed Quantity</t>
  </si>
  <si>
    <t>Extended Total</t>
  </si>
  <si>
    <t>Lot 1 Kit Group #A - Long Lead Parts</t>
  </si>
  <si>
    <t>Total CLIN X005AA</t>
  </si>
  <si>
    <t>Insert the Description of Long Lead Parts for Lot 1 Kit Group #B in Column C.
Insert the Proposed Unit Prices (Column E) and Proposed Quantities (Column F) for the Basic Period Year 1.
Offerors may insert additional rows as needed.</t>
  </si>
  <si>
    <t>Enter the total price for CLIN X006AA in the corresponding cell (proposed unit price) in the Pricing Matrix spreadsheet for Basic Period Year 1.</t>
  </si>
  <si>
    <t>Lot 1 Kit Group #B - Long Lead Parts</t>
  </si>
  <si>
    <t>Total CLIN X006AA</t>
  </si>
  <si>
    <t>Insert the Description of Long Lead Parts for Lot 1 Kit Group #E in Column C.
Insert the Proposed Unit Prices (Column E) and Proposed Quantities (Column F) for the Basic Period Year 1.
Offerors may insert additional rows as needed.</t>
  </si>
  <si>
    <t>Enter the total price for CLIN X007AA in the corresponding cell (proposed unit price) in the Pricing Matrix spreadsheet for Basic Period Year 1.</t>
  </si>
  <si>
    <t>Lot 1 Kit Group #E - Long Lead Parts</t>
  </si>
  <si>
    <t>Total CLIN X007AA</t>
  </si>
  <si>
    <r>
      <t xml:space="preserve">Spare Parts - TBN Per Occurrence - </t>
    </r>
    <r>
      <rPr>
        <b/>
        <sz val="10"/>
        <rFont val="Times New Roman"/>
        <family val="1"/>
      </rPr>
      <t>Prime or Subcontractor  Material Handling Rates</t>
    </r>
    <r>
      <rPr>
        <b/>
        <sz val="10"/>
        <color theme="1"/>
        <rFont val="Times New Roman"/>
        <family val="1"/>
      </rPr>
      <t xml:space="preserve"> - See Note 2 Below</t>
    </r>
  </si>
  <si>
    <r>
      <t xml:space="preserve">Peculiar Support Equipment - TBN Per Occurrence - </t>
    </r>
    <r>
      <rPr>
        <b/>
        <sz val="10"/>
        <rFont val="Times New Roman"/>
        <family val="1"/>
      </rPr>
      <t>Prime or Subcontractor Material Handling Rates - See Note 2 Below</t>
    </r>
  </si>
  <si>
    <r>
      <t xml:space="preserve">Production Tooling - TBN Per Occurrence - </t>
    </r>
    <r>
      <rPr>
        <b/>
        <sz val="10"/>
        <rFont val="Times New Roman"/>
        <family val="1"/>
      </rPr>
      <t>Prime or Subcontractor Material Handling Rates</t>
    </r>
    <r>
      <rPr>
        <b/>
        <sz val="10"/>
        <color theme="1"/>
        <rFont val="Times New Roman"/>
        <family val="1"/>
      </rPr>
      <t xml:space="preserve"> - See Note 2 Below</t>
    </r>
  </si>
  <si>
    <r>
      <t xml:space="preserve">Common Support Equipment - TBN Per Occurrence - </t>
    </r>
    <r>
      <rPr>
        <b/>
        <sz val="10"/>
        <color theme="1"/>
        <rFont val="Times New Roman"/>
        <family val="1"/>
      </rPr>
      <t>Prime or</t>
    </r>
    <r>
      <rPr>
        <sz val="10"/>
        <color theme="1"/>
        <rFont val="Times New Roman"/>
        <family val="1"/>
      </rPr>
      <t xml:space="preserve"> </t>
    </r>
    <r>
      <rPr>
        <b/>
        <sz val="10"/>
        <rFont val="Times New Roman"/>
        <family val="1"/>
      </rPr>
      <t>Subcontractor Material Handling Rates - See Note 2 Below</t>
    </r>
  </si>
  <si>
    <r>
      <t xml:space="preserve">Over &amp; Above Materials - TBN Per Occurrence - </t>
    </r>
    <r>
      <rPr>
        <b/>
        <sz val="10"/>
        <rFont val="Times New Roman"/>
        <family val="1"/>
      </rPr>
      <t>Prime or Subcontractor Material Handling Rates - See Note 2 Below</t>
    </r>
  </si>
  <si>
    <t>The estimated quantities expressed below are for evaluation purposes and may vary during contract execution.</t>
  </si>
  <si>
    <t>See Note 6</t>
  </si>
  <si>
    <t>Note 6:</t>
  </si>
  <si>
    <t>The Prime Material Handling Rate or Subcontractor Material Handling Rate will be applied as applicable for CLINs X011-X014, and X018 during contract execution.</t>
  </si>
  <si>
    <t>DRAFT PRICING MATRIX 31 March 2026</t>
  </si>
  <si>
    <t>Insert Offeror Name</t>
  </si>
  <si>
    <t>The quantity of 1 each in Basic Year 1 for CLINs X008 - X010 is for evaluation purposes only and may not be required during contract execution.</t>
  </si>
  <si>
    <t>Note: The  quantities provided below will be updated with the final RFP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</si>
</sst>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00"/>
    <numFmt numFmtId="165" formatCode="0.000"/>
    <numFmt numFmtId="166" formatCode="_(&quot;$&quot;* #,##0_);_(&quot;$&quot;* \(#,##0\);_(&quot;$&quot;* &quot;-&quot;??_);_(@_)"/>
  </numFmts>
  <fonts count="34" x14ac:knownFonts="1">
    <font>
      <sz val="11"/>
      <color theme="1"/>
      <name val="Aptos Narrow"/>
      <family val="2"/>
      <scheme val="minor"/>
    </font>
    <font>
      <sz val="11"/>
      <color theme="1"/>
      <name val="Aptos Narrow"/>
      <family val="2"/>
      <scheme val="minor"/>
    </font>
    <font>
      <b/>
      <sz val="10"/>
      <color theme="1"/>
      <name val="Times New Roman"/>
      <family val="1"/>
    </font>
    <font>
      <sz val="10"/>
      <color theme="1"/>
      <name val="Times New Roman"/>
      <family val="1"/>
    </font>
    <font>
      <sz val="10"/>
      <name val="Times New Roman"/>
      <family val="1"/>
    </font>
    <font>
      <sz val="11"/>
      <color theme="1"/>
      <name val="Times New Roman"/>
      <family val="1"/>
    </font>
    <font>
      <b/>
      <sz val="10"/>
      <color theme="0"/>
      <name val="Times New Roman"/>
      <family val="1"/>
    </font>
    <font>
      <b/>
      <sz val="11"/>
      <name val="Times New Roman"/>
      <family val="1"/>
    </font>
    <font>
      <b/>
      <sz val="11"/>
      <color theme="1"/>
      <name val="Times New Roman"/>
      <family val="1"/>
    </font>
    <font>
      <b/>
      <sz val="11"/>
      <color rgb="FFC00000"/>
      <name val="Times New Roman"/>
      <family val="1"/>
    </font>
    <font>
      <sz val="11"/>
      <name val="Times New Roman"/>
      <family val="1"/>
    </font>
    <font>
      <b/>
      <sz val="12"/>
      <color rgb="FF002060"/>
      <name val="Times New Roman"/>
      <family val="1"/>
    </font>
    <font>
      <sz val="12"/>
      <color theme="1"/>
      <name val="Times New Roman"/>
      <family val="1"/>
    </font>
    <font>
      <b/>
      <sz val="10"/>
      <name val="Times New Roman"/>
      <family val="1"/>
    </font>
    <font>
      <sz val="10"/>
      <color rgb="FFFF0000"/>
      <name val="Times New Roman"/>
      <family val="1"/>
    </font>
    <font>
      <b/>
      <sz val="10"/>
      <color rgb="FFFF0000"/>
      <name val="Times New Roman"/>
      <family val="1"/>
    </font>
    <font>
      <sz val="12"/>
      <color rgb="FFC00000"/>
      <name val="Times New Roman"/>
      <family val="1"/>
    </font>
    <font>
      <b/>
      <sz val="12"/>
      <name val="Times New Roman"/>
      <family val="1"/>
    </font>
    <font>
      <b/>
      <u/>
      <sz val="12"/>
      <name val="Times New Roman"/>
      <family val="1"/>
    </font>
    <font>
      <sz val="12"/>
      <name val="Times New Roman"/>
      <family val="1"/>
    </font>
    <font>
      <b/>
      <sz val="10"/>
      <color rgb="FFFF0000"/>
      <name val="Aptos Narrow"/>
      <family val="2"/>
      <scheme val="minor"/>
    </font>
    <font>
      <sz val="10"/>
      <color rgb="FFFF0000"/>
      <name val="Aptos Narrow"/>
      <family val="2"/>
      <scheme val="minor"/>
    </font>
    <font>
      <sz val="11"/>
      <name val="Aptos Narrow"/>
      <family val="2"/>
      <scheme val="minor"/>
    </font>
    <font>
      <u/>
      <sz val="10"/>
      <color theme="1"/>
      <name val="Times New Roman"/>
      <family val="1"/>
    </font>
    <font>
      <b/>
      <sz val="10"/>
      <color rgb="FFC00000"/>
      <name val="Times New Roman"/>
      <family val="1"/>
    </font>
    <font>
      <sz val="10"/>
      <color rgb="FF000000"/>
      <name val="Times New Roman"/>
      <family val="1"/>
    </font>
    <font>
      <sz val="12"/>
      <color rgb="FF000000"/>
      <name val="Times New Roman"/>
      <family val="1"/>
    </font>
    <font>
      <sz val="8"/>
      <name val="Aptos Narrow"/>
      <family val="2"/>
      <scheme val="minor"/>
    </font>
    <font>
      <b/>
      <u/>
      <sz val="12"/>
      <color rgb="FFFF0000"/>
      <name val="Times New Roman"/>
      <family val="1"/>
    </font>
    <font>
      <sz val="8"/>
      <color rgb="FF1F1F1F"/>
      <name val="Arial"/>
      <family val="2"/>
    </font>
    <font>
      <b/>
      <sz val="14"/>
      <color rgb="FFFF0000"/>
      <name val="Times New Roman"/>
      <family val="1"/>
    </font>
    <font>
      <b/>
      <sz val="12"/>
      <color rgb="FFC00000"/>
      <name val="Times New Roman"/>
      <family val="1"/>
    </font>
    <font>
      <b/>
      <sz val="12"/>
      <color theme="1"/>
      <name val="Times New Roman"/>
      <family val="1"/>
    </font>
    <font>
      <b/>
      <sz val="14"/>
      <color rgb="FFC00000"/>
      <name val="Times New Roman"/>
      <family val="1"/>
    </font>
  </fonts>
  <fills count="14">
    <fill>
      <patternFill patternType="none"/>
    </fill>
    <fill>
      <patternFill patternType="gray125"/>
    </fill>
    <fill>
      <patternFill patternType="solid">
        <fgColor theme="4" tint="0.59999389629810485"/>
        <bgColor indexed="64"/>
      </patternFill>
    </fill>
    <fill>
      <patternFill patternType="solid">
        <fgColor theme="3" tint="0.89999084444715716"/>
        <bgColor indexed="64"/>
      </patternFill>
    </fill>
    <fill>
      <patternFill patternType="solid">
        <fgColor theme="0"/>
        <bgColor indexed="64"/>
      </patternFill>
    </fill>
    <fill>
      <patternFill patternType="solid">
        <fgColor rgb="FF0070C0"/>
        <bgColor indexed="64"/>
      </patternFill>
    </fill>
    <fill>
      <patternFill patternType="solid">
        <fgColor rgb="FFFFFF99"/>
        <bgColor indexed="64"/>
      </patternFill>
    </fill>
    <fill>
      <patternFill patternType="solid">
        <fgColor theme="9" tint="0.79998168889431442"/>
        <bgColor indexed="64"/>
      </patternFill>
    </fill>
    <fill>
      <patternFill patternType="solid">
        <fgColor theme="1"/>
        <bgColor indexed="64"/>
      </patternFill>
    </fill>
    <fill>
      <patternFill patternType="solid">
        <fgColor theme="9" tint="0.59999389629810485"/>
        <bgColor indexed="64"/>
      </patternFill>
    </fill>
    <fill>
      <patternFill patternType="solid">
        <fgColor rgb="FFFFFFFF"/>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39997558519241921"/>
        <bgColor indexed="64"/>
      </patternFill>
    </fill>
  </fills>
  <borders count="26">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top style="thin">
        <color indexed="64"/>
      </top>
      <bottom style="thin">
        <color indexed="64"/>
      </bottom>
      <diagonal/>
    </border>
    <border>
      <left style="thick">
        <color auto="1"/>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ck">
        <color auto="1"/>
      </left>
      <right/>
      <top style="thin">
        <color indexed="64"/>
      </top>
      <bottom style="thin">
        <color indexed="64"/>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ck">
        <color auto="1"/>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81">
    <xf numFmtId="0" fontId="0" fillId="0" borderId="0" xfId="0"/>
    <xf numFmtId="0" fontId="5" fillId="0" borderId="0" xfId="0" applyFont="1"/>
    <xf numFmtId="0" fontId="3" fillId="0" borderId="0" xfId="0" applyFont="1"/>
    <xf numFmtId="0" fontId="3" fillId="0" borderId="3" xfId="0" applyFont="1" applyBorder="1" applyAlignment="1">
      <alignment vertical="center" wrapText="1"/>
    </xf>
    <xf numFmtId="0" fontId="8" fillId="6" borderId="5" xfId="0" applyFont="1" applyFill="1" applyBorder="1" applyProtection="1">
      <protection locked="0"/>
    </xf>
    <xf numFmtId="164" fontId="10" fillId="3" borderId="14" xfId="1" applyNumberFormat="1" applyFont="1" applyFill="1" applyBorder="1" applyAlignment="1" applyProtection="1">
      <alignment horizontal="center"/>
    </xf>
    <xf numFmtId="165" fontId="10" fillId="3" borderId="14" xfId="1" applyNumberFormat="1" applyFont="1" applyFill="1" applyBorder="1" applyProtection="1"/>
    <xf numFmtId="165" fontId="10" fillId="3" borderId="11" xfId="1" applyNumberFormat="1" applyFont="1" applyFill="1" applyBorder="1" applyProtection="1"/>
    <xf numFmtId="164" fontId="10" fillId="3" borderId="15" xfId="1" applyNumberFormat="1" applyFont="1" applyFill="1" applyBorder="1" applyAlignment="1" applyProtection="1">
      <alignment horizontal="center"/>
    </xf>
    <xf numFmtId="44" fontId="10" fillId="6" borderId="3" xfId="1" applyFont="1" applyFill="1" applyBorder="1" applyAlignment="1" applyProtection="1">
      <alignment horizontal="center" vertical="center"/>
      <protection locked="0"/>
    </xf>
    <xf numFmtId="44" fontId="10" fillId="0" borderId="3" xfId="1" applyFont="1" applyFill="1" applyBorder="1" applyAlignment="1" applyProtection="1">
      <alignment horizontal="center" vertical="center"/>
    </xf>
    <xf numFmtId="44" fontId="5" fillId="0" borderId="15" xfId="1" applyFont="1" applyBorder="1" applyProtection="1"/>
    <xf numFmtId="10" fontId="10" fillId="6" borderId="3" xfId="2" applyNumberFormat="1" applyFont="1" applyFill="1" applyBorder="1" applyAlignment="1" applyProtection="1">
      <alignment horizontal="center" vertical="center"/>
      <protection locked="0"/>
    </xf>
    <xf numFmtId="44" fontId="10" fillId="0" borderId="16" xfId="1" applyFont="1" applyFill="1" applyBorder="1" applyAlignment="1" applyProtection="1">
      <alignment horizontal="center" vertical="center"/>
    </xf>
    <xf numFmtId="0" fontId="12" fillId="0" borderId="0" xfId="0" applyFont="1"/>
    <xf numFmtId="44" fontId="10" fillId="3" borderId="17" xfId="1" applyFont="1" applyFill="1" applyBorder="1" applyAlignment="1" applyProtection="1">
      <alignment horizontal="center" vertical="center"/>
    </xf>
    <xf numFmtId="44" fontId="10" fillId="3" borderId="11" xfId="1" applyFont="1" applyFill="1" applyBorder="1" applyAlignment="1" applyProtection="1">
      <alignment horizontal="center" vertical="center"/>
    </xf>
    <xf numFmtId="0" fontId="3" fillId="0" borderId="0" xfId="0" applyFont="1" applyAlignment="1">
      <alignment vertical="center"/>
    </xf>
    <xf numFmtId="0" fontId="2" fillId="0" borderId="0" xfId="0" applyFont="1" applyAlignment="1">
      <alignment horizontal="center" vertical="center" wrapText="1"/>
    </xf>
    <xf numFmtId="0" fontId="16" fillId="0" borderId="0" xfId="0" applyFont="1"/>
    <xf numFmtId="0" fontId="12" fillId="0" borderId="0" xfId="0" applyFont="1" applyAlignment="1">
      <alignment wrapText="1"/>
    </xf>
    <xf numFmtId="0" fontId="12" fillId="0" borderId="0" xfId="0" applyFont="1" applyAlignment="1">
      <alignment horizontal="left" wrapText="1"/>
    </xf>
    <xf numFmtId="0" fontId="20" fillId="0" borderId="0" xfId="0" applyFont="1" applyAlignment="1">
      <alignment vertical="center"/>
    </xf>
    <xf numFmtId="0" fontId="20" fillId="0" borderId="0" xfId="0" applyFont="1"/>
    <xf numFmtId="0" fontId="21" fillId="0" borderId="0" xfId="0" applyFont="1"/>
    <xf numFmtId="0" fontId="21" fillId="0" borderId="0" xfId="0" applyFont="1" applyAlignment="1">
      <alignment horizontal="center"/>
    </xf>
    <xf numFmtId="0" fontId="15" fillId="0" borderId="0" xfId="0" applyFont="1" applyAlignment="1">
      <alignment horizontal="right" vertical="center" wrapText="1"/>
    </xf>
    <xf numFmtId="44" fontId="14" fillId="0" borderId="0" xfId="0" applyNumberFormat="1" applyFont="1"/>
    <xf numFmtId="44" fontId="5" fillId="8" borderId="15" xfId="1" applyFont="1" applyFill="1" applyBorder="1" applyProtection="1"/>
    <xf numFmtId="44" fontId="5" fillId="3" borderId="15" xfId="1" applyFont="1" applyFill="1" applyBorder="1" applyProtection="1"/>
    <xf numFmtId="0" fontId="3" fillId="6" borderId="18" xfId="0" applyFont="1" applyFill="1" applyBorder="1" applyProtection="1">
      <protection locked="0"/>
    </xf>
    <xf numFmtId="44" fontId="3" fillId="6" borderId="3" xfId="1" applyFont="1" applyFill="1" applyBorder="1" applyProtection="1">
      <protection locked="0"/>
    </xf>
    <xf numFmtId="44" fontId="3" fillId="6" borderId="3" xfId="1" applyFont="1" applyFill="1" applyBorder="1" applyAlignment="1" applyProtection="1">
      <alignment horizontal="center"/>
      <protection locked="0"/>
    </xf>
    <xf numFmtId="0" fontId="26" fillId="0" borderId="0" xfId="0" applyFont="1" applyAlignment="1">
      <alignment vertical="center"/>
    </xf>
    <xf numFmtId="44" fontId="10" fillId="8" borderId="3" xfId="1" applyFont="1" applyFill="1" applyBorder="1" applyAlignment="1" applyProtection="1">
      <alignment horizontal="center" vertical="center"/>
    </xf>
    <xf numFmtId="44" fontId="10" fillId="8" borderId="16" xfId="1" applyFont="1" applyFill="1" applyBorder="1" applyAlignment="1" applyProtection="1">
      <alignment horizontal="center" vertical="center"/>
    </xf>
    <xf numFmtId="0" fontId="3" fillId="0" borderId="3" xfId="0" applyFont="1" applyBorder="1" applyAlignment="1">
      <alignment vertical="center"/>
    </xf>
    <xf numFmtId="0" fontId="6" fillId="8" borderId="3" xfId="0" applyFont="1" applyFill="1" applyBorder="1" applyAlignment="1">
      <alignment wrapText="1"/>
    </xf>
    <xf numFmtId="0" fontId="3" fillId="0" borderId="3" xfId="0" applyFont="1" applyBorder="1" applyAlignment="1">
      <alignment horizontal="left" vertical="center" wrapText="1"/>
    </xf>
    <xf numFmtId="0" fontId="29" fillId="0" borderId="0" xfId="0" applyFont="1"/>
    <xf numFmtId="0" fontId="19" fillId="0" borderId="9" xfId="0" applyFont="1" applyBorder="1" applyAlignment="1">
      <alignment horizontal="center" vertical="center"/>
    </xf>
    <xf numFmtId="0" fontId="5" fillId="0" borderId="24" xfId="0" applyFont="1" applyBorder="1" applyAlignment="1">
      <alignment vertical="center"/>
    </xf>
    <xf numFmtId="0" fontId="5" fillId="0" borderId="9" xfId="0" applyFont="1" applyBorder="1" applyAlignment="1">
      <alignment vertical="center"/>
    </xf>
    <xf numFmtId="0" fontId="5" fillId="0" borderId="9" xfId="0" applyFont="1" applyBorder="1" applyAlignment="1">
      <alignment horizontal="left" vertical="center"/>
    </xf>
    <xf numFmtId="0" fontId="8" fillId="3" borderId="3" xfId="0" applyFont="1" applyFill="1" applyBorder="1" applyAlignment="1">
      <alignment vertical="center" wrapText="1"/>
    </xf>
    <xf numFmtId="0" fontId="5" fillId="3" borderId="3" xfId="0" applyFont="1" applyFill="1" applyBorder="1" applyAlignment="1">
      <alignment vertical="center" wrapText="1"/>
    </xf>
    <xf numFmtId="0" fontId="30" fillId="0" borderId="0" xfId="0" applyFont="1" applyAlignment="1">
      <alignment horizontal="center" vertical="center" wrapText="1"/>
    </xf>
    <xf numFmtId="0" fontId="20" fillId="0" borderId="0" xfId="0" applyFont="1" applyAlignment="1">
      <alignment horizontal="left" wrapText="1"/>
    </xf>
    <xf numFmtId="0" fontId="7" fillId="0" borderId="0" xfId="0" applyFont="1" applyAlignment="1">
      <alignment vertical="top" wrapText="1"/>
    </xf>
    <xf numFmtId="0" fontId="5" fillId="4" borderId="0" xfId="0" applyFont="1" applyFill="1"/>
    <xf numFmtId="0" fontId="5" fillId="0" borderId="0" xfId="0" applyFont="1" applyAlignment="1">
      <alignment horizontal="left"/>
    </xf>
    <xf numFmtId="0" fontId="11" fillId="0" borderId="0" xfId="0" applyFont="1" applyAlignment="1">
      <alignment vertical="center"/>
    </xf>
    <xf numFmtId="0" fontId="8" fillId="3" borderId="0" xfId="0" applyFont="1" applyFill="1"/>
    <xf numFmtId="0" fontId="9" fillId="0" borderId="0" xfId="0" applyFont="1" applyAlignment="1">
      <alignment vertical="center"/>
    </xf>
    <xf numFmtId="0" fontId="8" fillId="0" borderId="0" xfId="0" applyFont="1"/>
    <xf numFmtId="0" fontId="0" fillId="0" borderId="0" xfId="0" applyAlignment="1">
      <alignment horizontal="left"/>
    </xf>
    <xf numFmtId="0" fontId="0" fillId="0" borderId="0" xfId="0" applyAlignment="1">
      <alignment horizontal="center"/>
    </xf>
    <xf numFmtId="0" fontId="22" fillId="0" borderId="0" xfId="0" applyFont="1" applyAlignment="1">
      <alignment horizontal="left"/>
    </xf>
    <xf numFmtId="0" fontId="22" fillId="0" borderId="0" xfId="0" applyFont="1" applyAlignment="1">
      <alignment horizontal="center"/>
    </xf>
    <xf numFmtId="0" fontId="11" fillId="0" borderId="0" xfId="0" applyFont="1" applyAlignment="1">
      <alignment vertical="center" wrapText="1"/>
    </xf>
    <xf numFmtId="0" fontId="8" fillId="0" borderId="3" xfId="0" applyFont="1" applyBorder="1" applyAlignment="1">
      <alignment horizontal="center" vertical="center" wrapText="1"/>
    </xf>
    <xf numFmtId="0" fontId="8" fillId="0" borderId="9" xfId="0" applyFont="1" applyBorder="1" applyAlignment="1">
      <alignment horizontal="center" vertical="center" wrapText="1"/>
    </xf>
    <xf numFmtId="0" fontId="7" fillId="0" borderId="9" xfId="0" applyFont="1" applyBorder="1" applyAlignment="1">
      <alignment horizontal="center" vertical="center" wrapText="1"/>
    </xf>
    <xf numFmtId="0" fontId="8" fillId="7" borderId="10"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7" borderId="11" xfId="0" applyFont="1" applyFill="1" applyBorder="1" applyAlignment="1">
      <alignment horizontal="center" vertical="center" wrapText="1"/>
    </xf>
    <xf numFmtId="0" fontId="8" fillId="7" borderId="12" xfId="0" applyFont="1" applyFill="1" applyBorder="1" applyAlignment="1">
      <alignment horizontal="center" vertical="center" wrapText="1"/>
    </xf>
    <xf numFmtId="0" fontId="8" fillId="7" borderId="13" xfId="0" applyFont="1" applyFill="1" applyBorder="1" applyAlignment="1">
      <alignment horizontal="center" vertical="center"/>
    </xf>
    <xf numFmtId="0" fontId="5" fillId="0" borderId="0" xfId="0" applyFont="1" applyAlignment="1">
      <alignment horizontal="center" vertical="center"/>
    </xf>
    <xf numFmtId="0" fontId="5" fillId="3" borderId="3" xfId="0" applyFont="1" applyFill="1" applyBorder="1" applyAlignment="1">
      <alignment horizontal="left"/>
    </xf>
    <xf numFmtId="0" fontId="5" fillId="3" borderId="3" xfId="0" applyFont="1" applyFill="1" applyBorder="1" applyAlignment="1">
      <alignment wrapText="1"/>
    </xf>
    <xf numFmtId="0" fontId="8" fillId="3" borderId="3" xfId="0" applyFont="1" applyFill="1" applyBorder="1" applyAlignment="1">
      <alignment wrapText="1"/>
    </xf>
    <xf numFmtId="0" fontId="5" fillId="3" borderId="3" xfId="0" applyFont="1" applyFill="1" applyBorder="1" applyAlignment="1">
      <alignment horizontal="center"/>
    </xf>
    <xf numFmtId="1" fontId="10" fillId="3" borderId="12" xfId="0" applyNumberFormat="1" applyFont="1" applyFill="1" applyBorder="1" applyAlignment="1">
      <alignment horizontal="center" vertical="center"/>
    </xf>
    <xf numFmtId="0" fontId="3" fillId="0" borderId="3" xfId="0" quotePrefix="1" applyFont="1" applyBorder="1" applyAlignment="1">
      <alignment vertical="center" wrapText="1"/>
    </xf>
    <xf numFmtId="0" fontId="3" fillId="0" borderId="3" xfId="0" quotePrefix="1" applyFont="1" applyBorder="1" applyAlignment="1">
      <alignment horizontal="center" vertical="center" wrapText="1"/>
    </xf>
    <xf numFmtId="0" fontId="4" fillId="0" borderId="3" xfId="0" applyFont="1" applyBorder="1" applyAlignment="1">
      <alignment vertical="center" wrapText="1"/>
    </xf>
    <xf numFmtId="0" fontId="3" fillId="4" borderId="3" xfId="0" applyFont="1" applyFill="1" applyBorder="1" applyAlignment="1">
      <alignment horizontal="center" vertical="center" wrapText="1"/>
    </xf>
    <xf numFmtId="1" fontId="10" fillId="9" borderId="10" xfId="0" applyNumberFormat="1" applyFont="1" applyFill="1" applyBorder="1" applyAlignment="1">
      <alignment horizontal="center" vertical="center"/>
    </xf>
    <xf numFmtId="166" fontId="10" fillId="9" borderId="10" xfId="1" applyNumberFormat="1" applyFont="1" applyFill="1" applyBorder="1" applyAlignment="1" applyProtection="1">
      <alignment horizontal="center" vertical="center"/>
    </xf>
    <xf numFmtId="10" fontId="10" fillId="11" borderId="3" xfId="2" applyNumberFormat="1" applyFont="1" applyFill="1" applyBorder="1" applyAlignment="1" applyProtection="1">
      <alignment horizontal="center" vertical="center"/>
    </xf>
    <xf numFmtId="0" fontId="4" fillId="3" borderId="3" xfId="0" quotePrefix="1" applyFont="1" applyFill="1" applyBorder="1" applyAlignment="1">
      <alignment vertical="center" wrapText="1"/>
    </xf>
    <xf numFmtId="0" fontId="4" fillId="3" borderId="3" xfId="0" quotePrefix="1" applyFont="1" applyFill="1" applyBorder="1" applyAlignment="1">
      <alignment horizontal="center" vertical="center" wrapText="1"/>
    </xf>
    <xf numFmtId="0" fontId="13" fillId="3" borderId="3" xfId="0" applyFont="1" applyFill="1" applyBorder="1" applyAlignment="1">
      <alignment vertical="center" wrapText="1"/>
    </xf>
    <xf numFmtId="0" fontId="4" fillId="3" borderId="3" xfId="0" applyFont="1" applyFill="1" applyBorder="1" applyAlignment="1">
      <alignment horizontal="center" vertical="center" wrapText="1"/>
    </xf>
    <xf numFmtId="44" fontId="10" fillId="3" borderId="14" xfId="1" applyFont="1" applyFill="1" applyBorder="1" applyAlignment="1" applyProtection="1">
      <alignment horizontal="center" vertical="center"/>
    </xf>
    <xf numFmtId="0" fontId="4" fillId="0" borderId="3" xfId="0" quotePrefix="1" applyFont="1" applyBorder="1" applyAlignment="1">
      <alignment vertical="center" wrapText="1"/>
    </xf>
    <xf numFmtId="0" fontId="4" fillId="0" borderId="3" xfId="0" quotePrefix="1" applyFont="1" applyBorder="1" applyAlignment="1">
      <alignment horizontal="center" vertical="center" wrapText="1"/>
    </xf>
    <xf numFmtId="0" fontId="4" fillId="4" borderId="3" xfId="0" applyFont="1" applyFill="1" applyBorder="1" applyAlignment="1">
      <alignment horizontal="center" vertical="center" wrapText="1"/>
    </xf>
    <xf numFmtId="1" fontId="10" fillId="8" borderId="10" xfId="0" applyNumberFormat="1" applyFont="1" applyFill="1" applyBorder="1" applyAlignment="1">
      <alignment horizontal="center" vertical="center"/>
    </xf>
    <xf numFmtId="0" fontId="4" fillId="0" borderId="3" xfId="0" applyFont="1" applyBorder="1" applyAlignment="1">
      <alignment horizontal="center" vertical="center" wrapText="1"/>
    </xf>
    <xf numFmtId="1" fontId="10" fillId="13" borderId="12" xfId="0" applyNumberFormat="1" applyFont="1" applyFill="1" applyBorder="1" applyAlignment="1">
      <alignment horizontal="center" vertical="center"/>
    </xf>
    <xf numFmtId="44" fontId="10" fillId="11" borderId="3" xfId="1" applyFont="1" applyFill="1" applyBorder="1" applyAlignment="1" applyProtection="1">
      <alignment horizontal="center" vertical="center"/>
    </xf>
    <xf numFmtId="0" fontId="3" fillId="10" borderId="3" xfId="0" applyFont="1" applyFill="1" applyBorder="1" applyAlignment="1">
      <alignment vertical="center" wrapText="1"/>
    </xf>
    <xf numFmtId="0" fontId="3" fillId="10" borderId="3" xfId="0" applyFont="1" applyFill="1" applyBorder="1" applyAlignment="1">
      <alignment horizontal="left" vertical="center" wrapText="1"/>
    </xf>
    <xf numFmtId="2" fontId="3" fillId="0" borderId="3" xfId="0" applyNumberFormat="1" applyFont="1" applyBorder="1" applyAlignment="1">
      <alignment horizontal="center" vertical="center" wrapText="1"/>
    </xf>
    <xf numFmtId="0" fontId="3" fillId="0" borderId="2" xfId="0" quotePrefix="1" applyFont="1" applyBorder="1" applyAlignment="1">
      <alignment horizontal="center" vertical="center" wrapText="1"/>
    </xf>
    <xf numFmtId="0" fontId="3" fillId="4" borderId="4" xfId="0" applyFont="1" applyFill="1" applyBorder="1" applyAlignment="1">
      <alignment horizontal="center" vertical="center" wrapText="1"/>
    </xf>
    <xf numFmtId="0" fontId="5" fillId="8" borderId="0" xfId="0" applyFont="1" applyFill="1"/>
    <xf numFmtId="0" fontId="3" fillId="0" borderId="3" xfId="0" applyFont="1" applyBorder="1" applyAlignment="1">
      <alignment horizontal="center" vertical="center" wrapText="1"/>
    </xf>
    <xf numFmtId="37" fontId="10" fillId="9" borderId="10" xfId="1" applyNumberFormat="1" applyFont="1" applyFill="1" applyBorder="1" applyAlignment="1" applyProtection="1">
      <alignment horizontal="center" vertical="center"/>
    </xf>
    <xf numFmtId="0" fontId="4" fillId="10" borderId="1" xfId="0" applyFont="1" applyFill="1" applyBorder="1" applyAlignment="1">
      <alignment vertical="center" wrapText="1"/>
    </xf>
    <xf numFmtId="0" fontId="4" fillId="0" borderId="1" xfId="0" applyFont="1" applyBorder="1" applyAlignment="1">
      <alignment vertical="center" wrapText="1"/>
    </xf>
    <xf numFmtId="0" fontId="3" fillId="0" borderId="4" xfId="0" applyFont="1" applyBorder="1" applyAlignment="1">
      <alignment horizontal="center" vertical="center" wrapText="1"/>
    </xf>
    <xf numFmtId="44" fontId="8" fillId="12" borderId="3" xfId="0" applyNumberFormat="1" applyFont="1" applyFill="1" applyBorder="1"/>
    <xf numFmtId="44" fontId="5" fillId="0" borderId="0" xfId="0" applyNumberFormat="1" applyFont="1"/>
    <xf numFmtId="0" fontId="3" fillId="0" borderId="0" xfId="0" applyFont="1" applyAlignment="1">
      <alignment vertical="center" wrapText="1"/>
    </xf>
    <xf numFmtId="0" fontId="6" fillId="5" borderId="0" xfId="0" applyFont="1" applyFill="1"/>
    <xf numFmtId="0" fontId="5" fillId="0" borderId="9" xfId="0" applyFont="1" applyBorder="1"/>
    <xf numFmtId="0" fontId="5" fillId="0" borderId="14" xfId="0" applyFont="1" applyBorder="1"/>
    <xf numFmtId="0" fontId="5" fillId="0" borderId="17" xfId="0" applyFont="1" applyBorder="1"/>
    <xf numFmtId="0" fontId="4" fillId="0" borderId="3" xfId="0" applyFont="1" applyBorder="1"/>
    <xf numFmtId="0" fontId="3" fillId="0" borderId="3" xfId="0" applyFont="1" applyBorder="1" applyAlignment="1">
      <alignment horizontal="center" vertical="center"/>
    </xf>
    <xf numFmtId="0" fontId="5" fillId="8" borderId="3" xfId="0" applyFont="1" applyFill="1" applyBorder="1"/>
    <xf numFmtId="0" fontId="3" fillId="0" borderId="3" xfId="0" applyFont="1" applyBorder="1"/>
    <xf numFmtId="0" fontId="13" fillId="0" borderId="20" xfId="0" applyFont="1" applyBorder="1" applyAlignment="1">
      <alignment horizontal="center" vertical="center" wrapText="1"/>
    </xf>
    <xf numFmtId="0" fontId="7" fillId="0" borderId="0" xfId="0" applyFont="1"/>
    <xf numFmtId="0" fontId="31" fillId="0" borderId="0" xfId="0" applyFont="1"/>
    <xf numFmtId="0" fontId="33" fillId="0" borderId="0" xfId="0" applyFont="1" applyAlignment="1">
      <alignment vertical="center"/>
    </xf>
    <xf numFmtId="0" fontId="3" fillId="0" borderId="0" xfId="0" applyFont="1" applyProtection="1">
      <protection locked="0"/>
    </xf>
    <xf numFmtId="0" fontId="2" fillId="3" borderId="3" xfId="0" applyFont="1" applyFill="1" applyBorder="1" applyAlignment="1" applyProtection="1">
      <alignment wrapText="1"/>
      <protection locked="0"/>
    </xf>
    <xf numFmtId="0" fontId="3" fillId="3" borderId="3" xfId="0" applyFont="1" applyFill="1" applyBorder="1" applyProtection="1">
      <protection locked="0"/>
    </xf>
    <xf numFmtId="44" fontId="2" fillId="3" borderId="3" xfId="0" applyNumberFormat="1" applyFont="1" applyFill="1" applyBorder="1" applyProtection="1">
      <protection locked="0"/>
    </xf>
    <xf numFmtId="0" fontId="23" fillId="0" borderId="0" xfId="0" applyFont="1"/>
    <xf numFmtId="0" fontId="24" fillId="0" borderId="0" xfId="0" applyFont="1"/>
    <xf numFmtId="0" fontId="2" fillId="0" borderId="0" xfId="0" applyFont="1"/>
    <xf numFmtId="0" fontId="13" fillId="7" borderId="0" xfId="0" applyFont="1" applyFill="1" applyAlignment="1">
      <alignment horizontal="left"/>
    </xf>
    <xf numFmtId="0" fontId="2" fillId="7" borderId="0" xfId="0" applyFont="1" applyFill="1" applyAlignment="1">
      <alignment horizontal="center"/>
    </xf>
    <xf numFmtId="0" fontId="4" fillId="7" borderId="0" xfId="0" applyFont="1" applyFill="1" applyAlignment="1">
      <alignment horizontal="left"/>
    </xf>
    <xf numFmtId="0" fontId="14" fillId="0" borderId="0" xfId="0" applyFont="1" applyAlignment="1">
      <alignment wrapText="1"/>
    </xf>
    <xf numFmtId="0" fontId="4" fillId="0" borderId="0" xfId="0" applyFont="1" applyAlignment="1">
      <alignment vertical="center" wrapText="1"/>
    </xf>
    <xf numFmtId="0" fontId="13" fillId="0" borderId="0" xfId="0" applyFont="1" applyAlignment="1">
      <alignment vertical="center" wrapText="1"/>
    </xf>
    <xf numFmtId="0" fontId="4" fillId="0" borderId="0" xfId="0" applyFont="1" applyAlignment="1">
      <alignment horizontal="left" wrapText="1"/>
    </xf>
    <xf numFmtId="0" fontId="2" fillId="0" borderId="3" xfId="0" applyFont="1" applyBorder="1" applyAlignment="1">
      <alignment horizontal="center" vertical="center" wrapText="1"/>
    </xf>
    <xf numFmtId="0" fontId="2" fillId="0" borderId="9" xfId="0" applyFont="1" applyBorder="1" applyAlignment="1">
      <alignment horizontal="center" vertical="center" wrapText="1"/>
    </xf>
    <xf numFmtId="0" fontId="25" fillId="3" borderId="3" xfId="0" applyFont="1" applyFill="1" applyBorder="1" applyAlignment="1">
      <alignment horizontal="center" vertical="center" wrapText="1" readingOrder="1"/>
    </xf>
    <xf numFmtId="44" fontId="3" fillId="0" borderId="3" xfId="1" applyFont="1" applyFill="1" applyBorder="1" applyAlignment="1" applyProtection="1">
      <alignment horizontal="center"/>
    </xf>
    <xf numFmtId="44" fontId="2" fillId="0" borderId="3" xfId="1" applyFont="1" applyFill="1" applyBorder="1" applyAlignment="1" applyProtection="1">
      <alignment horizontal="center"/>
    </xf>
    <xf numFmtId="0" fontId="25" fillId="0" borderId="3" xfId="0" applyFont="1" applyBorder="1" applyAlignment="1">
      <alignment horizontal="center" vertical="center" wrapText="1" readingOrder="1"/>
    </xf>
    <xf numFmtId="49" fontId="25" fillId="0" borderId="3" xfId="0" applyNumberFormat="1" applyFont="1" applyBorder="1" applyAlignment="1">
      <alignment horizontal="center" vertical="center" wrapText="1" readingOrder="1"/>
    </xf>
    <xf numFmtId="0" fontId="17" fillId="0" borderId="0" xfId="0" applyFont="1" applyAlignment="1">
      <alignment horizontal="center"/>
    </xf>
    <xf numFmtId="0" fontId="18" fillId="0" borderId="0" xfId="0" applyFont="1" applyAlignment="1">
      <alignment horizontal="center"/>
    </xf>
    <xf numFmtId="0" fontId="19" fillId="0" borderId="20" xfId="0" applyFont="1" applyBorder="1" applyAlignment="1">
      <alignment horizontal="left" vertical="center" wrapText="1"/>
    </xf>
    <xf numFmtId="0" fontId="19" fillId="0" borderId="21" xfId="0" applyFont="1" applyBorder="1" applyAlignment="1">
      <alignment horizontal="left" vertical="center" wrapText="1"/>
    </xf>
    <xf numFmtId="0" fontId="19" fillId="0" borderId="14" xfId="0" applyFont="1" applyBorder="1" applyAlignment="1">
      <alignment horizontal="left" vertical="center" wrapText="1"/>
    </xf>
    <xf numFmtId="0" fontId="19" fillId="0" borderId="17" xfId="0" applyFont="1" applyBorder="1" applyAlignment="1">
      <alignment horizontal="left" vertical="center" wrapText="1"/>
    </xf>
    <xf numFmtId="0" fontId="19" fillId="0" borderId="0" xfId="0" applyFont="1" applyAlignment="1">
      <alignment horizontal="left" vertical="center" wrapText="1"/>
    </xf>
    <xf numFmtId="0" fontId="19" fillId="0" borderId="23" xfId="0" applyFont="1" applyBorder="1" applyAlignment="1">
      <alignment horizontal="left" vertical="center" wrapText="1"/>
    </xf>
    <xf numFmtId="0" fontId="19" fillId="0" borderId="18" xfId="0" applyFont="1" applyBorder="1" applyAlignment="1">
      <alignment horizontal="left" vertical="center" wrapText="1"/>
    </xf>
    <xf numFmtId="0" fontId="19" fillId="0" borderId="25" xfId="0" applyFont="1" applyBorder="1" applyAlignment="1">
      <alignment horizontal="left" vertical="center" wrapText="1"/>
    </xf>
    <xf numFmtId="0" fontId="20" fillId="0" borderId="0" xfId="0" applyFont="1" applyAlignment="1">
      <alignment horizontal="left" wrapText="1"/>
    </xf>
    <xf numFmtId="0" fontId="12" fillId="0" borderId="14" xfId="0" applyFont="1" applyBorder="1" applyAlignment="1">
      <alignment vertical="top" wrapText="1"/>
    </xf>
    <xf numFmtId="0" fontId="12" fillId="0" borderId="17" xfId="0" applyFont="1" applyBorder="1" applyAlignment="1">
      <alignment vertical="top" wrapText="1"/>
    </xf>
    <xf numFmtId="0" fontId="5" fillId="0" borderId="18" xfId="0" applyFont="1" applyBorder="1" applyAlignment="1">
      <alignment horizontal="left" vertical="center" wrapText="1"/>
    </xf>
    <xf numFmtId="0" fontId="5" fillId="0" borderId="25" xfId="0" applyFont="1" applyBorder="1" applyAlignment="1">
      <alignment horizontal="left" vertical="center" wrapText="1"/>
    </xf>
    <xf numFmtId="0" fontId="5" fillId="0" borderId="19" xfId="0" applyFont="1" applyBorder="1" applyAlignment="1">
      <alignment horizontal="center" vertical="center"/>
    </xf>
    <xf numFmtId="0" fontId="5" fillId="0" borderId="24" xfId="0" applyFont="1" applyBorder="1" applyAlignment="1">
      <alignment horizontal="center" vertical="center"/>
    </xf>
    <xf numFmtId="0" fontId="5" fillId="0" borderId="14" xfId="0" applyFont="1" applyBorder="1" applyAlignment="1">
      <alignment horizontal="left" vertical="center" wrapText="1"/>
    </xf>
    <xf numFmtId="0" fontId="5" fillId="0" borderId="17" xfId="0" applyFont="1" applyBorder="1" applyAlignment="1">
      <alignment horizontal="left" vertical="center" wrapText="1"/>
    </xf>
    <xf numFmtId="0" fontId="19" fillId="0" borderId="19" xfId="0" applyFont="1" applyBorder="1" applyAlignment="1">
      <alignment horizontal="center" vertical="center"/>
    </xf>
    <xf numFmtId="0" fontId="19" fillId="0" borderId="22" xfId="0" applyFont="1" applyBorder="1" applyAlignment="1">
      <alignment horizontal="center" vertical="center"/>
    </xf>
    <xf numFmtId="0" fontId="19" fillId="0" borderId="24" xfId="0" applyFont="1" applyBorder="1" applyAlignment="1">
      <alignment horizontal="center" vertical="center"/>
    </xf>
    <xf numFmtId="0" fontId="5" fillId="0" borderId="20" xfId="0" applyFont="1" applyBorder="1" applyAlignment="1">
      <alignment horizontal="left" vertical="center" wrapText="1"/>
    </xf>
    <xf numFmtId="0" fontId="5" fillId="0" borderId="21" xfId="0" applyFont="1" applyBorder="1" applyAlignment="1">
      <alignment horizontal="left" vertical="center" wrapText="1"/>
    </xf>
    <xf numFmtId="0" fontId="4"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2" xfId="0" applyFont="1" applyBorder="1" applyAlignment="1">
      <alignment horizontal="left" vertical="center" wrapText="1"/>
    </xf>
    <xf numFmtId="0" fontId="3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4" xfId="0" applyFont="1" applyBorder="1" applyAlignment="1">
      <alignment horizontal="left" vertical="center" wrapText="1"/>
    </xf>
    <xf numFmtId="0" fontId="3" fillId="0" borderId="2" xfId="0" applyFont="1" applyBorder="1" applyAlignment="1">
      <alignment horizontal="left" vertical="center" wrapText="1"/>
    </xf>
    <xf numFmtId="0" fontId="8" fillId="7" borderId="6" xfId="0" applyFont="1" applyFill="1" applyBorder="1" applyAlignment="1">
      <alignment horizontal="center" vertical="center" wrapText="1"/>
    </xf>
    <xf numFmtId="0" fontId="8" fillId="7" borderId="7"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4" fillId="7" borderId="0" xfId="0" applyFont="1" applyFill="1" applyAlignment="1">
      <alignment horizontal="left" vertical="top" wrapText="1"/>
    </xf>
    <xf numFmtId="0" fontId="13" fillId="7" borderId="0" xfId="0" applyFont="1" applyFill="1" applyAlignment="1">
      <alignment horizontal="left" vertical="center" wrapText="1"/>
    </xf>
    <xf numFmtId="0" fontId="8" fillId="7" borderId="9" xfId="0" applyFont="1" applyFill="1" applyBorder="1" applyAlignment="1">
      <alignment horizontal="center" vertical="center" wrapText="1"/>
    </xf>
    <xf numFmtId="0" fontId="8" fillId="7" borderId="14" xfId="0" applyFont="1" applyFill="1" applyBorder="1" applyAlignment="1">
      <alignment horizontal="center" vertical="center" wrapText="1"/>
    </xf>
    <xf numFmtId="0" fontId="8" fillId="7" borderId="17" xfId="0" applyFont="1" applyFill="1" applyBorder="1" applyAlignment="1">
      <alignment horizontal="center" vertical="center" wrapText="1"/>
    </xf>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B91A8-DA83-42EC-8111-3D7784E35EB1}">
  <sheetPr>
    <tabColor theme="3" tint="0.749992370372631"/>
  </sheetPr>
  <dimension ref="A1:S18"/>
  <sheetViews>
    <sheetView workbookViewId="0"/>
  </sheetViews>
  <sheetFormatPr defaultColWidth="8.5703125" defaultRowHeight="15.75" x14ac:dyDescent="0.25"/>
  <cols>
    <col min="1" max="1" width="5.42578125" style="19" customWidth="1"/>
    <col min="2" max="9" width="8.5703125" style="19"/>
    <col min="10" max="10" width="8.140625" style="19" customWidth="1"/>
    <col min="11" max="11" width="8.5703125" style="19"/>
    <col min="12" max="16384" width="8.5703125" style="14"/>
  </cols>
  <sheetData>
    <row r="1" spans="1:19" ht="18.600000000000001" customHeight="1" x14ac:dyDescent="0.25">
      <c r="B1" s="140" t="s">
        <v>0</v>
      </c>
      <c r="C1" s="140"/>
      <c r="D1" s="140"/>
      <c r="E1" s="140"/>
      <c r="F1" s="140"/>
      <c r="G1" s="140"/>
      <c r="H1" s="140"/>
      <c r="I1" s="140"/>
      <c r="J1" s="140"/>
    </row>
    <row r="2" spans="1:19" ht="18.600000000000001" customHeight="1" x14ac:dyDescent="0.25">
      <c r="B2" s="141" t="s">
        <v>1</v>
      </c>
      <c r="C2" s="141"/>
      <c r="D2" s="141"/>
      <c r="E2" s="141"/>
      <c r="F2" s="141"/>
      <c r="G2" s="141"/>
      <c r="H2" s="141"/>
      <c r="I2" s="141"/>
      <c r="J2" s="141"/>
    </row>
    <row r="4" spans="1:19" ht="72.599999999999994" customHeight="1" x14ac:dyDescent="0.25">
      <c r="A4" s="159">
        <v>1</v>
      </c>
      <c r="B4" s="142" t="s">
        <v>2</v>
      </c>
      <c r="C4" s="142"/>
      <c r="D4" s="142"/>
      <c r="E4" s="142"/>
      <c r="F4" s="142"/>
      <c r="G4" s="142"/>
      <c r="H4" s="142"/>
      <c r="I4" s="142"/>
      <c r="J4" s="143"/>
      <c r="K4" s="20"/>
      <c r="L4" s="22"/>
      <c r="M4" s="150"/>
      <c r="N4" s="150"/>
      <c r="O4" s="150"/>
      <c r="P4" s="150"/>
      <c r="Q4" s="150"/>
      <c r="R4" s="150"/>
      <c r="S4" s="1"/>
    </row>
    <row r="5" spans="1:19" ht="60.95" customHeight="1" x14ac:dyDescent="0.25">
      <c r="A5" s="160"/>
      <c r="B5" s="146" t="s">
        <v>3</v>
      </c>
      <c r="C5" s="146"/>
      <c r="D5" s="146"/>
      <c r="E5" s="146"/>
      <c r="F5" s="146"/>
      <c r="G5" s="146"/>
      <c r="H5" s="146"/>
      <c r="I5" s="146"/>
      <c r="J5" s="147"/>
      <c r="K5" s="20"/>
      <c r="L5" s="22"/>
      <c r="M5" s="47"/>
      <c r="N5" s="47"/>
      <c r="O5" s="47"/>
      <c r="P5" s="47"/>
      <c r="Q5" s="47"/>
      <c r="R5" s="47"/>
      <c r="S5" s="1"/>
    </row>
    <row r="6" spans="1:19" ht="44.45" customHeight="1" x14ac:dyDescent="0.25">
      <c r="A6" s="161"/>
      <c r="B6" s="148" t="s">
        <v>4</v>
      </c>
      <c r="C6" s="148"/>
      <c r="D6" s="148"/>
      <c r="E6" s="148"/>
      <c r="F6" s="148"/>
      <c r="G6" s="148"/>
      <c r="H6" s="148"/>
      <c r="I6" s="148"/>
      <c r="J6" s="149"/>
      <c r="K6" s="20"/>
      <c r="L6" s="22"/>
      <c r="M6" s="47"/>
      <c r="N6" s="47"/>
      <c r="O6" s="47"/>
      <c r="P6" s="47"/>
      <c r="Q6" s="47"/>
      <c r="R6" s="47"/>
      <c r="S6" s="1"/>
    </row>
    <row r="7" spans="1:19" ht="60.95" customHeight="1" x14ac:dyDescent="0.25">
      <c r="A7" s="40">
        <v>2</v>
      </c>
      <c r="B7" s="144" t="s">
        <v>5</v>
      </c>
      <c r="C7" s="144"/>
      <c r="D7" s="144"/>
      <c r="E7" s="144"/>
      <c r="F7" s="144"/>
      <c r="G7" s="144"/>
      <c r="H7" s="144"/>
      <c r="I7" s="144"/>
      <c r="J7" s="145"/>
      <c r="K7" s="20"/>
      <c r="L7" s="22"/>
      <c r="M7" s="47"/>
      <c r="N7" s="47"/>
      <c r="O7" s="47"/>
      <c r="P7" s="47"/>
      <c r="Q7" s="47"/>
      <c r="R7" s="47"/>
      <c r="S7" s="1"/>
    </row>
    <row r="8" spans="1:19" ht="105.6" customHeight="1" x14ac:dyDescent="0.25">
      <c r="A8" s="40">
        <v>3</v>
      </c>
      <c r="B8" s="144" t="s">
        <v>6</v>
      </c>
      <c r="C8" s="144"/>
      <c r="D8" s="144"/>
      <c r="E8" s="144"/>
      <c r="F8" s="144"/>
      <c r="G8" s="144"/>
      <c r="H8" s="144"/>
      <c r="I8" s="144"/>
      <c r="J8" s="145"/>
      <c r="K8" s="33"/>
      <c r="L8" s="22"/>
      <c r="M8" s="23"/>
      <c r="N8" s="24"/>
      <c r="O8" s="25"/>
      <c r="P8" s="26"/>
      <c r="Q8" s="26"/>
      <c r="R8" s="27"/>
      <c r="S8" s="21"/>
    </row>
    <row r="9" spans="1:19" ht="50.1" customHeight="1" x14ac:dyDescent="0.25">
      <c r="A9" s="40">
        <v>4</v>
      </c>
      <c r="B9" s="144" t="s">
        <v>7</v>
      </c>
      <c r="C9" s="144"/>
      <c r="D9" s="144"/>
      <c r="E9" s="144"/>
      <c r="F9" s="144"/>
      <c r="G9" s="144"/>
      <c r="H9" s="144"/>
      <c r="I9" s="144"/>
      <c r="J9" s="145"/>
      <c r="K9" s="39"/>
      <c r="L9" s="22"/>
      <c r="M9" s="150"/>
      <c r="N9" s="150"/>
      <c r="O9" s="150"/>
      <c r="P9" s="150"/>
      <c r="Q9" s="150"/>
      <c r="R9" s="150"/>
    </row>
    <row r="10" spans="1:19" ht="69" customHeight="1" x14ac:dyDescent="0.25">
      <c r="A10" s="40">
        <v>5</v>
      </c>
      <c r="B10" s="151" t="s">
        <v>8</v>
      </c>
      <c r="C10" s="151"/>
      <c r="D10" s="151"/>
      <c r="E10" s="151"/>
      <c r="F10" s="151"/>
      <c r="G10" s="151"/>
      <c r="H10" s="151"/>
      <c r="I10" s="151"/>
      <c r="J10" s="152"/>
      <c r="L10" s="22"/>
      <c r="M10" s="47"/>
      <c r="N10" s="47"/>
      <c r="O10" s="47"/>
      <c r="P10" s="47"/>
      <c r="Q10" s="47"/>
      <c r="R10" s="47"/>
    </row>
    <row r="11" spans="1:19" x14ac:dyDescent="0.25">
      <c r="A11" s="40">
        <v>6</v>
      </c>
      <c r="B11" s="151" t="s">
        <v>9</v>
      </c>
      <c r="C11" s="151"/>
      <c r="D11" s="151"/>
      <c r="E11" s="151"/>
      <c r="F11" s="151"/>
      <c r="G11" s="151"/>
      <c r="H11" s="151"/>
      <c r="I11" s="151"/>
      <c r="J11" s="152"/>
      <c r="L11" s="22"/>
      <c r="M11" s="150"/>
      <c r="N11" s="150"/>
      <c r="O11" s="150"/>
      <c r="P11" s="150"/>
      <c r="Q11" s="150"/>
      <c r="R11" s="150"/>
    </row>
    <row r="12" spans="1:19" ht="53.45" customHeight="1" x14ac:dyDescent="0.25">
      <c r="B12" s="42" t="s">
        <v>10</v>
      </c>
      <c r="C12" s="157" t="str">
        <f>'Pricing Matrix'!B58</f>
        <v>Engineering, Administrative, and Fabrication labor rates will be applied to the applicable CLIN based on the TDP update. Reference Requirements Update Process Change Document for details.</v>
      </c>
      <c r="D12" s="157"/>
      <c r="E12" s="157"/>
      <c r="F12" s="157"/>
      <c r="G12" s="157"/>
      <c r="H12" s="157"/>
      <c r="I12" s="157"/>
      <c r="J12" s="158"/>
      <c r="L12" s="22"/>
      <c r="M12" s="47"/>
      <c r="N12" s="47"/>
      <c r="O12" s="47"/>
      <c r="P12" s="47"/>
      <c r="Q12" s="47"/>
      <c r="R12" s="47"/>
    </row>
    <row r="13" spans="1:19" ht="38.450000000000003" customHeight="1" x14ac:dyDescent="0.25">
      <c r="B13" s="155" t="s">
        <v>12</v>
      </c>
      <c r="C13" s="162" t="str">
        <f>'Pricing Matrix'!B60</f>
        <v>The Prime Material Handling Rate or Subcontractor Material Handling Rate will be applied as applicable for CLINs X011-X014, and X018 during contract execution.</v>
      </c>
      <c r="D13" s="162"/>
      <c r="E13" s="162"/>
      <c r="F13" s="162"/>
      <c r="G13" s="162"/>
      <c r="H13" s="162"/>
      <c r="I13" s="162"/>
      <c r="J13" s="163"/>
      <c r="L13" s="22"/>
      <c r="M13" s="47"/>
      <c r="N13" s="47"/>
      <c r="O13" s="47"/>
      <c r="P13" s="47"/>
      <c r="Q13" s="47"/>
      <c r="R13" s="47"/>
    </row>
    <row r="14" spans="1:19" ht="30.6" customHeight="1" x14ac:dyDescent="0.25">
      <c r="B14" s="156"/>
      <c r="C14" s="153" t="str">
        <f>'Pricing Matrix'!B61</f>
        <v>For evaluation purposes, CLINs X011-X013 apply the Prime Material Handling Rate and CLINs X014 and X018 apply the Subcontractor Material Handling Rate.</v>
      </c>
      <c r="D14" s="153"/>
      <c r="E14" s="153"/>
      <c r="F14" s="153"/>
      <c r="G14" s="153"/>
      <c r="H14" s="153"/>
      <c r="I14" s="153"/>
      <c r="J14" s="154"/>
      <c r="L14" s="22"/>
      <c r="M14" s="47"/>
      <c r="N14" s="47"/>
      <c r="O14" s="47"/>
      <c r="P14" s="47"/>
      <c r="Q14" s="47"/>
      <c r="R14" s="47"/>
    </row>
    <row r="15" spans="1:19" ht="47.45" customHeight="1" x14ac:dyDescent="0.25">
      <c r="B15" s="42" t="s">
        <v>13</v>
      </c>
      <c r="C15" s="157" t="str">
        <f>'Pricing Matrix'!B63</f>
        <v>While fixed hourly labor rates are being used for evaluation purposes, the proposed overtime or premium rates may be required during the life of the contract and will be utilized and applied as applicable.</v>
      </c>
      <c r="D15" s="157"/>
      <c r="E15" s="157"/>
      <c r="F15" s="157"/>
      <c r="G15" s="157"/>
      <c r="H15" s="157"/>
      <c r="I15" s="157"/>
      <c r="J15" s="158"/>
      <c r="L15" s="22"/>
      <c r="M15" s="150"/>
      <c r="N15" s="150"/>
      <c r="O15" s="150"/>
      <c r="P15" s="150"/>
      <c r="Q15" s="150"/>
      <c r="R15" s="150"/>
    </row>
    <row r="16" spans="1:19" ht="36" customHeight="1" x14ac:dyDescent="0.25">
      <c r="B16" s="43" t="s">
        <v>15</v>
      </c>
      <c r="C16" s="157" t="str">
        <f>'Pricing Matrix'!B65</f>
        <v>Quantities in the Pricing Matrix, are notional, and actual quantities may vary during contract performance based on funding availability and program constraints.</v>
      </c>
      <c r="D16" s="157"/>
      <c r="E16" s="157"/>
      <c r="F16" s="157"/>
      <c r="G16" s="157"/>
      <c r="H16" s="157"/>
      <c r="I16" s="157"/>
      <c r="J16" s="158"/>
    </row>
    <row r="17" spans="2:10" ht="48" customHeight="1" x14ac:dyDescent="0.25">
      <c r="B17" s="41" t="s">
        <v>17</v>
      </c>
      <c r="C17" s="153" t="str">
        <f>'Pricing Matrix'!B67</f>
        <v>All rates should be proposed sufficiently to ensure adequate coverage of all labor costs, all indirect costs, including G&amp;A, COM, and so forth as well as prime and subcontractor profit in every contract out-year.</v>
      </c>
      <c r="D17" s="153"/>
      <c r="E17" s="153"/>
      <c r="F17" s="153"/>
      <c r="G17" s="153"/>
      <c r="H17" s="153"/>
      <c r="I17" s="153"/>
      <c r="J17" s="154"/>
    </row>
    <row r="18" spans="2:10" ht="40.5" customHeight="1" x14ac:dyDescent="0.25">
      <c r="B18" s="41" t="s">
        <v>17</v>
      </c>
      <c r="C18" s="153" t="str">
        <f>'Pricing Matrix'!B69</f>
        <v>The quantity of 1 each in Basic Year 1 for CLINs X008 - X010 is for evaluation purposes only and may not be required during contract execution.</v>
      </c>
      <c r="D18" s="153"/>
      <c r="E18" s="153"/>
      <c r="F18" s="153"/>
      <c r="G18" s="153"/>
      <c r="H18" s="153"/>
      <c r="I18" s="153"/>
      <c r="J18" s="154"/>
    </row>
  </sheetData>
  <sheetProtection algorithmName="SHA-512" hashValue="Bk3qvkp+2+qKAZ5D3kEUKQ8tfopQxRmcTNVa9Iuu+C9gpbYkKDOo1zT2hLfJwwynpl394rd7DKp/0SI5hS/DVQ==" saltValue="CxaM0Yu1lzuXEPSQv1cUAw==" spinCount="100000" sheet="1" objects="1" scenarios="1" formatCells="0" formatColumns="0" formatRows="0"/>
  <mergeCells count="23">
    <mergeCell ref="C18:J18"/>
    <mergeCell ref="B13:B14"/>
    <mergeCell ref="C16:J16"/>
    <mergeCell ref="C17:J17"/>
    <mergeCell ref="A4:A6"/>
    <mergeCell ref="B11:J11"/>
    <mergeCell ref="C12:J12"/>
    <mergeCell ref="C13:J13"/>
    <mergeCell ref="C15:J15"/>
    <mergeCell ref="C14:J14"/>
    <mergeCell ref="M15:R15"/>
    <mergeCell ref="M4:R4"/>
    <mergeCell ref="M9:R9"/>
    <mergeCell ref="M11:R11"/>
    <mergeCell ref="B10:J10"/>
    <mergeCell ref="B1:J1"/>
    <mergeCell ref="B2:J2"/>
    <mergeCell ref="B4:J4"/>
    <mergeCell ref="B8:J8"/>
    <mergeCell ref="B9:J9"/>
    <mergeCell ref="B5:J5"/>
    <mergeCell ref="B6:J6"/>
    <mergeCell ref="B7:J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15F7C-A06D-4785-AF9A-C38C8DA9B7D6}">
  <sheetPr>
    <tabColor theme="3" tint="0.749992370372631"/>
  </sheetPr>
  <dimension ref="A1:C36"/>
  <sheetViews>
    <sheetView workbookViewId="0">
      <selection sqref="A1:C1"/>
    </sheetView>
  </sheetViews>
  <sheetFormatPr defaultColWidth="8.7109375" defaultRowHeight="12.75" x14ac:dyDescent="0.2"/>
  <cols>
    <col min="1" max="1" width="8.7109375" style="2"/>
    <col min="2" max="2" width="33.42578125" style="2" customWidth="1"/>
    <col min="3" max="3" width="31.28515625" style="2" customWidth="1"/>
    <col min="4" max="16384" width="8.7109375" style="2"/>
  </cols>
  <sheetData>
    <row r="1" spans="1:3" ht="15.75" x14ac:dyDescent="0.2">
      <c r="A1" s="167" t="s">
        <v>0</v>
      </c>
      <c r="B1" s="167"/>
      <c r="C1" s="167"/>
    </row>
    <row r="2" spans="1:3" ht="18.75" x14ac:dyDescent="0.2">
      <c r="A2" s="18"/>
      <c r="B2" s="46"/>
      <c r="C2" s="18"/>
    </row>
    <row r="3" spans="1:3" x14ac:dyDescent="0.2">
      <c r="A3" s="168" t="s">
        <v>19</v>
      </c>
      <c r="B3" s="168" t="s">
        <v>20</v>
      </c>
      <c r="C3" s="168" t="s">
        <v>21</v>
      </c>
    </row>
    <row r="4" spans="1:3" x14ac:dyDescent="0.2">
      <c r="A4" s="169"/>
      <c r="B4" s="169"/>
      <c r="C4" s="169"/>
    </row>
    <row r="5" spans="1:3" ht="30" customHeight="1" x14ac:dyDescent="0.2">
      <c r="A5" s="36" t="str">
        <f>'Pricing Matrix'!A8</f>
        <v>X001</v>
      </c>
      <c r="B5" s="36" t="str">
        <f>'Pricing Matrix'!C8</f>
        <v>Program/Manufacturing Management</v>
      </c>
      <c r="C5" s="170" t="s">
        <v>22</v>
      </c>
    </row>
    <row r="6" spans="1:3" ht="30" customHeight="1" x14ac:dyDescent="0.2">
      <c r="A6" s="36" t="str">
        <f>'Pricing Matrix'!A9</f>
        <v>X002</v>
      </c>
      <c r="B6" s="36" t="str">
        <f>'Pricing Matrix'!C9</f>
        <v>Integrated Logistics Support</v>
      </c>
      <c r="C6" s="171"/>
    </row>
    <row r="7" spans="1:3" ht="30" customHeight="1" x14ac:dyDescent="0.2">
      <c r="A7" s="36" t="str">
        <f>'Pricing Matrix'!A10</f>
        <v>X003</v>
      </c>
      <c r="B7" s="36" t="str">
        <f>'Pricing Matrix'!C10</f>
        <v>FSR Support - Tinker AFB (Depot)</v>
      </c>
      <c r="C7" s="172"/>
    </row>
    <row r="8" spans="1:3" ht="89.25" x14ac:dyDescent="0.2">
      <c r="A8" s="36" t="str">
        <f>'Pricing Matrix'!A11</f>
        <v>X004</v>
      </c>
      <c r="B8" s="3" t="str">
        <f>'Pricing Matrix'!C11</f>
        <v>Travel and Per Diem - To Be Negotiated (TBN) Per Occurrence - Travel G&amp;A Rate</v>
      </c>
      <c r="C8" s="3" t="s">
        <v>23</v>
      </c>
    </row>
    <row r="9" spans="1:3" x14ac:dyDescent="0.2">
      <c r="A9" s="36" t="str">
        <f>'Pricing Matrix'!A12</f>
        <v>X005</v>
      </c>
      <c r="B9" s="36" t="str">
        <f>'Pricing Matrix'!C12</f>
        <v>Lot 1 Kit Group #A</v>
      </c>
      <c r="C9" s="170" t="s">
        <v>24</v>
      </c>
    </row>
    <row r="10" spans="1:3" x14ac:dyDescent="0.2">
      <c r="A10" s="36" t="str">
        <f>'Pricing Matrix'!A13</f>
        <v>X005AA</v>
      </c>
      <c r="B10" s="36" t="str">
        <f>'Pricing Matrix'!C13</f>
        <v>Long Lead Parts</v>
      </c>
      <c r="C10" s="171"/>
    </row>
    <row r="11" spans="1:3" x14ac:dyDescent="0.2">
      <c r="A11" s="36" t="str">
        <f>'Pricing Matrix'!A14</f>
        <v>X005AB</v>
      </c>
      <c r="B11" s="36" t="str">
        <f>'Pricing Matrix'!C14</f>
        <v>Non-Long Lead Parts</v>
      </c>
      <c r="C11" s="171"/>
    </row>
    <row r="12" spans="1:3" x14ac:dyDescent="0.2">
      <c r="A12" s="36" t="str">
        <f>'Pricing Matrix'!A15</f>
        <v>X006</v>
      </c>
      <c r="B12" s="36" t="str">
        <f>'Pricing Matrix'!C15</f>
        <v>Lot 1 Kit Group #B</v>
      </c>
      <c r="C12" s="171"/>
    </row>
    <row r="13" spans="1:3" x14ac:dyDescent="0.2">
      <c r="A13" s="36" t="str">
        <f>'Pricing Matrix'!A16</f>
        <v>X006AA</v>
      </c>
      <c r="B13" s="36" t="str">
        <f>'Pricing Matrix'!C16</f>
        <v>Long Lead Parts</v>
      </c>
      <c r="C13" s="171"/>
    </row>
    <row r="14" spans="1:3" x14ac:dyDescent="0.2">
      <c r="A14" s="36" t="str">
        <f>'Pricing Matrix'!A17</f>
        <v>X006AB</v>
      </c>
      <c r="B14" s="36" t="str">
        <f>'Pricing Matrix'!C17</f>
        <v>Non-Long Lead Parts</v>
      </c>
      <c r="C14" s="171"/>
    </row>
    <row r="15" spans="1:3" x14ac:dyDescent="0.2">
      <c r="A15" s="36" t="str">
        <f>'Pricing Matrix'!A18</f>
        <v>X007</v>
      </c>
      <c r="B15" s="36" t="str">
        <f>'Pricing Matrix'!C18</f>
        <v>Lot 1 Kit Group #E</v>
      </c>
      <c r="C15" s="171"/>
    </row>
    <row r="16" spans="1:3" x14ac:dyDescent="0.2">
      <c r="A16" s="36" t="str">
        <f>'Pricing Matrix'!A19</f>
        <v>X007AA</v>
      </c>
      <c r="B16" s="36" t="str">
        <f>'Pricing Matrix'!C19</f>
        <v>Long Lead Parts</v>
      </c>
      <c r="C16" s="171"/>
    </row>
    <row r="17" spans="1:3" x14ac:dyDescent="0.2">
      <c r="A17" s="36" t="str">
        <f>'Pricing Matrix'!A20</f>
        <v>X007AB</v>
      </c>
      <c r="B17" s="36" t="str">
        <f>'Pricing Matrix'!C20</f>
        <v>Non-Long Lead Parts</v>
      </c>
      <c r="C17" s="172"/>
    </row>
    <row r="18" spans="1:3" ht="30" customHeight="1" x14ac:dyDescent="0.2">
      <c r="A18" s="36" t="str">
        <f>'Pricing Matrix'!A22</f>
        <v>X008</v>
      </c>
      <c r="B18" s="36" t="str">
        <f>'Pricing Matrix'!C22</f>
        <v>Lots 2-6 Kit Group #A</v>
      </c>
      <c r="C18" s="170" t="s">
        <v>25</v>
      </c>
    </row>
    <row r="19" spans="1:3" ht="30" customHeight="1" x14ac:dyDescent="0.2">
      <c r="A19" s="36" t="str">
        <f>'Pricing Matrix'!A23</f>
        <v>X009</v>
      </c>
      <c r="B19" s="36" t="str">
        <f>'Pricing Matrix'!C23</f>
        <v>Lots 2-6 Kit Group #B</v>
      </c>
      <c r="C19" s="171"/>
    </row>
    <row r="20" spans="1:3" ht="30" customHeight="1" x14ac:dyDescent="0.2">
      <c r="A20" s="36" t="str">
        <f>'Pricing Matrix'!A24</f>
        <v>X010</v>
      </c>
      <c r="B20" s="36" t="str">
        <f>'Pricing Matrix'!C24</f>
        <v>Lots 2-6 Kit Group #E</v>
      </c>
      <c r="C20" s="172"/>
    </row>
    <row r="21" spans="1:3" ht="39.950000000000003" customHeight="1" x14ac:dyDescent="0.2">
      <c r="A21" s="36" t="str">
        <f>'Pricing Matrix'!A29</f>
        <v>X011</v>
      </c>
      <c r="B21" s="3" t="str">
        <f>'Pricing Matrix'!C29</f>
        <v>Spare Parts - TBN Per Occurrence - Prime or Subcontractor  Material Handling Rates - See Note 2 Below</v>
      </c>
      <c r="C21" s="164" t="s">
        <v>26</v>
      </c>
    </row>
    <row r="22" spans="1:3" ht="39.950000000000003" customHeight="1" x14ac:dyDescent="0.2">
      <c r="A22" s="36" t="str">
        <f>'Pricing Matrix'!A30</f>
        <v>X012</v>
      </c>
      <c r="B22" s="3" t="str">
        <f>'Pricing Matrix'!C30</f>
        <v>Peculiar Support Equipment - TBN Per Occurrence - Prime or Subcontractor Material Handling Rates - See Note 2 Below</v>
      </c>
      <c r="C22" s="165"/>
    </row>
    <row r="23" spans="1:3" ht="39.950000000000003" customHeight="1" x14ac:dyDescent="0.2">
      <c r="A23" s="36" t="str">
        <f>'Pricing Matrix'!A31</f>
        <v>X013</v>
      </c>
      <c r="B23" s="3" t="str">
        <f>'Pricing Matrix'!C31</f>
        <v>Production Tooling - TBN Per Occurrence - Prime or Subcontractor Material Handling Rates - See Note 2 Below</v>
      </c>
      <c r="C23" s="165"/>
    </row>
    <row r="24" spans="1:3" ht="39.950000000000003" customHeight="1" x14ac:dyDescent="0.2">
      <c r="A24" s="36" t="str">
        <f>'Pricing Matrix'!A32</f>
        <v>X014</v>
      </c>
      <c r="B24" s="3" t="str">
        <f>'Pricing Matrix'!C32</f>
        <v>Common Support Equipment - TBN Per Occurrence - Prime or Subcontractor Material Handling Rates - See Note 2 Below</v>
      </c>
      <c r="C24" s="166"/>
    </row>
    <row r="25" spans="1:3" x14ac:dyDescent="0.2">
      <c r="A25" s="36" t="str">
        <f>'Pricing Matrix'!A33</f>
        <v>X015</v>
      </c>
      <c r="B25" s="36" t="str">
        <f>'Pricing Matrix'!C33</f>
        <v>Data (Not Separately Priced)</v>
      </c>
      <c r="C25" s="37" t="s">
        <v>27</v>
      </c>
    </row>
    <row r="26" spans="1:3" ht="48" customHeight="1" x14ac:dyDescent="0.2">
      <c r="A26" s="36" t="str">
        <f>'Pricing Matrix'!A34</f>
        <v>X016</v>
      </c>
      <c r="B26" s="3" t="str">
        <f>'Pricing Matrix'!C34</f>
        <v>Data (Separately Priced) - TBN Per Occurrence - Engineering Fixed Hourly Labor Rates</v>
      </c>
      <c r="C26" s="164" t="s">
        <v>28</v>
      </c>
    </row>
    <row r="27" spans="1:3" ht="48" customHeight="1" x14ac:dyDescent="0.2">
      <c r="A27" s="36" t="str">
        <f>'Pricing Matrix'!A35</f>
        <v>X017</v>
      </c>
      <c r="B27" s="3" t="str">
        <f>'Pricing Matrix'!C35</f>
        <v>Over &amp; Above Labor - TBN Per Occurrence - Engineering Fixed Hourly Labor Rates</v>
      </c>
      <c r="C27" s="166"/>
    </row>
    <row r="28" spans="1:3" ht="102" x14ac:dyDescent="0.2">
      <c r="A28" s="36" t="str">
        <f>'Pricing Matrix'!A36</f>
        <v>X018</v>
      </c>
      <c r="B28" s="3" t="str">
        <f>'Pricing Matrix'!C36</f>
        <v>Over &amp; Above Materials - TBN Per Occurrence - Prime or Subcontractor Material Handling Rates - See Note 2 Below</v>
      </c>
      <c r="C28" s="38" t="s">
        <v>29</v>
      </c>
    </row>
    <row r="29" spans="1:3" ht="74.099999999999994" customHeight="1" x14ac:dyDescent="0.2">
      <c r="A29" s="36" t="str">
        <f>'Pricing Matrix'!A37</f>
        <v>X019</v>
      </c>
      <c r="B29" s="3" t="str">
        <f>'Pricing Matrix'!C37</f>
        <v>Over &amp; Above Storage - TBN Per Occurrence - Transportation/Shipping G&amp;A Rate</v>
      </c>
      <c r="C29" s="164" t="s">
        <v>30</v>
      </c>
    </row>
    <row r="30" spans="1:3" ht="38.25" x14ac:dyDescent="0.2">
      <c r="A30" s="36" t="str">
        <f>'Pricing Matrix'!A38</f>
        <v>X020</v>
      </c>
      <c r="B30" s="3" t="str">
        <f>'Pricing Matrix'!C38</f>
        <v>Over &amp; Above Shipping - TBN Per Occurrence - Transportation/Shipping G&amp;A Rate</v>
      </c>
      <c r="C30" s="166"/>
    </row>
    <row r="31" spans="1:3" ht="89.25" x14ac:dyDescent="0.2">
      <c r="A31" s="36" t="str">
        <f>'Pricing Matrix'!A39</f>
        <v>X021</v>
      </c>
      <c r="B31" s="3" t="str">
        <f>'Pricing Matrix'!C39</f>
        <v>Over &amp; Above Travel - TBN Per Occurrence -  Travel G&amp;A Rate</v>
      </c>
      <c r="C31" s="3" t="s">
        <v>23</v>
      </c>
    </row>
    <row r="33" spans="1:3" ht="60" x14ac:dyDescent="0.2">
      <c r="B33" s="44" t="s">
        <v>31</v>
      </c>
      <c r="C33" s="45" t="s">
        <v>32</v>
      </c>
    </row>
    <row r="35" spans="1:3" x14ac:dyDescent="0.2">
      <c r="A35" s="17" t="s">
        <v>33</v>
      </c>
    </row>
    <row r="36" spans="1:3" x14ac:dyDescent="0.2">
      <c r="A36" s="17"/>
    </row>
  </sheetData>
  <sheetProtection algorithmName="SHA-512" hashValue="FmI8kdkJn3mQxLkMAKpwNOuxNjZ+EY3ACLidy1endb4E5y5uZd9oThhc3qHTloQF4gjcFPB5fnJsUtJZxg+4xg==" saltValue="sj3Q3vnps5yi4Esv0QM5wg==" spinCount="100000" sheet="1" objects="1" scenarios="1"/>
  <mergeCells count="10">
    <mergeCell ref="C21:C24"/>
    <mergeCell ref="C29:C30"/>
    <mergeCell ref="A1:C1"/>
    <mergeCell ref="A3:A4"/>
    <mergeCell ref="B3:B4"/>
    <mergeCell ref="C3:C4"/>
    <mergeCell ref="C5:C7"/>
    <mergeCell ref="C18:C20"/>
    <mergeCell ref="C9:C17"/>
    <mergeCell ref="C26:C27"/>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42645-2EF7-499E-98CB-C4FB3AE1E5C8}">
  <sheetPr>
    <tabColor rgb="FFFFFF99"/>
  </sheetPr>
  <dimension ref="A1:AK73"/>
  <sheetViews>
    <sheetView tabSelected="1" zoomScale="90" zoomScaleNormal="90" workbookViewId="0">
      <pane xSplit="4" ySplit="6" topLeftCell="E7" activePane="bottomRight" state="frozen"/>
      <selection pane="topRight" activeCell="E1" sqref="E1"/>
      <selection pane="bottomLeft" activeCell="A7" sqref="A7"/>
      <selection pane="bottomRight" activeCell="B1" sqref="B1"/>
    </sheetView>
  </sheetViews>
  <sheetFormatPr defaultColWidth="8.5703125" defaultRowHeight="15" x14ac:dyDescent="0.25"/>
  <cols>
    <col min="1" max="2" width="9.85546875" style="50" customWidth="1"/>
    <col min="3" max="3" width="38.5703125" style="1" customWidth="1"/>
    <col min="4" max="4" width="11.7109375" style="1" bestFit="1" customWidth="1"/>
    <col min="5" max="5" width="10.140625" style="1" bestFit="1" customWidth="1"/>
    <col min="6" max="6" width="14.85546875" style="1" customWidth="1"/>
    <col min="7" max="7" width="15.7109375" style="1" customWidth="1"/>
    <col min="8" max="8" width="13.5703125" style="1" bestFit="1" customWidth="1"/>
    <col min="9" max="9" width="13.5703125" style="1" customWidth="1"/>
    <col min="10" max="10" width="15.5703125" style="1" customWidth="1"/>
    <col min="11" max="11" width="13.5703125" style="1" bestFit="1" customWidth="1"/>
    <col min="12" max="12" width="13.5703125" style="1" customWidth="1"/>
    <col min="13" max="13" width="15.5703125" style="1" customWidth="1"/>
    <col min="14" max="14" width="13.5703125" style="1" bestFit="1" customWidth="1"/>
    <col min="15" max="15" width="13.5703125" style="1" customWidth="1"/>
    <col min="16" max="16" width="15.5703125" style="1" customWidth="1"/>
    <col min="17" max="17" width="13.5703125" style="1" bestFit="1" customWidth="1"/>
    <col min="18" max="18" width="13.5703125" style="1" customWidth="1"/>
    <col min="19" max="19" width="15.5703125" style="1" customWidth="1"/>
    <col min="20" max="20" width="13.5703125" style="1" bestFit="1" customWidth="1"/>
    <col min="21" max="21" width="13.5703125" style="1" customWidth="1"/>
    <col min="22" max="22" width="15.5703125" style="1" customWidth="1"/>
    <col min="23" max="23" width="13.5703125" style="1" bestFit="1" customWidth="1"/>
    <col min="24" max="24" width="13.5703125" style="1" customWidth="1"/>
    <col min="25" max="25" width="15.5703125" style="1" customWidth="1"/>
    <col min="26" max="26" width="13.5703125" style="1" bestFit="1" customWidth="1"/>
    <col min="27" max="27" width="13.5703125" style="1" customWidth="1"/>
    <col min="28" max="28" width="15.5703125" style="1" customWidth="1"/>
    <col min="29" max="29" width="13.5703125" style="1" bestFit="1" customWidth="1"/>
    <col min="30" max="30" width="13.5703125" style="1" customWidth="1"/>
    <col min="31" max="31" width="15.5703125" style="1" customWidth="1"/>
    <col min="32" max="32" width="13.5703125" style="1" bestFit="1" customWidth="1"/>
    <col min="33" max="33" width="13.5703125" style="1" customWidth="1"/>
    <col min="34" max="34" width="15.5703125" style="1" customWidth="1"/>
    <col min="35" max="35" width="3.140625" style="1" customWidth="1"/>
    <col min="36" max="36" width="24.85546875" style="1" customWidth="1"/>
    <col min="37" max="37" width="8.42578125" style="1" bestFit="1" customWidth="1"/>
    <col min="38" max="16384" width="8.5703125" style="1"/>
  </cols>
  <sheetData>
    <row r="1" spans="1:37" ht="19.5" thickBot="1" x14ac:dyDescent="0.3">
      <c r="A1" s="48" t="s">
        <v>34</v>
      </c>
      <c r="B1" s="4" t="s">
        <v>167</v>
      </c>
      <c r="C1" s="4"/>
      <c r="D1" s="48"/>
      <c r="E1" s="48"/>
      <c r="F1" s="118" t="s">
        <v>166</v>
      </c>
      <c r="G1" s="48"/>
      <c r="H1" s="48"/>
      <c r="I1" s="48"/>
      <c r="J1" s="48"/>
      <c r="K1" s="48"/>
      <c r="L1" s="48"/>
      <c r="M1" s="48"/>
      <c r="N1" s="49"/>
      <c r="O1" s="49"/>
      <c r="P1" s="49"/>
      <c r="Q1" s="49"/>
    </row>
    <row r="2" spans="1:37" ht="15.75" x14ac:dyDescent="0.25">
      <c r="B2" s="51"/>
      <c r="E2" s="116" t="s">
        <v>162</v>
      </c>
    </row>
    <row r="3" spans="1:37" ht="15.75" x14ac:dyDescent="0.25">
      <c r="A3" s="52" t="s">
        <v>35</v>
      </c>
      <c r="B3" s="52"/>
      <c r="C3" s="52"/>
      <c r="D3" s="52"/>
      <c r="E3" s="117" t="s">
        <v>169</v>
      </c>
      <c r="F3" s="53"/>
    </row>
    <row r="4" spans="1:37" ht="15.75" thickBot="1" x14ac:dyDescent="0.3">
      <c r="B4" s="54"/>
      <c r="C4" s="54"/>
      <c r="D4" s="54"/>
      <c r="E4" s="55"/>
      <c r="F4" s="55" t="s">
        <v>36</v>
      </c>
      <c r="G4" s="56"/>
      <c r="H4" s="55"/>
      <c r="I4" s="57" t="s">
        <v>37</v>
      </c>
      <c r="J4" s="58"/>
      <c r="K4" s="57"/>
      <c r="L4" s="57" t="s">
        <v>38</v>
      </c>
      <c r="M4" s="58"/>
      <c r="N4" s="57"/>
      <c r="O4" s="57" t="s">
        <v>39</v>
      </c>
      <c r="P4" s="56"/>
      <c r="Q4" s="55"/>
      <c r="R4" s="55" t="s">
        <v>40</v>
      </c>
      <c r="S4" s="56"/>
      <c r="T4" s="55"/>
      <c r="U4" s="55" t="s">
        <v>41</v>
      </c>
      <c r="V4" s="56"/>
      <c r="W4" s="55"/>
      <c r="X4" s="55" t="s">
        <v>42</v>
      </c>
      <c r="Y4" s="56"/>
      <c r="Z4" s="55"/>
      <c r="AA4" s="55" t="s">
        <v>43</v>
      </c>
      <c r="AC4" s="55"/>
      <c r="AD4" s="55" t="s">
        <v>44</v>
      </c>
      <c r="AF4" s="55"/>
      <c r="AG4" s="55" t="s">
        <v>45</v>
      </c>
    </row>
    <row r="5" spans="1:37" ht="28.5" customHeight="1" thickTop="1" thickBot="1" x14ac:dyDescent="0.3">
      <c r="C5" s="59" t="s">
        <v>46</v>
      </c>
      <c r="E5" s="173" t="s">
        <v>47</v>
      </c>
      <c r="F5" s="174"/>
      <c r="G5" s="175"/>
      <c r="H5" s="173" t="s">
        <v>48</v>
      </c>
      <c r="I5" s="174"/>
      <c r="J5" s="175"/>
      <c r="K5" s="173" t="s">
        <v>49</v>
      </c>
      <c r="L5" s="174"/>
      <c r="M5" s="175"/>
      <c r="N5" s="173" t="s">
        <v>50</v>
      </c>
      <c r="O5" s="174"/>
      <c r="P5" s="175"/>
      <c r="Q5" s="173" t="s">
        <v>51</v>
      </c>
      <c r="R5" s="174"/>
      <c r="S5" s="175"/>
      <c r="T5" s="173" t="s">
        <v>52</v>
      </c>
      <c r="U5" s="174"/>
      <c r="V5" s="175"/>
      <c r="W5" s="173" t="s">
        <v>53</v>
      </c>
      <c r="X5" s="174"/>
      <c r="Y5" s="175"/>
      <c r="Z5" s="173" t="s">
        <v>54</v>
      </c>
      <c r="AA5" s="174"/>
      <c r="AB5" s="175"/>
      <c r="AC5" s="173" t="s">
        <v>55</v>
      </c>
      <c r="AD5" s="174"/>
      <c r="AE5" s="175"/>
      <c r="AF5" s="173" t="s">
        <v>56</v>
      </c>
      <c r="AG5" s="174"/>
      <c r="AH5" s="175"/>
    </row>
    <row r="6" spans="1:37" ht="28.5" x14ac:dyDescent="0.25">
      <c r="A6" s="60" t="s">
        <v>57</v>
      </c>
      <c r="B6" s="61" t="s">
        <v>58</v>
      </c>
      <c r="C6" s="60" t="s">
        <v>20</v>
      </c>
      <c r="D6" s="62" t="s">
        <v>59</v>
      </c>
      <c r="E6" s="63" t="s">
        <v>60</v>
      </c>
      <c r="F6" s="64" t="s">
        <v>61</v>
      </c>
      <c r="G6" s="65" t="s">
        <v>62</v>
      </c>
      <c r="H6" s="66" t="s">
        <v>60</v>
      </c>
      <c r="I6" s="64" t="s">
        <v>61</v>
      </c>
      <c r="J6" s="65" t="s">
        <v>62</v>
      </c>
      <c r="K6" s="66" t="s">
        <v>60</v>
      </c>
      <c r="L6" s="64" t="s">
        <v>61</v>
      </c>
      <c r="M6" s="65" t="s">
        <v>62</v>
      </c>
      <c r="N6" s="66" t="s">
        <v>60</v>
      </c>
      <c r="O6" s="64" t="s">
        <v>61</v>
      </c>
      <c r="P6" s="65" t="s">
        <v>62</v>
      </c>
      <c r="Q6" s="66" t="s">
        <v>60</v>
      </c>
      <c r="R6" s="64" t="s">
        <v>61</v>
      </c>
      <c r="S6" s="65" t="s">
        <v>62</v>
      </c>
      <c r="T6" s="66" t="s">
        <v>60</v>
      </c>
      <c r="U6" s="64" t="s">
        <v>61</v>
      </c>
      <c r="V6" s="65" t="s">
        <v>62</v>
      </c>
      <c r="W6" s="66" t="s">
        <v>60</v>
      </c>
      <c r="X6" s="64" t="s">
        <v>61</v>
      </c>
      <c r="Y6" s="65" t="s">
        <v>62</v>
      </c>
      <c r="Z6" s="66" t="s">
        <v>60</v>
      </c>
      <c r="AA6" s="64" t="s">
        <v>61</v>
      </c>
      <c r="AB6" s="65" t="s">
        <v>62</v>
      </c>
      <c r="AC6" s="66" t="s">
        <v>60</v>
      </c>
      <c r="AD6" s="64" t="s">
        <v>61</v>
      </c>
      <c r="AE6" s="65" t="s">
        <v>62</v>
      </c>
      <c r="AF6" s="66" t="s">
        <v>60</v>
      </c>
      <c r="AG6" s="64" t="s">
        <v>61</v>
      </c>
      <c r="AH6" s="65" t="s">
        <v>62</v>
      </c>
      <c r="AJ6" s="67" t="s">
        <v>63</v>
      </c>
      <c r="AK6" s="68" t="s">
        <v>19</v>
      </c>
    </row>
    <row r="7" spans="1:37" x14ac:dyDescent="0.25">
      <c r="A7" s="69"/>
      <c r="B7" s="70"/>
      <c r="C7" s="71"/>
      <c r="D7" s="72"/>
      <c r="E7" s="73"/>
      <c r="F7" s="6"/>
      <c r="G7" s="6"/>
      <c r="H7" s="73"/>
      <c r="I7" s="5"/>
      <c r="J7" s="6"/>
      <c r="K7" s="73"/>
      <c r="L7" s="5"/>
      <c r="M7" s="6"/>
      <c r="N7" s="73"/>
      <c r="O7" s="5"/>
      <c r="P7" s="6"/>
      <c r="Q7" s="73"/>
      <c r="R7" s="5"/>
      <c r="S7" s="6"/>
      <c r="T7" s="73"/>
      <c r="U7" s="5"/>
      <c r="V7" s="6"/>
      <c r="W7" s="73"/>
      <c r="X7" s="5"/>
      <c r="Y7" s="6"/>
      <c r="Z7" s="73"/>
      <c r="AA7" s="5"/>
      <c r="AB7" s="6"/>
      <c r="AC7" s="73"/>
      <c r="AD7" s="5"/>
      <c r="AE7" s="6"/>
      <c r="AF7" s="73"/>
      <c r="AG7" s="5"/>
      <c r="AH7" s="7"/>
      <c r="AJ7" s="8"/>
      <c r="AK7" s="68"/>
    </row>
    <row r="8" spans="1:37" x14ac:dyDescent="0.25">
      <c r="A8" s="74" t="s">
        <v>64</v>
      </c>
      <c r="B8" s="75" t="s">
        <v>65</v>
      </c>
      <c r="C8" s="76" t="s">
        <v>66</v>
      </c>
      <c r="D8" s="77" t="s">
        <v>67</v>
      </c>
      <c r="E8" s="78">
        <v>12</v>
      </c>
      <c r="F8" s="9"/>
      <c r="G8" s="10">
        <f t="shared" ref="G8:G13" si="0">ROUND((ROUND((F8),2)*E8),2)</f>
        <v>0</v>
      </c>
      <c r="H8" s="78">
        <v>12</v>
      </c>
      <c r="I8" s="9"/>
      <c r="J8" s="10">
        <f t="shared" ref="J8:J10" si="1">ROUND((ROUND((I8),2)*H8),2)</f>
        <v>0</v>
      </c>
      <c r="K8" s="78">
        <v>12</v>
      </c>
      <c r="L8" s="9"/>
      <c r="M8" s="10">
        <f t="shared" ref="M8:M10" si="2">ROUND((ROUND((L8),2)*K8),2)</f>
        <v>0</v>
      </c>
      <c r="N8" s="78">
        <v>12</v>
      </c>
      <c r="O8" s="9"/>
      <c r="P8" s="10">
        <f t="shared" ref="P8:P10" si="3">ROUND((ROUND((O8),2)*N8),2)</f>
        <v>0</v>
      </c>
      <c r="Q8" s="78">
        <v>12</v>
      </c>
      <c r="R8" s="9"/>
      <c r="S8" s="10">
        <f t="shared" ref="S8:S10" si="4">ROUND((ROUND((R8),2)*Q8),2)</f>
        <v>0</v>
      </c>
      <c r="T8" s="78">
        <v>12</v>
      </c>
      <c r="U8" s="9"/>
      <c r="V8" s="10">
        <f t="shared" ref="V8:V10" si="5">ROUND((ROUND((U8),2)*T8),2)</f>
        <v>0</v>
      </c>
      <c r="W8" s="78">
        <v>12</v>
      </c>
      <c r="X8" s="9"/>
      <c r="Y8" s="10">
        <f t="shared" ref="Y8:Y10" si="6">ROUND((ROUND((X8),2)*W8),2)</f>
        <v>0</v>
      </c>
      <c r="Z8" s="78">
        <v>12</v>
      </c>
      <c r="AA8" s="9"/>
      <c r="AB8" s="10">
        <f t="shared" ref="AB8:AB10" si="7">ROUND((ROUND((AA8),2)*Z8),2)</f>
        <v>0</v>
      </c>
      <c r="AC8" s="78">
        <v>12</v>
      </c>
      <c r="AD8" s="9"/>
      <c r="AE8" s="10">
        <f t="shared" ref="AE8:AE10" si="8">ROUND((ROUND((AD8),2)*AC8),2)</f>
        <v>0</v>
      </c>
      <c r="AF8" s="78">
        <v>12</v>
      </c>
      <c r="AG8" s="9"/>
      <c r="AH8" s="13">
        <f t="shared" ref="AH8:AH10" si="9">ROUND((ROUND((AG8),2)*AF8),2)</f>
        <v>0</v>
      </c>
      <c r="AJ8" s="11">
        <f>G8+J8+M8+P8+S8+V8+Y8+AB8+AE8+AH8</f>
        <v>0</v>
      </c>
      <c r="AK8" s="68" t="str">
        <f t="shared" ref="AK8:AK12" si="10">A8</f>
        <v>X001</v>
      </c>
    </row>
    <row r="9" spans="1:37" x14ac:dyDescent="0.25">
      <c r="A9" s="74" t="s">
        <v>68</v>
      </c>
      <c r="B9" s="75" t="s">
        <v>65</v>
      </c>
      <c r="C9" s="76" t="s">
        <v>69</v>
      </c>
      <c r="D9" s="77" t="s">
        <v>67</v>
      </c>
      <c r="E9" s="78">
        <v>12</v>
      </c>
      <c r="F9" s="9"/>
      <c r="G9" s="10">
        <f t="shared" si="0"/>
        <v>0</v>
      </c>
      <c r="H9" s="78">
        <v>12</v>
      </c>
      <c r="I9" s="9"/>
      <c r="J9" s="10">
        <f t="shared" si="1"/>
        <v>0</v>
      </c>
      <c r="K9" s="78">
        <v>12</v>
      </c>
      <c r="L9" s="9"/>
      <c r="M9" s="10">
        <f t="shared" si="2"/>
        <v>0</v>
      </c>
      <c r="N9" s="78">
        <v>12</v>
      </c>
      <c r="O9" s="9"/>
      <c r="P9" s="10">
        <f t="shared" si="3"/>
        <v>0</v>
      </c>
      <c r="Q9" s="78">
        <v>12</v>
      </c>
      <c r="R9" s="9"/>
      <c r="S9" s="10">
        <f t="shared" si="4"/>
        <v>0</v>
      </c>
      <c r="T9" s="78">
        <v>12</v>
      </c>
      <c r="U9" s="9"/>
      <c r="V9" s="10">
        <f t="shared" si="5"/>
        <v>0</v>
      </c>
      <c r="W9" s="78">
        <v>12</v>
      </c>
      <c r="X9" s="9"/>
      <c r="Y9" s="10">
        <f t="shared" si="6"/>
        <v>0</v>
      </c>
      <c r="Z9" s="78">
        <v>12</v>
      </c>
      <c r="AA9" s="9"/>
      <c r="AB9" s="10">
        <f t="shared" si="7"/>
        <v>0</v>
      </c>
      <c r="AC9" s="78">
        <v>12</v>
      </c>
      <c r="AD9" s="9"/>
      <c r="AE9" s="10">
        <f t="shared" si="8"/>
        <v>0</v>
      </c>
      <c r="AF9" s="78">
        <v>12</v>
      </c>
      <c r="AG9" s="9"/>
      <c r="AH9" s="13">
        <f t="shared" si="9"/>
        <v>0</v>
      </c>
      <c r="AJ9" s="11">
        <f t="shared" ref="AJ9:AJ11" si="11">G9+J9+M9+P9+S9+V9+Y9+AB9+AE9+AH9</f>
        <v>0</v>
      </c>
      <c r="AK9" s="68" t="str">
        <f t="shared" si="10"/>
        <v>X002</v>
      </c>
    </row>
    <row r="10" spans="1:37" x14ac:dyDescent="0.25">
      <c r="A10" s="74" t="s">
        <v>70</v>
      </c>
      <c r="B10" s="75" t="s">
        <v>65</v>
      </c>
      <c r="C10" s="76" t="s">
        <v>71</v>
      </c>
      <c r="D10" s="77" t="s">
        <v>67</v>
      </c>
      <c r="E10" s="78">
        <v>12</v>
      </c>
      <c r="F10" s="9"/>
      <c r="G10" s="10">
        <f t="shared" si="0"/>
        <v>0</v>
      </c>
      <c r="H10" s="78">
        <v>12</v>
      </c>
      <c r="I10" s="9"/>
      <c r="J10" s="10">
        <f t="shared" si="1"/>
        <v>0</v>
      </c>
      <c r="K10" s="78">
        <v>12</v>
      </c>
      <c r="L10" s="9"/>
      <c r="M10" s="10">
        <f t="shared" si="2"/>
        <v>0</v>
      </c>
      <c r="N10" s="78">
        <v>12</v>
      </c>
      <c r="O10" s="9"/>
      <c r="P10" s="10">
        <f t="shared" si="3"/>
        <v>0</v>
      </c>
      <c r="Q10" s="78">
        <v>12</v>
      </c>
      <c r="R10" s="9"/>
      <c r="S10" s="10">
        <f t="shared" si="4"/>
        <v>0</v>
      </c>
      <c r="T10" s="78">
        <v>12</v>
      </c>
      <c r="U10" s="9"/>
      <c r="V10" s="10">
        <f t="shared" si="5"/>
        <v>0</v>
      </c>
      <c r="W10" s="78">
        <v>12</v>
      </c>
      <c r="X10" s="9"/>
      <c r="Y10" s="10">
        <f t="shared" si="6"/>
        <v>0</v>
      </c>
      <c r="Z10" s="78">
        <v>12</v>
      </c>
      <c r="AA10" s="9"/>
      <c r="AB10" s="10">
        <f t="shared" si="7"/>
        <v>0</v>
      </c>
      <c r="AC10" s="78">
        <v>12</v>
      </c>
      <c r="AD10" s="9"/>
      <c r="AE10" s="10">
        <f t="shared" si="8"/>
        <v>0</v>
      </c>
      <c r="AF10" s="78">
        <v>12</v>
      </c>
      <c r="AG10" s="9"/>
      <c r="AH10" s="13">
        <f t="shared" si="9"/>
        <v>0</v>
      </c>
      <c r="AJ10" s="11">
        <f t="shared" si="11"/>
        <v>0</v>
      </c>
      <c r="AK10" s="68" t="str">
        <f t="shared" si="10"/>
        <v>X003</v>
      </c>
    </row>
    <row r="11" spans="1:37" ht="25.5" x14ac:dyDescent="0.25">
      <c r="A11" s="74" t="s">
        <v>72</v>
      </c>
      <c r="B11" s="75" t="s">
        <v>73</v>
      </c>
      <c r="C11" s="76" t="s">
        <v>74</v>
      </c>
      <c r="D11" s="77" t="s">
        <v>75</v>
      </c>
      <c r="E11" s="79">
        <v>1000</v>
      </c>
      <c r="F11" s="80">
        <f>F54+1</f>
        <v>1</v>
      </c>
      <c r="G11" s="10">
        <f>ROUND((ROUND((F11),4)*E11),2)</f>
        <v>1000</v>
      </c>
      <c r="H11" s="79">
        <v>1000</v>
      </c>
      <c r="I11" s="80">
        <f>I54+1</f>
        <v>1</v>
      </c>
      <c r="J11" s="10">
        <f>ROUND((ROUND((I11),4)*H11),2)</f>
        <v>1000</v>
      </c>
      <c r="K11" s="79">
        <v>1000</v>
      </c>
      <c r="L11" s="80">
        <f>L54+1</f>
        <v>1</v>
      </c>
      <c r="M11" s="10">
        <f>ROUND((ROUND((L11),4)*K11),2)</f>
        <v>1000</v>
      </c>
      <c r="N11" s="79">
        <v>1000</v>
      </c>
      <c r="O11" s="80">
        <f>O54+1</f>
        <v>1</v>
      </c>
      <c r="P11" s="10">
        <f>ROUND((ROUND((O11),4)*N11),2)</f>
        <v>1000</v>
      </c>
      <c r="Q11" s="79">
        <v>1000</v>
      </c>
      <c r="R11" s="80">
        <f>R54+1</f>
        <v>1</v>
      </c>
      <c r="S11" s="10">
        <f>ROUND((ROUND((R11),4)*Q11),2)</f>
        <v>1000</v>
      </c>
      <c r="T11" s="79">
        <v>1000</v>
      </c>
      <c r="U11" s="80">
        <f>U54+1</f>
        <v>1</v>
      </c>
      <c r="V11" s="10">
        <f>ROUND((ROUND((U11),4)*T11),2)</f>
        <v>1000</v>
      </c>
      <c r="W11" s="79">
        <v>1000</v>
      </c>
      <c r="X11" s="80">
        <f>X54+1</f>
        <v>1</v>
      </c>
      <c r="Y11" s="10">
        <f>ROUND((ROUND((X11),4)*W11),2)</f>
        <v>1000</v>
      </c>
      <c r="Z11" s="79">
        <v>1000</v>
      </c>
      <c r="AA11" s="80">
        <f>AA54+1</f>
        <v>1</v>
      </c>
      <c r="AB11" s="10">
        <f>ROUND((ROUND((AA11),4)*Z11),2)</f>
        <v>1000</v>
      </c>
      <c r="AC11" s="79">
        <v>1000</v>
      </c>
      <c r="AD11" s="80">
        <f>AD54+1</f>
        <v>1</v>
      </c>
      <c r="AE11" s="10">
        <f>ROUND((ROUND((AD11),4)*AC11),2)</f>
        <v>1000</v>
      </c>
      <c r="AF11" s="79">
        <v>1000</v>
      </c>
      <c r="AG11" s="80">
        <f>AG54+1</f>
        <v>1</v>
      </c>
      <c r="AH11" s="13">
        <f>ROUND((ROUND((AG11),4)*AF11),2)</f>
        <v>1000</v>
      </c>
      <c r="AJ11" s="11">
        <f t="shared" si="11"/>
        <v>10000</v>
      </c>
      <c r="AK11" s="68" t="str">
        <f t="shared" si="10"/>
        <v>X004</v>
      </c>
    </row>
    <row r="12" spans="1:37" x14ac:dyDescent="0.25">
      <c r="A12" s="81" t="s">
        <v>76</v>
      </c>
      <c r="B12" s="82"/>
      <c r="C12" s="83" t="s">
        <v>77</v>
      </c>
      <c r="D12" s="84"/>
      <c r="E12" s="73"/>
      <c r="F12" s="85"/>
      <c r="G12" s="15"/>
      <c r="H12" s="73"/>
      <c r="I12" s="85"/>
      <c r="J12" s="15"/>
      <c r="K12" s="73"/>
      <c r="L12" s="85"/>
      <c r="M12" s="15"/>
      <c r="N12" s="73"/>
      <c r="O12" s="85"/>
      <c r="P12" s="15"/>
      <c r="Q12" s="73"/>
      <c r="R12" s="85"/>
      <c r="S12" s="15"/>
      <c r="T12" s="73"/>
      <c r="U12" s="85"/>
      <c r="V12" s="15"/>
      <c r="W12" s="73"/>
      <c r="X12" s="85"/>
      <c r="Y12" s="15"/>
      <c r="Z12" s="73"/>
      <c r="AA12" s="85"/>
      <c r="AB12" s="15"/>
      <c r="AC12" s="73"/>
      <c r="AD12" s="85"/>
      <c r="AE12" s="15"/>
      <c r="AF12" s="73"/>
      <c r="AG12" s="85"/>
      <c r="AH12" s="16"/>
      <c r="AJ12" s="29"/>
      <c r="AK12" s="68" t="str">
        <f t="shared" si="10"/>
        <v>X005</v>
      </c>
    </row>
    <row r="13" spans="1:37" x14ac:dyDescent="0.25">
      <c r="A13" s="86" t="s">
        <v>78</v>
      </c>
      <c r="B13" s="87" t="s">
        <v>65</v>
      </c>
      <c r="C13" s="76" t="s">
        <v>79</v>
      </c>
      <c r="D13" s="88" t="s">
        <v>75</v>
      </c>
      <c r="E13" s="78">
        <v>5</v>
      </c>
      <c r="F13" s="9"/>
      <c r="G13" s="10">
        <f t="shared" si="0"/>
        <v>0</v>
      </c>
      <c r="H13" s="89"/>
      <c r="I13" s="34">
        <v>0</v>
      </c>
      <c r="J13" s="34">
        <f t="shared" ref="J13:J14" si="12">ROUND((ROUND((I13),2)*H13),2)</f>
        <v>0</v>
      </c>
      <c r="K13" s="89"/>
      <c r="L13" s="34"/>
      <c r="M13" s="34">
        <f t="shared" ref="M13:M14" si="13">ROUND((ROUND((L13),2)*K13),2)</f>
        <v>0</v>
      </c>
      <c r="N13" s="89"/>
      <c r="O13" s="34">
        <v>0</v>
      </c>
      <c r="P13" s="34">
        <f t="shared" ref="P13:P14" si="14">ROUND((ROUND((O13),2)*N13),2)</f>
        <v>0</v>
      </c>
      <c r="Q13" s="89"/>
      <c r="R13" s="34">
        <v>0</v>
      </c>
      <c r="S13" s="34">
        <f t="shared" ref="S13:S14" si="15">ROUND((ROUND((R13),2)*Q13),2)</f>
        <v>0</v>
      </c>
      <c r="T13" s="89"/>
      <c r="U13" s="34">
        <v>0</v>
      </c>
      <c r="V13" s="34">
        <f t="shared" ref="V13:V14" si="16">ROUND((ROUND((U13),2)*T13),2)</f>
        <v>0</v>
      </c>
      <c r="W13" s="89"/>
      <c r="X13" s="34">
        <v>0</v>
      </c>
      <c r="Y13" s="34">
        <f t="shared" ref="Y13:Y14" si="17">ROUND((ROUND((X13),2)*W13),2)</f>
        <v>0</v>
      </c>
      <c r="Z13" s="89"/>
      <c r="AA13" s="34">
        <v>0</v>
      </c>
      <c r="AB13" s="34">
        <f t="shared" ref="AB13:AB14" si="18">ROUND((ROUND((AA13),2)*Z13),2)</f>
        <v>0</v>
      </c>
      <c r="AC13" s="89"/>
      <c r="AD13" s="34">
        <v>0</v>
      </c>
      <c r="AE13" s="34">
        <f t="shared" ref="AE13:AE14" si="19">ROUND((ROUND((AD13),2)*AC13),2)</f>
        <v>0</v>
      </c>
      <c r="AF13" s="89"/>
      <c r="AG13" s="34">
        <v>0</v>
      </c>
      <c r="AH13" s="35">
        <f t="shared" ref="AH13:AH14" si="20">ROUND((ROUND((AG13),2)*AF13),2)</f>
        <v>0</v>
      </c>
      <c r="AJ13" s="11">
        <f>G13</f>
        <v>0</v>
      </c>
      <c r="AK13" s="68" t="str">
        <f t="shared" ref="AK13:AK33" si="21">A13</f>
        <v>X005AA</v>
      </c>
    </row>
    <row r="14" spans="1:37" x14ac:dyDescent="0.25">
      <c r="A14" s="86" t="s">
        <v>80</v>
      </c>
      <c r="B14" s="87" t="s">
        <v>65</v>
      </c>
      <c r="C14" s="76" t="s">
        <v>81</v>
      </c>
      <c r="D14" s="88" t="s">
        <v>75</v>
      </c>
      <c r="E14" s="78">
        <v>5</v>
      </c>
      <c r="F14" s="9"/>
      <c r="G14" s="10">
        <f t="shared" ref="G14" si="22">ROUND((ROUND((F14),2)*E14),2)</f>
        <v>0</v>
      </c>
      <c r="H14" s="89"/>
      <c r="I14" s="34">
        <v>0</v>
      </c>
      <c r="J14" s="34">
        <f t="shared" si="12"/>
        <v>0</v>
      </c>
      <c r="K14" s="89"/>
      <c r="L14" s="34">
        <v>0</v>
      </c>
      <c r="M14" s="34">
        <f t="shared" si="13"/>
        <v>0</v>
      </c>
      <c r="N14" s="89"/>
      <c r="O14" s="34">
        <v>0</v>
      </c>
      <c r="P14" s="34">
        <f t="shared" si="14"/>
        <v>0</v>
      </c>
      <c r="Q14" s="89"/>
      <c r="R14" s="34">
        <v>0</v>
      </c>
      <c r="S14" s="34">
        <f t="shared" si="15"/>
        <v>0</v>
      </c>
      <c r="T14" s="89"/>
      <c r="U14" s="34">
        <v>0</v>
      </c>
      <c r="V14" s="34">
        <f t="shared" si="16"/>
        <v>0</v>
      </c>
      <c r="W14" s="89"/>
      <c r="X14" s="34">
        <v>0</v>
      </c>
      <c r="Y14" s="34">
        <f t="shared" si="17"/>
        <v>0</v>
      </c>
      <c r="Z14" s="89"/>
      <c r="AA14" s="34">
        <v>0</v>
      </c>
      <c r="AB14" s="34">
        <f t="shared" si="18"/>
        <v>0</v>
      </c>
      <c r="AC14" s="89"/>
      <c r="AD14" s="34">
        <v>0</v>
      </c>
      <c r="AE14" s="34">
        <f t="shared" si="19"/>
        <v>0</v>
      </c>
      <c r="AF14" s="89"/>
      <c r="AG14" s="34">
        <v>0</v>
      </c>
      <c r="AH14" s="35">
        <f t="shared" si="20"/>
        <v>0</v>
      </c>
      <c r="AJ14" s="11">
        <f>G14+J14+M14+P14</f>
        <v>0</v>
      </c>
      <c r="AK14" s="68" t="str">
        <f t="shared" si="21"/>
        <v>X005AB</v>
      </c>
    </row>
    <row r="15" spans="1:37" x14ac:dyDescent="0.25">
      <c r="A15" s="81" t="s">
        <v>82</v>
      </c>
      <c r="B15" s="82"/>
      <c r="C15" s="83" t="s">
        <v>83</v>
      </c>
      <c r="D15" s="84"/>
      <c r="E15" s="73"/>
      <c r="F15" s="85"/>
      <c r="G15" s="15"/>
      <c r="H15" s="73"/>
      <c r="I15" s="85"/>
      <c r="J15" s="15"/>
      <c r="K15" s="73"/>
      <c r="L15" s="85"/>
      <c r="M15" s="15"/>
      <c r="N15" s="73"/>
      <c r="O15" s="85"/>
      <c r="P15" s="15"/>
      <c r="Q15" s="73"/>
      <c r="R15" s="85"/>
      <c r="S15" s="15"/>
      <c r="T15" s="73"/>
      <c r="U15" s="85"/>
      <c r="V15" s="15"/>
      <c r="W15" s="73"/>
      <c r="X15" s="85"/>
      <c r="Y15" s="15"/>
      <c r="Z15" s="73"/>
      <c r="AA15" s="85"/>
      <c r="AB15" s="15"/>
      <c r="AC15" s="73"/>
      <c r="AD15" s="85"/>
      <c r="AE15" s="15"/>
      <c r="AF15" s="73"/>
      <c r="AG15" s="85"/>
      <c r="AH15" s="16"/>
      <c r="AJ15" s="29"/>
      <c r="AK15" s="68" t="str">
        <f t="shared" si="21"/>
        <v>X006</v>
      </c>
    </row>
    <row r="16" spans="1:37" x14ac:dyDescent="0.25">
      <c r="A16" s="86" t="s">
        <v>84</v>
      </c>
      <c r="B16" s="87" t="s">
        <v>65</v>
      </c>
      <c r="C16" s="76" t="s">
        <v>79</v>
      </c>
      <c r="D16" s="90" t="s">
        <v>75</v>
      </c>
      <c r="E16" s="78">
        <v>5</v>
      </c>
      <c r="F16" s="9"/>
      <c r="G16" s="10">
        <f t="shared" ref="G16:G17" si="23">ROUND((ROUND((F16),2)*E16),2)</f>
        <v>0</v>
      </c>
      <c r="H16" s="89"/>
      <c r="I16" s="34">
        <v>0</v>
      </c>
      <c r="J16" s="34">
        <f t="shared" ref="J16:J17" si="24">ROUND((ROUND((I16),2)*H16),2)</f>
        <v>0</v>
      </c>
      <c r="K16" s="89"/>
      <c r="L16" s="34"/>
      <c r="M16" s="34">
        <f t="shared" ref="M16:M17" si="25">ROUND((ROUND((L16),2)*K16),2)</f>
        <v>0</v>
      </c>
      <c r="N16" s="89"/>
      <c r="O16" s="34">
        <v>0</v>
      </c>
      <c r="P16" s="34">
        <f t="shared" ref="P16:P17" si="26">ROUND((ROUND((O16),2)*N16),2)</f>
        <v>0</v>
      </c>
      <c r="Q16" s="89"/>
      <c r="R16" s="34">
        <v>0</v>
      </c>
      <c r="S16" s="34">
        <f t="shared" ref="S16:S17" si="27">ROUND((ROUND((R16),2)*Q16),2)</f>
        <v>0</v>
      </c>
      <c r="T16" s="89"/>
      <c r="U16" s="34">
        <v>0</v>
      </c>
      <c r="V16" s="34">
        <f t="shared" ref="V16:V17" si="28">ROUND((ROUND((U16),2)*T16),2)</f>
        <v>0</v>
      </c>
      <c r="W16" s="89"/>
      <c r="X16" s="34">
        <v>0</v>
      </c>
      <c r="Y16" s="34">
        <f t="shared" ref="Y16:Y17" si="29">ROUND((ROUND((X16),2)*W16),2)</f>
        <v>0</v>
      </c>
      <c r="Z16" s="89"/>
      <c r="AA16" s="34">
        <v>0</v>
      </c>
      <c r="AB16" s="34">
        <f t="shared" ref="AB16:AB17" si="30">ROUND((ROUND((AA16),2)*Z16),2)</f>
        <v>0</v>
      </c>
      <c r="AC16" s="89"/>
      <c r="AD16" s="34">
        <v>0</v>
      </c>
      <c r="AE16" s="34">
        <f t="shared" ref="AE16:AE17" si="31">ROUND((ROUND((AD16),2)*AC16),2)</f>
        <v>0</v>
      </c>
      <c r="AF16" s="89"/>
      <c r="AG16" s="34">
        <v>0</v>
      </c>
      <c r="AH16" s="35">
        <f t="shared" ref="AH16:AH17" si="32">ROUND((ROUND((AG16),2)*AF16),2)</f>
        <v>0</v>
      </c>
      <c r="AJ16" s="11">
        <f>G16</f>
        <v>0</v>
      </c>
      <c r="AK16" s="68" t="str">
        <f t="shared" si="21"/>
        <v>X006AA</v>
      </c>
    </row>
    <row r="17" spans="1:37" x14ac:dyDescent="0.25">
      <c r="A17" s="86" t="s">
        <v>85</v>
      </c>
      <c r="B17" s="87" t="s">
        <v>65</v>
      </c>
      <c r="C17" s="76" t="s">
        <v>81</v>
      </c>
      <c r="D17" s="90" t="s">
        <v>75</v>
      </c>
      <c r="E17" s="78">
        <v>5</v>
      </c>
      <c r="F17" s="9"/>
      <c r="G17" s="10">
        <f t="shared" si="23"/>
        <v>0</v>
      </c>
      <c r="H17" s="89"/>
      <c r="I17" s="34">
        <v>0</v>
      </c>
      <c r="J17" s="34">
        <f t="shared" si="24"/>
        <v>0</v>
      </c>
      <c r="K17" s="89"/>
      <c r="L17" s="34">
        <v>0</v>
      </c>
      <c r="M17" s="34">
        <f t="shared" si="25"/>
        <v>0</v>
      </c>
      <c r="N17" s="89"/>
      <c r="O17" s="34">
        <v>0</v>
      </c>
      <c r="P17" s="34">
        <f t="shared" si="26"/>
        <v>0</v>
      </c>
      <c r="Q17" s="89"/>
      <c r="R17" s="34">
        <v>0</v>
      </c>
      <c r="S17" s="34">
        <f t="shared" si="27"/>
        <v>0</v>
      </c>
      <c r="T17" s="89"/>
      <c r="U17" s="34">
        <v>0</v>
      </c>
      <c r="V17" s="34">
        <f t="shared" si="28"/>
        <v>0</v>
      </c>
      <c r="W17" s="89"/>
      <c r="X17" s="34">
        <v>0</v>
      </c>
      <c r="Y17" s="34">
        <f t="shared" si="29"/>
        <v>0</v>
      </c>
      <c r="Z17" s="89"/>
      <c r="AA17" s="34">
        <v>0</v>
      </c>
      <c r="AB17" s="34">
        <f t="shared" si="30"/>
        <v>0</v>
      </c>
      <c r="AC17" s="89"/>
      <c r="AD17" s="34">
        <v>0</v>
      </c>
      <c r="AE17" s="34">
        <f t="shared" si="31"/>
        <v>0</v>
      </c>
      <c r="AF17" s="89"/>
      <c r="AG17" s="34">
        <v>0</v>
      </c>
      <c r="AH17" s="35">
        <f t="shared" si="32"/>
        <v>0</v>
      </c>
      <c r="AJ17" s="11">
        <f>G17+J17+M17+P17</f>
        <v>0</v>
      </c>
      <c r="AK17" s="68" t="str">
        <f t="shared" si="21"/>
        <v>X006AB</v>
      </c>
    </row>
    <row r="18" spans="1:37" x14ac:dyDescent="0.25">
      <c r="A18" s="81" t="s">
        <v>86</v>
      </c>
      <c r="B18" s="82"/>
      <c r="C18" s="83" t="s">
        <v>87</v>
      </c>
      <c r="D18" s="84"/>
      <c r="E18" s="73"/>
      <c r="F18" s="85"/>
      <c r="G18" s="15"/>
      <c r="H18" s="73"/>
      <c r="I18" s="85"/>
      <c r="J18" s="15"/>
      <c r="K18" s="73"/>
      <c r="L18" s="85"/>
      <c r="M18" s="15"/>
      <c r="N18" s="73"/>
      <c r="O18" s="85"/>
      <c r="P18" s="15"/>
      <c r="Q18" s="73"/>
      <c r="R18" s="85"/>
      <c r="S18" s="15"/>
      <c r="T18" s="73"/>
      <c r="U18" s="85"/>
      <c r="V18" s="15"/>
      <c r="W18" s="73"/>
      <c r="X18" s="85"/>
      <c r="Y18" s="15"/>
      <c r="Z18" s="73"/>
      <c r="AA18" s="85"/>
      <c r="AB18" s="15"/>
      <c r="AC18" s="73"/>
      <c r="AD18" s="85"/>
      <c r="AE18" s="15"/>
      <c r="AF18" s="73"/>
      <c r="AG18" s="85"/>
      <c r="AH18" s="16"/>
      <c r="AJ18" s="29"/>
      <c r="AK18" s="68" t="str">
        <f t="shared" si="21"/>
        <v>X007</v>
      </c>
    </row>
    <row r="19" spans="1:37" x14ac:dyDescent="0.25">
      <c r="A19" s="86" t="s">
        <v>88</v>
      </c>
      <c r="B19" s="87" t="s">
        <v>65</v>
      </c>
      <c r="C19" s="76" t="s">
        <v>79</v>
      </c>
      <c r="D19" s="88" t="s">
        <v>75</v>
      </c>
      <c r="E19" s="78">
        <v>5</v>
      </c>
      <c r="F19" s="9"/>
      <c r="G19" s="10">
        <f t="shared" ref="G19:G20" si="33">ROUND((ROUND((F19),2)*E19),2)</f>
        <v>0</v>
      </c>
      <c r="H19" s="89"/>
      <c r="I19" s="34">
        <v>0</v>
      </c>
      <c r="J19" s="34">
        <f t="shared" ref="J19:J24" si="34">ROUND((ROUND((I19),2)*H19),2)</f>
        <v>0</v>
      </c>
      <c r="K19" s="89"/>
      <c r="L19" s="34"/>
      <c r="M19" s="34">
        <f t="shared" ref="M19:M24" si="35">ROUND((ROUND((L19),2)*K19),2)</f>
        <v>0</v>
      </c>
      <c r="N19" s="89"/>
      <c r="O19" s="34">
        <v>0</v>
      </c>
      <c r="P19" s="34">
        <f t="shared" ref="P19:P24" si="36">ROUND((ROUND((O19),2)*N19),2)</f>
        <v>0</v>
      </c>
      <c r="Q19" s="89"/>
      <c r="R19" s="34">
        <v>0</v>
      </c>
      <c r="S19" s="34">
        <f t="shared" ref="S19:S24" si="37">ROUND((ROUND((R19),2)*Q19),2)</f>
        <v>0</v>
      </c>
      <c r="T19" s="89"/>
      <c r="U19" s="34">
        <v>0</v>
      </c>
      <c r="V19" s="34">
        <f t="shared" ref="V19:V24" si="38">ROUND((ROUND((U19),2)*T19),2)</f>
        <v>0</v>
      </c>
      <c r="W19" s="89"/>
      <c r="X19" s="34">
        <v>0</v>
      </c>
      <c r="Y19" s="34">
        <f t="shared" ref="Y19:Y24" si="39">ROUND((ROUND((X19),2)*W19),2)</f>
        <v>0</v>
      </c>
      <c r="Z19" s="89"/>
      <c r="AA19" s="34">
        <v>0</v>
      </c>
      <c r="AB19" s="34">
        <f t="shared" ref="AB19:AB24" si="40">ROUND((ROUND((AA19),2)*Z19),2)</f>
        <v>0</v>
      </c>
      <c r="AC19" s="89"/>
      <c r="AD19" s="34">
        <v>0</v>
      </c>
      <c r="AE19" s="34">
        <f t="shared" ref="AE19:AE24" si="41">ROUND((ROUND((AD19),2)*AC19),2)</f>
        <v>0</v>
      </c>
      <c r="AF19" s="89"/>
      <c r="AG19" s="34">
        <v>0</v>
      </c>
      <c r="AH19" s="35">
        <f t="shared" ref="AH19:AH24" si="42">ROUND((ROUND((AG19),2)*AF19),2)</f>
        <v>0</v>
      </c>
      <c r="AJ19" s="11">
        <f>G19</f>
        <v>0</v>
      </c>
      <c r="AK19" s="68" t="str">
        <f t="shared" si="21"/>
        <v>X007AA</v>
      </c>
    </row>
    <row r="20" spans="1:37" x14ac:dyDescent="0.25">
      <c r="A20" s="86" t="s">
        <v>89</v>
      </c>
      <c r="B20" s="87" t="s">
        <v>65</v>
      </c>
      <c r="C20" s="76" t="s">
        <v>81</v>
      </c>
      <c r="D20" s="88" t="s">
        <v>75</v>
      </c>
      <c r="E20" s="78">
        <v>5</v>
      </c>
      <c r="F20" s="9"/>
      <c r="G20" s="10">
        <f t="shared" si="33"/>
        <v>0</v>
      </c>
      <c r="H20" s="89"/>
      <c r="I20" s="34">
        <v>0</v>
      </c>
      <c r="J20" s="34">
        <f t="shared" si="34"/>
        <v>0</v>
      </c>
      <c r="K20" s="89"/>
      <c r="L20" s="34">
        <v>0</v>
      </c>
      <c r="M20" s="34">
        <f t="shared" si="35"/>
        <v>0</v>
      </c>
      <c r="N20" s="89"/>
      <c r="O20" s="34">
        <v>0</v>
      </c>
      <c r="P20" s="34">
        <f t="shared" si="36"/>
        <v>0</v>
      </c>
      <c r="Q20" s="89"/>
      <c r="R20" s="34">
        <v>0</v>
      </c>
      <c r="S20" s="34">
        <f t="shared" si="37"/>
        <v>0</v>
      </c>
      <c r="T20" s="89"/>
      <c r="U20" s="34">
        <v>0</v>
      </c>
      <c r="V20" s="34">
        <f t="shared" si="38"/>
        <v>0</v>
      </c>
      <c r="W20" s="89"/>
      <c r="X20" s="34">
        <v>0</v>
      </c>
      <c r="Y20" s="34">
        <f t="shared" si="39"/>
        <v>0</v>
      </c>
      <c r="Z20" s="89"/>
      <c r="AA20" s="34">
        <v>0</v>
      </c>
      <c r="AB20" s="34">
        <f t="shared" si="40"/>
        <v>0</v>
      </c>
      <c r="AC20" s="89"/>
      <c r="AD20" s="34">
        <v>0</v>
      </c>
      <c r="AE20" s="34">
        <f t="shared" si="41"/>
        <v>0</v>
      </c>
      <c r="AF20" s="89"/>
      <c r="AG20" s="34">
        <v>0</v>
      </c>
      <c r="AH20" s="35">
        <f t="shared" si="42"/>
        <v>0</v>
      </c>
      <c r="AJ20" s="11">
        <f>G20+J20+M20+P20</f>
        <v>0</v>
      </c>
      <c r="AK20" s="68" t="str">
        <f t="shared" si="21"/>
        <v>X007AB</v>
      </c>
    </row>
    <row r="21" spans="1:37" x14ac:dyDescent="0.25">
      <c r="A21" s="81"/>
      <c r="B21" s="82"/>
      <c r="C21" s="83" t="s">
        <v>90</v>
      </c>
      <c r="D21" s="84"/>
      <c r="E21" s="91" t="s">
        <v>163</v>
      </c>
      <c r="F21" s="85"/>
      <c r="G21" s="15"/>
      <c r="H21" s="73"/>
      <c r="I21" s="85"/>
      <c r="J21" s="15"/>
      <c r="K21" s="73"/>
      <c r="L21" s="85"/>
      <c r="M21" s="15"/>
      <c r="N21" s="73"/>
      <c r="O21" s="85"/>
      <c r="P21" s="15"/>
      <c r="Q21" s="73"/>
      <c r="R21" s="85"/>
      <c r="S21" s="15"/>
      <c r="T21" s="73"/>
      <c r="U21" s="85"/>
      <c r="V21" s="15"/>
      <c r="W21" s="73"/>
      <c r="X21" s="85"/>
      <c r="Y21" s="15"/>
      <c r="Z21" s="73"/>
      <c r="AA21" s="85"/>
      <c r="AB21" s="15"/>
      <c r="AC21" s="73"/>
      <c r="AD21" s="85"/>
      <c r="AE21" s="15"/>
      <c r="AF21" s="73"/>
      <c r="AG21" s="85"/>
      <c r="AH21" s="16"/>
      <c r="AJ21" s="29"/>
      <c r="AK21" s="68"/>
    </row>
    <row r="22" spans="1:37" x14ac:dyDescent="0.25">
      <c r="A22" s="86" t="s">
        <v>91</v>
      </c>
      <c r="B22" s="87" t="s">
        <v>92</v>
      </c>
      <c r="C22" s="76" t="s">
        <v>93</v>
      </c>
      <c r="D22" s="88" t="s">
        <v>75</v>
      </c>
      <c r="E22" s="78">
        <v>1</v>
      </c>
      <c r="F22" s="9"/>
      <c r="G22" s="10">
        <f t="shared" ref="G22:G24" si="43">ROUND((ROUND((F22),2)*E22),2)</f>
        <v>0</v>
      </c>
      <c r="H22" s="78">
        <v>12</v>
      </c>
      <c r="I22" s="9"/>
      <c r="J22" s="10">
        <f t="shared" si="34"/>
        <v>0</v>
      </c>
      <c r="K22" s="78">
        <v>17</v>
      </c>
      <c r="L22" s="9"/>
      <c r="M22" s="10">
        <f t="shared" si="35"/>
        <v>0</v>
      </c>
      <c r="N22" s="78">
        <v>17</v>
      </c>
      <c r="O22" s="9"/>
      <c r="P22" s="10">
        <f t="shared" si="36"/>
        <v>0</v>
      </c>
      <c r="Q22" s="78">
        <v>12</v>
      </c>
      <c r="R22" s="9"/>
      <c r="S22" s="10">
        <f t="shared" si="37"/>
        <v>0</v>
      </c>
      <c r="T22" s="78">
        <v>11</v>
      </c>
      <c r="U22" s="9"/>
      <c r="V22" s="10">
        <f t="shared" si="38"/>
        <v>0</v>
      </c>
      <c r="W22" s="78">
        <v>1</v>
      </c>
      <c r="X22" s="9"/>
      <c r="Y22" s="10">
        <f t="shared" si="39"/>
        <v>0</v>
      </c>
      <c r="Z22" s="78">
        <v>1</v>
      </c>
      <c r="AA22" s="9"/>
      <c r="AB22" s="10">
        <f t="shared" si="40"/>
        <v>0</v>
      </c>
      <c r="AC22" s="78">
        <v>1</v>
      </c>
      <c r="AD22" s="9"/>
      <c r="AE22" s="10">
        <f t="shared" si="41"/>
        <v>0</v>
      </c>
      <c r="AF22" s="78">
        <v>1</v>
      </c>
      <c r="AG22" s="9"/>
      <c r="AH22" s="13">
        <f t="shared" si="42"/>
        <v>0</v>
      </c>
      <c r="AJ22" s="11">
        <f t="shared" ref="AJ22:AJ24" si="44">G22+J22+M22+P22+S22+V22+Y22+AB22+AE22+AH22</f>
        <v>0</v>
      </c>
      <c r="AK22" s="68" t="str">
        <f t="shared" si="21"/>
        <v>X008</v>
      </c>
    </row>
    <row r="23" spans="1:37" x14ac:dyDescent="0.25">
      <c r="A23" s="86" t="s">
        <v>94</v>
      </c>
      <c r="B23" s="87" t="s">
        <v>92</v>
      </c>
      <c r="C23" s="76" t="s">
        <v>95</v>
      </c>
      <c r="D23" s="88" t="s">
        <v>75</v>
      </c>
      <c r="E23" s="78">
        <v>1</v>
      </c>
      <c r="F23" s="9"/>
      <c r="G23" s="10">
        <f t="shared" si="43"/>
        <v>0</v>
      </c>
      <c r="H23" s="78">
        <v>12</v>
      </c>
      <c r="I23" s="9"/>
      <c r="J23" s="10">
        <f t="shared" si="34"/>
        <v>0</v>
      </c>
      <c r="K23" s="78">
        <v>17</v>
      </c>
      <c r="L23" s="9"/>
      <c r="M23" s="10">
        <f t="shared" si="35"/>
        <v>0</v>
      </c>
      <c r="N23" s="78">
        <v>17</v>
      </c>
      <c r="O23" s="9"/>
      <c r="P23" s="10">
        <f t="shared" si="36"/>
        <v>0</v>
      </c>
      <c r="Q23" s="78">
        <v>12</v>
      </c>
      <c r="R23" s="9"/>
      <c r="S23" s="10">
        <f t="shared" si="37"/>
        <v>0</v>
      </c>
      <c r="T23" s="78">
        <v>11</v>
      </c>
      <c r="U23" s="9"/>
      <c r="V23" s="10">
        <f t="shared" si="38"/>
        <v>0</v>
      </c>
      <c r="W23" s="78">
        <v>1</v>
      </c>
      <c r="X23" s="9"/>
      <c r="Y23" s="10">
        <f t="shared" si="39"/>
        <v>0</v>
      </c>
      <c r="Z23" s="78">
        <v>1</v>
      </c>
      <c r="AA23" s="9"/>
      <c r="AB23" s="10">
        <f t="shared" si="40"/>
        <v>0</v>
      </c>
      <c r="AC23" s="78">
        <v>1</v>
      </c>
      <c r="AD23" s="9"/>
      <c r="AE23" s="10">
        <f t="shared" si="41"/>
        <v>0</v>
      </c>
      <c r="AF23" s="78">
        <v>1</v>
      </c>
      <c r="AG23" s="9"/>
      <c r="AH23" s="13">
        <f t="shared" si="42"/>
        <v>0</v>
      </c>
      <c r="AJ23" s="11">
        <f t="shared" si="44"/>
        <v>0</v>
      </c>
      <c r="AK23" s="68" t="str">
        <f t="shared" si="21"/>
        <v>X009</v>
      </c>
    </row>
    <row r="24" spans="1:37" x14ac:dyDescent="0.25">
      <c r="A24" s="86" t="s">
        <v>96</v>
      </c>
      <c r="B24" s="87" t="s">
        <v>92</v>
      </c>
      <c r="C24" s="76" t="s">
        <v>97</v>
      </c>
      <c r="D24" s="88" t="s">
        <v>75</v>
      </c>
      <c r="E24" s="78">
        <v>1</v>
      </c>
      <c r="F24" s="9"/>
      <c r="G24" s="10">
        <f t="shared" si="43"/>
        <v>0</v>
      </c>
      <c r="H24" s="78">
        <v>12</v>
      </c>
      <c r="I24" s="9"/>
      <c r="J24" s="10">
        <f t="shared" si="34"/>
        <v>0</v>
      </c>
      <c r="K24" s="78">
        <v>17</v>
      </c>
      <c r="L24" s="9"/>
      <c r="M24" s="10">
        <f t="shared" si="35"/>
        <v>0</v>
      </c>
      <c r="N24" s="78">
        <v>17</v>
      </c>
      <c r="O24" s="9"/>
      <c r="P24" s="10">
        <f t="shared" si="36"/>
        <v>0</v>
      </c>
      <c r="Q24" s="78">
        <v>12</v>
      </c>
      <c r="R24" s="9"/>
      <c r="S24" s="10">
        <f t="shared" si="37"/>
        <v>0</v>
      </c>
      <c r="T24" s="78">
        <v>11</v>
      </c>
      <c r="U24" s="9"/>
      <c r="V24" s="10">
        <f t="shared" si="38"/>
        <v>0</v>
      </c>
      <c r="W24" s="78">
        <v>1</v>
      </c>
      <c r="X24" s="9"/>
      <c r="Y24" s="10">
        <f t="shared" si="39"/>
        <v>0</v>
      </c>
      <c r="Z24" s="78">
        <v>1</v>
      </c>
      <c r="AA24" s="9"/>
      <c r="AB24" s="10">
        <f t="shared" si="40"/>
        <v>0</v>
      </c>
      <c r="AC24" s="78">
        <v>1</v>
      </c>
      <c r="AD24" s="9"/>
      <c r="AE24" s="10">
        <f t="shared" si="41"/>
        <v>0</v>
      </c>
      <c r="AF24" s="78">
        <v>1</v>
      </c>
      <c r="AG24" s="9"/>
      <c r="AH24" s="13">
        <f t="shared" si="42"/>
        <v>0</v>
      </c>
      <c r="AJ24" s="11">
        <f t="shared" si="44"/>
        <v>0</v>
      </c>
      <c r="AK24" s="68" t="str">
        <f t="shared" si="21"/>
        <v>X010</v>
      </c>
    </row>
    <row r="25" spans="1:37" ht="25.5" x14ac:dyDescent="0.25">
      <c r="A25" s="81"/>
      <c r="B25" s="82"/>
      <c r="C25" s="83" t="s">
        <v>98</v>
      </c>
      <c r="D25" s="84"/>
      <c r="E25" s="73"/>
      <c r="F25" s="85"/>
      <c r="G25" s="15"/>
      <c r="H25" s="73"/>
      <c r="I25" s="85"/>
      <c r="J25" s="15"/>
      <c r="K25" s="73"/>
      <c r="L25" s="85"/>
      <c r="M25" s="15"/>
      <c r="N25" s="73"/>
      <c r="O25" s="85"/>
      <c r="P25" s="15"/>
      <c r="Q25" s="73"/>
      <c r="R25" s="85"/>
      <c r="S25" s="15"/>
      <c r="T25" s="73"/>
      <c r="U25" s="85"/>
      <c r="V25" s="15"/>
      <c r="W25" s="73"/>
      <c r="X25" s="85"/>
      <c r="Y25" s="15"/>
      <c r="Z25" s="73"/>
      <c r="AA25" s="85"/>
      <c r="AB25" s="15"/>
      <c r="AC25" s="73"/>
      <c r="AD25" s="85"/>
      <c r="AE25" s="15"/>
      <c r="AF25" s="73"/>
      <c r="AG25" s="85"/>
      <c r="AH25" s="16"/>
      <c r="AJ25" s="29"/>
      <c r="AK25" s="68"/>
    </row>
    <row r="26" spans="1:37" x14ac:dyDescent="0.25">
      <c r="A26" s="86"/>
      <c r="B26" s="87"/>
      <c r="C26" s="76" t="s">
        <v>99</v>
      </c>
      <c r="D26" s="88"/>
      <c r="E26" s="78">
        <v>160</v>
      </c>
      <c r="F26" s="92">
        <f>F46</f>
        <v>0</v>
      </c>
      <c r="G26" s="10">
        <f t="shared" ref="G26:G28" si="45">ROUND((ROUND((F26),2)*E26),2)</f>
        <v>0</v>
      </c>
      <c r="H26" s="78">
        <v>1</v>
      </c>
      <c r="I26" s="92">
        <f>I46</f>
        <v>0</v>
      </c>
      <c r="J26" s="10">
        <f t="shared" ref="J26:J28" si="46">ROUND((ROUND((I26),2)*H26),2)</f>
        <v>0</v>
      </c>
      <c r="K26" s="78">
        <v>1</v>
      </c>
      <c r="L26" s="92">
        <f>L46</f>
        <v>0</v>
      </c>
      <c r="M26" s="10">
        <f t="shared" ref="M26:M28" si="47">ROUND((ROUND((L26),2)*K26),2)</f>
        <v>0</v>
      </c>
      <c r="N26" s="78">
        <v>1</v>
      </c>
      <c r="O26" s="92">
        <f>O46</f>
        <v>0</v>
      </c>
      <c r="P26" s="10">
        <f t="shared" ref="P26:P28" si="48">ROUND((ROUND((O26),2)*N26),2)</f>
        <v>0</v>
      </c>
      <c r="Q26" s="78">
        <v>1</v>
      </c>
      <c r="R26" s="92">
        <f>R46</f>
        <v>0</v>
      </c>
      <c r="S26" s="10">
        <f t="shared" ref="S26:S28" si="49">ROUND((ROUND((R26),2)*Q26),2)</f>
        <v>0</v>
      </c>
      <c r="T26" s="78">
        <v>1</v>
      </c>
      <c r="U26" s="92">
        <f>U46</f>
        <v>0</v>
      </c>
      <c r="V26" s="10">
        <f t="shared" ref="V26:V28" si="50">ROUND((ROUND((U26),2)*T26),2)</f>
        <v>0</v>
      </c>
      <c r="W26" s="78">
        <v>1</v>
      </c>
      <c r="X26" s="92">
        <f>X46</f>
        <v>0</v>
      </c>
      <c r="Y26" s="10">
        <f t="shared" ref="Y26:Y28" si="51">ROUND((ROUND((X26),2)*W26),2)</f>
        <v>0</v>
      </c>
      <c r="Z26" s="78">
        <v>1</v>
      </c>
      <c r="AA26" s="92">
        <f>AA46</f>
        <v>0</v>
      </c>
      <c r="AB26" s="10">
        <f t="shared" ref="AB26:AB28" si="52">ROUND((ROUND((AA26),2)*Z26),2)</f>
        <v>0</v>
      </c>
      <c r="AC26" s="78">
        <v>1</v>
      </c>
      <c r="AD26" s="92">
        <f>AD46</f>
        <v>0</v>
      </c>
      <c r="AE26" s="10">
        <f t="shared" ref="AE26:AE28" si="53">ROUND((ROUND((AD26),2)*AC26),2)</f>
        <v>0</v>
      </c>
      <c r="AF26" s="78">
        <v>1</v>
      </c>
      <c r="AG26" s="92">
        <f>AG46</f>
        <v>0</v>
      </c>
      <c r="AH26" s="13">
        <f t="shared" ref="AH26:AH28" si="54">ROUND((ROUND((AG26),2)*AF26),2)</f>
        <v>0</v>
      </c>
      <c r="AJ26" s="11">
        <f t="shared" ref="AJ26:AJ32" si="55">G26+J26+M26+P26+S26+V26+Y26+AB26+AE26+AH26</f>
        <v>0</v>
      </c>
      <c r="AK26" s="68"/>
    </row>
    <row r="27" spans="1:37" x14ac:dyDescent="0.25">
      <c r="A27" s="86"/>
      <c r="B27" s="87"/>
      <c r="C27" s="76" t="s">
        <v>100</v>
      </c>
      <c r="D27" s="88"/>
      <c r="E27" s="78">
        <v>35</v>
      </c>
      <c r="F27" s="92">
        <f>F43</f>
        <v>0</v>
      </c>
      <c r="G27" s="10">
        <f t="shared" si="45"/>
        <v>0</v>
      </c>
      <c r="H27" s="78">
        <v>1</v>
      </c>
      <c r="I27" s="92">
        <f>I43</f>
        <v>0</v>
      </c>
      <c r="J27" s="10">
        <f t="shared" si="46"/>
        <v>0</v>
      </c>
      <c r="K27" s="78">
        <v>1</v>
      </c>
      <c r="L27" s="92">
        <f>L43</f>
        <v>0</v>
      </c>
      <c r="M27" s="10">
        <f t="shared" si="47"/>
        <v>0</v>
      </c>
      <c r="N27" s="78">
        <v>1</v>
      </c>
      <c r="O27" s="92">
        <f>O43</f>
        <v>0</v>
      </c>
      <c r="P27" s="10">
        <f t="shared" si="48"/>
        <v>0</v>
      </c>
      <c r="Q27" s="78">
        <v>1</v>
      </c>
      <c r="R27" s="92">
        <f>R43</f>
        <v>0</v>
      </c>
      <c r="S27" s="10">
        <f t="shared" si="49"/>
        <v>0</v>
      </c>
      <c r="T27" s="78">
        <v>1</v>
      </c>
      <c r="U27" s="92">
        <f>U43</f>
        <v>0</v>
      </c>
      <c r="V27" s="10">
        <f t="shared" si="50"/>
        <v>0</v>
      </c>
      <c r="W27" s="78">
        <v>1</v>
      </c>
      <c r="X27" s="92">
        <f>X43</f>
        <v>0</v>
      </c>
      <c r="Y27" s="10">
        <f t="shared" si="51"/>
        <v>0</v>
      </c>
      <c r="Z27" s="78">
        <v>1</v>
      </c>
      <c r="AA27" s="92">
        <f>AA43</f>
        <v>0</v>
      </c>
      <c r="AB27" s="10">
        <f t="shared" si="52"/>
        <v>0</v>
      </c>
      <c r="AC27" s="78">
        <v>1</v>
      </c>
      <c r="AD27" s="92">
        <f>AD43</f>
        <v>0</v>
      </c>
      <c r="AE27" s="10">
        <f t="shared" si="53"/>
        <v>0</v>
      </c>
      <c r="AF27" s="78">
        <v>1</v>
      </c>
      <c r="AG27" s="92">
        <f>AG43</f>
        <v>0</v>
      </c>
      <c r="AH27" s="13">
        <f t="shared" si="54"/>
        <v>0</v>
      </c>
      <c r="AJ27" s="11">
        <f t="shared" si="55"/>
        <v>0</v>
      </c>
      <c r="AK27" s="68"/>
    </row>
    <row r="28" spans="1:37" x14ac:dyDescent="0.25">
      <c r="A28" s="86"/>
      <c r="B28" s="87"/>
      <c r="C28" s="76" t="s">
        <v>101</v>
      </c>
      <c r="D28" s="88"/>
      <c r="E28" s="78">
        <v>165</v>
      </c>
      <c r="F28" s="92">
        <f>F49</f>
        <v>0</v>
      </c>
      <c r="G28" s="10">
        <f t="shared" si="45"/>
        <v>0</v>
      </c>
      <c r="H28" s="78">
        <v>1</v>
      </c>
      <c r="I28" s="92">
        <f>I49</f>
        <v>0</v>
      </c>
      <c r="J28" s="10">
        <f t="shared" si="46"/>
        <v>0</v>
      </c>
      <c r="K28" s="78">
        <v>1</v>
      </c>
      <c r="L28" s="92">
        <f>L49</f>
        <v>0</v>
      </c>
      <c r="M28" s="10">
        <f t="shared" si="47"/>
        <v>0</v>
      </c>
      <c r="N28" s="78">
        <v>1</v>
      </c>
      <c r="O28" s="92">
        <f>O49</f>
        <v>0</v>
      </c>
      <c r="P28" s="10">
        <f t="shared" si="48"/>
        <v>0</v>
      </c>
      <c r="Q28" s="78">
        <v>1</v>
      </c>
      <c r="R28" s="92">
        <f>R49</f>
        <v>0</v>
      </c>
      <c r="S28" s="10">
        <f t="shared" si="49"/>
        <v>0</v>
      </c>
      <c r="T28" s="78">
        <v>1</v>
      </c>
      <c r="U28" s="92">
        <f>U49</f>
        <v>0</v>
      </c>
      <c r="V28" s="10">
        <f t="shared" si="50"/>
        <v>0</v>
      </c>
      <c r="W28" s="78">
        <v>1</v>
      </c>
      <c r="X28" s="92">
        <f>X49</f>
        <v>0</v>
      </c>
      <c r="Y28" s="10">
        <f t="shared" si="51"/>
        <v>0</v>
      </c>
      <c r="Z28" s="78">
        <v>1</v>
      </c>
      <c r="AA28" s="92">
        <f>AA49</f>
        <v>0</v>
      </c>
      <c r="AB28" s="10">
        <f t="shared" si="52"/>
        <v>0</v>
      </c>
      <c r="AC28" s="78">
        <v>1</v>
      </c>
      <c r="AD28" s="92">
        <f>AD49</f>
        <v>0</v>
      </c>
      <c r="AE28" s="10">
        <f t="shared" si="53"/>
        <v>0</v>
      </c>
      <c r="AF28" s="78">
        <v>1</v>
      </c>
      <c r="AG28" s="92">
        <f>AG49</f>
        <v>0</v>
      </c>
      <c r="AH28" s="13">
        <f t="shared" si="54"/>
        <v>0</v>
      </c>
      <c r="AJ28" s="11">
        <f t="shared" si="55"/>
        <v>0</v>
      </c>
      <c r="AK28" s="68"/>
    </row>
    <row r="29" spans="1:37" ht="38.25" x14ac:dyDescent="0.25">
      <c r="A29" s="74" t="s">
        <v>102</v>
      </c>
      <c r="B29" s="75" t="s">
        <v>73</v>
      </c>
      <c r="C29" s="93" t="s">
        <v>157</v>
      </c>
      <c r="D29" s="77" t="s">
        <v>75</v>
      </c>
      <c r="E29" s="79">
        <v>1000</v>
      </c>
      <c r="F29" s="80">
        <f>F52+1</f>
        <v>1</v>
      </c>
      <c r="G29" s="10">
        <f>ROUND((ROUND((F29),4)*E29),2)</f>
        <v>1000</v>
      </c>
      <c r="H29" s="79">
        <v>1000</v>
      </c>
      <c r="I29" s="80">
        <f>I52+1</f>
        <v>1</v>
      </c>
      <c r="J29" s="10">
        <f>ROUND((ROUND((I29),4)*H29),2)</f>
        <v>1000</v>
      </c>
      <c r="K29" s="79">
        <v>1000</v>
      </c>
      <c r="L29" s="80">
        <f>L52+1</f>
        <v>1</v>
      </c>
      <c r="M29" s="10">
        <f>ROUND((ROUND((L29),4)*K29),2)</f>
        <v>1000</v>
      </c>
      <c r="N29" s="79">
        <v>1000</v>
      </c>
      <c r="O29" s="80">
        <f>O52+1</f>
        <v>1</v>
      </c>
      <c r="P29" s="10">
        <f>ROUND((ROUND((O29),4)*N29),2)</f>
        <v>1000</v>
      </c>
      <c r="Q29" s="79">
        <v>1000</v>
      </c>
      <c r="R29" s="80">
        <f>R52+1</f>
        <v>1</v>
      </c>
      <c r="S29" s="10">
        <f>ROUND((ROUND((R29),4)*Q29),2)</f>
        <v>1000</v>
      </c>
      <c r="T29" s="79">
        <v>1000</v>
      </c>
      <c r="U29" s="80">
        <f>U52+1</f>
        <v>1</v>
      </c>
      <c r="V29" s="10">
        <f>ROUND((ROUND((U29),4)*T29),2)</f>
        <v>1000</v>
      </c>
      <c r="W29" s="79">
        <v>1000</v>
      </c>
      <c r="X29" s="80">
        <f>X52+1</f>
        <v>1</v>
      </c>
      <c r="Y29" s="10">
        <f>ROUND((ROUND((X29),4)*W29),2)</f>
        <v>1000</v>
      </c>
      <c r="Z29" s="79">
        <v>1000</v>
      </c>
      <c r="AA29" s="80">
        <f>AA52+1</f>
        <v>1</v>
      </c>
      <c r="AB29" s="10">
        <f>ROUND((ROUND((AA29),4)*Z29),2)</f>
        <v>1000</v>
      </c>
      <c r="AC29" s="79">
        <v>1000</v>
      </c>
      <c r="AD29" s="80">
        <f>AD52+1</f>
        <v>1</v>
      </c>
      <c r="AE29" s="10">
        <f>ROUND((ROUND((AD29),4)*AC29),2)</f>
        <v>1000</v>
      </c>
      <c r="AF29" s="79">
        <v>1000</v>
      </c>
      <c r="AG29" s="80">
        <f>AG52+1</f>
        <v>1</v>
      </c>
      <c r="AH29" s="13">
        <f>ROUND((ROUND((AG29),4)*AF29),2)</f>
        <v>1000</v>
      </c>
      <c r="AJ29" s="11">
        <f t="shared" si="55"/>
        <v>10000</v>
      </c>
      <c r="AK29" s="68" t="str">
        <f t="shared" si="21"/>
        <v>X011</v>
      </c>
    </row>
    <row r="30" spans="1:37" ht="38.25" x14ac:dyDescent="0.25">
      <c r="A30" s="74" t="s">
        <v>103</v>
      </c>
      <c r="B30" s="75" t="s">
        <v>73</v>
      </c>
      <c r="C30" s="3" t="s">
        <v>158</v>
      </c>
      <c r="D30" s="77" t="s">
        <v>75</v>
      </c>
      <c r="E30" s="79">
        <v>1000</v>
      </c>
      <c r="F30" s="80">
        <f>F52+1</f>
        <v>1</v>
      </c>
      <c r="G30" s="10">
        <f>ROUND((ROUND((F30),4)*E30),2)</f>
        <v>1000</v>
      </c>
      <c r="H30" s="79">
        <v>1000</v>
      </c>
      <c r="I30" s="80">
        <f>I52+1</f>
        <v>1</v>
      </c>
      <c r="J30" s="10">
        <f>ROUND((ROUND((I30),4)*H30),2)</f>
        <v>1000</v>
      </c>
      <c r="K30" s="79">
        <v>1000</v>
      </c>
      <c r="L30" s="80">
        <f>L52+1</f>
        <v>1</v>
      </c>
      <c r="M30" s="10">
        <f>ROUND((ROUND((L30),4)*K30),2)</f>
        <v>1000</v>
      </c>
      <c r="N30" s="79">
        <v>1000</v>
      </c>
      <c r="O30" s="80">
        <f>O52+1</f>
        <v>1</v>
      </c>
      <c r="P30" s="10">
        <f>ROUND((ROUND((O30),4)*N30),2)</f>
        <v>1000</v>
      </c>
      <c r="Q30" s="79">
        <v>1000</v>
      </c>
      <c r="R30" s="80">
        <f>R52+1</f>
        <v>1</v>
      </c>
      <c r="S30" s="10">
        <f>ROUND((ROUND((R30),4)*Q30),2)</f>
        <v>1000</v>
      </c>
      <c r="T30" s="79">
        <v>1000</v>
      </c>
      <c r="U30" s="80">
        <f>U52+1</f>
        <v>1</v>
      </c>
      <c r="V30" s="10">
        <f>ROUND((ROUND((U30),4)*T30),2)</f>
        <v>1000</v>
      </c>
      <c r="W30" s="79">
        <v>1000</v>
      </c>
      <c r="X30" s="80">
        <f>X52+1</f>
        <v>1</v>
      </c>
      <c r="Y30" s="10">
        <f>ROUND((ROUND((X30),4)*W30),2)</f>
        <v>1000</v>
      </c>
      <c r="Z30" s="79">
        <v>1000</v>
      </c>
      <c r="AA30" s="80">
        <f>AA52+1</f>
        <v>1</v>
      </c>
      <c r="AB30" s="10">
        <f>ROUND((ROUND((AA30),4)*Z30),2)</f>
        <v>1000</v>
      </c>
      <c r="AC30" s="79">
        <v>1000</v>
      </c>
      <c r="AD30" s="80">
        <f>AD52+1</f>
        <v>1</v>
      </c>
      <c r="AE30" s="10">
        <f>ROUND((ROUND((AD30),4)*AC30),2)</f>
        <v>1000</v>
      </c>
      <c r="AF30" s="79">
        <v>1000</v>
      </c>
      <c r="AG30" s="80">
        <f>AG52+1</f>
        <v>1</v>
      </c>
      <c r="AH30" s="13">
        <f>ROUND((ROUND((AG30),4)*AF30),2)</f>
        <v>1000</v>
      </c>
      <c r="AJ30" s="11">
        <f t="shared" si="55"/>
        <v>10000</v>
      </c>
      <c r="AK30" s="68" t="str">
        <f t="shared" si="21"/>
        <v>X012</v>
      </c>
    </row>
    <row r="31" spans="1:37" ht="38.25" x14ac:dyDescent="0.25">
      <c r="A31" s="74" t="s">
        <v>104</v>
      </c>
      <c r="B31" s="75" t="s">
        <v>73</v>
      </c>
      <c r="C31" s="94" t="s">
        <v>159</v>
      </c>
      <c r="D31" s="95" t="s">
        <v>75</v>
      </c>
      <c r="E31" s="79">
        <v>1000</v>
      </c>
      <c r="F31" s="80">
        <f>F52+1</f>
        <v>1</v>
      </c>
      <c r="G31" s="10">
        <f>ROUND((ROUND((F31),4)*E31),2)</f>
        <v>1000</v>
      </c>
      <c r="H31" s="79">
        <v>1000</v>
      </c>
      <c r="I31" s="80">
        <f>I52+1</f>
        <v>1</v>
      </c>
      <c r="J31" s="10">
        <f>ROUND((ROUND((I31),4)*H31),2)</f>
        <v>1000</v>
      </c>
      <c r="K31" s="79">
        <v>1000</v>
      </c>
      <c r="L31" s="80">
        <f>L52+1</f>
        <v>1</v>
      </c>
      <c r="M31" s="10">
        <f>ROUND((ROUND((L31),4)*K31),2)</f>
        <v>1000</v>
      </c>
      <c r="N31" s="79">
        <v>1000</v>
      </c>
      <c r="O31" s="80">
        <f>O52+1</f>
        <v>1</v>
      </c>
      <c r="P31" s="10">
        <f>ROUND((ROUND((O31),4)*N31),2)</f>
        <v>1000</v>
      </c>
      <c r="Q31" s="79">
        <v>1000</v>
      </c>
      <c r="R31" s="80">
        <f>R52+1</f>
        <v>1</v>
      </c>
      <c r="S31" s="10">
        <f>ROUND((ROUND((R31),4)*Q31),2)</f>
        <v>1000</v>
      </c>
      <c r="T31" s="79">
        <v>1000</v>
      </c>
      <c r="U31" s="80">
        <f>U52+1</f>
        <v>1</v>
      </c>
      <c r="V31" s="10">
        <f>ROUND((ROUND((U31),4)*T31),2)</f>
        <v>1000</v>
      </c>
      <c r="W31" s="79">
        <v>1000</v>
      </c>
      <c r="X31" s="80">
        <f>X52+1</f>
        <v>1</v>
      </c>
      <c r="Y31" s="10">
        <f>ROUND((ROUND((X31),4)*W31),2)</f>
        <v>1000</v>
      </c>
      <c r="Z31" s="79">
        <v>1000</v>
      </c>
      <c r="AA31" s="80">
        <f>AA52+1</f>
        <v>1</v>
      </c>
      <c r="AB31" s="10">
        <f>ROUND((ROUND((AA31),4)*Z31),2)</f>
        <v>1000</v>
      </c>
      <c r="AC31" s="79">
        <v>1000</v>
      </c>
      <c r="AD31" s="80">
        <f>AD52+1</f>
        <v>1</v>
      </c>
      <c r="AE31" s="10">
        <f>ROUND((ROUND((AD31),4)*AC31),2)</f>
        <v>1000</v>
      </c>
      <c r="AF31" s="79">
        <v>1000</v>
      </c>
      <c r="AG31" s="80">
        <f>AG52+1</f>
        <v>1</v>
      </c>
      <c r="AH31" s="13">
        <f>ROUND((ROUND((AG31),4)*AF31),2)</f>
        <v>1000</v>
      </c>
      <c r="AJ31" s="11">
        <f t="shared" si="55"/>
        <v>10000</v>
      </c>
      <c r="AK31" s="68" t="str">
        <f t="shared" si="21"/>
        <v>X013</v>
      </c>
    </row>
    <row r="32" spans="1:37" ht="38.25" x14ac:dyDescent="0.25">
      <c r="A32" s="74" t="s">
        <v>105</v>
      </c>
      <c r="B32" s="75" t="s">
        <v>73</v>
      </c>
      <c r="C32" s="94" t="s">
        <v>160</v>
      </c>
      <c r="D32" s="95" t="s">
        <v>75</v>
      </c>
      <c r="E32" s="79">
        <v>1000</v>
      </c>
      <c r="F32" s="80">
        <f>F53+1</f>
        <v>1</v>
      </c>
      <c r="G32" s="10">
        <f>ROUND((ROUND((F32),4)*E32),2)</f>
        <v>1000</v>
      </c>
      <c r="H32" s="79">
        <v>1000</v>
      </c>
      <c r="I32" s="80">
        <f>I53+1</f>
        <v>1</v>
      </c>
      <c r="J32" s="10">
        <f>ROUND((ROUND((I32),4)*H32),2)</f>
        <v>1000</v>
      </c>
      <c r="K32" s="79">
        <v>1000</v>
      </c>
      <c r="L32" s="80">
        <f>L53+1</f>
        <v>1</v>
      </c>
      <c r="M32" s="10">
        <f>ROUND((ROUND((L32),4)*K32),2)</f>
        <v>1000</v>
      </c>
      <c r="N32" s="79">
        <v>1000</v>
      </c>
      <c r="O32" s="80">
        <f>O53+1</f>
        <v>1</v>
      </c>
      <c r="P32" s="10">
        <f>ROUND((ROUND((O32),4)*N32),2)</f>
        <v>1000</v>
      </c>
      <c r="Q32" s="79">
        <v>1000</v>
      </c>
      <c r="R32" s="80">
        <f>R53+1</f>
        <v>1</v>
      </c>
      <c r="S32" s="10">
        <f>ROUND((ROUND((R32),4)*Q32),2)</f>
        <v>1000</v>
      </c>
      <c r="T32" s="79">
        <v>1000</v>
      </c>
      <c r="U32" s="80">
        <f>U53+1</f>
        <v>1</v>
      </c>
      <c r="V32" s="10">
        <f>ROUND((ROUND((U32),4)*T32),2)</f>
        <v>1000</v>
      </c>
      <c r="W32" s="79">
        <v>1000</v>
      </c>
      <c r="X32" s="80">
        <f>X53+1</f>
        <v>1</v>
      </c>
      <c r="Y32" s="10">
        <f>ROUND((ROUND((X32),4)*W32),2)</f>
        <v>1000</v>
      </c>
      <c r="Z32" s="79">
        <v>1000</v>
      </c>
      <c r="AA32" s="80">
        <f>AA53+1</f>
        <v>1</v>
      </c>
      <c r="AB32" s="10">
        <f>ROUND((ROUND((AA32),4)*Z32),2)</f>
        <v>1000</v>
      </c>
      <c r="AC32" s="79">
        <v>1000</v>
      </c>
      <c r="AD32" s="80">
        <f>AD53+1</f>
        <v>1</v>
      </c>
      <c r="AE32" s="10">
        <f>ROUND((ROUND((AD32),4)*AC32),2)</f>
        <v>1000</v>
      </c>
      <c r="AF32" s="79">
        <v>1000</v>
      </c>
      <c r="AG32" s="80">
        <f>AG53+1</f>
        <v>1</v>
      </c>
      <c r="AH32" s="13">
        <f>ROUND((ROUND((AG32),4)*AF32),2)</f>
        <v>1000</v>
      </c>
      <c r="AJ32" s="11">
        <f t="shared" si="55"/>
        <v>10000</v>
      </c>
      <c r="AK32" s="68" t="str">
        <f t="shared" si="21"/>
        <v>X014</v>
      </c>
    </row>
    <row r="33" spans="1:37" x14ac:dyDescent="0.25">
      <c r="A33" s="74" t="s">
        <v>106</v>
      </c>
      <c r="B33" s="96" t="s">
        <v>107</v>
      </c>
      <c r="C33" s="3" t="s">
        <v>108</v>
      </c>
      <c r="D33" s="97" t="s">
        <v>75</v>
      </c>
      <c r="E33" s="98"/>
      <c r="F33" s="98"/>
      <c r="G33" s="98"/>
      <c r="H33" s="98"/>
      <c r="I33" s="98"/>
      <c r="J33" s="98"/>
      <c r="K33" s="98"/>
      <c r="L33" s="98"/>
      <c r="M33" s="98"/>
      <c r="N33" s="98"/>
      <c r="O33" s="98"/>
      <c r="P33" s="98"/>
      <c r="Q33" s="98"/>
      <c r="R33" s="98"/>
      <c r="S33" s="98"/>
      <c r="T33" s="98"/>
      <c r="U33" s="98"/>
      <c r="V33" s="98"/>
      <c r="W33" s="98"/>
      <c r="X33" s="98"/>
      <c r="Y33" s="98"/>
      <c r="Z33" s="98"/>
      <c r="AA33" s="98"/>
      <c r="AB33" s="98"/>
      <c r="AC33" s="98"/>
      <c r="AD33" s="98"/>
      <c r="AE33" s="98"/>
      <c r="AF33" s="98"/>
      <c r="AG33" s="98"/>
      <c r="AH33" s="98"/>
      <c r="AJ33" s="28"/>
      <c r="AK33" s="68" t="str">
        <f t="shared" si="21"/>
        <v>X015</v>
      </c>
    </row>
    <row r="34" spans="1:37" ht="25.5" x14ac:dyDescent="0.25">
      <c r="A34" s="74" t="s">
        <v>109</v>
      </c>
      <c r="B34" s="75" t="s">
        <v>73</v>
      </c>
      <c r="C34" s="3" t="s">
        <v>110</v>
      </c>
      <c r="D34" s="99" t="s">
        <v>75</v>
      </c>
      <c r="E34" s="100">
        <v>180</v>
      </c>
      <c r="F34" s="92">
        <f>F46</f>
        <v>0</v>
      </c>
      <c r="G34" s="10">
        <f t="shared" ref="G34:G35" si="56">ROUND((ROUND((F34),2)*E34),2)</f>
        <v>0</v>
      </c>
      <c r="H34" s="100">
        <v>180</v>
      </c>
      <c r="I34" s="92">
        <f>I46</f>
        <v>0</v>
      </c>
      <c r="J34" s="10">
        <f t="shared" ref="J34:J35" si="57">ROUND((ROUND((I34),2)*H34),2)</f>
        <v>0</v>
      </c>
      <c r="K34" s="100">
        <v>40</v>
      </c>
      <c r="L34" s="92">
        <f>L46</f>
        <v>0</v>
      </c>
      <c r="M34" s="10">
        <f t="shared" ref="M34:M35" si="58">ROUND((ROUND((L34),2)*K34),2)</f>
        <v>0</v>
      </c>
      <c r="N34" s="100">
        <v>40</v>
      </c>
      <c r="O34" s="92">
        <f>O46</f>
        <v>0</v>
      </c>
      <c r="P34" s="10">
        <f t="shared" ref="P34:P35" si="59">ROUND((ROUND((O34),2)*N34),2)</f>
        <v>0</v>
      </c>
      <c r="Q34" s="100">
        <v>40</v>
      </c>
      <c r="R34" s="92">
        <f>R46</f>
        <v>0</v>
      </c>
      <c r="S34" s="10">
        <f t="shared" ref="S34:S35" si="60">ROUND((ROUND((R34),2)*Q34),2)</f>
        <v>0</v>
      </c>
      <c r="T34" s="100">
        <v>40</v>
      </c>
      <c r="U34" s="92">
        <f>U46</f>
        <v>0</v>
      </c>
      <c r="V34" s="10">
        <f t="shared" ref="V34:V35" si="61">ROUND((ROUND((U34),2)*T34),2)</f>
        <v>0</v>
      </c>
      <c r="W34" s="100">
        <v>40</v>
      </c>
      <c r="X34" s="92">
        <f>X46</f>
        <v>0</v>
      </c>
      <c r="Y34" s="10">
        <f t="shared" ref="Y34:Y35" si="62">ROUND((ROUND((X34),2)*W34),2)</f>
        <v>0</v>
      </c>
      <c r="Z34" s="100">
        <v>40</v>
      </c>
      <c r="AA34" s="92">
        <f>AA46</f>
        <v>0</v>
      </c>
      <c r="AB34" s="10">
        <f t="shared" ref="AB34:AB35" si="63">ROUND((ROUND((AA34),2)*Z34),2)</f>
        <v>0</v>
      </c>
      <c r="AC34" s="100">
        <v>40</v>
      </c>
      <c r="AD34" s="92">
        <f>AD46</f>
        <v>0</v>
      </c>
      <c r="AE34" s="10">
        <f t="shared" ref="AE34:AE35" si="64">ROUND((ROUND((AD34),2)*AC34),2)</f>
        <v>0</v>
      </c>
      <c r="AF34" s="100">
        <v>40</v>
      </c>
      <c r="AG34" s="92">
        <f>AG46</f>
        <v>0</v>
      </c>
      <c r="AH34" s="13">
        <f t="shared" ref="AH34:AH35" si="65">ROUND((ROUND((AG34),2)*AF34),2)</f>
        <v>0</v>
      </c>
      <c r="AJ34" s="11">
        <f t="shared" ref="AJ34:AJ39" si="66">G34+J34+M34+P34+S34+V34+Y34+AB34+AE34+AH34</f>
        <v>0</v>
      </c>
      <c r="AK34" s="68" t="str">
        <f t="shared" ref="AK34:AK39" si="67">A34</f>
        <v>X016</v>
      </c>
    </row>
    <row r="35" spans="1:37" ht="25.5" x14ac:dyDescent="0.25">
      <c r="A35" s="74" t="s">
        <v>111</v>
      </c>
      <c r="B35" s="75" t="s">
        <v>73</v>
      </c>
      <c r="C35" s="101" t="s">
        <v>112</v>
      </c>
      <c r="D35" s="77" t="s">
        <v>75</v>
      </c>
      <c r="E35" s="100">
        <v>180</v>
      </c>
      <c r="F35" s="92">
        <f>F46</f>
        <v>0</v>
      </c>
      <c r="G35" s="10">
        <f t="shared" si="56"/>
        <v>0</v>
      </c>
      <c r="H35" s="100">
        <v>180</v>
      </c>
      <c r="I35" s="92">
        <f>I46</f>
        <v>0</v>
      </c>
      <c r="J35" s="10">
        <f t="shared" si="57"/>
        <v>0</v>
      </c>
      <c r="K35" s="100">
        <v>40</v>
      </c>
      <c r="L35" s="92">
        <f>L46</f>
        <v>0</v>
      </c>
      <c r="M35" s="10">
        <f t="shared" si="58"/>
        <v>0</v>
      </c>
      <c r="N35" s="100">
        <v>40</v>
      </c>
      <c r="O35" s="92">
        <f>O46</f>
        <v>0</v>
      </c>
      <c r="P35" s="10">
        <f t="shared" si="59"/>
        <v>0</v>
      </c>
      <c r="Q35" s="100">
        <v>40</v>
      </c>
      <c r="R35" s="92">
        <f>R46</f>
        <v>0</v>
      </c>
      <c r="S35" s="10">
        <f t="shared" si="60"/>
        <v>0</v>
      </c>
      <c r="T35" s="100">
        <v>40</v>
      </c>
      <c r="U35" s="92">
        <f>U46</f>
        <v>0</v>
      </c>
      <c r="V35" s="10">
        <f t="shared" si="61"/>
        <v>0</v>
      </c>
      <c r="W35" s="100">
        <v>40</v>
      </c>
      <c r="X35" s="92">
        <f>X46</f>
        <v>0</v>
      </c>
      <c r="Y35" s="10">
        <f t="shared" si="62"/>
        <v>0</v>
      </c>
      <c r="Z35" s="100">
        <v>40</v>
      </c>
      <c r="AA35" s="92">
        <f>AA46</f>
        <v>0</v>
      </c>
      <c r="AB35" s="10">
        <f t="shared" si="63"/>
        <v>0</v>
      </c>
      <c r="AC35" s="100">
        <v>40</v>
      </c>
      <c r="AD35" s="92">
        <f>AD46</f>
        <v>0</v>
      </c>
      <c r="AE35" s="10">
        <f t="shared" si="64"/>
        <v>0</v>
      </c>
      <c r="AF35" s="100">
        <v>40</v>
      </c>
      <c r="AG35" s="92">
        <f>AG46</f>
        <v>0</v>
      </c>
      <c r="AH35" s="13">
        <f t="shared" si="65"/>
        <v>0</v>
      </c>
      <c r="AJ35" s="11">
        <f t="shared" si="66"/>
        <v>0</v>
      </c>
      <c r="AK35" s="68" t="str">
        <f t="shared" si="67"/>
        <v>X017</v>
      </c>
    </row>
    <row r="36" spans="1:37" ht="38.25" x14ac:dyDescent="0.25">
      <c r="A36" s="74" t="s">
        <v>113</v>
      </c>
      <c r="B36" s="75" t="s">
        <v>73</v>
      </c>
      <c r="C36" s="101" t="s">
        <v>161</v>
      </c>
      <c r="D36" s="77" t="s">
        <v>75</v>
      </c>
      <c r="E36" s="79">
        <v>1000</v>
      </c>
      <c r="F36" s="80">
        <f>F53+1</f>
        <v>1</v>
      </c>
      <c r="G36" s="10">
        <f>ROUND((ROUND((F36),4)*E36),2)</f>
        <v>1000</v>
      </c>
      <c r="H36" s="79">
        <v>1000</v>
      </c>
      <c r="I36" s="80">
        <f>I53+1</f>
        <v>1</v>
      </c>
      <c r="J36" s="10">
        <f>ROUND((ROUND((I36),4)*H36),2)</f>
        <v>1000</v>
      </c>
      <c r="K36" s="79">
        <v>1000</v>
      </c>
      <c r="L36" s="80">
        <f>L53+1</f>
        <v>1</v>
      </c>
      <c r="M36" s="10">
        <f>ROUND((ROUND((L36),4)*K36),2)</f>
        <v>1000</v>
      </c>
      <c r="N36" s="79">
        <v>1000</v>
      </c>
      <c r="O36" s="80">
        <f>O53+1</f>
        <v>1</v>
      </c>
      <c r="P36" s="10">
        <f>ROUND((ROUND((O36),4)*N36),2)</f>
        <v>1000</v>
      </c>
      <c r="Q36" s="79">
        <v>1000</v>
      </c>
      <c r="R36" s="80">
        <f>R53+1</f>
        <v>1</v>
      </c>
      <c r="S36" s="10">
        <f>ROUND((ROUND((R36),4)*Q36),2)</f>
        <v>1000</v>
      </c>
      <c r="T36" s="79">
        <v>1000</v>
      </c>
      <c r="U36" s="80">
        <f>U53+1</f>
        <v>1</v>
      </c>
      <c r="V36" s="10">
        <f>ROUND((ROUND((U36),4)*T36),2)</f>
        <v>1000</v>
      </c>
      <c r="W36" s="79">
        <v>1000</v>
      </c>
      <c r="X36" s="80">
        <f>X53+1</f>
        <v>1</v>
      </c>
      <c r="Y36" s="10">
        <f>ROUND((ROUND((X36),4)*W36),2)</f>
        <v>1000</v>
      </c>
      <c r="Z36" s="79">
        <v>1000</v>
      </c>
      <c r="AA36" s="80">
        <f>AA53+1</f>
        <v>1</v>
      </c>
      <c r="AB36" s="10">
        <f>ROUND((ROUND((AA36),4)*Z36),2)</f>
        <v>1000</v>
      </c>
      <c r="AC36" s="79">
        <v>1000</v>
      </c>
      <c r="AD36" s="80">
        <f>AD53+1</f>
        <v>1</v>
      </c>
      <c r="AE36" s="10">
        <f>ROUND((ROUND((AD36),4)*AC36),2)</f>
        <v>1000</v>
      </c>
      <c r="AF36" s="79">
        <v>1000</v>
      </c>
      <c r="AG36" s="80">
        <f>AG53+1</f>
        <v>1</v>
      </c>
      <c r="AH36" s="13">
        <f>ROUND((ROUND((AG36),4)*AF36),2)</f>
        <v>1000</v>
      </c>
      <c r="AJ36" s="11">
        <f t="shared" si="66"/>
        <v>10000</v>
      </c>
      <c r="AK36" s="68" t="str">
        <f t="shared" si="67"/>
        <v>X018</v>
      </c>
    </row>
    <row r="37" spans="1:37" ht="25.5" x14ac:dyDescent="0.25">
      <c r="A37" s="74" t="s">
        <v>114</v>
      </c>
      <c r="B37" s="75" t="s">
        <v>73</v>
      </c>
      <c r="C37" s="102" t="s">
        <v>115</v>
      </c>
      <c r="D37" s="77" t="s">
        <v>75</v>
      </c>
      <c r="E37" s="79">
        <v>1000</v>
      </c>
      <c r="F37" s="80">
        <f>F55+1</f>
        <v>1</v>
      </c>
      <c r="G37" s="10">
        <f>ROUND((ROUND((F37),4)*E37),2)</f>
        <v>1000</v>
      </c>
      <c r="H37" s="79">
        <v>1000</v>
      </c>
      <c r="I37" s="80">
        <f>I55+1</f>
        <v>1</v>
      </c>
      <c r="J37" s="10">
        <f>ROUND((ROUND((I37),4)*H37),2)</f>
        <v>1000</v>
      </c>
      <c r="K37" s="79">
        <v>1000</v>
      </c>
      <c r="L37" s="80">
        <f>L55+1</f>
        <v>1</v>
      </c>
      <c r="M37" s="10">
        <f>ROUND((ROUND((L37),4)*K37),2)</f>
        <v>1000</v>
      </c>
      <c r="N37" s="79">
        <v>1000</v>
      </c>
      <c r="O37" s="80">
        <f>O55+1</f>
        <v>1</v>
      </c>
      <c r="P37" s="10">
        <f>ROUND((ROUND((O37),4)*N37),2)</f>
        <v>1000</v>
      </c>
      <c r="Q37" s="79">
        <v>1000</v>
      </c>
      <c r="R37" s="80">
        <f>R55+1</f>
        <v>1</v>
      </c>
      <c r="S37" s="10">
        <f>ROUND((ROUND((R37),4)*Q37),2)</f>
        <v>1000</v>
      </c>
      <c r="T37" s="79">
        <v>1000</v>
      </c>
      <c r="U37" s="80">
        <f>U55+1</f>
        <v>1</v>
      </c>
      <c r="V37" s="10">
        <f>ROUND((ROUND((U37),4)*T37),2)</f>
        <v>1000</v>
      </c>
      <c r="W37" s="79">
        <v>1000</v>
      </c>
      <c r="X37" s="80">
        <f>X55+1</f>
        <v>1</v>
      </c>
      <c r="Y37" s="10">
        <f>ROUND((ROUND((X37),4)*W37),2)</f>
        <v>1000</v>
      </c>
      <c r="Z37" s="79">
        <v>1000</v>
      </c>
      <c r="AA37" s="80">
        <f>AA55+1</f>
        <v>1</v>
      </c>
      <c r="AB37" s="10">
        <f>ROUND((ROUND((AA37),4)*Z37),2)</f>
        <v>1000</v>
      </c>
      <c r="AC37" s="79">
        <v>1000</v>
      </c>
      <c r="AD37" s="80">
        <f>AD55+1</f>
        <v>1</v>
      </c>
      <c r="AE37" s="10">
        <f>ROUND((ROUND((AD37),4)*AC37),2)</f>
        <v>1000</v>
      </c>
      <c r="AF37" s="79">
        <v>1000</v>
      </c>
      <c r="AG37" s="80">
        <f>AG55+1</f>
        <v>1</v>
      </c>
      <c r="AH37" s="13">
        <f>ROUND((ROUND((AG37),4)*AF37),2)</f>
        <v>1000</v>
      </c>
      <c r="AJ37" s="11">
        <f t="shared" si="66"/>
        <v>10000</v>
      </c>
      <c r="AK37" s="68" t="str">
        <f t="shared" si="67"/>
        <v>X019</v>
      </c>
    </row>
    <row r="38" spans="1:37" ht="25.5" x14ac:dyDescent="0.25">
      <c r="A38" s="74" t="s">
        <v>116</v>
      </c>
      <c r="B38" s="103" t="s">
        <v>73</v>
      </c>
      <c r="C38" s="102" t="s">
        <v>117</v>
      </c>
      <c r="D38" s="77" t="s">
        <v>75</v>
      </c>
      <c r="E38" s="79">
        <v>1000</v>
      </c>
      <c r="F38" s="80">
        <f>F55+1</f>
        <v>1</v>
      </c>
      <c r="G38" s="10">
        <f>ROUND((ROUND((F38),4)*E38),2)</f>
        <v>1000</v>
      </c>
      <c r="H38" s="79">
        <v>1000</v>
      </c>
      <c r="I38" s="80">
        <f>I55+1</f>
        <v>1</v>
      </c>
      <c r="J38" s="10">
        <f>ROUND((ROUND((I38),4)*H38),2)</f>
        <v>1000</v>
      </c>
      <c r="K38" s="79">
        <v>1000</v>
      </c>
      <c r="L38" s="80">
        <f>L55+1</f>
        <v>1</v>
      </c>
      <c r="M38" s="10">
        <f>ROUND((ROUND((L38),4)*K38),2)</f>
        <v>1000</v>
      </c>
      <c r="N38" s="79">
        <v>1000</v>
      </c>
      <c r="O38" s="80">
        <f>O55+1</f>
        <v>1</v>
      </c>
      <c r="P38" s="10">
        <f>ROUND((ROUND((O38),4)*N38),2)</f>
        <v>1000</v>
      </c>
      <c r="Q38" s="79">
        <v>1000</v>
      </c>
      <c r="R38" s="80">
        <f>R55+1</f>
        <v>1</v>
      </c>
      <c r="S38" s="10">
        <f>ROUND((ROUND((R38),4)*Q38),2)</f>
        <v>1000</v>
      </c>
      <c r="T38" s="79">
        <v>1000</v>
      </c>
      <c r="U38" s="80">
        <f>U55+1</f>
        <v>1</v>
      </c>
      <c r="V38" s="10">
        <f>ROUND((ROUND((U38),4)*T38),2)</f>
        <v>1000</v>
      </c>
      <c r="W38" s="79">
        <v>1000</v>
      </c>
      <c r="X38" s="80">
        <f>X55+1</f>
        <v>1</v>
      </c>
      <c r="Y38" s="10">
        <f>ROUND((ROUND((X38),4)*W38),2)</f>
        <v>1000</v>
      </c>
      <c r="Z38" s="79">
        <v>1000</v>
      </c>
      <c r="AA38" s="80">
        <f>AA55+1</f>
        <v>1</v>
      </c>
      <c r="AB38" s="10">
        <f>ROUND((ROUND((AA38),4)*Z38),2)</f>
        <v>1000</v>
      </c>
      <c r="AC38" s="79">
        <v>1000</v>
      </c>
      <c r="AD38" s="80">
        <f>AD55+1</f>
        <v>1</v>
      </c>
      <c r="AE38" s="10">
        <f>ROUND((ROUND((AD38),4)*AC38),2)</f>
        <v>1000</v>
      </c>
      <c r="AF38" s="79">
        <v>1000</v>
      </c>
      <c r="AG38" s="80">
        <f>AG55+1</f>
        <v>1</v>
      </c>
      <c r="AH38" s="13">
        <f>ROUND((ROUND((AG38),4)*AF38),2)</f>
        <v>1000</v>
      </c>
      <c r="AJ38" s="11">
        <f t="shared" si="66"/>
        <v>10000</v>
      </c>
      <c r="AK38" s="68" t="str">
        <f t="shared" si="67"/>
        <v>X020</v>
      </c>
    </row>
    <row r="39" spans="1:37" ht="25.5" x14ac:dyDescent="0.25">
      <c r="A39" s="74" t="s">
        <v>118</v>
      </c>
      <c r="B39" s="99" t="s">
        <v>73</v>
      </c>
      <c r="C39" s="76" t="s">
        <v>119</v>
      </c>
      <c r="D39" s="77" t="s">
        <v>75</v>
      </c>
      <c r="E39" s="79">
        <v>1000</v>
      </c>
      <c r="F39" s="80">
        <f>F54+1</f>
        <v>1</v>
      </c>
      <c r="G39" s="10">
        <f>ROUND((ROUND((F39),4)*E39),2)</f>
        <v>1000</v>
      </c>
      <c r="H39" s="79">
        <v>1000</v>
      </c>
      <c r="I39" s="80">
        <f>I54+1</f>
        <v>1</v>
      </c>
      <c r="J39" s="10">
        <f>ROUND((ROUND((I39),4)*H39),2)</f>
        <v>1000</v>
      </c>
      <c r="K39" s="79">
        <v>1000</v>
      </c>
      <c r="L39" s="80">
        <f>L54+1</f>
        <v>1</v>
      </c>
      <c r="M39" s="10">
        <f>ROUND((ROUND((L39),4)*K39),2)</f>
        <v>1000</v>
      </c>
      <c r="N39" s="79">
        <v>1000</v>
      </c>
      <c r="O39" s="80">
        <f>O54+1</f>
        <v>1</v>
      </c>
      <c r="P39" s="10">
        <f>ROUND((ROUND((O39),4)*N39),2)</f>
        <v>1000</v>
      </c>
      <c r="Q39" s="79">
        <v>1000</v>
      </c>
      <c r="R39" s="80">
        <f>R54+1</f>
        <v>1</v>
      </c>
      <c r="S39" s="10">
        <f>ROUND((ROUND((R39),4)*Q39),2)</f>
        <v>1000</v>
      </c>
      <c r="T39" s="79">
        <v>1000</v>
      </c>
      <c r="U39" s="80">
        <f>U54+1</f>
        <v>1</v>
      </c>
      <c r="V39" s="10">
        <f>ROUND((ROUND((U39),4)*T39),2)</f>
        <v>1000</v>
      </c>
      <c r="W39" s="79">
        <v>1000</v>
      </c>
      <c r="X39" s="80">
        <f>X54+1</f>
        <v>1</v>
      </c>
      <c r="Y39" s="10">
        <f>ROUND((ROUND((X39),4)*W39),2)</f>
        <v>1000</v>
      </c>
      <c r="Z39" s="79">
        <v>1000</v>
      </c>
      <c r="AA39" s="80">
        <f>AA54+1</f>
        <v>1</v>
      </c>
      <c r="AB39" s="10">
        <f>ROUND((ROUND((AA39),4)*Z39),2)</f>
        <v>1000</v>
      </c>
      <c r="AC39" s="79">
        <v>1000</v>
      </c>
      <c r="AD39" s="80">
        <f>AD54+1</f>
        <v>1</v>
      </c>
      <c r="AE39" s="10">
        <f>ROUND((ROUND((AD39),4)*AC39),2)</f>
        <v>1000</v>
      </c>
      <c r="AF39" s="79">
        <v>1000</v>
      </c>
      <c r="AG39" s="80">
        <f>AG54+1</f>
        <v>1</v>
      </c>
      <c r="AH39" s="13">
        <f>ROUND((ROUND((AG39),4)*AF39),2)</f>
        <v>1000</v>
      </c>
      <c r="AJ39" s="11">
        <f t="shared" si="66"/>
        <v>10000</v>
      </c>
      <c r="AK39" s="68" t="str">
        <f t="shared" si="67"/>
        <v>X021</v>
      </c>
    </row>
    <row r="40" spans="1:37" x14ac:dyDescent="0.25">
      <c r="A40"/>
      <c r="B40"/>
      <c r="C40" s="115" t="s">
        <v>120</v>
      </c>
      <c r="D40"/>
      <c r="G40" s="104">
        <f>SUM(G8:G39)</f>
        <v>9000</v>
      </c>
      <c r="J40" s="104">
        <f>SUM(J8:J39)</f>
        <v>9000</v>
      </c>
      <c r="M40" s="104">
        <f>SUM(M8:M39)</f>
        <v>9000</v>
      </c>
      <c r="P40" s="104">
        <f>SUM(P8:P39)</f>
        <v>9000</v>
      </c>
      <c r="S40" s="104">
        <f>SUM(S8:S39)</f>
        <v>9000</v>
      </c>
      <c r="V40" s="104">
        <f>SUM(V8:V39)</f>
        <v>9000</v>
      </c>
      <c r="Y40" s="104">
        <f>SUM(Y8:Y39)</f>
        <v>9000</v>
      </c>
      <c r="AB40" s="104">
        <f>SUM(AB8:AB39)</f>
        <v>9000</v>
      </c>
      <c r="AE40" s="104">
        <f>SUM(AE8:AE39)</f>
        <v>9000</v>
      </c>
      <c r="AH40" s="104">
        <f>SUM(AH8:AH39)</f>
        <v>9000</v>
      </c>
      <c r="AJ40" s="104">
        <f>SUM(AJ8:AJ39)</f>
        <v>90000</v>
      </c>
    </row>
    <row r="41" spans="1:37" x14ac:dyDescent="0.25">
      <c r="A41"/>
      <c r="B41"/>
      <c r="C41"/>
      <c r="D41"/>
      <c r="AJ41" s="105">
        <f>G40+J40+M40+P40+S40+V40+Y40+AB40+AE40+AH40</f>
        <v>90000</v>
      </c>
      <c r="AK41" s="1" t="s">
        <v>121</v>
      </c>
    </row>
    <row r="42" spans="1:37" x14ac:dyDescent="0.25">
      <c r="A42" s="106"/>
      <c r="B42"/>
      <c r="C42" s="107" t="s">
        <v>122</v>
      </c>
      <c r="D42" s="107"/>
      <c r="E42" s="108"/>
      <c r="F42" s="109" t="str">
        <f>E5</f>
        <v>Basic Period 
(Year 1)</v>
      </c>
      <c r="G42" s="110"/>
      <c r="H42" s="108"/>
      <c r="I42" s="109" t="str">
        <f>H5</f>
        <v>Basic Period 
(Year 2)</v>
      </c>
      <c r="J42" s="110"/>
      <c r="K42" s="108"/>
      <c r="L42" s="109" t="str">
        <f>K5</f>
        <v>Basic Period 
(Year 3)</v>
      </c>
      <c r="M42" s="110"/>
      <c r="N42" s="108"/>
      <c r="O42" s="109" t="str">
        <f>N5</f>
        <v>Basic Period 
(Year 4)</v>
      </c>
      <c r="P42" s="110"/>
      <c r="Q42" s="108"/>
      <c r="R42" s="109" t="str">
        <f>Q5</f>
        <v>Option Period 1
(Year 5)</v>
      </c>
      <c r="S42" s="110"/>
      <c r="T42" s="108"/>
      <c r="U42" s="109" t="str">
        <f>T5</f>
        <v>Option Period 2
(Year 6)</v>
      </c>
      <c r="V42" s="110"/>
      <c r="W42" s="108"/>
      <c r="X42" s="109" t="str">
        <f>W5</f>
        <v>Option Period 3
(Year 7)</v>
      </c>
      <c r="Y42" s="110"/>
      <c r="Z42" s="108"/>
      <c r="AA42" s="109" t="str">
        <f>Z5</f>
        <v>Option Period 4
(Year 8)</v>
      </c>
      <c r="AB42" s="110"/>
      <c r="AC42" s="108"/>
      <c r="AD42" s="109" t="str">
        <f>AC5</f>
        <v>Option Period 5
(Year 9)</v>
      </c>
      <c r="AE42" s="110"/>
      <c r="AF42" s="108"/>
      <c r="AG42" s="109" t="str">
        <f>AF5</f>
        <v>Option Period 6
(Year 10)</v>
      </c>
      <c r="AH42" s="110"/>
    </row>
    <row r="43" spans="1:37" x14ac:dyDescent="0.25">
      <c r="A43" s="106"/>
      <c r="B43"/>
      <c r="C43" s="111" t="s">
        <v>100</v>
      </c>
      <c r="D43" s="112" t="s">
        <v>123</v>
      </c>
      <c r="E43" s="113"/>
      <c r="F43" s="9"/>
      <c r="G43" s="113"/>
      <c r="H43" s="113"/>
      <c r="I43" s="9"/>
      <c r="J43" s="113"/>
      <c r="K43" s="113"/>
      <c r="L43" s="9"/>
      <c r="M43" s="113"/>
      <c r="N43" s="113"/>
      <c r="O43" s="9"/>
      <c r="P43" s="113"/>
      <c r="Q43" s="113"/>
      <c r="R43" s="9"/>
      <c r="S43" s="113"/>
      <c r="T43" s="113"/>
      <c r="U43" s="9"/>
      <c r="V43" s="113"/>
      <c r="W43" s="113"/>
      <c r="X43" s="9"/>
      <c r="Y43" s="113"/>
      <c r="Z43" s="113"/>
      <c r="AA43" s="9"/>
      <c r="AB43" s="113"/>
      <c r="AC43" s="113"/>
      <c r="AD43" s="9"/>
      <c r="AE43" s="113"/>
      <c r="AF43" s="113"/>
      <c r="AG43" s="9"/>
      <c r="AH43" s="113"/>
    </row>
    <row r="44" spans="1:37" x14ac:dyDescent="0.25">
      <c r="A44" s="106"/>
      <c r="B44"/>
      <c r="C44" s="111" t="s">
        <v>124</v>
      </c>
      <c r="D44" s="112" t="s">
        <v>123</v>
      </c>
      <c r="E44" s="113"/>
      <c r="F44" s="9"/>
      <c r="G44" s="113"/>
      <c r="H44" s="113"/>
      <c r="I44" s="9"/>
      <c r="J44" s="113"/>
      <c r="K44" s="113"/>
      <c r="L44" s="9"/>
      <c r="M44" s="113"/>
      <c r="N44" s="113"/>
      <c r="O44" s="9"/>
      <c r="P44" s="113"/>
      <c r="Q44" s="113"/>
      <c r="R44" s="9"/>
      <c r="S44" s="113"/>
      <c r="T44" s="113"/>
      <c r="U44" s="9"/>
      <c r="V44" s="113"/>
      <c r="W44" s="113"/>
      <c r="X44" s="9"/>
      <c r="Y44" s="113"/>
      <c r="Z44" s="113"/>
      <c r="AA44" s="9"/>
      <c r="AB44" s="113"/>
      <c r="AC44" s="113"/>
      <c r="AD44" s="9"/>
      <c r="AE44" s="113"/>
      <c r="AF44" s="113"/>
      <c r="AG44" s="9"/>
      <c r="AH44" s="113"/>
    </row>
    <row r="45" spans="1:37" x14ac:dyDescent="0.25">
      <c r="A45" s="106"/>
      <c r="B45"/>
      <c r="C45" s="111" t="s">
        <v>125</v>
      </c>
      <c r="D45" s="112" t="s">
        <v>123</v>
      </c>
      <c r="E45" s="113"/>
      <c r="F45" s="9"/>
      <c r="G45" s="113"/>
      <c r="H45" s="113"/>
      <c r="I45" s="9"/>
      <c r="J45" s="113"/>
      <c r="K45" s="113"/>
      <c r="L45" s="9"/>
      <c r="M45" s="113"/>
      <c r="N45" s="113"/>
      <c r="O45" s="9"/>
      <c r="P45" s="113"/>
      <c r="Q45" s="113"/>
      <c r="R45" s="9"/>
      <c r="S45" s="113"/>
      <c r="T45" s="113"/>
      <c r="U45" s="9"/>
      <c r="V45" s="113"/>
      <c r="W45" s="113"/>
      <c r="X45" s="9"/>
      <c r="Y45" s="113"/>
      <c r="Z45" s="113"/>
      <c r="AA45" s="9"/>
      <c r="AB45" s="113"/>
      <c r="AC45" s="113"/>
      <c r="AD45" s="9"/>
      <c r="AE45" s="113"/>
      <c r="AF45" s="113"/>
      <c r="AG45" s="9"/>
      <c r="AH45" s="113"/>
    </row>
    <row r="46" spans="1:37" x14ac:dyDescent="0.25">
      <c r="A46" s="106"/>
      <c r="B46"/>
      <c r="C46" s="114" t="s">
        <v>99</v>
      </c>
      <c r="D46" s="112" t="s">
        <v>123</v>
      </c>
      <c r="E46" s="113"/>
      <c r="F46" s="9"/>
      <c r="G46" s="113"/>
      <c r="H46" s="113"/>
      <c r="I46" s="9"/>
      <c r="J46" s="113"/>
      <c r="K46" s="113"/>
      <c r="L46" s="9"/>
      <c r="M46" s="113"/>
      <c r="N46" s="113"/>
      <c r="O46" s="9"/>
      <c r="P46" s="113"/>
      <c r="Q46" s="113"/>
      <c r="R46" s="9"/>
      <c r="S46" s="113"/>
      <c r="T46" s="113"/>
      <c r="U46" s="9"/>
      <c r="V46" s="113"/>
      <c r="W46" s="113"/>
      <c r="X46" s="9"/>
      <c r="Y46" s="113"/>
      <c r="Z46" s="113"/>
      <c r="AA46" s="9"/>
      <c r="AB46" s="113"/>
      <c r="AC46" s="113"/>
      <c r="AD46" s="9"/>
      <c r="AE46" s="113"/>
      <c r="AF46" s="113"/>
      <c r="AG46" s="9"/>
      <c r="AH46" s="113"/>
    </row>
    <row r="47" spans="1:37" x14ac:dyDescent="0.25">
      <c r="A47"/>
      <c r="B47"/>
      <c r="C47" s="114" t="s">
        <v>126</v>
      </c>
      <c r="D47" s="112" t="s">
        <v>123</v>
      </c>
      <c r="E47" s="113"/>
      <c r="F47" s="9"/>
      <c r="G47" s="113"/>
      <c r="H47" s="113"/>
      <c r="I47" s="9"/>
      <c r="J47" s="113"/>
      <c r="K47" s="113"/>
      <c r="L47" s="9"/>
      <c r="M47" s="113"/>
      <c r="N47" s="113"/>
      <c r="O47" s="9"/>
      <c r="P47" s="113"/>
      <c r="Q47" s="113"/>
      <c r="R47" s="9"/>
      <c r="S47" s="113"/>
      <c r="T47" s="113"/>
      <c r="U47" s="9"/>
      <c r="V47" s="113"/>
      <c r="W47" s="113"/>
      <c r="X47" s="9"/>
      <c r="Y47" s="113"/>
      <c r="Z47" s="113"/>
      <c r="AA47" s="9"/>
      <c r="AB47" s="113"/>
      <c r="AC47" s="113"/>
      <c r="AD47" s="9"/>
      <c r="AE47" s="113"/>
      <c r="AF47" s="113"/>
      <c r="AG47" s="9"/>
      <c r="AH47" s="113"/>
    </row>
    <row r="48" spans="1:37" x14ac:dyDescent="0.25">
      <c r="A48"/>
      <c r="B48"/>
      <c r="C48" s="114" t="s">
        <v>127</v>
      </c>
      <c r="D48" s="112" t="s">
        <v>123</v>
      </c>
      <c r="E48" s="113"/>
      <c r="F48" s="9"/>
      <c r="G48" s="113"/>
      <c r="H48" s="113"/>
      <c r="I48" s="9"/>
      <c r="J48" s="113"/>
      <c r="K48" s="113"/>
      <c r="L48" s="9"/>
      <c r="M48" s="113"/>
      <c r="N48" s="113"/>
      <c r="O48" s="9"/>
      <c r="P48" s="113"/>
      <c r="Q48" s="113"/>
      <c r="R48" s="9"/>
      <c r="S48" s="113"/>
      <c r="T48" s="113"/>
      <c r="U48" s="9"/>
      <c r="V48" s="113"/>
      <c r="W48" s="113"/>
      <c r="X48" s="9"/>
      <c r="Y48" s="113"/>
      <c r="Z48" s="113"/>
      <c r="AA48" s="9"/>
      <c r="AB48" s="113"/>
      <c r="AC48" s="113"/>
      <c r="AD48" s="9"/>
      <c r="AE48" s="113"/>
      <c r="AF48" s="113"/>
      <c r="AG48" s="9"/>
      <c r="AH48" s="113"/>
    </row>
    <row r="49" spans="1:34" x14ac:dyDescent="0.25">
      <c r="A49"/>
      <c r="B49"/>
      <c r="C49" s="111" t="s">
        <v>101</v>
      </c>
      <c r="D49" s="112" t="s">
        <v>123</v>
      </c>
      <c r="E49" s="113"/>
      <c r="F49" s="9"/>
      <c r="G49" s="113"/>
      <c r="H49" s="113"/>
      <c r="I49" s="9"/>
      <c r="J49" s="113"/>
      <c r="K49" s="113"/>
      <c r="L49" s="9"/>
      <c r="M49" s="113"/>
      <c r="N49" s="113"/>
      <c r="O49" s="9"/>
      <c r="P49" s="113"/>
      <c r="Q49" s="113"/>
      <c r="R49" s="9"/>
      <c r="S49" s="113"/>
      <c r="T49" s="113"/>
      <c r="U49" s="9"/>
      <c r="V49" s="113"/>
      <c r="W49" s="113"/>
      <c r="X49" s="9"/>
      <c r="Y49" s="113"/>
      <c r="Z49" s="113"/>
      <c r="AA49" s="9"/>
      <c r="AB49" s="113"/>
      <c r="AC49" s="113"/>
      <c r="AD49" s="9"/>
      <c r="AE49" s="113"/>
      <c r="AF49" s="113"/>
      <c r="AG49" s="9"/>
      <c r="AH49" s="113"/>
    </row>
    <row r="50" spans="1:34" x14ac:dyDescent="0.25">
      <c r="A50"/>
      <c r="B50"/>
      <c r="C50" s="111" t="s">
        <v>128</v>
      </c>
      <c r="D50" s="112" t="s">
        <v>123</v>
      </c>
      <c r="E50" s="113"/>
      <c r="F50" s="9"/>
      <c r="G50" s="113"/>
      <c r="H50" s="113"/>
      <c r="I50" s="9"/>
      <c r="J50" s="113"/>
      <c r="K50" s="113"/>
      <c r="L50" s="9"/>
      <c r="M50" s="113"/>
      <c r="N50" s="113"/>
      <c r="O50" s="9"/>
      <c r="P50" s="113"/>
      <c r="Q50" s="113"/>
      <c r="R50" s="9"/>
      <c r="S50" s="113"/>
      <c r="T50" s="113"/>
      <c r="U50" s="9"/>
      <c r="V50" s="113"/>
      <c r="W50" s="113"/>
      <c r="X50" s="9"/>
      <c r="Y50" s="113"/>
      <c r="Z50" s="113"/>
      <c r="AA50" s="9"/>
      <c r="AB50" s="113"/>
      <c r="AC50" s="113"/>
      <c r="AD50" s="9"/>
      <c r="AE50" s="113"/>
      <c r="AF50" s="113"/>
      <c r="AG50" s="9"/>
      <c r="AH50" s="113"/>
    </row>
    <row r="51" spans="1:34" x14ac:dyDescent="0.25">
      <c r="A51"/>
      <c r="B51"/>
      <c r="C51" s="111" t="s">
        <v>129</v>
      </c>
      <c r="D51" s="112" t="s">
        <v>123</v>
      </c>
      <c r="E51" s="113"/>
      <c r="F51" s="9"/>
      <c r="G51" s="113"/>
      <c r="H51" s="113"/>
      <c r="I51" s="9"/>
      <c r="J51" s="113"/>
      <c r="K51" s="113"/>
      <c r="L51" s="9"/>
      <c r="M51" s="113"/>
      <c r="N51" s="113"/>
      <c r="O51" s="9"/>
      <c r="P51" s="113"/>
      <c r="Q51" s="113"/>
      <c r="R51" s="9"/>
      <c r="S51" s="113"/>
      <c r="T51" s="113"/>
      <c r="U51" s="9"/>
      <c r="V51" s="113"/>
      <c r="W51" s="113"/>
      <c r="X51" s="9"/>
      <c r="Y51" s="113"/>
      <c r="Z51" s="113"/>
      <c r="AA51" s="9"/>
      <c r="AB51" s="113"/>
      <c r="AC51" s="113"/>
      <c r="AD51" s="9"/>
      <c r="AE51" s="113"/>
      <c r="AF51" s="113"/>
      <c r="AG51" s="9"/>
      <c r="AH51" s="113"/>
    </row>
    <row r="52" spans="1:34" x14ac:dyDescent="0.25">
      <c r="A52"/>
      <c r="B52"/>
      <c r="C52" s="111" t="s">
        <v>130</v>
      </c>
      <c r="D52" s="112" t="s">
        <v>131</v>
      </c>
      <c r="E52" s="113"/>
      <c r="F52" s="12"/>
      <c r="G52" s="113"/>
      <c r="H52" s="113"/>
      <c r="I52" s="12"/>
      <c r="J52" s="113"/>
      <c r="K52" s="113"/>
      <c r="L52" s="12"/>
      <c r="M52" s="113"/>
      <c r="N52" s="113"/>
      <c r="O52" s="12"/>
      <c r="P52" s="113"/>
      <c r="Q52" s="113"/>
      <c r="R52" s="12"/>
      <c r="S52" s="113"/>
      <c r="T52" s="113"/>
      <c r="U52" s="12"/>
      <c r="V52" s="113"/>
      <c r="W52" s="113"/>
      <c r="X52" s="12"/>
      <c r="Y52" s="113"/>
      <c r="Z52" s="113"/>
      <c r="AA52" s="12"/>
      <c r="AB52" s="113"/>
      <c r="AC52" s="113"/>
      <c r="AD52" s="12"/>
      <c r="AE52" s="113"/>
      <c r="AF52" s="113"/>
      <c r="AG52" s="12"/>
      <c r="AH52" s="113"/>
    </row>
    <row r="53" spans="1:34" x14ac:dyDescent="0.25">
      <c r="A53"/>
      <c r="B53"/>
      <c r="C53" s="111" t="s">
        <v>132</v>
      </c>
      <c r="D53" s="112" t="s">
        <v>131</v>
      </c>
      <c r="E53" s="113"/>
      <c r="F53" s="12"/>
      <c r="G53" s="113"/>
      <c r="H53" s="113"/>
      <c r="I53" s="12"/>
      <c r="J53" s="113"/>
      <c r="K53" s="113"/>
      <c r="L53" s="12"/>
      <c r="M53" s="113"/>
      <c r="N53" s="113"/>
      <c r="O53" s="12"/>
      <c r="P53" s="113"/>
      <c r="Q53" s="113"/>
      <c r="R53" s="12"/>
      <c r="S53" s="113"/>
      <c r="T53" s="113"/>
      <c r="U53" s="12"/>
      <c r="V53" s="113"/>
      <c r="W53" s="113"/>
      <c r="X53" s="12"/>
      <c r="Y53" s="113"/>
      <c r="Z53" s="113"/>
      <c r="AA53" s="12"/>
      <c r="AB53" s="113"/>
      <c r="AC53" s="113"/>
      <c r="AD53" s="12"/>
      <c r="AE53" s="113"/>
      <c r="AF53" s="113"/>
      <c r="AG53" s="12"/>
      <c r="AH53" s="113"/>
    </row>
    <row r="54" spans="1:34" x14ac:dyDescent="0.25">
      <c r="A54"/>
      <c r="B54"/>
      <c r="C54" s="114" t="s">
        <v>133</v>
      </c>
      <c r="D54" s="112" t="s">
        <v>134</v>
      </c>
      <c r="E54" s="113"/>
      <c r="F54" s="12"/>
      <c r="G54" s="113"/>
      <c r="H54" s="113"/>
      <c r="I54" s="12"/>
      <c r="J54" s="113"/>
      <c r="K54" s="113"/>
      <c r="L54" s="12"/>
      <c r="M54" s="113"/>
      <c r="N54" s="113"/>
      <c r="O54" s="12"/>
      <c r="P54" s="113"/>
      <c r="Q54" s="113"/>
      <c r="R54" s="12"/>
      <c r="S54" s="113"/>
      <c r="T54" s="113"/>
      <c r="U54" s="12"/>
      <c r="V54" s="113"/>
      <c r="W54" s="113"/>
      <c r="X54" s="12"/>
      <c r="Y54" s="113"/>
      <c r="Z54" s="113"/>
      <c r="AA54" s="12"/>
      <c r="AB54" s="113"/>
      <c r="AC54" s="113"/>
      <c r="AD54" s="12"/>
      <c r="AE54" s="113"/>
      <c r="AF54" s="113"/>
      <c r="AG54" s="12"/>
      <c r="AH54" s="113"/>
    </row>
    <row r="55" spans="1:34" x14ac:dyDescent="0.25">
      <c r="A55"/>
      <c r="B55"/>
      <c r="C55" s="114" t="s">
        <v>135</v>
      </c>
      <c r="D55" s="112" t="s">
        <v>136</v>
      </c>
      <c r="E55" s="113"/>
      <c r="F55" s="12"/>
      <c r="G55" s="113"/>
      <c r="H55" s="113"/>
      <c r="I55" s="12"/>
      <c r="J55" s="113"/>
      <c r="K55" s="113"/>
      <c r="L55" s="12"/>
      <c r="M55" s="113"/>
      <c r="N55" s="113"/>
      <c r="O55" s="12"/>
      <c r="P55" s="113"/>
      <c r="Q55" s="113"/>
      <c r="R55" s="12"/>
      <c r="S55" s="113"/>
      <c r="T55" s="113"/>
      <c r="U55" s="12"/>
      <c r="V55" s="113"/>
      <c r="W55" s="113"/>
      <c r="X55" s="12"/>
      <c r="Y55" s="113"/>
      <c r="Z55" s="113"/>
      <c r="AA55" s="12"/>
      <c r="AB55" s="113"/>
      <c r="AC55" s="113"/>
      <c r="AD55" s="12"/>
      <c r="AE55" s="113"/>
      <c r="AF55" s="113"/>
      <c r="AG55" s="12"/>
      <c r="AH55" s="113"/>
    </row>
    <row r="56" spans="1:34" x14ac:dyDescent="0.25">
      <c r="C56" s="50"/>
    </row>
    <row r="58" spans="1:34" x14ac:dyDescent="0.25">
      <c r="A58" s="1" t="s">
        <v>10</v>
      </c>
      <c r="B58" s="1" t="s">
        <v>11</v>
      </c>
    </row>
    <row r="59" spans="1:34" x14ac:dyDescent="0.25">
      <c r="A59" s="1"/>
      <c r="B59" s="1"/>
    </row>
    <row r="60" spans="1:34" x14ac:dyDescent="0.25">
      <c r="A60" s="1" t="s">
        <v>12</v>
      </c>
      <c r="B60" s="1" t="s">
        <v>165</v>
      </c>
    </row>
    <row r="61" spans="1:34" x14ac:dyDescent="0.25">
      <c r="A61" s="1"/>
      <c r="B61" s="1" t="s">
        <v>137</v>
      </c>
    </row>
    <row r="62" spans="1:34" x14ac:dyDescent="0.25">
      <c r="A62" s="1"/>
      <c r="B62" s="1"/>
    </row>
    <row r="63" spans="1:34" x14ac:dyDescent="0.25">
      <c r="A63" s="1" t="s">
        <v>13</v>
      </c>
      <c r="B63" s="1" t="s">
        <v>14</v>
      </c>
    </row>
    <row r="64" spans="1:34" x14ac:dyDescent="0.25">
      <c r="A64" s="1"/>
      <c r="B64" s="1"/>
    </row>
    <row r="65" spans="1:2" ht="14.1" customHeight="1" x14ac:dyDescent="0.25">
      <c r="A65" s="1" t="s">
        <v>15</v>
      </c>
      <c r="B65" s="1" t="s">
        <v>16</v>
      </c>
    </row>
    <row r="66" spans="1:2" x14ac:dyDescent="0.25">
      <c r="A66" s="1"/>
      <c r="B66" s="1"/>
    </row>
    <row r="67" spans="1:2" ht="14.1" customHeight="1" x14ac:dyDescent="0.25">
      <c r="A67" s="1" t="s">
        <v>17</v>
      </c>
      <c r="B67" s="1" t="s">
        <v>18</v>
      </c>
    </row>
    <row r="68" spans="1:2" x14ac:dyDescent="0.25">
      <c r="A68" s="1"/>
      <c r="B68" s="1"/>
    </row>
    <row r="69" spans="1:2" x14ac:dyDescent="0.25">
      <c r="A69" s="1" t="s">
        <v>164</v>
      </c>
      <c r="B69" s="1" t="s">
        <v>168</v>
      </c>
    </row>
    <row r="70" spans="1:2" x14ac:dyDescent="0.25">
      <c r="A70" s="1"/>
      <c r="B70" s="1"/>
    </row>
    <row r="71" spans="1:2" x14ac:dyDescent="0.25">
      <c r="A71" s="1"/>
      <c r="B71" s="1"/>
    </row>
    <row r="72" spans="1:2" x14ac:dyDescent="0.25">
      <c r="A72" s="1"/>
      <c r="B72" s="1"/>
    </row>
    <row r="73" spans="1:2" x14ac:dyDescent="0.25">
      <c r="A73" s="1"/>
      <c r="B73" s="1"/>
    </row>
  </sheetData>
  <sheetProtection algorithmName="SHA-512" hashValue="jHkyH24FuayH1rovBothY/NIayq+NIDBcfUaZS8WFeFq1gTpMFwCesFY3Gp7Siu2ZgtEUa04SG4Q3fqnXHQGVA==" saltValue="W+GoP8ZyJaRsCuY9shkPlQ==" spinCount="100000" sheet="1" formatCells="0" formatColumns="0" formatRows="0"/>
  <mergeCells count="10">
    <mergeCell ref="T5:V5"/>
    <mergeCell ref="W5:Y5"/>
    <mergeCell ref="Z5:AB5"/>
    <mergeCell ref="AC5:AE5"/>
    <mergeCell ref="AF5:AH5"/>
    <mergeCell ref="E5:G5"/>
    <mergeCell ref="H5:J5"/>
    <mergeCell ref="K5:M5"/>
    <mergeCell ref="N5:P5"/>
    <mergeCell ref="Q5:S5"/>
  </mergeCells>
  <phoneticPr fontId="27" type="noConversion"/>
  <pageMargins left="0.7" right="0.7" top="0.75" bottom="0.75" header="0.3" footer="0.3"/>
  <pageSetup orientation="landscape" horizontalDpi="1200" verticalDpi="1200" r:id="rId1"/>
  <headerFooter>
    <oddFooter>&amp;L&amp;A&amp;CSource Selection Information
See FAR 2.101 &amp; 3.104
&amp;R&amp;P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5252-A1F2-4186-84FD-91A5556A1455}">
  <sheetPr>
    <tabColor rgb="FFFFFF99"/>
  </sheetPr>
  <dimension ref="A1:G63"/>
  <sheetViews>
    <sheetView zoomScale="80" zoomScaleNormal="80" workbookViewId="0">
      <selection activeCell="C10" sqref="C10"/>
    </sheetView>
  </sheetViews>
  <sheetFormatPr defaultColWidth="8.85546875" defaultRowHeight="12.75" x14ac:dyDescent="0.2"/>
  <cols>
    <col min="1" max="1" width="8.85546875" style="119"/>
    <col min="2" max="2" width="10.85546875" style="119" customWidth="1"/>
    <col min="3" max="3" width="56.140625" style="119" bestFit="1" customWidth="1"/>
    <col min="4" max="4" width="8.85546875" style="119"/>
    <col min="5" max="5" width="12.140625" style="119" customWidth="1"/>
    <col min="6" max="7" width="11.140625" style="119" customWidth="1"/>
    <col min="8" max="16384" width="8.85546875" style="119"/>
  </cols>
  <sheetData>
    <row r="1" spans="1:7" ht="15.75" customHeight="1" x14ac:dyDescent="0.2">
      <c r="A1" s="2" t="s">
        <v>34</v>
      </c>
      <c r="B1" s="2"/>
      <c r="C1" s="123" t="str">
        <f>'Pricing Matrix'!B1</f>
        <v>Insert Offeror Name</v>
      </c>
      <c r="D1" s="124" t="str">
        <f>'Pricing Matrix'!F1</f>
        <v>DRAFT PRICING MATRIX 31 March 2026</v>
      </c>
      <c r="E1" s="2"/>
      <c r="F1" s="125"/>
      <c r="G1" s="125"/>
    </row>
    <row r="2" spans="1:7" x14ac:dyDescent="0.2">
      <c r="A2" s="126" t="s">
        <v>138</v>
      </c>
      <c r="B2" s="127"/>
      <c r="C2" s="126"/>
      <c r="D2" s="128"/>
      <c r="E2" s="128"/>
      <c r="F2" s="128"/>
      <c r="G2" s="128"/>
    </row>
    <row r="3" spans="1:7" ht="39.950000000000003" customHeight="1" x14ac:dyDescent="0.2">
      <c r="A3" s="176" t="s">
        <v>139</v>
      </c>
      <c r="B3" s="176"/>
      <c r="C3" s="176"/>
      <c r="D3" s="176"/>
      <c r="E3" s="176"/>
      <c r="F3" s="176"/>
      <c r="G3" s="176"/>
    </row>
    <row r="4" spans="1:7" ht="24.95" customHeight="1" x14ac:dyDescent="0.2">
      <c r="A4" s="177" t="s">
        <v>140</v>
      </c>
      <c r="B4" s="177"/>
      <c r="C4" s="177"/>
      <c r="D4" s="177"/>
      <c r="E4" s="177"/>
      <c r="F4" s="177"/>
      <c r="G4" s="177"/>
    </row>
    <row r="5" spans="1:7" ht="12.4" customHeight="1" x14ac:dyDescent="0.2">
      <c r="A5" s="2"/>
      <c r="B5" s="2"/>
      <c r="C5" s="2"/>
      <c r="D5" s="2"/>
      <c r="E5" s="129"/>
      <c r="F5" s="129"/>
      <c r="G5" s="129"/>
    </row>
    <row r="6" spans="1:7" ht="26.1" customHeight="1" x14ac:dyDescent="0.2">
      <c r="A6" s="2"/>
      <c r="B6" s="130"/>
      <c r="C6" s="131" t="s">
        <v>141</v>
      </c>
      <c r="D6" s="130"/>
      <c r="E6" s="2"/>
      <c r="F6" s="2"/>
      <c r="G6" s="2"/>
    </row>
    <row r="7" spans="1:7" ht="14.25" x14ac:dyDescent="0.2">
      <c r="A7" s="132"/>
      <c r="B7" s="132"/>
      <c r="C7" s="132"/>
      <c r="D7" s="132"/>
      <c r="E7" s="178" t="s">
        <v>142</v>
      </c>
      <c r="F7" s="179"/>
      <c r="G7" s="180"/>
    </row>
    <row r="8" spans="1:7" ht="28.5" x14ac:dyDescent="0.2">
      <c r="A8" s="133" t="s">
        <v>57</v>
      </c>
      <c r="B8" s="133" t="s">
        <v>143</v>
      </c>
      <c r="C8" s="133" t="s">
        <v>20</v>
      </c>
      <c r="D8" s="134" t="s">
        <v>59</v>
      </c>
      <c r="E8" s="64" t="s">
        <v>144</v>
      </c>
      <c r="F8" s="64" t="s">
        <v>145</v>
      </c>
      <c r="G8" s="64" t="s">
        <v>146</v>
      </c>
    </row>
    <row r="9" spans="1:7" x14ac:dyDescent="0.2">
      <c r="A9" s="81" t="s">
        <v>76</v>
      </c>
      <c r="B9" s="82"/>
      <c r="C9" s="83" t="s">
        <v>147</v>
      </c>
      <c r="D9" s="135"/>
      <c r="E9" s="135"/>
      <c r="F9" s="135"/>
      <c r="G9" s="135"/>
    </row>
    <row r="10" spans="1:7" x14ac:dyDescent="0.2">
      <c r="A10" s="139" t="s">
        <v>78</v>
      </c>
      <c r="B10" s="138" t="s">
        <v>65</v>
      </c>
      <c r="C10" s="30"/>
      <c r="D10" s="138" t="s">
        <v>75</v>
      </c>
      <c r="E10" s="31"/>
      <c r="F10" s="32"/>
      <c r="G10" s="136">
        <f>ROUND((E10*F10),2)</f>
        <v>0</v>
      </c>
    </row>
    <row r="11" spans="1:7" x14ac:dyDescent="0.2">
      <c r="A11" s="139" t="s">
        <v>78</v>
      </c>
      <c r="B11" s="138" t="s">
        <v>65</v>
      </c>
      <c r="C11" s="30"/>
      <c r="D11" s="138" t="s">
        <v>75</v>
      </c>
      <c r="E11" s="31"/>
      <c r="F11" s="32"/>
      <c r="G11" s="136">
        <f t="shared" ref="G11:G62" si="0">ROUND((E11*F11),2)</f>
        <v>0</v>
      </c>
    </row>
    <row r="12" spans="1:7" x14ac:dyDescent="0.2">
      <c r="A12" s="139" t="s">
        <v>78</v>
      </c>
      <c r="B12" s="138" t="s">
        <v>65</v>
      </c>
      <c r="C12" s="30"/>
      <c r="D12" s="138" t="s">
        <v>75</v>
      </c>
      <c r="E12" s="31"/>
      <c r="F12" s="32"/>
      <c r="G12" s="136">
        <f t="shared" si="0"/>
        <v>0</v>
      </c>
    </row>
    <row r="13" spans="1:7" x14ac:dyDescent="0.2">
      <c r="A13" s="139" t="s">
        <v>78</v>
      </c>
      <c r="B13" s="138" t="s">
        <v>65</v>
      </c>
      <c r="C13" s="30"/>
      <c r="D13" s="138" t="s">
        <v>75</v>
      </c>
      <c r="E13" s="31"/>
      <c r="F13" s="32"/>
      <c r="G13" s="136">
        <f t="shared" si="0"/>
        <v>0</v>
      </c>
    </row>
    <row r="14" spans="1:7" x14ac:dyDescent="0.2">
      <c r="A14" s="139" t="s">
        <v>78</v>
      </c>
      <c r="B14" s="138" t="s">
        <v>65</v>
      </c>
      <c r="C14" s="30"/>
      <c r="D14" s="138" t="s">
        <v>75</v>
      </c>
      <c r="E14" s="31"/>
      <c r="F14" s="32"/>
      <c r="G14" s="136">
        <f t="shared" si="0"/>
        <v>0</v>
      </c>
    </row>
    <row r="15" spans="1:7" x14ac:dyDescent="0.2">
      <c r="A15" s="139" t="s">
        <v>78</v>
      </c>
      <c r="B15" s="138" t="s">
        <v>65</v>
      </c>
      <c r="C15" s="30"/>
      <c r="D15" s="138" t="s">
        <v>75</v>
      </c>
      <c r="E15" s="31"/>
      <c r="F15" s="32"/>
      <c r="G15" s="136">
        <f t="shared" si="0"/>
        <v>0</v>
      </c>
    </row>
    <row r="16" spans="1:7" x14ac:dyDescent="0.2">
      <c r="A16" s="139" t="s">
        <v>78</v>
      </c>
      <c r="B16" s="138" t="s">
        <v>65</v>
      </c>
      <c r="C16" s="30"/>
      <c r="D16" s="138" t="s">
        <v>75</v>
      </c>
      <c r="E16" s="31"/>
      <c r="F16" s="32"/>
      <c r="G16" s="136">
        <f t="shared" si="0"/>
        <v>0</v>
      </c>
    </row>
    <row r="17" spans="1:7" x14ac:dyDescent="0.2">
      <c r="A17" s="139" t="s">
        <v>78</v>
      </c>
      <c r="B17" s="138" t="s">
        <v>65</v>
      </c>
      <c r="C17" s="30"/>
      <c r="D17" s="138" t="s">
        <v>75</v>
      </c>
      <c r="E17" s="31"/>
      <c r="F17" s="32"/>
      <c r="G17" s="136">
        <f t="shared" si="0"/>
        <v>0</v>
      </c>
    </row>
    <row r="18" spans="1:7" x14ac:dyDescent="0.2">
      <c r="A18" s="139" t="s">
        <v>78</v>
      </c>
      <c r="B18" s="138" t="s">
        <v>65</v>
      </c>
      <c r="C18" s="30"/>
      <c r="D18" s="138" t="s">
        <v>75</v>
      </c>
      <c r="E18" s="31"/>
      <c r="F18" s="32"/>
      <c r="G18" s="136">
        <f t="shared" si="0"/>
        <v>0</v>
      </c>
    </row>
    <row r="19" spans="1:7" x14ac:dyDescent="0.2">
      <c r="A19" s="139" t="s">
        <v>78</v>
      </c>
      <c r="B19" s="138" t="s">
        <v>65</v>
      </c>
      <c r="C19" s="30"/>
      <c r="D19" s="138" t="s">
        <v>75</v>
      </c>
      <c r="E19" s="31"/>
      <c r="F19" s="32"/>
      <c r="G19" s="136">
        <f t="shared" si="0"/>
        <v>0</v>
      </c>
    </row>
    <row r="20" spans="1:7" x14ac:dyDescent="0.2">
      <c r="A20" s="139" t="s">
        <v>78</v>
      </c>
      <c r="B20" s="138" t="s">
        <v>65</v>
      </c>
      <c r="C20" s="30"/>
      <c r="D20" s="138" t="s">
        <v>75</v>
      </c>
      <c r="E20" s="31"/>
      <c r="F20" s="32"/>
      <c r="G20" s="136">
        <f t="shared" si="0"/>
        <v>0</v>
      </c>
    </row>
    <row r="21" spans="1:7" x14ac:dyDescent="0.2">
      <c r="A21" s="139" t="s">
        <v>78</v>
      </c>
      <c r="B21" s="138" t="s">
        <v>65</v>
      </c>
      <c r="C21" s="30"/>
      <c r="D21" s="138" t="s">
        <v>75</v>
      </c>
      <c r="E21" s="31"/>
      <c r="F21" s="32"/>
      <c r="G21" s="136">
        <f t="shared" si="0"/>
        <v>0</v>
      </c>
    </row>
    <row r="22" spans="1:7" x14ac:dyDescent="0.2">
      <c r="A22" s="139" t="s">
        <v>78</v>
      </c>
      <c r="B22" s="138" t="s">
        <v>65</v>
      </c>
      <c r="C22" s="30"/>
      <c r="D22" s="138" t="s">
        <v>75</v>
      </c>
      <c r="E22" s="31"/>
      <c r="F22" s="32"/>
      <c r="G22" s="136">
        <f t="shared" si="0"/>
        <v>0</v>
      </c>
    </row>
    <row r="23" spans="1:7" x14ac:dyDescent="0.2">
      <c r="A23" s="139" t="s">
        <v>78</v>
      </c>
      <c r="B23" s="138" t="s">
        <v>65</v>
      </c>
      <c r="C23" s="30"/>
      <c r="D23" s="138" t="s">
        <v>75</v>
      </c>
      <c r="E23" s="31"/>
      <c r="F23" s="32"/>
      <c r="G23" s="136">
        <f t="shared" si="0"/>
        <v>0</v>
      </c>
    </row>
    <row r="24" spans="1:7" x14ac:dyDescent="0.2">
      <c r="A24" s="139" t="s">
        <v>78</v>
      </c>
      <c r="B24" s="138" t="s">
        <v>65</v>
      </c>
      <c r="C24" s="30"/>
      <c r="D24" s="138" t="s">
        <v>75</v>
      </c>
      <c r="E24" s="31"/>
      <c r="F24" s="32"/>
      <c r="G24" s="136">
        <f t="shared" si="0"/>
        <v>0</v>
      </c>
    </row>
    <row r="25" spans="1:7" x14ac:dyDescent="0.2">
      <c r="A25" s="139" t="s">
        <v>78</v>
      </c>
      <c r="B25" s="138" t="s">
        <v>65</v>
      </c>
      <c r="C25" s="30"/>
      <c r="D25" s="138" t="s">
        <v>75</v>
      </c>
      <c r="E25" s="31"/>
      <c r="F25" s="32"/>
      <c r="G25" s="136">
        <f t="shared" si="0"/>
        <v>0</v>
      </c>
    </row>
    <row r="26" spans="1:7" x14ac:dyDescent="0.2">
      <c r="A26" s="139" t="s">
        <v>78</v>
      </c>
      <c r="B26" s="138" t="s">
        <v>65</v>
      </c>
      <c r="C26" s="30"/>
      <c r="D26" s="138" t="s">
        <v>75</v>
      </c>
      <c r="E26" s="31"/>
      <c r="F26" s="32"/>
      <c r="G26" s="136">
        <f t="shared" si="0"/>
        <v>0</v>
      </c>
    </row>
    <row r="27" spans="1:7" x14ac:dyDescent="0.2">
      <c r="A27" s="139" t="s">
        <v>78</v>
      </c>
      <c r="B27" s="138" t="s">
        <v>65</v>
      </c>
      <c r="C27" s="30"/>
      <c r="D27" s="138" t="s">
        <v>75</v>
      </c>
      <c r="E27" s="31"/>
      <c r="F27" s="32"/>
      <c r="G27" s="136">
        <f t="shared" si="0"/>
        <v>0</v>
      </c>
    </row>
    <row r="28" spans="1:7" x14ac:dyDescent="0.2">
      <c r="A28" s="139" t="s">
        <v>78</v>
      </c>
      <c r="B28" s="138" t="s">
        <v>65</v>
      </c>
      <c r="C28" s="30"/>
      <c r="D28" s="138" t="s">
        <v>75</v>
      </c>
      <c r="E28" s="31"/>
      <c r="F28" s="32"/>
      <c r="G28" s="136">
        <f t="shared" si="0"/>
        <v>0</v>
      </c>
    </row>
    <row r="29" spans="1:7" x14ac:dyDescent="0.2">
      <c r="A29" s="139" t="s">
        <v>78</v>
      </c>
      <c r="B29" s="138" t="s">
        <v>65</v>
      </c>
      <c r="C29" s="30"/>
      <c r="D29" s="138" t="s">
        <v>75</v>
      </c>
      <c r="E29" s="31"/>
      <c r="F29" s="32"/>
      <c r="G29" s="136">
        <f t="shared" si="0"/>
        <v>0</v>
      </c>
    </row>
    <row r="30" spans="1:7" x14ac:dyDescent="0.2">
      <c r="A30" s="139" t="s">
        <v>78</v>
      </c>
      <c r="B30" s="138" t="s">
        <v>65</v>
      </c>
      <c r="C30" s="30"/>
      <c r="D30" s="138" t="s">
        <v>75</v>
      </c>
      <c r="E30" s="31"/>
      <c r="F30" s="32"/>
      <c r="G30" s="136">
        <f t="shared" si="0"/>
        <v>0</v>
      </c>
    </row>
    <row r="31" spans="1:7" x14ac:dyDescent="0.2">
      <c r="A31" s="139" t="s">
        <v>78</v>
      </c>
      <c r="B31" s="138" t="s">
        <v>65</v>
      </c>
      <c r="C31" s="30"/>
      <c r="D31" s="138" t="s">
        <v>75</v>
      </c>
      <c r="E31" s="31"/>
      <c r="F31" s="32"/>
      <c r="G31" s="136">
        <f t="shared" si="0"/>
        <v>0</v>
      </c>
    </row>
    <row r="32" spans="1:7" x14ac:dyDescent="0.2">
      <c r="A32" s="139" t="s">
        <v>78</v>
      </c>
      <c r="B32" s="138" t="s">
        <v>65</v>
      </c>
      <c r="C32" s="30"/>
      <c r="D32" s="138" t="s">
        <v>75</v>
      </c>
      <c r="E32" s="31"/>
      <c r="F32" s="32"/>
      <c r="G32" s="136">
        <f t="shared" si="0"/>
        <v>0</v>
      </c>
    </row>
    <row r="33" spans="1:7" x14ac:dyDescent="0.2">
      <c r="A33" s="139" t="s">
        <v>78</v>
      </c>
      <c r="B33" s="138" t="s">
        <v>65</v>
      </c>
      <c r="C33" s="30"/>
      <c r="D33" s="138" t="s">
        <v>75</v>
      </c>
      <c r="E33" s="31"/>
      <c r="F33" s="32"/>
      <c r="G33" s="136">
        <f t="shared" si="0"/>
        <v>0</v>
      </c>
    </row>
    <row r="34" spans="1:7" x14ac:dyDescent="0.2">
      <c r="A34" s="139" t="s">
        <v>78</v>
      </c>
      <c r="B34" s="138" t="s">
        <v>65</v>
      </c>
      <c r="C34" s="30"/>
      <c r="D34" s="138" t="s">
        <v>75</v>
      </c>
      <c r="E34" s="31"/>
      <c r="F34" s="32"/>
      <c r="G34" s="136">
        <f t="shared" si="0"/>
        <v>0</v>
      </c>
    </row>
    <row r="35" spans="1:7" x14ac:dyDescent="0.2">
      <c r="A35" s="139" t="s">
        <v>78</v>
      </c>
      <c r="B35" s="138" t="s">
        <v>65</v>
      </c>
      <c r="C35" s="30"/>
      <c r="D35" s="138" t="s">
        <v>75</v>
      </c>
      <c r="E35" s="31"/>
      <c r="F35" s="32"/>
      <c r="G35" s="136">
        <f t="shared" si="0"/>
        <v>0</v>
      </c>
    </row>
    <row r="36" spans="1:7" x14ac:dyDescent="0.2">
      <c r="A36" s="139" t="s">
        <v>78</v>
      </c>
      <c r="B36" s="138" t="s">
        <v>65</v>
      </c>
      <c r="C36" s="30"/>
      <c r="D36" s="138" t="s">
        <v>75</v>
      </c>
      <c r="E36" s="31"/>
      <c r="F36" s="32"/>
      <c r="G36" s="136">
        <f t="shared" si="0"/>
        <v>0</v>
      </c>
    </row>
    <row r="37" spans="1:7" x14ac:dyDescent="0.2">
      <c r="A37" s="139" t="s">
        <v>78</v>
      </c>
      <c r="B37" s="138" t="s">
        <v>65</v>
      </c>
      <c r="C37" s="30"/>
      <c r="D37" s="138" t="s">
        <v>75</v>
      </c>
      <c r="E37" s="31"/>
      <c r="F37" s="32"/>
      <c r="G37" s="136">
        <f t="shared" si="0"/>
        <v>0</v>
      </c>
    </row>
    <row r="38" spans="1:7" x14ac:dyDescent="0.2">
      <c r="A38" s="139" t="s">
        <v>78</v>
      </c>
      <c r="B38" s="138" t="s">
        <v>65</v>
      </c>
      <c r="C38" s="30"/>
      <c r="D38" s="138" t="s">
        <v>75</v>
      </c>
      <c r="E38" s="31"/>
      <c r="F38" s="32"/>
      <c r="G38" s="136">
        <f t="shared" si="0"/>
        <v>0</v>
      </c>
    </row>
    <row r="39" spans="1:7" x14ac:dyDescent="0.2">
      <c r="A39" s="139" t="s">
        <v>78</v>
      </c>
      <c r="B39" s="138" t="s">
        <v>65</v>
      </c>
      <c r="C39" s="30"/>
      <c r="D39" s="138" t="s">
        <v>75</v>
      </c>
      <c r="E39" s="31"/>
      <c r="F39" s="32"/>
      <c r="G39" s="136">
        <f t="shared" si="0"/>
        <v>0</v>
      </c>
    </row>
    <row r="40" spans="1:7" x14ac:dyDescent="0.2">
      <c r="A40" s="139" t="s">
        <v>78</v>
      </c>
      <c r="B40" s="138" t="s">
        <v>65</v>
      </c>
      <c r="C40" s="30"/>
      <c r="D40" s="138" t="s">
        <v>75</v>
      </c>
      <c r="E40" s="31"/>
      <c r="F40" s="32"/>
      <c r="G40" s="136">
        <f t="shared" si="0"/>
        <v>0</v>
      </c>
    </row>
    <row r="41" spans="1:7" x14ac:dyDescent="0.2">
      <c r="A41" s="139" t="s">
        <v>78</v>
      </c>
      <c r="B41" s="138" t="s">
        <v>65</v>
      </c>
      <c r="C41" s="30"/>
      <c r="D41" s="138" t="s">
        <v>75</v>
      </c>
      <c r="E41" s="31"/>
      <c r="F41" s="32"/>
      <c r="G41" s="136">
        <f t="shared" si="0"/>
        <v>0</v>
      </c>
    </row>
    <row r="42" spans="1:7" x14ac:dyDescent="0.2">
      <c r="A42" s="139" t="s">
        <v>78</v>
      </c>
      <c r="B42" s="138" t="s">
        <v>65</v>
      </c>
      <c r="C42" s="30"/>
      <c r="D42" s="138" t="s">
        <v>75</v>
      </c>
      <c r="E42" s="31"/>
      <c r="F42" s="32"/>
      <c r="G42" s="136">
        <f t="shared" si="0"/>
        <v>0</v>
      </c>
    </row>
    <row r="43" spans="1:7" x14ac:dyDescent="0.2">
      <c r="A43" s="139" t="s">
        <v>78</v>
      </c>
      <c r="B43" s="138" t="s">
        <v>65</v>
      </c>
      <c r="C43" s="30"/>
      <c r="D43" s="138" t="s">
        <v>75</v>
      </c>
      <c r="E43" s="31"/>
      <c r="F43" s="32"/>
      <c r="G43" s="136">
        <f t="shared" si="0"/>
        <v>0</v>
      </c>
    </row>
    <row r="44" spans="1:7" x14ac:dyDescent="0.2">
      <c r="A44" s="139" t="s">
        <v>78</v>
      </c>
      <c r="B44" s="138" t="s">
        <v>65</v>
      </c>
      <c r="C44" s="30"/>
      <c r="D44" s="138" t="s">
        <v>75</v>
      </c>
      <c r="E44" s="31"/>
      <c r="F44" s="32"/>
      <c r="G44" s="136">
        <f t="shared" si="0"/>
        <v>0</v>
      </c>
    </row>
    <row r="45" spans="1:7" x14ac:dyDescent="0.2">
      <c r="A45" s="139" t="s">
        <v>78</v>
      </c>
      <c r="B45" s="138" t="s">
        <v>65</v>
      </c>
      <c r="C45" s="30"/>
      <c r="D45" s="138" t="s">
        <v>75</v>
      </c>
      <c r="E45" s="31"/>
      <c r="F45" s="32"/>
      <c r="G45" s="136">
        <f t="shared" si="0"/>
        <v>0</v>
      </c>
    </row>
    <row r="46" spans="1:7" x14ac:dyDescent="0.2">
      <c r="A46" s="139" t="s">
        <v>78</v>
      </c>
      <c r="B46" s="138" t="s">
        <v>65</v>
      </c>
      <c r="C46" s="30"/>
      <c r="D46" s="138" t="s">
        <v>75</v>
      </c>
      <c r="E46" s="31"/>
      <c r="F46" s="32"/>
      <c r="G46" s="136">
        <f t="shared" si="0"/>
        <v>0</v>
      </c>
    </row>
    <row r="47" spans="1:7" x14ac:dyDescent="0.2">
      <c r="A47" s="139" t="s">
        <v>78</v>
      </c>
      <c r="B47" s="138" t="s">
        <v>65</v>
      </c>
      <c r="C47" s="30"/>
      <c r="D47" s="138" t="s">
        <v>75</v>
      </c>
      <c r="E47" s="31"/>
      <c r="F47" s="32"/>
      <c r="G47" s="136">
        <f t="shared" si="0"/>
        <v>0</v>
      </c>
    </row>
    <row r="48" spans="1:7" x14ac:dyDescent="0.2">
      <c r="A48" s="139" t="s">
        <v>78</v>
      </c>
      <c r="B48" s="138" t="s">
        <v>65</v>
      </c>
      <c r="C48" s="30"/>
      <c r="D48" s="138" t="s">
        <v>75</v>
      </c>
      <c r="E48" s="31"/>
      <c r="F48" s="32"/>
      <c r="G48" s="136">
        <f t="shared" si="0"/>
        <v>0</v>
      </c>
    </row>
    <row r="49" spans="1:7" x14ac:dyDescent="0.2">
      <c r="A49" s="139" t="s">
        <v>78</v>
      </c>
      <c r="B49" s="138" t="s">
        <v>65</v>
      </c>
      <c r="C49" s="30"/>
      <c r="D49" s="138" t="s">
        <v>75</v>
      </c>
      <c r="E49" s="31"/>
      <c r="F49" s="32"/>
      <c r="G49" s="136">
        <f t="shared" si="0"/>
        <v>0</v>
      </c>
    </row>
    <row r="50" spans="1:7" x14ac:dyDescent="0.2">
      <c r="A50" s="139" t="s">
        <v>78</v>
      </c>
      <c r="B50" s="138" t="s">
        <v>65</v>
      </c>
      <c r="C50" s="30"/>
      <c r="D50" s="138" t="s">
        <v>75</v>
      </c>
      <c r="E50" s="31"/>
      <c r="F50" s="32"/>
      <c r="G50" s="136">
        <f t="shared" si="0"/>
        <v>0</v>
      </c>
    </row>
    <row r="51" spans="1:7" x14ac:dyDescent="0.2">
      <c r="A51" s="139" t="s">
        <v>78</v>
      </c>
      <c r="B51" s="138" t="s">
        <v>65</v>
      </c>
      <c r="C51" s="30"/>
      <c r="D51" s="138" t="s">
        <v>75</v>
      </c>
      <c r="E51" s="31"/>
      <c r="F51" s="32"/>
      <c r="G51" s="136">
        <f t="shared" si="0"/>
        <v>0</v>
      </c>
    </row>
    <row r="52" spans="1:7" x14ac:dyDescent="0.2">
      <c r="A52" s="139" t="s">
        <v>78</v>
      </c>
      <c r="B52" s="138" t="s">
        <v>65</v>
      </c>
      <c r="C52" s="30"/>
      <c r="D52" s="138" t="s">
        <v>75</v>
      </c>
      <c r="E52" s="31"/>
      <c r="F52" s="32"/>
      <c r="G52" s="136">
        <f t="shared" si="0"/>
        <v>0</v>
      </c>
    </row>
    <row r="53" spans="1:7" x14ac:dyDescent="0.2">
      <c r="A53" s="139" t="s">
        <v>78</v>
      </c>
      <c r="B53" s="138" t="s">
        <v>65</v>
      </c>
      <c r="C53" s="30"/>
      <c r="D53" s="138" t="s">
        <v>75</v>
      </c>
      <c r="E53" s="31"/>
      <c r="F53" s="32"/>
      <c r="G53" s="136">
        <f t="shared" si="0"/>
        <v>0</v>
      </c>
    </row>
    <row r="54" spans="1:7" x14ac:dyDescent="0.2">
      <c r="A54" s="139" t="s">
        <v>78</v>
      </c>
      <c r="B54" s="138" t="s">
        <v>65</v>
      </c>
      <c r="C54" s="30"/>
      <c r="D54" s="138" t="s">
        <v>75</v>
      </c>
      <c r="E54" s="31"/>
      <c r="F54" s="32"/>
      <c r="G54" s="136">
        <f t="shared" si="0"/>
        <v>0</v>
      </c>
    </row>
    <row r="55" spans="1:7" x14ac:dyDescent="0.2">
      <c r="A55" s="139" t="s">
        <v>78</v>
      </c>
      <c r="B55" s="138" t="s">
        <v>65</v>
      </c>
      <c r="C55" s="30"/>
      <c r="D55" s="138" t="s">
        <v>75</v>
      </c>
      <c r="E55" s="31"/>
      <c r="F55" s="32"/>
      <c r="G55" s="136">
        <f t="shared" si="0"/>
        <v>0</v>
      </c>
    </row>
    <row r="56" spans="1:7" x14ac:dyDescent="0.2">
      <c r="A56" s="139" t="s">
        <v>78</v>
      </c>
      <c r="B56" s="138" t="s">
        <v>65</v>
      </c>
      <c r="C56" s="30"/>
      <c r="D56" s="138" t="s">
        <v>75</v>
      </c>
      <c r="E56" s="31"/>
      <c r="F56" s="32"/>
      <c r="G56" s="136">
        <f t="shared" si="0"/>
        <v>0</v>
      </c>
    </row>
    <row r="57" spans="1:7" x14ac:dyDescent="0.2">
      <c r="A57" s="139" t="s">
        <v>78</v>
      </c>
      <c r="B57" s="138" t="s">
        <v>65</v>
      </c>
      <c r="C57" s="30"/>
      <c r="D57" s="138" t="s">
        <v>75</v>
      </c>
      <c r="E57" s="31"/>
      <c r="F57" s="32"/>
      <c r="G57" s="136">
        <f t="shared" si="0"/>
        <v>0</v>
      </c>
    </row>
    <row r="58" spans="1:7" x14ac:dyDescent="0.2">
      <c r="A58" s="139" t="s">
        <v>78</v>
      </c>
      <c r="B58" s="138" t="s">
        <v>65</v>
      </c>
      <c r="C58" s="30"/>
      <c r="D58" s="138" t="s">
        <v>75</v>
      </c>
      <c r="E58" s="31"/>
      <c r="F58" s="32"/>
      <c r="G58" s="136">
        <f t="shared" si="0"/>
        <v>0</v>
      </c>
    </row>
    <row r="59" spans="1:7" x14ac:dyDescent="0.2">
      <c r="A59" s="139" t="s">
        <v>78</v>
      </c>
      <c r="B59" s="138" t="s">
        <v>65</v>
      </c>
      <c r="C59" s="30"/>
      <c r="D59" s="138" t="s">
        <v>75</v>
      </c>
      <c r="E59" s="31"/>
      <c r="F59" s="32"/>
      <c r="G59" s="136">
        <f t="shared" si="0"/>
        <v>0</v>
      </c>
    </row>
    <row r="60" spans="1:7" x14ac:dyDescent="0.2">
      <c r="A60" s="139" t="s">
        <v>78</v>
      </c>
      <c r="B60" s="138" t="s">
        <v>65</v>
      </c>
      <c r="C60" s="30"/>
      <c r="D60" s="138" t="s">
        <v>75</v>
      </c>
      <c r="E60" s="31"/>
      <c r="F60" s="32"/>
      <c r="G60" s="136">
        <f t="shared" si="0"/>
        <v>0</v>
      </c>
    </row>
    <row r="61" spans="1:7" x14ac:dyDescent="0.2">
      <c r="A61" s="139" t="s">
        <v>78</v>
      </c>
      <c r="B61" s="138" t="s">
        <v>65</v>
      </c>
      <c r="C61" s="30"/>
      <c r="D61" s="138" t="s">
        <v>75</v>
      </c>
      <c r="E61" s="31"/>
      <c r="F61" s="32"/>
      <c r="G61" s="136">
        <f t="shared" si="0"/>
        <v>0</v>
      </c>
    </row>
    <row r="62" spans="1:7" x14ac:dyDescent="0.2">
      <c r="A62" s="139" t="s">
        <v>78</v>
      </c>
      <c r="B62" s="138" t="s">
        <v>65</v>
      </c>
      <c r="C62" s="30"/>
      <c r="D62" s="138" t="s">
        <v>75</v>
      </c>
      <c r="E62" s="31"/>
      <c r="F62" s="32"/>
      <c r="G62" s="137">
        <f t="shared" si="0"/>
        <v>0</v>
      </c>
    </row>
    <row r="63" spans="1:7" ht="16.7" customHeight="1" x14ac:dyDescent="0.2">
      <c r="C63" s="120" t="s">
        <v>148</v>
      </c>
      <c r="D63" s="121"/>
      <c r="E63" s="121"/>
      <c r="F63" s="121"/>
      <c r="G63" s="122">
        <f>SUM(G10:G62)</f>
        <v>0</v>
      </c>
    </row>
  </sheetData>
  <sheetProtection algorithmName="SHA-512" hashValue="jTBLPVgCXyYsQ+AloKooyguVZOvjqOh3sLvBPXmttICb2bzzqvkl3WEUuflwO9FCmXJZEnuFVDPSpeJmX7JJ/Q==" saltValue="Q0H9wW2wuUrIQMgkep3WfQ==" spinCount="100000" sheet="1" objects="1" scenarios="1" formatCells="0" formatColumns="0" formatRows="0" insertColumns="0" insertRows="0"/>
  <mergeCells count="3">
    <mergeCell ref="A3:G3"/>
    <mergeCell ref="A4:G4"/>
    <mergeCell ref="E7:G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C8FA-DB50-4491-AC65-1B3A7603C8EF}">
  <sheetPr>
    <tabColor rgb="FFFFFF99"/>
  </sheetPr>
  <dimension ref="A1:G63"/>
  <sheetViews>
    <sheetView zoomScale="80" zoomScaleNormal="80" workbookViewId="0">
      <selection activeCell="C10" sqref="C10"/>
    </sheetView>
  </sheetViews>
  <sheetFormatPr defaultColWidth="8.85546875" defaultRowHeight="12.75" x14ac:dyDescent="0.2"/>
  <cols>
    <col min="1" max="1" width="8.85546875" style="119"/>
    <col min="2" max="2" width="10.85546875" style="119" customWidth="1"/>
    <col min="3" max="3" width="56.140625" style="119" bestFit="1" customWidth="1"/>
    <col min="4" max="4" width="8.85546875" style="119"/>
    <col min="5" max="5" width="12.140625" style="119" customWidth="1"/>
    <col min="6" max="7" width="11.140625" style="119" customWidth="1"/>
    <col min="8" max="16384" width="8.85546875" style="119"/>
  </cols>
  <sheetData>
    <row r="1" spans="1:7" ht="15.75" customHeight="1" x14ac:dyDescent="0.2">
      <c r="A1" s="2" t="s">
        <v>34</v>
      </c>
      <c r="B1" s="2"/>
      <c r="C1" s="123" t="str">
        <f>'Pricing Matrix'!B1</f>
        <v>Insert Offeror Name</v>
      </c>
      <c r="D1" s="124" t="str">
        <f>'Pricing Matrix'!F1</f>
        <v>DRAFT PRICING MATRIX 31 March 2026</v>
      </c>
      <c r="E1" s="2"/>
      <c r="F1" s="125"/>
      <c r="G1" s="125"/>
    </row>
    <row r="2" spans="1:7" x14ac:dyDescent="0.2">
      <c r="A2" s="126" t="s">
        <v>138</v>
      </c>
      <c r="B2" s="127"/>
      <c r="C2" s="126"/>
      <c r="D2" s="128"/>
      <c r="E2" s="128"/>
      <c r="F2" s="128"/>
      <c r="G2" s="128"/>
    </row>
    <row r="3" spans="1:7" ht="39.950000000000003" customHeight="1" x14ac:dyDescent="0.2">
      <c r="A3" s="176" t="s">
        <v>149</v>
      </c>
      <c r="B3" s="176"/>
      <c r="C3" s="176"/>
      <c r="D3" s="176"/>
      <c r="E3" s="176"/>
      <c r="F3" s="176"/>
      <c r="G3" s="176"/>
    </row>
    <row r="4" spans="1:7" ht="24.95" customHeight="1" x14ac:dyDescent="0.2">
      <c r="A4" s="177" t="s">
        <v>150</v>
      </c>
      <c r="B4" s="177"/>
      <c r="C4" s="177"/>
      <c r="D4" s="177"/>
      <c r="E4" s="177"/>
      <c r="F4" s="177"/>
      <c r="G4" s="177"/>
    </row>
    <row r="5" spans="1:7" ht="12.4" customHeight="1" x14ac:dyDescent="0.2">
      <c r="A5" s="2"/>
      <c r="B5" s="2"/>
      <c r="C5" s="2"/>
      <c r="D5" s="2"/>
      <c r="E5" s="129"/>
      <c r="F5" s="129"/>
      <c r="G5" s="129"/>
    </row>
    <row r="6" spans="1:7" ht="26.1" customHeight="1" x14ac:dyDescent="0.2">
      <c r="A6" s="2"/>
      <c r="B6" s="130"/>
      <c r="C6" s="131" t="s">
        <v>141</v>
      </c>
      <c r="D6" s="130"/>
      <c r="E6" s="2"/>
      <c r="F6" s="2"/>
      <c r="G6" s="2"/>
    </row>
    <row r="7" spans="1:7" ht="14.25" x14ac:dyDescent="0.2">
      <c r="A7" s="132"/>
      <c r="B7" s="132"/>
      <c r="C7" s="132"/>
      <c r="D7" s="132"/>
      <c r="E7" s="178" t="s">
        <v>142</v>
      </c>
      <c r="F7" s="179"/>
      <c r="G7" s="180"/>
    </row>
    <row r="8" spans="1:7" ht="28.5" x14ac:dyDescent="0.2">
      <c r="A8" s="133" t="s">
        <v>57</v>
      </c>
      <c r="B8" s="133" t="s">
        <v>143</v>
      </c>
      <c r="C8" s="133" t="s">
        <v>20</v>
      </c>
      <c r="D8" s="134" t="s">
        <v>59</v>
      </c>
      <c r="E8" s="64" t="s">
        <v>144</v>
      </c>
      <c r="F8" s="64" t="s">
        <v>145</v>
      </c>
      <c r="G8" s="64" t="s">
        <v>146</v>
      </c>
    </row>
    <row r="9" spans="1:7" x14ac:dyDescent="0.2">
      <c r="A9" s="81" t="s">
        <v>82</v>
      </c>
      <c r="B9" s="82"/>
      <c r="C9" s="83" t="s">
        <v>151</v>
      </c>
      <c r="D9" s="135"/>
      <c r="E9" s="135"/>
      <c r="F9" s="135"/>
      <c r="G9" s="135"/>
    </row>
    <row r="10" spans="1:7" x14ac:dyDescent="0.2">
      <c r="A10" s="139" t="s">
        <v>84</v>
      </c>
      <c r="B10" s="138" t="s">
        <v>65</v>
      </c>
      <c r="C10" s="30"/>
      <c r="D10" s="138" t="s">
        <v>75</v>
      </c>
      <c r="E10" s="31"/>
      <c r="F10" s="32"/>
      <c r="G10" s="136">
        <f>ROUND((E10*F10),2)</f>
        <v>0</v>
      </c>
    </row>
    <row r="11" spans="1:7" x14ac:dyDescent="0.2">
      <c r="A11" s="139" t="s">
        <v>84</v>
      </c>
      <c r="B11" s="138" t="s">
        <v>65</v>
      </c>
      <c r="C11" s="30"/>
      <c r="D11" s="138" t="s">
        <v>75</v>
      </c>
      <c r="E11" s="31"/>
      <c r="F11" s="32"/>
      <c r="G11" s="136">
        <f t="shared" ref="G11:G62" si="0">ROUND((E11*F11),2)</f>
        <v>0</v>
      </c>
    </row>
    <row r="12" spans="1:7" x14ac:dyDescent="0.2">
      <c r="A12" s="139" t="s">
        <v>84</v>
      </c>
      <c r="B12" s="138" t="s">
        <v>65</v>
      </c>
      <c r="C12" s="30"/>
      <c r="D12" s="138" t="s">
        <v>75</v>
      </c>
      <c r="E12" s="31"/>
      <c r="F12" s="32"/>
      <c r="G12" s="136">
        <f t="shared" si="0"/>
        <v>0</v>
      </c>
    </row>
    <row r="13" spans="1:7" x14ac:dyDescent="0.2">
      <c r="A13" s="139" t="s">
        <v>84</v>
      </c>
      <c r="B13" s="138" t="s">
        <v>65</v>
      </c>
      <c r="C13" s="30"/>
      <c r="D13" s="138" t="s">
        <v>75</v>
      </c>
      <c r="E13" s="31"/>
      <c r="F13" s="32"/>
      <c r="G13" s="136">
        <f t="shared" si="0"/>
        <v>0</v>
      </c>
    </row>
    <row r="14" spans="1:7" x14ac:dyDescent="0.2">
      <c r="A14" s="139" t="s">
        <v>84</v>
      </c>
      <c r="B14" s="138" t="s">
        <v>65</v>
      </c>
      <c r="C14" s="30"/>
      <c r="D14" s="138" t="s">
        <v>75</v>
      </c>
      <c r="E14" s="31"/>
      <c r="F14" s="32"/>
      <c r="G14" s="136">
        <f t="shared" si="0"/>
        <v>0</v>
      </c>
    </row>
    <row r="15" spans="1:7" x14ac:dyDescent="0.2">
      <c r="A15" s="139" t="s">
        <v>84</v>
      </c>
      <c r="B15" s="138" t="s">
        <v>65</v>
      </c>
      <c r="C15" s="30"/>
      <c r="D15" s="138" t="s">
        <v>75</v>
      </c>
      <c r="E15" s="31"/>
      <c r="F15" s="32"/>
      <c r="G15" s="136">
        <f t="shared" si="0"/>
        <v>0</v>
      </c>
    </row>
    <row r="16" spans="1:7" x14ac:dyDescent="0.2">
      <c r="A16" s="139" t="s">
        <v>84</v>
      </c>
      <c r="B16" s="138" t="s">
        <v>65</v>
      </c>
      <c r="C16" s="30"/>
      <c r="D16" s="138" t="s">
        <v>75</v>
      </c>
      <c r="E16" s="31"/>
      <c r="F16" s="32"/>
      <c r="G16" s="136">
        <f t="shared" si="0"/>
        <v>0</v>
      </c>
    </row>
    <row r="17" spans="1:7" x14ac:dyDescent="0.2">
      <c r="A17" s="139" t="s">
        <v>84</v>
      </c>
      <c r="B17" s="138" t="s">
        <v>65</v>
      </c>
      <c r="C17" s="30"/>
      <c r="D17" s="138" t="s">
        <v>75</v>
      </c>
      <c r="E17" s="31"/>
      <c r="F17" s="32"/>
      <c r="G17" s="136">
        <f t="shared" si="0"/>
        <v>0</v>
      </c>
    </row>
    <row r="18" spans="1:7" x14ac:dyDescent="0.2">
      <c r="A18" s="139" t="s">
        <v>84</v>
      </c>
      <c r="B18" s="138" t="s">
        <v>65</v>
      </c>
      <c r="C18" s="30"/>
      <c r="D18" s="138" t="s">
        <v>75</v>
      </c>
      <c r="E18" s="31"/>
      <c r="F18" s="32"/>
      <c r="G18" s="136">
        <f t="shared" si="0"/>
        <v>0</v>
      </c>
    </row>
    <row r="19" spans="1:7" x14ac:dyDescent="0.2">
      <c r="A19" s="139" t="s">
        <v>84</v>
      </c>
      <c r="B19" s="138" t="s">
        <v>65</v>
      </c>
      <c r="C19" s="30"/>
      <c r="D19" s="138" t="s">
        <v>75</v>
      </c>
      <c r="E19" s="31"/>
      <c r="F19" s="32"/>
      <c r="G19" s="136">
        <f t="shared" si="0"/>
        <v>0</v>
      </c>
    </row>
    <row r="20" spans="1:7" x14ac:dyDescent="0.2">
      <c r="A20" s="139" t="s">
        <v>84</v>
      </c>
      <c r="B20" s="138" t="s">
        <v>65</v>
      </c>
      <c r="C20" s="30"/>
      <c r="D20" s="138" t="s">
        <v>75</v>
      </c>
      <c r="E20" s="31"/>
      <c r="F20" s="32"/>
      <c r="G20" s="136">
        <f t="shared" si="0"/>
        <v>0</v>
      </c>
    </row>
    <row r="21" spans="1:7" x14ac:dyDescent="0.2">
      <c r="A21" s="139" t="s">
        <v>84</v>
      </c>
      <c r="B21" s="138" t="s">
        <v>65</v>
      </c>
      <c r="C21" s="30"/>
      <c r="D21" s="138" t="s">
        <v>75</v>
      </c>
      <c r="E21" s="31"/>
      <c r="F21" s="32"/>
      <c r="G21" s="136">
        <f t="shared" si="0"/>
        <v>0</v>
      </c>
    </row>
    <row r="22" spans="1:7" x14ac:dyDescent="0.2">
      <c r="A22" s="139" t="s">
        <v>84</v>
      </c>
      <c r="B22" s="138" t="s">
        <v>65</v>
      </c>
      <c r="C22" s="30"/>
      <c r="D22" s="138" t="s">
        <v>75</v>
      </c>
      <c r="E22" s="31"/>
      <c r="F22" s="32"/>
      <c r="G22" s="136">
        <f t="shared" si="0"/>
        <v>0</v>
      </c>
    </row>
    <row r="23" spans="1:7" x14ac:dyDescent="0.2">
      <c r="A23" s="139" t="s">
        <v>84</v>
      </c>
      <c r="B23" s="138" t="s">
        <v>65</v>
      </c>
      <c r="C23" s="30"/>
      <c r="D23" s="138" t="s">
        <v>75</v>
      </c>
      <c r="E23" s="31"/>
      <c r="F23" s="32"/>
      <c r="G23" s="136">
        <f t="shared" si="0"/>
        <v>0</v>
      </c>
    </row>
    <row r="24" spans="1:7" x14ac:dyDescent="0.2">
      <c r="A24" s="139" t="s">
        <v>84</v>
      </c>
      <c r="B24" s="138" t="s">
        <v>65</v>
      </c>
      <c r="C24" s="30"/>
      <c r="D24" s="138" t="s">
        <v>75</v>
      </c>
      <c r="E24" s="31"/>
      <c r="F24" s="32"/>
      <c r="G24" s="136">
        <f t="shared" si="0"/>
        <v>0</v>
      </c>
    </row>
    <row r="25" spans="1:7" x14ac:dyDescent="0.2">
      <c r="A25" s="139" t="s">
        <v>84</v>
      </c>
      <c r="B25" s="138" t="s">
        <v>65</v>
      </c>
      <c r="C25" s="30"/>
      <c r="D25" s="138" t="s">
        <v>75</v>
      </c>
      <c r="E25" s="31"/>
      <c r="F25" s="32"/>
      <c r="G25" s="136">
        <f t="shared" si="0"/>
        <v>0</v>
      </c>
    </row>
    <row r="26" spans="1:7" x14ac:dyDescent="0.2">
      <c r="A26" s="139" t="s">
        <v>84</v>
      </c>
      <c r="B26" s="138" t="s">
        <v>65</v>
      </c>
      <c r="C26" s="30"/>
      <c r="D26" s="138" t="s">
        <v>75</v>
      </c>
      <c r="E26" s="31"/>
      <c r="F26" s="32"/>
      <c r="G26" s="136">
        <f t="shared" si="0"/>
        <v>0</v>
      </c>
    </row>
    <row r="27" spans="1:7" x14ac:dyDescent="0.2">
      <c r="A27" s="139" t="s">
        <v>84</v>
      </c>
      <c r="B27" s="138" t="s">
        <v>65</v>
      </c>
      <c r="C27" s="30"/>
      <c r="D27" s="138" t="s">
        <v>75</v>
      </c>
      <c r="E27" s="31"/>
      <c r="F27" s="32"/>
      <c r="G27" s="136">
        <f t="shared" si="0"/>
        <v>0</v>
      </c>
    </row>
    <row r="28" spans="1:7" x14ac:dyDescent="0.2">
      <c r="A28" s="139" t="s">
        <v>84</v>
      </c>
      <c r="B28" s="138" t="s">
        <v>65</v>
      </c>
      <c r="C28" s="30"/>
      <c r="D28" s="138" t="s">
        <v>75</v>
      </c>
      <c r="E28" s="31"/>
      <c r="F28" s="32"/>
      <c r="G28" s="136">
        <f t="shared" si="0"/>
        <v>0</v>
      </c>
    </row>
    <row r="29" spans="1:7" x14ac:dyDescent="0.2">
      <c r="A29" s="139" t="s">
        <v>84</v>
      </c>
      <c r="B29" s="138" t="s">
        <v>65</v>
      </c>
      <c r="C29" s="30"/>
      <c r="D29" s="138" t="s">
        <v>75</v>
      </c>
      <c r="E29" s="31"/>
      <c r="F29" s="32"/>
      <c r="G29" s="136">
        <f t="shared" si="0"/>
        <v>0</v>
      </c>
    </row>
    <row r="30" spans="1:7" x14ac:dyDescent="0.2">
      <c r="A30" s="139" t="s">
        <v>84</v>
      </c>
      <c r="B30" s="138" t="s">
        <v>65</v>
      </c>
      <c r="C30" s="30"/>
      <c r="D30" s="138" t="s">
        <v>75</v>
      </c>
      <c r="E30" s="31"/>
      <c r="F30" s="32"/>
      <c r="G30" s="136">
        <f t="shared" si="0"/>
        <v>0</v>
      </c>
    </row>
    <row r="31" spans="1:7" x14ac:dyDescent="0.2">
      <c r="A31" s="139" t="s">
        <v>84</v>
      </c>
      <c r="B31" s="138" t="s">
        <v>65</v>
      </c>
      <c r="C31" s="30"/>
      <c r="D31" s="138" t="s">
        <v>75</v>
      </c>
      <c r="E31" s="31"/>
      <c r="F31" s="32"/>
      <c r="G31" s="136">
        <f t="shared" si="0"/>
        <v>0</v>
      </c>
    </row>
    <row r="32" spans="1:7" x14ac:dyDescent="0.2">
      <c r="A32" s="139" t="s">
        <v>84</v>
      </c>
      <c r="B32" s="138" t="s">
        <v>65</v>
      </c>
      <c r="C32" s="30"/>
      <c r="D32" s="138" t="s">
        <v>75</v>
      </c>
      <c r="E32" s="31"/>
      <c r="F32" s="32"/>
      <c r="G32" s="136">
        <f t="shared" si="0"/>
        <v>0</v>
      </c>
    </row>
    <row r="33" spans="1:7" x14ac:dyDescent="0.2">
      <c r="A33" s="139" t="s">
        <v>84</v>
      </c>
      <c r="B33" s="138" t="s">
        <v>65</v>
      </c>
      <c r="C33" s="30"/>
      <c r="D33" s="138" t="s">
        <v>75</v>
      </c>
      <c r="E33" s="31"/>
      <c r="F33" s="32"/>
      <c r="G33" s="136">
        <f t="shared" si="0"/>
        <v>0</v>
      </c>
    </row>
    <row r="34" spans="1:7" x14ac:dyDescent="0.2">
      <c r="A34" s="139" t="s">
        <v>84</v>
      </c>
      <c r="B34" s="138" t="s">
        <v>65</v>
      </c>
      <c r="C34" s="30"/>
      <c r="D34" s="138" t="s">
        <v>75</v>
      </c>
      <c r="E34" s="31"/>
      <c r="F34" s="32"/>
      <c r="G34" s="136">
        <f t="shared" si="0"/>
        <v>0</v>
      </c>
    </row>
    <row r="35" spans="1:7" x14ac:dyDescent="0.2">
      <c r="A35" s="139" t="s">
        <v>84</v>
      </c>
      <c r="B35" s="138" t="s">
        <v>65</v>
      </c>
      <c r="C35" s="30"/>
      <c r="D35" s="138" t="s">
        <v>75</v>
      </c>
      <c r="E35" s="31"/>
      <c r="F35" s="32"/>
      <c r="G35" s="136">
        <f t="shared" si="0"/>
        <v>0</v>
      </c>
    </row>
    <row r="36" spans="1:7" x14ac:dyDescent="0.2">
      <c r="A36" s="139" t="s">
        <v>84</v>
      </c>
      <c r="B36" s="138" t="s">
        <v>65</v>
      </c>
      <c r="C36" s="30"/>
      <c r="D36" s="138" t="s">
        <v>75</v>
      </c>
      <c r="E36" s="31"/>
      <c r="F36" s="32"/>
      <c r="G36" s="136">
        <f t="shared" si="0"/>
        <v>0</v>
      </c>
    </row>
    <row r="37" spans="1:7" x14ac:dyDescent="0.2">
      <c r="A37" s="139" t="s">
        <v>84</v>
      </c>
      <c r="B37" s="138" t="s">
        <v>65</v>
      </c>
      <c r="C37" s="30"/>
      <c r="D37" s="138" t="s">
        <v>75</v>
      </c>
      <c r="E37" s="31"/>
      <c r="F37" s="32"/>
      <c r="G37" s="136">
        <f t="shared" si="0"/>
        <v>0</v>
      </c>
    </row>
    <row r="38" spans="1:7" x14ac:dyDescent="0.2">
      <c r="A38" s="139" t="s">
        <v>84</v>
      </c>
      <c r="B38" s="138" t="s">
        <v>65</v>
      </c>
      <c r="C38" s="30"/>
      <c r="D38" s="138" t="s">
        <v>75</v>
      </c>
      <c r="E38" s="31"/>
      <c r="F38" s="32"/>
      <c r="G38" s="136">
        <f t="shared" si="0"/>
        <v>0</v>
      </c>
    </row>
    <row r="39" spans="1:7" x14ac:dyDescent="0.2">
      <c r="A39" s="139" t="s">
        <v>84</v>
      </c>
      <c r="B39" s="138" t="s">
        <v>65</v>
      </c>
      <c r="C39" s="30"/>
      <c r="D39" s="138" t="s">
        <v>75</v>
      </c>
      <c r="E39" s="31"/>
      <c r="F39" s="32"/>
      <c r="G39" s="136">
        <f t="shared" si="0"/>
        <v>0</v>
      </c>
    </row>
    <row r="40" spans="1:7" x14ac:dyDescent="0.2">
      <c r="A40" s="139" t="s">
        <v>84</v>
      </c>
      <c r="B40" s="138" t="s">
        <v>65</v>
      </c>
      <c r="C40" s="30"/>
      <c r="D40" s="138" t="s">
        <v>75</v>
      </c>
      <c r="E40" s="31"/>
      <c r="F40" s="32"/>
      <c r="G40" s="136">
        <f t="shared" si="0"/>
        <v>0</v>
      </c>
    </row>
    <row r="41" spans="1:7" x14ac:dyDescent="0.2">
      <c r="A41" s="139" t="s">
        <v>84</v>
      </c>
      <c r="B41" s="138" t="s">
        <v>65</v>
      </c>
      <c r="C41" s="30"/>
      <c r="D41" s="138" t="s">
        <v>75</v>
      </c>
      <c r="E41" s="31"/>
      <c r="F41" s="32"/>
      <c r="G41" s="136">
        <f t="shared" si="0"/>
        <v>0</v>
      </c>
    </row>
    <row r="42" spans="1:7" x14ac:dyDescent="0.2">
      <c r="A42" s="139" t="s">
        <v>84</v>
      </c>
      <c r="B42" s="138" t="s">
        <v>65</v>
      </c>
      <c r="C42" s="30"/>
      <c r="D42" s="138" t="s">
        <v>75</v>
      </c>
      <c r="E42" s="31"/>
      <c r="F42" s="32"/>
      <c r="G42" s="136">
        <f t="shared" si="0"/>
        <v>0</v>
      </c>
    </row>
    <row r="43" spans="1:7" x14ac:dyDescent="0.2">
      <c r="A43" s="139" t="s">
        <v>84</v>
      </c>
      <c r="B43" s="138" t="s">
        <v>65</v>
      </c>
      <c r="C43" s="30"/>
      <c r="D43" s="138" t="s">
        <v>75</v>
      </c>
      <c r="E43" s="31"/>
      <c r="F43" s="32"/>
      <c r="G43" s="136">
        <f t="shared" si="0"/>
        <v>0</v>
      </c>
    </row>
    <row r="44" spans="1:7" x14ac:dyDescent="0.2">
      <c r="A44" s="139" t="s">
        <v>84</v>
      </c>
      <c r="B44" s="138" t="s">
        <v>65</v>
      </c>
      <c r="C44" s="30"/>
      <c r="D44" s="138" t="s">
        <v>75</v>
      </c>
      <c r="E44" s="31"/>
      <c r="F44" s="32"/>
      <c r="G44" s="136">
        <f t="shared" si="0"/>
        <v>0</v>
      </c>
    </row>
    <row r="45" spans="1:7" x14ac:dyDescent="0.2">
      <c r="A45" s="139" t="s">
        <v>84</v>
      </c>
      <c r="B45" s="138" t="s">
        <v>65</v>
      </c>
      <c r="C45" s="30"/>
      <c r="D45" s="138" t="s">
        <v>75</v>
      </c>
      <c r="E45" s="31"/>
      <c r="F45" s="32"/>
      <c r="G45" s="136">
        <f t="shared" si="0"/>
        <v>0</v>
      </c>
    </row>
    <row r="46" spans="1:7" x14ac:dyDescent="0.2">
      <c r="A46" s="139" t="s">
        <v>84</v>
      </c>
      <c r="B46" s="138" t="s">
        <v>65</v>
      </c>
      <c r="C46" s="30"/>
      <c r="D46" s="138" t="s">
        <v>75</v>
      </c>
      <c r="E46" s="31"/>
      <c r="F46" s="32"/>
      <c r="G46" s="136">
        <f t="shared" si="0"/>
        <v>0</v>
      </c>
    </row>
    <row r="47" spans="1:7" x14ac:dyDescent="0.2">
      <c r="A47" s="139" t="s">
        <v>84</v>
      </c>
      <c r="B47" s="138" t="s">
        <v>65</v>
      </c>
      <c r="C47" s="30"/>
      <c r="D47" s="138" t="s">
        <v>75</v>
      </c>
      <c r="E47" s="31"/>
      <c r="F47" s="32"/>
      <c r="G47" s="136">
        <f t="shared" si="0"/>
        <v>0</v>
      </c>
    </row>
    <row r="48" spans="1:7" x14ac:dyDescent="0.2">
      <c r="A48" s="139" t="s">
        <v>84</v>
      </c>
      <c r="B48" s="138" t="s">
        <v>65</v>
      </c>
      <c r="C48" s="30"/>
      <c r="D48" s="138" t="s">
        <v>75</v>
      </c>
      <c r="E48" s="31"/>
      <c r="F48" s="32"/>
      <c r="G48" s="136">
        <f t="shared" si="0"/>
        <v>0</v>
      </c>
    </row>
    <row r="49" spans="1:7" x14ac:dyDescent="0.2">
      <c r="A49" s="139" t="s">
        <v>84</v>
      </c>
      <c r="B49" s="138" t="s">
        <v>65</v>
      </c>
      <c r="C49" s="30"/>
      <c r="D49" s="138" t="s">
        <v>75</v>
      </c>
      <c r="E49" s="31"/>
      <c r="F49" s="32"/>
      <c r="G49" s="136">
        <f t="shared" si="0"/>
        <v>0</v>
      </c>
    </row>
    <row r="50" spans="1:7" x14ac:dyDescent="0.2">
      <c r="A50" s="139" t="s">
        <v>84</v>
      </c>
      <c r="B50" s="138" t="s">
        <v>65</v>
      </c>
      <c r="C50" s="30"/>
      <c r="D50" s="138" t="s">
        <v>75</v>
      </c>
      <c r="E50" s="31"/>
      <c r="F50" s="32"/>
      <c r="G50" s="136">
        <f t="shared" si="0"/>
        <v>0</v>
      </c>
    </row>
    <row r="51" spans="1:7" x14ac:dyDescent="0.2">
      <c r="A51" s="139" t="s">
        <v>84</v>
      </c>
      <c r="B51" s="138" t="s">
        <v>65</v>
      </c>
      <c r="C51" s="30"/>
      <c r="D51" s="138" t="s">
        <v>75</v>
      </c>
      <c r="E51" s="31"/>
      <c r="F51" s="32"/>
      <c r="G51" s="136">
        <f t="shared" si="0"/>
        <v>0</v>
      </c>
    </row>
    <row r="52" spans="1:7" x14ac:dyDescent="0.2">
      <c r="A52" s="139" t="s">
        <v>84</v>
      </c>
      <c r="B52" s="138" t="s">
        <v>65</v>
      </c>
      <c r="C52" s="30"/>
      <c r="D52" s="138" t="s">
        <v>75</v>
      </c>
      <c r="E52" s="31"/>
      <c r="F52" s="32"/>
      <c r="G52" s="136">
        <f t="shared" si="0"/>
        <v>0</v>
      </c>
    </row>
    <row r="53" spans="1:7" x14ac:dyDescent="0.2">
      <c r="A53" s="139" t="s">
        <v>84</v>
      </c>
      <c r="B53" s="138" t="s">
        <v>65</v>
      </c>
      <c r="C53" s="30"/>
      <c r="D53" s="138" t="s">
        <v>75</v>
      </c>
      <c r="E53" s="31"/>
      <c r="F53" s="32"/>
      <c r="G53" s="136">
        <f t="shared" si="0"/>
        <v>0</v>
      </c>
    </row>
    <row r="54" spans="1:7" x14ac:dyDescent="0.2">
      <c r="A54" s="139" t="s">
        <v>84</v>
      </c>
      <c r="B54" s="138" t="s">
        <v>65</v>
      </c>
      <c r="C54" s="30"/>
      <c r="D54" s="138" t="s">
        <v>75</v>
      </c>
      <c r="E54" s="31"/>
      <c r="F54" s="32"/>
      <c r="G54" s="136">
        <f t="shared" si="0"/>
        <v>0</v>
      </c>
    </row>
    <row r="55" spans="1:7" x14ac:dyDescent="0.2">
      <c r="A55" s="139" t="s">
        <v>84</v>
      </c>
      <c r="B55" s="138" t="s">
        <v>65</v>
      </c>
      <c r="C55" s="30"/>
      <c r="D55" s="138" t="s">
        <v>75</v>
      </c>
      <c r="E55" s="31"/>
      <c r="F55" s="32"/>
      <c r="G55" s="136">
        <f t="shared" si="0"/>
        <v>0</v>
      </c>
    </row>
    <row r="56" spans="1:7" x14ac:dyDescent="0.2">
      <c r="A56" s="139" t="s">
        <v>84</v>
      </c>
      <c r="B56" s="138" t="s">
        <v>65</v>
      </c>
      <c r="C56" s="30"/>
      <c r="D56" s="138" t="s">
        <v>75</v>
      </c>
      <c r="E56" s="31"/>
      <c r="F56" s="32"/>
      <c r="G56" s="136">
        <f t="shared" si="0"/>
        <v>0</v>
      </c>
    </row>
    <row r="57" spans="1:7" x14ac:dyDescent="0.2">
      <c r="A57" s="139" t="s">
        <v>84</v>
      </c>
      <c r="B57" s="138" t="s">
        <v>65</v>
      </c>
      <c r="C57" s="30"/>
      <c r="D57" s="138" t="s">
        <v>75</v>
      </c>
      <c r="E57" s="31"/>
      <c r="F57" s="32"/>
      <c r="G57" s="136">
        <f t="shared" si="0"/>
        <v>0</v>
      </c>
    </row>
    <row r="58" spans="1:7" x14ac:dyDescent="0.2">
      <c r="A58" s="139" t="s">
        <v>84</v>
      </c>
      <c r="B58" s="138" t="s">
        <v>65</v>
      </c>
      <c r="C58" s="30"/>
      <c r="D58" s="138" t="s">
        <v>75</v>
      </c>
      <c r="E58" s="31"/>
      <c r="F58" s="32"/>
      <c r="G58" s="136">
        <f t="shared" si="0"/>
        <v>0</v>
      </c>
    </row>
    <row r="59" spans="1:7" x14ac:dyDescent="0.2">
      <c r="A59" s="139" t="s">
        <v>84</v>
      </c>
      <c r="B59" s="138" t="s">
        <v>65</v>
      </c>
      <c r="C59" s="30"/>
      <c r="D59" s="138" t="s">
        <v>75</v>
      </c>
      <c r="E59" s="31"/>
      <c r="F59" s="32"/>
      <c r="G59" s="136">
        <f t="shared" si="0"/>
        <v>0</v>
      </c>
    </row>
    <row r="60" spans="1:7" x14ac:dyDescent="0.2">
      <c r="A60" s="139" t="s">
        <v>84</v>
      </c>
      <c r="B60" s="138" t="s">
        <v>65</v>
      </c>
      <c r="C60" s="30"/>
      <c r="D60" s="138" t="s">
        <v>75</v>
      </c>
      <c r="E60" s="31"/>
      <c r="F60" s="32"/>
      <c r="G60" s="136">
        <f t="shared" si="0"/>
        <v>0</v>
      </c>
    </row>
    <row r="61" spans="1:7" x14ac:dyDescent="0.2">
      <c r="A61" s="139" t="s">
        <v>84</v>
      </c>
      <c r="B61" s="138" t="s">
        <v>65</v>
      </c>
      <c r="C61" s="30"/>
      <c r="D61" s="138" t="s">
        <v>75</v>
      </c>
      <c r="E61" s="31"/>
      <c r="F61" s="32"/>
      <c r="G61" s="136">
        <f t="shared" si="0"/>
        <v>0</v>
      </c>
    </row>
    <row r="62" spans="1:7" x14ac:dyDescent="0.2">
      <c r="A62" s="139" t="s">
        <v>84</v>
      </c>
      <c r="B62" s="138" t="s">
        <v>65</v>
      </c>
      <c r="C62" s="30"/>
      <c r="D62" s="138" t="s">
        <v>75</v>
      </c>
      <c r="E62" s="31"/>
      <c r="F62" s="32"/>
      <c r="G62" s="137">
        <f t="shared" si="0"/>
        <v>0</v>
      </c>
    </row>
    <row r="63" spans="1:7" ht="16.7" customHeight="1" x14ac:dyDescent="0.2">
      <c r="C63" s="120" t="s">
        <v>152</v>
      </c>
      <c r="D63" s="121"/>
      <c r="E63" s="121"/>
      <c r="F63" s="121"/>
      <c r="G63" s="122">
        <f>SUM(G10:G62)</f>
        <v>0</v>
      </c>
    </row>
  </sheetData>
  <sheetProtection algorithmName="SHA-512" hashValue="BpUhUFrFTKsqj01yV/BSlHuUNX3oBGBEBjR1pkneWucC+GgObbc8A1WL8XCvCWn6nO+eozjOVWeKnEg/R+y0+g==" saltValue="+yE+aZRrGel/qmQU0rpLrQ==" spinCount="100000" sheet="1" objects="1" scenarios="1" formatCells="0" formatColumns="0" formatRows="0" insertColumns="0" insertRows="0"/>
  <mergeCells count="3">
    <mergeCell ref="A3:G3"/>
    <mergeCell ref="A4:G4"/>
    <mergeCell ref="E7:G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8241-4268-42D8-BBCD-0A7CEB820D39}">
  <sheetPr>
    <tabColor rgb="FFFFFF99"/>
  </sheetPr>
  <dimension ref="A1:G63"/>
  <sheetViews>
    <sheetView zoomScale="80" zoomScaleNormal="80" workbookViewId="0">
      <selection activeCell="C10" sqref="C10"/>
    </sheetView>
  </sheetViews>
  <sheetFormatPr defaultColWidth="8.85546875" defaultRowHeight="12.75" x14ac:dyDescent="0.2"/>
  <cols>
    <col min="1" max="1" width="8.85546875" style="119"/>
    <col min="2" max="2" width="10.85546875" style="119" customWidth="1"/>
    <col min="3" max="3" width="56.140625" style="119" bestFit="1" customWidth="1"/>
    <col min="4" max="4" width="8.85546875" style="119"/>
    <col min="5" max="5" width="12.140625" style="119" customWidth="1"/>
    <col min="6" max="7" width="11.140625" style="119" customWidth="1"/>
    <col min="8" max="16384" width="8.85546875" style="119"/>
  </cols>
  <sheetData>
    <row r="1" spans="1:7" ht="15.75" customHeight="1" x14ac:dyDescent="0.2">
      <c r="A1" s="2" t="s">
        <v>34</v>
      </c>
      <c r="B1" s="2"/>
      <c r="C1" s="123" t="str">
        <f>'Pricing Matrix'!B1</f>
        <v>Insert Offeror Name</v>
      </c>
      <c r="D1" s="124" t="str">
        <f>'Pricing Matrix'!F1</f>
        <v>DRAFT PRICING MATRIX 31 March 2026</v>
      </c>
      <c r="E1" s="2"/>
      <c r="F1" s="125"/>
      <c r="G1" s="125"/>
    </row>
    <row r="2" spans="1:7" x14ac:dyDescent="0.2">
      <c r="A2" s="126" t="s">
        <v>138</v>
      </c>
      <c r="B2" s="127"/>
      <c r="C2" s="126"/>
      <c r="D2" s="128"/>
      <c r="E2" s="128"/>
      <c r="F2" s="128"/>
      <c r="G2" s="128"/>
    </row>
    <row r="3" spans="1:7" ht="39.950000000000003" customHeight="1" x14ac:dyDescent="0.2">
      <c r="A3" s="176" t="s">
        <v>153</v>
      </c>
      <c r="B3" s="176"/>
      <c r="C3" s="176"/>
      <c r="D3" s="176"/>
      <c r="E3" s="176"/>
      <c r="F3" s="176"/>
      <c r="G3" s="176"/>
    </row>
    <row r="4" spans="1:7" ht="24.95" customHeight="1" x14ac:dyDescent="0.2">
      <c r="A4" s="177" t="s">
        <v>154</v>
      </c>
      <c r="B4" s="177"/>
      <c r="C4" s="177"/>
      <c r="D4" s="177"/>
      <c r="E4" s="177"/>
      <c r="F4" s="177"/>
      <c r="G4" s="177"/>
    </row>
    <row r="5" spans="1:7" ht="12.4" customHeight="1" x14ac:dyDescent="0.2">
      <c r="A5" s="2"/>
      <c r="B5" s="2"/>
      <c r="C5" s="2"/>
      <c r="D5" s="2"/>
      <c r="E5" s="129"/>
      <c r="F5" s="129"/>
      <c r="G5" s="129"/>
    </row>
    <row r="6" spans="1:7" ht="26.1" customHeight="1" x14ac:dyDescent="0.2">
      <c r="A6" s="2"/>
      <c r="B6" s="130"/>
      <c r="C6" s="131" t="s">
        <v>141</v>
      </c>
      <c r="D6" s="130"/>
      <c r="E6" s="2"/>
      <c r="F6" s="2"/>
      <c r="G6" s="2"/>
    </row>
    <row r="7" spans="1:7" ht="14.25" x14ac:dyDescent="0.2">
      <c r="A7" s="132"/>
      <c r="B7" s="132"/>
      <c r="C7" s="132"/>
      <c r="D7" s="132"/>
      <c r="E7" s="178" t="s">
        <v>142</v>
      </c>
      <c r="F7" s="179"/>
      <c r="G7" s="180"/>
    </row>
    <row r="8" spans="1:7" ht="28.5" x14ac:dyDescent="0.2">
      <c r="A8" s="133" t="s">
        <v>57</v>
      </c>
      <c r="B8" s="133" t="s">
        <v>143</v>
      </c>
      <c r="C8" s="133" t="s">
        <v>20</v>
      </c>
      <c r="D8" s="134" t="s">
        <v>59</v>
      </c>
      <c r="E8" s="64" t="s">
        <v>144</v>
      </c>
      <c r="F8" s="64" t="s">
        <v>145</v>
      </c>
      <c r="G8" s="64" t="s">
        <v>146</v>
      </c>
    </row>
    <row r="9" spans="1:7" x14ac:dyDescent="0.2">
      <c r="A9" s="81" t="s">
        <v>86</v>
      </c>
      <c r="B9" s="82"/>
      <c r="C9" s="83" t="s">
        <v>155</v>
      </c>
      <c r="D9" s="135"/>
      <c r="E9" s="135"/>
      <c r="F9" s="135"/>
      <c r="G9" s="135"/>
    </row>
    <row r="10" spans="1:7" x14ac:dyDescent="0.2">
      <c r="A10" s="139" t="s">
        <v>88</v>
      </c>
      <c r="B10" s="138" t="s">
        <v>65</v>
      </c>
      <c r="C10" s="30"/>
      <c r="D10" s="138" t="s">
        <v>75</v>
      </c>
      <c r="E10" s="31"/>
      <c r="F10" s="32"/>
      <c r="G10" s="136">
        <f>ROUND((E10*F10),2)</f>
        <v>0</v>
      </c>
    </row>
    <row r="11" spans="1:7" x14ac:dyDescent="0.2">
      <c r="A11" s="139" t="s">
        <v>88</v>
      </c>
      <c r="B11" s="138" t="s">
        <v>65</v>
      </c>
      <c r="C11" s="30"/>
      <c r="D11" s="138" t="s">
        <v>75</v>
      </c>
      <c r="E11" s="31"/>
      <c r="F11" s="32"/>
      <c r="G11" s="136">
        <f t="shared" ref="G11:G62" si="0">ROUND((E11*F11),2)</f>
        <v>0</v>
      </c>
    </row>
    <row r="12" spans="1:7" x14ac:dyDescent="0.2">
      <c r="A12" s="139" t="s">
        <v>88</v>
      </c>
      <c r="B12" s="138" t="s">
        <v>65</v>
      </c>
      <c r="C12" s="30"/>
      <c r="D12" s="138" t="s">
        <v>75</v>
      </c>
      <c r="E12" s="31"/>
      <c r="F12" s="32"/>
      <c r="G12" s="136">
        <f t="shared" si="0"/>
        <v>0</v>
      </c>
    </row>
    <row r="13" spans="1:7" x14ac:dyDescent="0.2">
      <c r="A13" s="139" t="s">
        <v>88</v>
      </c>
      <c r="B13" s="138" t="s">
        <v>65</v>
      </c>
      <c r="C13" s="30"/>
      <c r="D13" s="138" t="s">
        <v>75</v>
      </c>
      <c r="E13" s="31"/>
      <c r="F13" s="32"/>
      <c r="G13" s="136">
        <f t="shared" si="0"/>
        <v>0</v>
      </c>
    </row>
    <row r="14" spans="1:7" x14ac:dyDescent="0.2">
      <c r="A14" s="139" t="s">
        <v>88</v>
      </c>
      <c r="B14" s="138" t="s">
        <v>65</v>
      </c>
      <c r="C14" s="30"/>
      <c r="D14" s="138" t="s">
        <v>75</v>
      </c>
      <c r="E14" s="31"/>
      <c r="F14" s="32"/>
      <c r="G14" s="136">
        <f t="shared" si="0"/>
        <v>0</v>
      </c>
    </row>
    <row r="15" spans="1:7" x14ac:dyDescent="0.2">
      <c r="A15" s="139" t="s">
        <v>88</v>
      </c>
      <c r="B15" s="138" t="s">
        <v>65</v>
      </c>
      <c r="C15" s="30"/>
      <c r="D15" s="138" t="s">
        <v>75</v>
      </c>
      <c r="E15" s="31"/>
      <c r="F15" s="32"/>
      <c r="G15" s="136">
        <f t="shared" si="0"/>
        <v>0</v>
      </c>
    </row>
    <row r="16" spans="1:7" x14ac:dyDescent="0.2">
      <c r="A16" s="139" t="s">
        <v>88</v>
      </c>
      <c r="B16" s="138" t="s">
        <v>65</v>
      </c>
      <c r="C16" s="30"/>
      <c r="D16" s="138" t="s">
        <v>75</v>
      </c>
      <c r="E16" s="31"/>
      <c r="F16" s="32"/>
      <c r="G16" s="136">
        <f t="shared" si="0"/>
        <v>0</v>
      </c>
    </row>
    <row r="17" spans="1:7" x14ac:dyDescent="0.2">
      <c r="A17" s="139" t="s">
        <v>88</v>
      </c>
      <c r="B17" s="138" t="s">
        <v>65</v>
      </c>
      <c r="C17" s="30"/>
      <c r="D17" s="138" t="s">
        <v>75</v>
      </c>
      <c r="E17" s="31"/>
      <c r="F17" s="32"/>
      <c r="G17" s="136">
        <f t="shared" si="0"/>
        <v>0</v>
      </c>
    </row>
    <row r="18" spans="1:7" x14ac:dyDescent="0.2">
      <c r="A18" s="139" t="s">
        <v>88</v>
      </c>
      <c r="B18" s="138" t="s">
        <v>65</v>
      </c>
      <c r="C18" s="30"/>
      <c r="D18" s="138" t="s">
        <v>75</v>
      </c>
      <c r="E18" s="31"/>
      <c r="F18" s="32"/>
      <c r="G18" s="136">
        <f t="shared" si="0"/>
        <v>0</v>
      </c>
    </row>
    <row r="19" spans="1:7" x14ac:dyDescent="0.2">
      <c r="A19" s="139" t="s">
        <v>88</v>
      </c>
      <c r="B19" s="138" t="s">
        <v>65</v>
      </c>
      <c r="C19" s="30"/>
      <c r="D19" s="138" t="s">
        <v>75</v>
      </c>
      <c r="E19" s="31"/>
      <c r="F19" s="32"/>
      <c r="G19" s="136">
        <f t="shared" si="0"/>
        <v>0</v>
      </c>
    </row>
    <row r="20" spans="1:7" x14ac:dyDescent="0.2">
      <c r="A20" s="139" t="s">
        <v>88</v>
      </c>
      <c r="B20" s="138" t="s">
        <v>65</v>
      </c>
      <c r="C20" s="30"/>
      <c r="D20" s="138" t="s">
        <v>75</v>
      </c>
      <c r="E20" s="31"/>
      <c r="F20" s="32"/>
      <c r="G20" s="136">
        <f t="shared" si="0"/>
        <v>0</v>
      </c>
    </row>
    <row r="21" spans="1:7" x14ac:dyDescent="0.2">
      <c r="A21" s="139" t="s">
        <v>88</v>
      </c>
      <c r="B21" s="138" t="s">
        <v>65</v>
      </c>
      <c r="C21" s="30"/>
      <c r="D21" s="138" t="s">
        <v>75</v>
      </c>
      <c r="E21" s="31"/>
      <c r="F21" s="32"/>
      <c r="G21" s="136">
        <f t="shared" si="0"/>
        <v>0</v>
      </c>
    </row>
    <row r="22" spans="1:7" x14ac:dyDescent="0.2">
      <c r="A22" s="139" t="s">
        <v>88</v>
      </c>
      <c r="B22" s="138" t="s">
        <v>65</v>
      </c>
      <c r="C22" s="30"/>
      <c r="D22" s="138" t="s">
        <v>75</v>
      </c>
      <c r="E22" s="31"/>
      <c r="F22" s="32"/>
      <c r="G22" s="136">
        <f t="shared" si="0"/>
        <v>0</v>
      </c>
    </row>
    <row r="23" spans="1:7" x14ac:dyDescent="0.2">
      <c r="A23" s="139" t="s">
        <v>88</v>
      </c>
      <c r="B23" s="138" t="s">
        <v>65</v>
      </c>
      <c r="C23" s="30"/>
      <c r="D23" s="138" t="s">
        <v>75</v>
      </c>
      <c r="E23" s="31"/>
      <c r="F23" s="32"/>
      <c r="G23" s="136">
        <f t="shared" si="0"/>
        <v>0</v>
      </c>
    </row>
    <row r="24" spans="1:7" x14ac:dyDescent="0.2">
      <c r="A24" s="139" t="s">
        <v>88</v>
      </c>
      <c r="B24" s="138" t="s">
        <v>65</v>
      </c>
      <c r="C24" s="30"/>
      <c r="D24" s="138" t="s">
        <v>75</v>
      </c>
      <c r="E24" s="31"/>
      <c r="F24" s="32"/>
      <c r="G24" s="136">
        <f t="shared" si="0"/>
        <v>0</v>
      </c>
    </row>
    <row r="25" spans="1:7" x14ac:dyDescent="0.2">
      <c r="A25" s="139" t="s">
        <v>88</v>
      </c>
      <c r="B25" s="138" t="s">
        <v>65</v>
      </c>
      <c r="C25" s="30"/>
      <c r="D25" s="138" t="s">
        <v>75</v>
      </c>
      <c r="E25" s="31"/>
      <c r="F25" s="32"/>
      <c r="G25" s="136">
        <f t="shared" si="0"/>
        <v>0</v>
      </c>
    </row>
    <row r="26" spans="1:7" x14ac:dyDescent="0.2">
      <c r="A26" s="139" t="s">
        <v>88</v>
      </c>
      <c r="B26" s="138" t="s">
        <v>65</v>
      </c>
      <c r="C26" s="30"/>
      <c r="D26" s="138" t="s">
        <v>75</v>
      </c>
      <c r="E26" s="31"/>
      <c r="F26" s="32"/>
      <c r="G26" s="136">
        <f t="shared" si="0"/>
        <v>0</v>
      </c>
    </row>
    <row r="27" spans="1:7" x14ac:dyDescent="0.2">
      <c r="A27" s="139" t="s">
        <v>88</v>
      </c>
      <c r="B27" s="138" t="s">
        <v>65</v>
      </c>
      <c r="C27" s="30"/>
      <c r="D27" s="138" t="s">
        <v>75</v>
      </c>
      <c r="E27" s="31"/>
      <c r="F27" s="32"/>
      <c r="G27" s="136">
        <f t="shared" si="0"/>
        <v>0</v>
      </c>
    </row>
    <row r="28" spans="1:7" x14ac:dyDescent="0.2">
      <c r="A28" s="139" t="s">
        <v>88</v>
      </c>
      <c r="B28" s="138" t="s">
        <v>65</v>
      </c>
      <c r="C28" s="30"/>
      <c r="D28" s="138" t="s">
        <v>75</v>
      </c>
      <c r="E28" s="31"/>
      <c r="F28" s="32"/>
      <c r="G28" s="136">
        <f t="shared" si="0"/>
        <v>0</v>
      </c>
    </row>
    <row r="29" spans="1:7" x14ac:dyDescent="0.2">
      <c r="A29" s="139" t="s">
        <v>88</v>
      </c>
      <c r="B29" s="138" t="s">
        <v>65</v>
      </c>
      <c r="C29" s="30"/>
      <c r="D29" s="138" t="s">
        <v>75</v>
      </c>
      <c r="E29" s="31"/>
      <c r="F29" s="32"/>
      <c r="G29" s="136">
        <f t="shared" si="0"/>
        <v>0</v>
      </c>
    </row>
    <row r="30" spans="1:7" x14ac:dyDescent="0.2">
      <c r="A30" s="139" t="s">
        <v>88</v>
      </c>
      <c r="B30" s="138" t="s">
        <v>65</v>
      </c>
      <c r="C30" s="30"/>
      <c r="D30" s="138" t="s">
        <v>75</v>
      </c>
      <c r="E30" s="31"/>
      <c r="F30" s="32"/>
      <c r="G30" s="136">
        <f t="shared" si="0"/>
        <v>0</v>
      </c>
    </row>
    <row r="31" spans="1:7" x14ac:dyDescent="0.2">
      <c r="A31" s="139" t="s">
        <v>88</v>
      </c>
      <c r="B31" s="138" t="s">
        <v>65</v>
      </c>
      <c r="C31" s="30"/>
      <c r="D31" s="138" t="s">
        <v>75</v>
      </c>
      <c r="E31" s="31"/>
      <c r="F31" s="32"/>
      <c r="G31" s="136">
        <f t="shared" si="0"/>
        <v>0</v>
      </c>
    </row>
    <row r="32" spans="1:7" x14ac:dyDescent="0.2">
      <c r="A32" s="139" t="s">
        <v>88</v>
      </c>
      <c r="B32" s="138" t="s">
        <v>65</v>
      </c>
      <c r="C32" s="30"/>
      <c r="D32" s="138" t="s">
        <v>75</v>
      </c>
      <c r="E32" s="31"/>
      <c r="F32" s="32"/>
      <c r="G32" s="136">
        <f t="shared" si="0"/>
        <v>0</v>
      </c>
    </row>
    <row r="33" spans="1:7" x14ac:dyDescent="0.2">
      <c r="A33" s="139" t="s">
        <v>88</v>
      </c>
      <c r="B33" s="138" t="s">
        <v>65</v>
      </c>
      <c r="C33" s="30"/>
      <c r="D33" s="138" t="s">
        <v>75</v>
      </c>
      <c r="E33" s="31"/>
      <c r="F33" s="32"/>
      <c r="G33" s="136">
        <f t="shared" si="0"/>
        <v>0</v>
      </c>
    </row>
    <row r="34" spans="1:7" x14ac:dyDescent="0.2">
      <c r="A34" s="139" t="s">
        <v>88</v>
      </c>
      <c r="B34" s="138" t="s">
        <v>65</v>
      </c>
      <c r="C34" s="30"/>
      <c r="D34" s="138" t="s">
        <v>75</v>
      </c>
      <c r="E34" s="31"/>
      <c r="F34" s="32"/>
      <c r="G34" s="136">
        <f t="shared" si="0"/>
        <v>0</v>
      </c>
    </row>
    <row r="35" spans="1:7" x14ac:dyDescent="0.2">
      <c r="A35" s="139" t="s">
        <v>88</v>
      </c>
      <c r="B35" s="138" t="s">
        <v>65</v>
      </c>
      <c r="C35" s="30"/>
      <c r="D35" s="138" t="s">
        <v>75</v>
      </c>
      <c r="E35" s="31"/>
      <c r="F35" s="32"/>
      <c r="G35" s="136">
        <f t="shared" si="0"/>
        <v>0</v>
      </c>
    </row>
    <row r="36" spans="1:7" x14ac:dyDescent="0.2">
      <c r="A36" s="139" t="s">
        <v>88</v>
      </c>
      <c r="B36" s="138" t="s">
        <v>65</v>
      </c>
      <c r="C36" s="30"/>
      <c r="D36" s="138" t="s">
        <v>75</v>
      </c>
      <c r="E36" s="31"/>
      <c r="F36" s="32"/>
      <c r="G36" s="136">
        <f t="shared" si="0"/>
        <v>0</v>
      </c>
    </row>
    <row r="37" spans="1:7" x14ac:dyDescent="0.2">
      <c r="A37" s="139" t="s">
        <v>88</v>
      </c>
      <c r="B37" s="138" t="s">
        <v>65</v>
      </c>
      <c r="C37" s="30"/>
      <c r="D37" s="138" t="s">
        <v>75</v>
      </c>
      <c r="E37" s="31"/>
      <c r="F37" s="32"/>
      <c r="G37" s="136">
        <f t="shared" si="0"/>
        <v>0</v>
      </c>
    </row>
    <row r="38" spans="1:7" x14ac:dyDescent="0.2">
      <c r="A38" s="139" t="s">
        <v>88</v>
      </c>
      <c r="B38" s="138" t="s">
        <v>65</v>
      </c>
      <c r="C38" s="30"/>
      <c r="D38" s="138" t="s">
        <v>75</v>
      </c>
      <c r="E38" s="31"/>
      <c r="F38" s="32"/>
      <c r="G38" s="136">
        <f t="shared" si="0"/>
        <v>0</v>
      </c>
    </row>
    <row r="39" spans="1:7" x14ac:dyDescent="0.2">
      <c r="A39" s="139" t="s">
        <v>88</v>
      </c>
      <c r="B39" s="138" t="s">
        <v>65</v>
      </c>
      <c r="C39" s="30"/>
      <c r="D39" s="138" t="s">
        <v>75</v>
      </c>
      <c r="E39" s="31"/>
      <c r="F39" s="32"/>
      <c r="G39" s="136">
        <f t="shared" si="0"/>
        <v>0</v>
      </c>
    </row>
    <row r="40" spans="1:7" x14ac:dyDescent="0.2">
      <c r="A40" s="139" t="s">
        <v>88</v>
      </c>
      <c r="B40" s="138" t="s">
        <v>65</v>
      </c>
      <c r="C40" s="30"/>
      <c r="D40" s="138" t="s">
        <v>75</v>
      </c>
      <c r="E40" s="31"/>
      <c r="F40" s="32"/>
      <c r="G40" s="136">
        <f t="shared" si="0"/>
        <v>0</v>
      </c>
    </row>
    <row r="41" spans="1:7" x14ac:dyDescent="0.2">
      <c r="A41" s="139" t="s">
        <v>88</v>
      </c>
      <c r="B41" s="138" t="s">
        <v>65</v>
      </c>
      <c r="C41" s="30"/>
      <c r="D41" s="138" t="s">
        <v>75</v>
      </c>
      <c r="E41" s="31"/>
      <c r="F41" s="32"/>
      <c r="G41" s="136">
        <f t="shared" si="0"/>
        <v>0</v>
      </c>
    </row>
    <row r="42" spans="1:7" x14ac:dyDescent="0.2">
      <c r="A42" s="139" t="s">
        <v>88</v>
      </c>
      <c r="B42" s="138" t="s">
        <v>65</v>
      </c>
      <c r="C42" s="30"/>
      <c r="D42" s="138" t="s">
        <v>75</v>
      </c>
      <c r="E42" s="31"/>
      <c r="F42" s="32"/>
      <c r="G42" s="136">
        <f t="shared" si="0"/>
        <v>0</v>
      </c>
    </row>
    <row r="43" spans="1:7" x14ac:dyDescent="0.2">
      <c r="A43" s="139" t="s">
        <v>88</v>
      </c>
      <c r="B43" s="138" t="s">
        <v>65</v>
      </c>
      <c r="C43" s="30"/>
      <c r="D43" s="138" t="s">
        <v>75</v>
      </c>
      <c r="E43" s="31"/>
      <c r="F43" s="32"/>
      <c r="G43" s="136">
        <f t="shared" si="0"/>
        <v>0</v>
      </c>
    </row>
    <row r="44" spans="1:7" x14ac:dyDescent="0.2">
      <c r="A44" s="139" t="s">
        <v>88</v>
      </c>
      <c r="B44" s="138" t="s">
        <v>65</v>
      </c>
      <c r="C44" s="30"/>
      <c r="D44" s="138" t="s">
        <v>75</v>
      </c>
      <c r="E44" s="31"/>
      <c r="F44" s="32"/>
      <c r="G44" s="136">
        <f t="shared" si="0"/>
        <v>0</v>
      </c>
    </row>
    <row r="45" spans="1:7" x14ac:dyDescent="0.2">
      <c r="A45" s="139" t="s">
        <v>88</v>
      </c>
      <c r="B45" s="138" t="s">
        <v>65</v>
      </c>
      <c r="C45" s="30"/>
      <c r="D45" s="138" t="s">
        <v>75</v>
      </c>
      <c r="E45" s="31"/>
      <c r="F45" s="32"/>
      <c r="G45" s="136">
        <f t="shared" si="0"/>
        <v>0</v>
      </c>
    </row>
    <row r="46" spans="1:7" x14ac:dyDescent="0.2">
      <c r="A46" s="139" t="s">
        <v>88</v>
      </c>
      <c r="B46" s="138" t="s">
        <v>65</v>
      </c>
      <c r="C46" s="30"/>
      <c r="D46" s="138" t="s">
        <v>75</v>
      </c>
      <c r="E46" s="31"/>
      <c r="F46" s="32"/>
      <c r="G46" s="136">
        <f t="shared" si="0"/>
        <v>0</v>
      </c>
    </row>
    <row r="47" spans="1:7" x14ac:dyDescent="0.2">
      <c r="A47" s="139" t="s">
        <v>88</v>
      </c>
      <c r="B47" s="138" t="s">
        <v>65</v>
      </c>
      <c r="C47" s="30"/>
      <c r="D47" s="138" t="s">
        <v>75</v>
      </c>
      <c r="E47" s="31"/>
      <c r="F47" s="32"/>
      <c r="G47" s="136">
        <f t="shared" si="0"/>
        <v>0</v>
      </c>
    </row>
    <row r="48" spans="1:7" x14ac:dyDescent="0.2">
      <c r="A48" s="139" t="s">
        <v>88</v>
      </c>
      <c r="B48" s="138" t="s">
        <v>65</v>
      </c>
      <c r="C48" s="30"/>
      <c r="D48" s="138" t="s">
        <v>75</v>
      </c>
      <c r="E48" s="31"/>
      <c r="F48" s="32"/>
      <c r="G48" s="136">
        <f t="shared" si="0"/>
        <v>0</v>
      </c>
    </row>
    <row r="49" spans="1:7" x14ac:dyDescent="0.2">
      <c r="A49" s="139" t="s">
        <v>88</v>
      </c>
      <c r="B49" s="138" t="s">
        <v>65</v>
      </c>
      <c r="C49" s="30"/>
      <c r="D49" s="138" t="s">
        <v>75</v>
      </c>
      <c r="E49" s="31"/>
      <c r="F49" s="32"/>
      <c r="G49" s="136">
        <f t="shared" si="0"/>
        <v>0</v>
      </c>
    </row>
    <row r="50" spans="1:7" x14ac:dyDescent="0.2">
      <c r="A50" s="139" t="s">
        <v>88</v>
      </c>
      <c r="B50" s="138" t="s">
        <v>65</v>
      </c>
      <c r="C50" s="30"/>
      <c r="D50" s="138" t="s">
        <v>75</v>
      </c>
      <c r="E50" s="31"/>
      <c r="F50" s="32"/>
      <c r="G50" s="136">
        <f t="shared" si="0"/>
        <v>0</v>
      </c>
    </row>
    <row r="51" spans="1:7" x14ac:dyDescent="0.2">
      <c r="A51" s="139" t="s">
        <v>88</v>
      </c>
      <c r="B51" s="138" t="s">
        <v>65</v>
      </c>
      <c r="C51" s="30"/>
      <c r="D51" s="138" t="s">
        <v>75</v>
      </c>
      <c r="E51" s="31"/>
      <c r="F51" s="32"/>
      <c r="G51" s="136">
        <f t="shared" si="0"/>
        <v>0</v>
      </c>
    </row>
    <row r="52" spans="1:7" x14ac:dyDescent="0.2">
      <c r="A52" s="139" t="s">
        <v>88</v>
      </c>
      <c r="B52" s="138" t="s">
        <v>65</v>
      </c>
      <c r="C52" s="30"/>
      <c r="D52" s="138" t="s">
        <v>75</v>
      </c>
      <c r="E52" s="31"/>
      <c r="F52" s="32"/>
      <c r="G52" s="136">
        <f t="shared" si="0"/>
        <v>0</v>
      </c>
    </row>
    <row r="53" spans="1:7" x14ac:dyDescent="0.2">
      <c r="A53" s="139" t="s">
        <v>88</v>
      </c>
      <c r="B53" s="138" t="s">
        <v>65</v>
      </c>
      <c r="C53" s="30"/>
      <c r="D53" s="138" t="s">
        <v>75</v>
      </c>
      <c r="E53" s="31"/>
      <c r="F53" s="32"/>
      <c r="G53" s="136">
        <f t="shared" si="0"/>
        <v>0</v>
      </c>
    </row>
    <row r="54" spans="1:7" x14ac:dyDescent="0.2">
      <c r="A54" s="139" t="s">
        <v>88</v>
      </c>
      <c r="B54" s="138" t="s">
        <v>65</v>
      </c>
      <c r="C54" s="30"/>
      <c r="D54" s="138" t="s">
        <v>75</v>
      </c>
      <c r="E54" s="31"/>
      <c r="F54" s="32"/>
      <c r="G54" s="136">
        <f t="shared" si="0"/>
        <v>0</v>
      </c>
    </row>
    <row r="55" spans="1:7" x14ac:dyDescent="0.2">
      <c r="A55" s="139" t="s">
        <v>88</v>
      </c>
      <c r="B55" s="138" t="s">
        <v>65</v>
      </c>
      <c r="C55" s="30"/>
      <c r="D55" s="138" t="s">
        <v>75</v>
      </c>
      <c r="E55" s="31"/>
      <c r="F55" s="32"/>
      <c r="G55" s="136">
        <f t="shared" si="0"/>
        <v>0</v>
      </c>
    </row>
    <row r="56" spans="1:7" x14ac:dyDescent="0.2">
      <c r="A56" s="139" t="s">
        <v>88</v>
      </c>
      <c r="B56" s="138" t="s">
        <v>65</v>
      </c>
      <c r="C56" s="30"/>
      <c r="D56" s="138" t="s">
        <v>75</v>
      </c>
      <c r="E56" s="31"/>
      <c r="F56" s="32"/>
      <c r="G56" s="136">
        <f t="shared" si="0"/>
        <v>0</v>
      </c>
    </row>
    <row r="57" spans="1:7" x14ac:dyDescent="0.2">
      <c r="A57" s="139" t="s">
        <v>88</v>
      </c>
      <c r="B57" s="138" t="s">
        <v>65</v>
      </c>
      <c r="C57" s="30"/>
      <c r="D57" s="138" t="s">
        <v>75</v>
      </c>
      <c r="E57" s="31"/>
      <c r="F57" s="32"/>
      <c r="G57" s="136">
        <f t="shared" si="0"/>
        <v>0</v>
      </c>
    </row>
    <row r="58" spans="1:7" x14ac:dyDescent="0.2">
      <c r="A58" s="139" t="s">
        <v>88</v>
      </c>
      <c r="B58" s="138" t="s">
        <v>65</v>
      </c>
      <c r="C58" s="30"/>
      <c r="D58" s="138" t="s">
        <v>75</v>
      </c>
      <c r="E58" s="31"/>
      <c r="F58" s="32"/>
      <c r="G58" s="136">
        <f t="shared" si="0"/>
        <v>0</v>
      </c>
    </row>
    <row r="59" spans="1:7" x14ac:dyDescent="0.2">
      <c r="A59" s="139" t="s">
        <v>88</v>
      </c>
      <c r="B59" s="138" t="s">
        <v>65</v>
      </c>
      <c r="C59" s="30"/>
      <c r="D59" s="138" t="s">
        <v>75</v>
      </c>
      <c r="E59" s="31"/>
      <c r="F59" s="32"/>
      <c r="G59" s="136">
        <f t="shared" si="0"/>
        <v>0</v>
      </c>
    </row>
    <row r="60" spans="1:7" x14ac:dyDescent="0.2">
      <c r="A60" s="139" t="s">
        <v>88</v>
      </c>
      <c r="B60" s="138" t="s">
        <v>65</v>
      </c>
      <c r="C60" s="30"/>
      <c r="D60" s="138" t="s">
        <v>75</v>
      </c>
      <c r="E60" s="31"/>
      <c r="F60" s="32"/>
      <c r="G60" s="136">
        <f t="shared" si="0"/>
        <v>0</v>
      </c>
    </row>
    <row r="61" spans="1:7" x14ac:dyDescent="0.2">
      <c r="A61" s="139" t="s">
        <v>88</v>
      </c>
      <c r="B61" s="138" t="s">
        <v>65</v>
      </c>
      <c r="C61" s="30"/>
      <c r="D61" s="138" t="s">
        <v>75</v>
      </c>
      <c r="E61" s="31"/>
      <c r="F61" s="32"/>
      <c r="G61" s="136">
        <f t="shared" si="0"/>
        <v>0</v>
      </c>
    </row>
    <row r="62" spans="1:7" x14ac:dyDescent="0.2">
      <c r="A62" s="139" t="s">
        <v>88</v>
      </c>
      <c r="B62" s="138" t="s">
        <v>65</v>
      </c>
      <c r="C62" s="30"/>
      <c r="D62" s="138" t="s">
        <v>75</v>
      </c>
      <c r="E62" s="31"/>
      <c r="F62" s="32"/>
      <c r="G62" s="137">
        <f t="shared" si="0"/>
        <v>0</v>
      </c>
    </row>
    <row r="63" spans="1:7" ht="16.7" customHeight="1" x14ac:dyDescent="0.2">
      <c r="C63" s="120" t="s">
        <v>156</v>
      </c>
      <c r="D63" s="121"/>
      <c r="E63" s="121"/>
      <c r="F63" s="121"/>
      <c r="G63" s="122">
        <f>SUM(G10:G62)</f>
        <v>0</v>
      </c>
    </row>
  </sheetData>
  <sheetProtection algorithmName="SHA-512" hashValue="U9jZUEVg0mAG6rxXm+vXVHVztsXuBkDMDNuTBhJp8BCWdfPnyihclMcK6ENSGYqu4gZezp9nEUfLD3mtjig8mA==" saltValue="QdbhasC6ptu0bzNbwEAWUw==" spinCount="100000" sheet="1" objects="1" scenarios="1" formatCells="0" formatColumns="0" formatRows="0" insertColumns="0" insertRows="0"/>
  <mergeCells count="3">
    <mergeCell ref="A3:G3"/>
    <mergeCell ref="A4:G4"/>
    <mergeCell ref="E7:G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tes xmlns="1a3f7400-4875-443c-bf89-cffb6e4ad19b">IPT Edits</Notes>
    <TaxCatchAll xmlns="0880d4ab-62ea-4509-a05c-5c1293e50d33" xsi:nil="true"/>
    <lcf76f155ced4ddcb4097134ff3c332f xmlns="1a3f7400-4875-443c-bf89-cffb6e4ad19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2FA7E2B7D5E804F8D9D597CA8B1210A" ma:contentTypeVersion="13" ma:contentTypeDescription="Create a new document." ma:contentTypeScope="" ma:versionID="06abbe4c8641a67e547c6b5c7f438ffb">
  <xsd:schema xmlns:xsd="http://www.w3.org/2001/XMLSchema" xmlns:xs="http://www.w3.org/2001/XMLSchema" xmlns:p="http://schemas.microsoft.com/office/2006/metadata/properties" xmlns:ns2="1a3f7400-4875-443c-bf89-cffb6e4ad19b" xmlns:ns3="0880d4ab-62ea-4509-a05c-5c1293e50d33" targetNamespace="http://schemas.microsoft.com/office/2006/metadata/properties" ma:root="true" ma:fieldsID="b17cd734bc57900374df0abaec08edce" ns2:_="" ns3:_="">
    <xsd:import namespace="1a3f7400-4875-443c-bf89-cffb6e4ad19b"/>
    <xsd:import namespace="0880d4ab-62ea-4509-a05c-5c1293e50d3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3f7400-4875-443c-bf89-cffb6e4ad1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5476efd-2625-4ffb-b020-68dbe4abf38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880d4ab-62ea-4509-a05c-5c1293e50d3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92ee08f-0f2f-4425-8f09-dbe00ecc75e9}" ma:internalName="TaxCatchAll" ma:showField="CatchAllData" ma:web="0880d4ab-62ea-4509-a05c-5c1293e50d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3C3F66-784A-4C25-B15B-837202F109A5}">
  <ds:schemaRefs>
    <ds:schemaRef ds:uri="http://schemas.microsoft.com/office/2006/metadata/properties"/>
    <ds:schemaRef ds:uri="http://schemas.microsoft.com/office/infopath/2007/PartnerControls"/>
    <ds:schemaRef ds:uri="1a3f7400-4875-443c-bf89-cffb6e4ad19b"/>
    <ds:schemaRef ds:uri="0880d4ab-62ea-4509-a05c-5c1293e50d33"/>
  </ds:schemaRefs>
</ds:datastoreItem>
</file>

<file path=customXml/itemProps2.xml><?xml version="1.0" encoding="utf-8"?>
<ds:datastoreItem xmlns:ds="http://schemas.openxmlformats.org/officeDocument/2006/customXml" ds:itemID="{EC94810D-71BD-45CD-A966-BED9C94818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3f7400-4875-443c-bf89-cffb6e4ad19b"/>
    <ds:schemaRef ds:uri="0880d4ab-62ea-4509-a05c-5c1293e50d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2D1025-472C-43DB-8404-932FF3FB96DB}">
  <ds:schemaRefs>
    <ds:schemaRef ds:uri="http://schemas.microsoft.com/sharepoint/v3/contenttype/forms"/>
  </ds:schemaRefs>
</ds:datastoreItem>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Calculation Methodology</vt:lpstr>
      <vt:lpstr>Pricing Matrix</vt:lpstr>
      <vt:lpstr>Long Lead Parts Grp A</vt:lpstr>
      <vt:lpstr>Long Lead Parts Grp B</vt:lpstr>
      <vt:lpstr>Long Lead Parts Grp 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MASTERSON, MELISSA G CIV USAF AFMC AFSC/PZCF</dc:creator>
  <cp:keywords/>
  <dc:description/>
  <cp:lastModifiedBy>CRAM, KACIE CIV USAF AFMC AFLCMC/WBK</cp:lastModifiedBy>
  <cp:revision/>
  <dcterms:created xsi:type="dcterms:W3CDTF">2026-01-22T12:37:14Z</dcterms:created>
  <dcterms:modified xsi:type="dcterms:W3CDTF">2026-04-02T14:49:20Z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0x01010002FA7E2B7D5E804F8D9D597CA8B1210A</vt:lpwstr>
  </property>
  <property fmtid="{D5CDD505-2E9C-101B-9397-08002B2CF9AE}" pid="3" name="MediaServiceImageTags">
    <vt:lpwstr/>
  </property>
</Properties>
</file>