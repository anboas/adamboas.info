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kazuo_colunga_spaceforce_mil/Documents/Desktop/PKA Workload Contracts/Bldg. 3850 Lightning Protection System/Pre-Award Documents/Market Research/Sources Sought/"/>
    </mc:Choice>
  </mc:AlternateContent>
  <xr:revisionPtr revIDLastSave="60" documentId="13_ncr:1_{D387268A-04F8-4BFD-92F5-35C449486519}" xr6:coauthVersionLast="47" xr6:coauthVersionMax="47" xr10:uidLastSave="{E38456AA-E1DB-4CCE-A949-845996B2C28A}"/>
  <bookViews>
    <workbookView xWindow="-30828" yWindow="60" windowWidth="30936" windowHeight="16608" xr2:uid="{1D1D7606-6BA0-40CE-8A8F-D101197AD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28" i="1"/>
  <c r="G29" i="1"/>
  <c r="G30" i="1"/>
  <c r="G31" i="1"/>
  <c r="G32" i="1"/>
  <c r="G26" i="1"/>
  <c r="G27" i="1"/>
  <c r="G33" i="1"/>
  <c r="G8" i="1" l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6" i="1"/>
  <c r="G55" i="1" l="1"/>
</calcChain>
</file>

<file path=xl/sharedStrings.xml><?xml version="1.0" encoding="utf-8"?>
<sst xmlns="http://schemas.openxmlformats.org/spreadsheetml/2006/main" count="110" uniqueCount="64">
  <si>
    <t>COST ESTIMATE</t>
  </si>
  <si>
    <t>PROJECT</t>
  </si>
  <si>
    <t>DATE</t>
  </si>
  <si>
    <t>WT #</t>
  </si>
  <si>
    <t>ITEM DESCRIPTION</t>
  </si>
  <si>
    <t>QUANTITY</t>
  </si>
  <si>
    <t>UNIT MEASURE</t>
  </si>
  <si>
    <t>COST</t>
  </si>
  <si>
    <t>TOTAL</t>
  </si>
  <si>
    <t>Repair of Lightning Protection System at Primary Substation</t>
  </si>
  <si>
    <t>ALUMINUM, 5/8", 202 DUAL
MOUNT BASE.</t>
  </si>
  <si>
    <t>EA</t>
  </si>
  <si>
    <t>COPPER, CAST PARALLEL
SPLICER</t>
  </si>
  <si>
    <t>ALUMINUM, CAST
PARALLEL SPLICER</t>
  </si>
  <si>
    <t>COPPER, PARALLEL
SPLICER, 2-BOLT</t>
  </si>
  <si>
    <t>ALUMINUM, PARALLEL
SPLICER, 2-BOLT</t>
  </si>
  <si>
    <t>BI-METAL PARALLEL
SPLICER</t>
  </si>
  <si>
    <t>ALUMINUM, CROSS-RUN
SPLICER</t>
  </si>
  <si>
    <t>COPPER, CROSS-RUN
SPLICER</t>
  </si>
  <si>
    <t>COPPER, SECONDARY
BOND CLAMP</t>
  </si>
  <si>
    <t>ALUMINUM, SECONDARY BOND CLAMP</t>
  </si>
  <si>
    <t>ALUMINUM, BOND
CLAMP</t>
  </si>
  <si>
    <t>BRONZE, BOND CLAMP</t>
  </si>
  <si>
    <t>3/4" x 12", ALUMINUM,
FLEXIBLE BONDING JUMPER</t>
  </si>
  <si>
    <t>3/4" x 18", ALUMINUM,
FLEXIBLE BONDING JUMPER</t>
  </si>
  <si>
    <t>ALUMINUM, 5/8" WIDTH, 3/8"
DIAMETER, ONE HOLE
CONDUCTOR LOOP
FASTERNER,</t>
  </si>
  <si>
    <t>#8 TO 4/0 AWG, ALUMINUM, STAMPED ADHESIVE
FASTENER</t>
  </si>
  <si>
    <t>#8 TO 4/0 AWG, COPPER,
STAMPED ADHESIVE
FASTENER</t>
  </si>
  <si>
    <t>725 STAINLESS STEEL SELF
DRILLING SCREW WITH
NEOPRENE WASHER</t>
  </si>
  <si>
    <t>BOX</t>
  </si>
  <si>
    <t>5/8" - 3/4", BRONZE, 2-
BOLT GROUND ROD CLAMP</t>
  </si>
  <si>
    <t>3/4" x 10', COPPER CLAD
STEEL, GROUND ROD</t>
  </si>
  <si>
    <t>12" x 12" x 24", CONCRETE
GROUND ACCESS WELL</t>
  </si>
  <si>
    <t>High Compression Copper C-Connector 3/0-250 TO 6-2/0 CU GRD</t>
  </si>
  <si>
    <t>High Compression Copper C-Connector  6 Sol. #2 Str. 1/4" Run, 6 Sol. #2 Str. Tab</t>
  </si>
  <si>
    <t>High Compression Copper C-Connector 300 Kcmil-500 Kcmil, Tap: 3/0 Str-250 Kcmil</t>
  </si>
  <si>
    <t>Industrial AC power Surge Protection Device, 3 Phase 4 Wire Plus Ground, 120/208Y</t>
  </si>
  <si>
    <t>Eight Outlet Strip Surge
Protection Device</t>
  </si>
  <si>
    <t>8” Radius Gauge – Lightning
Protection Tool</t>
  </si>
  <si>
    <t>Pipe Clamp, Tinned Copper, 1 to 1.25 in. Pipe, 0.938 to 1.7 in. O.D.</t>
  </si>
  <si>
    <t>Electro Tin Plated Bronze Material; 1.25 to 2.4 Inch Outer Diameter Size; UL (Canada and Us) Approval; 1.5 to 2 Inch IPS Size Pipe Clamp, U-Bolt</t>
  </si>
  <si>
    <t>6 AWG Solid to 250 MCM Conductor Size; 0.5 to 0.75 Inch IPS Size; Type Tamperproof; Torque Rating 240 Inch-Pound Pipe Clamp, U-Bolt</t>
  </si>
  <si>
    <t>2 AWG Conductor Size; 1.5 to 2 Inch/3.5 to 4 Inch IPS Size; Jumper Size 2 AWG; Jumper Size 24 Inch Length, Gate Ground Assembly</t>
  </si>
  <si>
    <t>Fence Ground Clamp, Fabric, #2 and #6 AWG</t>
  </si>
  <si>
    <t>1000 FT of Class I Lightning
Conductor Aluminum Smooth
Weave</t>
  </si>
  <si>
    <t>SPOOL</t>
  </si>
  <si>
    <t>1000 FT of Class I Lightning
Conductor – Copper Smooth
Weave or Concentric</t>
  </si>
  <si>
    <t>500 FT of Class I Lightning
Conductor – Copper Smooth
Weave or Concentric</t>
  </si>
  <si>
    <t>500 FT of Class I Lightning
Conductor – #2 Solid Copper</t>
  </si>
  <si>
    <t>CLASS 1, 5/8″ Aluminum Air
Terminals, 12", Rounded Tip</t>
  </si>
  <si>
    <t>CLASS 1, 5/8″ Aluminum Air
Terminals, 18", Rounded Tip</t>
  </si>
  <si>
    <t>Ground Enhancement Material</t>
  </si>
  <si>
    <t>Black Structural Adhesives</t>
  </si>
  <si>
    <t>Electrically conductive grease/ rust inhibitor to prevent corrosion in aluminum to aluminum, aluminum to copper, copper to copper</t>
  </si>
  <si>
    <t>Megger DET2/3 Professional
Earth Ground Tester Kit - 330
Foot test leads</t>
  </si>
  <si>
    <t>3/4" X 12" SDS Drill Bit</t>
  </si>
  <si>
    <t>5/8" And 3/4" SDS-Max Steel Ground Rod Driver</t>
  </si>
  <si>
    <t>SDS Drill Bit Shank</t>
  </si>
  <si>
    <t>SDS Drill Bit Extension, 82.5"</t>
  </si>
  <si>
    <t>Lead Time</t>
  </si>
  <si>
    <t>Total</t>
  </si>
  <si>
    <r>
      <t xml:space="preserve">Burndy Patriot High Performance 18 Volt
Battery Actuated Tool - Kuefler Lightning
</t>
    </r>
    <r>
      <rPr>
        <sz val="11"/>
        <color rgb="FFFF0000"/>
        <rFont val="Aptos Narrow"/>
        <family val="2"/>
        <scheme val="minor"/>
      </rPr>
      <t>Brand Name Only</t>
    </r>
  </si>
  <si>
    <r>
      <t xml:space="preserve">Burndy U-Die Kits
Each UDIEKITCU and
UDIEKITAL die kit includes 15
sets of “U” dies and the die
case
</t>
    </r>
    <r>
      <rPr>
        <sz val="11"/>
        <color rgb="FFFF0000"/>
        <rFont val="Aptos Narrow"/>
        <family val="2"/>
        <scheme val="minor"/>
      </rPr>
      <t>Brand Name Only</t>
    </r>
  </si>
  <si>
    <r>
      <t xml:space="preserve">Hilti or Bosch SDS 1-1/8" Cordless Hammerdrill.
</t>
    </r>
    <r>
      <rPr>
        <sz val="11"/>
        <color rgb="FFFF0000"/>
        <rFont val="Aptos Narrow"/>
        <family val="2"/>
        <scheme val="minor"/>
      </rPr>
      <t>Brand Name Only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</si>
</sst>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lightGray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0" xfId="0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Fill="1" applyBorder="1" applyAlignment="1"/>
    <xf numFmtId="164" fontId="0" fillId="2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2" borderId="3" xfId="0" applyNumberFormat="1" applyFill="1" applyBorder="1"/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wrapText="1"/>
    </xf>
    <xf numFmtId="44" fontId="0" fillId="0" borderId="1" xfId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0" xfId="0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9B45-AAA4-41C7-8876-02E81DF532FB}">
  <dimension ref="A1:H55"/>
  <sheetViews>
    <sheetView tabSelected="1" topLeftCell="A42" workbookViewId="0">
      <selection activeCell="A50" sqref="A50:B50"/>
    </sheetView>
  </sheetViews>
  <sheetFormatPr defaultRowHeight="14.4" x14ac:dyDescent="0.3"/>
  <cols>
    <col min="1" max="1" width="10" customWidth="1"/>
    <col min="2" max="2" width="17.109375" customWidth="1"/>
    <col min="3" max="3" width="10.109375" customWidth="1"/>
    <col min="4" max="4" width="9.88671875" customWidth="1"/>
    <col min="5" max="6" width="14" customWidth="1"/>
    <col min="7" max="7" width="23" customWidth="1"/>
  </cols>
  <sheetData>
    <row r="1" spans="1:8" x14ac:dyDescent="0.3">
      <c r="A1" s="21" t="s">
        <v>0</v>
      </c>
      <c r="B1" s="21"/>
      <c r="C1" s="21"/>
      <c r="D1" s="21"/>
      <c r="E1" s="21"/>
      <c r="F1" s="21"/>
      <c r="G1" s="21"/>
      <c r="H1" s="21"/>
    </row>
    <row r="2" spans="1:8" x14ac:dyDescent="0.3">
      <c r="A2" s="2" t="s">
        <v>1</v>
      </c>
      <c r="B2" s="22" t="s">
        <v>9</v>
      </c>
      <c r="C2" s="23"/>
      <c r="D2" s="23"/>
      <c r="E2" s="23"/>
      <c r="F2" s="23"/>
      <c r="G2" s="7"/>
    </row>
    <row r="3" spans="1:8" x14ac:dyDescent="0.3">
      <c r="A3" s="2" t="s">
        <v>2</v>
      </c>
      <c r="B3" s="10">
        <v>46050</v>
      </c>
      <c r="C3" s="2" t="s">
        <v>3</v>
      </c>
      <c r="D3" s="18"/>
      <c r="E3" s="19"/>
      <c r="F3" s="3"/>
      <c r="G3" s="3"/>
    </row>
    <row r="5" spans="1:8" ht="28.8" x14ac:dyDescent="0.3">
      <c r="A5" s="20" t="s">
        <v>4</v>
      </c>
      <c r="B5" s="20"/>
      <c r="C5" s="4" t="s">
        <v>5</v>
      </c>
      <c r="D5" s="5" t="s">
        <v>6</v>
      </c>
      <c r="E5" s="5" t="s">
        <v>59</v>
      </c>
      <c r="F5" s="6" t="s">
        <v>7</v>
      </c>
      <c r="G5" s="6" t="s">
        <v>8</v>
      </c>
    </row>
    <row r="6" spans="1:8" ht="44.25" customHeight="1" x14ac:dyDescent="0.3">
      <c r="A6" s="16" t="s">
        <v>10</v>
      </c>
      <c r="B6" s="16"/>
      <c r="C6" s="11">
        <v>200</v>
      </c>
      <c r="D6" s="11" t="s">
        <v>11</v>
      </c>
      <c r="E6" s="11"/>
      <c r="F6" s="12">
        <v>0</v>
      </c>
      <c r="G6" s="13">
        <f t="shared" ref="G6:G37" si="0">F6*C6</f>
        <v>0</v>
      </c>
    </row>
    <row r="7" spans="1:8" ht="45.75" customHeight="1" x14ac:dyDescent="0.3">
      <c r="A7" s="16" t="s">
        <v>12</v>
      </c>
      <c r="B7" s="16"/>
      <c r="C7" s="11">
        <v>100</v>
      </c>
      <c r="D7" s="11" t="s">
        <v>11</v>
      </c>
      <c r="E7" s="11"/>
      <c r="F7" s="12">
        <v>0</v>
      </c>
      <c r="G7" s="13">
        <f t="shared" si="0"/>
        <v>0</v>
      </c>
    </row>
    <row r="8" spans="1:8" ht="43.5" customHeight="1" x14ac:dyDescent="0.3">
      <c r="A8" s="16" t="s">
        <v>13</v>
      </c>
      <c r="B8" s="16"/>
      <c r="C8" s="11">
        <v>100</v>
      </c>
      <c r="D8" s="11" t="s">
        <v>11</v>
      </c>
      <c r="E8" s="11"/>
      <c r="F8" s="12">
        <v>0</v>
      </c>
      <c r="G8" s="13">
        <f t="shared" si="0"/>
        <v>0</v>
      </c>
    </row>
    <row r="9" spans="1:8" ht="42.75" customHeight="1" x14ac:dyDescent="0.3">
      <c r="A9" s="16" t="s">
        <v>14</v>
      </c>
      <c r="B9" s="16"/>
      <c r="C9" s="11">
        <v>100</v>
      </c>
      <c r="D9" s="11" t="s">
        <v>11</v>
      </c>
      <c r="E9" s="11"/>
      <c r="F9" s="12">
        <v>0</v>
      </c>
      <c r="G9" s="13">
        <f t="shared" si="0"/>
        <v>0</v>
      </c>
    </row>
    <row r="10" spans="1:8" ht="42.75" customHeight="1" x14ac:dyDescent="0.3">
      <c r="A10" s="16" t="s">
        <v>15</v>
      </c>
      <c r="B10" s="16"/>
      <c r="C10" s="11">
        <v>100</v>
      </c>
      <c r="D10" s="11" t="s">
        <v>11</v>
      </c>
      <c r="E10" s="11"/>
      <c r="F10" s="12">
        <v>0</v>
      </c>
      <c r="G10" s="13">
        <f t="shared" si="0"/>
        <v>0</v>
      </c>
    </row>
    <row r="11" spans="1:8" ht="42.75" customHeight="1" x14ac:dyDescent="0.3">
      <c r="A11" s="16" t="s">
        <v>16</v>
      </c>
      <c r="B11" s="16"/>
      <c r="C11" s="11">
        <v>100</v>
      </c>
      <c r="D11" s="11" t="s">
        <v>11</v>
      </c>
      <c r="E11" s="11"/>
      <c r="F11" s="12">
        <v>0</v>
      </c>
      <c r="G11" s="13">
        <f t="shared" si="0"/>
        <v>0</v>
      </c>
    </row>
    <row r="12" spans="1:8" ht="42.75" customHeight="1" x14ac:dyDescent="0.3">
      <c r="A12" s="16" t="s">
        <v>17</v>
      </c>
      <c r="B12" s="16"/>
      <c r="C12" s="11">
        <v>100</v>
      </c>
      <c r="D12" s="11" t="s">
        <v>11</v>
      </c>
      <c r="E12" s="11"/>
      <c r="F12" s="12">
        <v>0</v>
      </c>
      <c r="G12" s="13">
        <f t="shared" si="0"/>
        <v>0</v>
      </c>
    </row>
    <row r="13" spans="1:8" ht="44.25" customHeight="1" x14ac:dyDescent="0.3">
      <c r="A13" s="16" t="s">
        <v>18</v>
      </c>
      <c r="B13" s="16"/>
      <c r="C13" s="11">
        <v>100</v>
      </c>
      <c r="D13" s="11" t="s">
        <v>11</v>
      </c>
      <c r="E13" s="11"/>
      <c r="F13" s="12">
        <v>0</v>
      </c>
      <c r="G13" s="13">
        <f t="shared" si="0"/>
        <v>0</v>
      </c>
    </row>
    <row r="14" spans="1:8" ht="45.75" customHeight="1" x14ac:dyDescent="0.3">
      <c r="A14" s="16" t="s">
        <v>20</v>
      </c>
      <c r="B14" s="16"/>
      <c r="C14" s="11">
        <v>50</v>
      </c>
      <c r="D14" s="11" t="s">
        <v>11</v>
      </c>
      <c r="E14" s="11"/>
      <c r="F14" s="12">
        <v>0</v>
      </c>
      <c r="G14" s="13">
        <f t="shared" si="0"/>
        <v>0</v>
      </c>
    </row>
    <row r="15" spans="1:8" ht="43.5" customHeight="1" x14ac:dyDescent="0.3">
      <c r="A15" s="16" t="s">
        <v>19</v>
      </c>
      <c r="B15" s="16"/>
      <c r="C15" s="11">
        <v>50</v>
      </c>
      <c r="D15" s="11" t="s">
        <v>11</v>
      </c>
      <c r="E15" s="11"/>
      <c r="F15" s="12">
        <v>0</v>
      </c>
      <c r="G15" s="13">
        <f t="shared" si="0"/>
        <v>0</v>
      </c>
    </row>
    <row r="16" spans="1:8" ht="44.25" customHeight="1" x14ac:dyDescent="0.3">
      <c r="A16" s="16" t="s">
        <v>21</v>
      </c>
      <c r="B16" s="16"/>
      <c r="C16" s="11">
        <v>50</v>
      </c>
      <c r="D16" s="11" t="s">
        <v>11</v>
      </c>
      <c r="E16" s="11"/>
      <c r="F16" s="12">
        <v>0</v>
      </c>
      <c r="G16" s="13">
        <f t="shared" si="0"/>
        <v>0</v>
      </c>
    </row>
    <row r="17" spans="1:7" x14ac:dyDescent="0.3">
      <c r="A17" s="16" t="s">
        <v>22</v>
      </c>
      <c r="B17" s="16"/>
      <c r="C17" s="11">
        <v>50</v>
      </c>
      <c r="D17" s="11" t="s">
        <v>11</v>
      </c>
      <c r="E17" s="11"/>
      <c r="F17" s="12">
        <v>0</v>
      </c>
      <c r="G17" s="13">
        <f t="shared" si="0"/>
        <v>0</v>
      </c>
    </row>
    <row r="18" spans="1:7" ht="43.5" customHeight="1" x14ac:dyDescent="0.3">
      <c r="A18" s="16" t="s">
        <v>23</v>
      </c>
      <c r="B18" s="16"/>
      <c r="C18" s="11">
        <v>50</v>
      </c>
      <c r="D18" s="11" t="s">
        <v>11</v>
      </c>
      <c r="E18" s="11"/>
      <c r="F18" s="12">
        <v>0</v>
      </c>
      <c r="G18" s="13">
        <f t="shared" si="0"/>
        <v>0</v>
      </c>
    </row>
    <row r="19" spans="1:7" ht="41.25" customHeight="1" x14ac:dyDescent="0.3">
      <c r="A19" s="16" t="s">
        <v>24</v>
      </c>
      <c r="B19" s="16"/>
      <c r="C19" s="11">
        <v>50</v>
      </c>
      <c r="D19" s="11" t="s">
        <v>11</v>
      </c>
      <c r="E19" s="11"/>
      <c r="F19" s="12">
        <v>0</v>
      </c>
      <c r="G19" s="13">
        <f t="shared" si="0"/>
        <v>0</v>
      </c>
    </row>
    <row r="20" spans="1:7" ht="43.5" customHeight="1" x14ac:dyDescent="0.3">
      <c r="A20" s="16" t="s">
        <v>25</v>
      </c>
      <c r="B20" s="16"/>
      <c r="C20" s="11">
        <v>1000</v>
      </c>
      <c r="D20" s="11" t="s">
        <v>11</v>
      </c>
      <c r="E20" s="11"/>
      <c r="F20" s="12">
        <v>0</v>
      </c>
      <c r="G20" s="13">
        <f t="shared" si="0"/>
        <v>0</v>
      </c>
    </row>
    <row r="21" spans="1:7" ht="43.5" customHeight="1" x14ac:dyDescent="0.3">
      <c r="A21" s="16" t="s">
        <v>26</v>
      </c>
      <c r="B21" s="16"/>
      <c r="C21" s="11">
        <v>100</v>
      </c>
      <c r="D21" s="11" t="s">
        <v>11</v>
      </c>
      <c r="E21" s="11"/>
      <c r="F21" s="12">
        <v>0</v>
      </c>
      <c r="G21" s="13">
        <f t="shared" si="0"/>
        <v>0</v>
      </c>
    </row>
    <row r="22" spans="1:7" ht="44.25" customHeight="1" x14ac:dyDescent="0.3">
      <c r="A22" s="16" t="s">
        <v>27</v>
      </c>
      <c r="B22" s="16"/>
      <c r="C22" s="11">
        <v>100</v>
      </c>
      <c r="D22" s="11" t="s">
        <v>11</v>
      </c>
      <c r="E22" s="11"/>
      <c r="F22" s="12">
        <v>0</v>
      </c>
      <c r="G22" s="13">
        <f t="shared" si="0"/>
        <v>0</v>
      </c>
    </row>
    <row r="23" spans="1:7" ht="43.5" customHeight="1" x14ac:dyDescent="0.3">
      <c r="A23" s="16" t="s">
        <v>28</v>
      </c>
      <c r="B23" s="16"/>
      <c r="C23" s="11">
        <v>10</v>
      </c>
      <c r="D23" s="11" t="s">
        <v>29</v>
      </c>
      <c r="E23" s="11"/>
      <c r="F23" s="12">
        <v>0</v>
      </c>
      <c r="G23" s="13">
        <f t="shared" si="0"/>
        <v>0</v>
      </c>
    </row>
    <row r="24" spans="1:7" ht="41.25" customHeight="1" x14ac:dyDescent="0.3">
      <c r="A24" s="16" t="s">
        <v>30</v>
      </c>
      <c r="B24" s="16"/>
      <c r="C24" s="11">
        <v>50</v>
      </c>
      <c r="D24" s="11" t="s">
        <v>11</v>
      </c>
      <c r="E24" s="11"/>
      <c r="F24" s="12">
        <v>0</v>
      </c>
      <c r="G24" s="13">
        <f t="shared" si="0"/>
        <v>0</v>
      </c>
    </row>
    <row r="25" spans="1:7" ht="44.25" customHeight="1" x14ac:dyDescent="0.3">
      <c r="A25" s="16" t="s">
        <v>31</v>
      </c>
      <c r="B25" s="16"/>
      <c r="C25" s="11">
        <v>24</v>
      </c>
      <c r="D25" s="11" t="s">
        <v>11</v>
      </c>
      <c r="E25" s="11"/>
      <c r="F25" s="12">
        <v>0</v>
      </c>
      <c r="G25" s="13">
        <f t="shared" si="0"/>
        <v>0</v>
      </c>
    </row>
    <row r="26" spans="1:7" ht="43.5" customHeight="1" x14ac:dyDescent="0.3">
      <c r="A26" s="16" t="s">
        <v>32</v>
      </c>
      <c r="B26" s="16"/>
      <c r="C26" s="11">
        <v>20</v>
      </c>
      <c r="D26" s="11" t="s">
        <v>11</v>
      </c>
      <c r="E26" s="11"/>
      <c r="F26" s="12">
        <v>0</v>
      </c>
      <c r="G26" s="13">
        <f t="shared" si="0"/>
        <v>0</v>
      </c>
    </row>
    <row r="27" spans="1:7" ht="45.75" customHeight="1" x14ac:dyDescent="0.3">
      <c r="A27" s="17" t="s">
        <v>34</v>
      </c>
      <c r="B27" s="17"/>
      <c r="C27" s="11">
        <v>200</v>
      </c>
      <c r="D27" s="11" t="s">
        <v>11</v>
      </c>
      <c r="E27" s="11"/>
      <c r="F27" s="14">
        <v>0</v>
      </c>
      <c r="G27" s="13">
        <f t="shared" si="0"/>
        <v>0</v>
      </c>
    </row>
    <row r="28" spans="1:7" ht="46.5" customHeight="1" x14ac:dyDescent="0.3">
      <c r="A28" s="17" t="s">
        <v>33</v>
      </c>
      <c r="B28" s="17"/>
      <c r="C28" s="11">
        <v>200</v>
      </c>
      <c r="D28" s="15" t="s">
        <v>11</v>
      </c>
      <c r="E28" s="15"/>
      <c r="F28" s="14">
        <v>0</v>
      </c>
      <c r="G28" s="13">
        <f t="shared" si="0"/>
        <v>0</v>
      </c>
    </row>
    <row r="29" spans="1:7" ht="43.5" customHeight="1" x14ac:dyDescent="0.3">
      <c r="A29" s="17" t="s">
        <v>35</v>
      </c>
      <c r="B29" s="17"/>
      <c r="C29" s="11">
        <v>200</v>
      </c>
      <c r="D29" s="11" t="s">
        <v>11</v>
      </c>
      <c r="E29" s="11"/>
      <c r="F29" s="14">
        <v>0</v>
      </c>
      <c r="G29" s="13">
        <f t="shared" si="0"/>
        <v>0</v>
      </c>
    </row>
    <row r="30" spans="1:7" ht="135" customHeight="1" x14ac:dyDescent="0.3">
      <c r="A30" s="16" t="s">
        <v>61</v>
      </c>
      <c r="B30" s="16"/>
      <c r="C30" s="11">
        <v>2</v>
      </c>
      <c r="D30" s="11" t="s">
        <v>11</v>
      </c>
      <c r="E30" s="11"/>
      <c r="F30" s="12">
        <v>0</v>
      </c>
      <c r="G30" s="13">
        <f t="shared" si="0"/>
        <v>0</v>
      </c>
    </row>
    <row r="31" spans="1:7" ht="108.75" customHeight="1" x14ac:dyDescent="0.3">
      <c r="A31" s="16" t="s">
        <v>62</v>
      </c>
      <c r="B31" s="16"/>
      <c r="C31" s="11">
        <v>2</v>
      </c>
      <c r="D31" s="11" t="s">
        <v>11</v>
      </c>
      <c r="E31" s="11"/>
      <c r="F31" s="12">
        <v>0</v>
      </c>
      <c r="G31" s="13">
        <f t="shared" si="0"/>
        <v>0</v>
      </c>
    </row>
    <row r="32" spans="1:7" ht="45.75" customHeight="1" x14ac:dyDescent="0.3">
      <c r="A32" s="16" t="s">
        <v>36</v>
      </c>
      <c r="B32" s="16"/>
      <c r="C32" s="11">
        <v>2</v>
      </c>
      <c r="D32" s="11" t="s">
        <v>11</v>
      </c>
      <c r="E32" s="11"/>
      <c r="F32" s="12">
        <v>0</v>
      </c>
      <c r="G32" s="13">
        <f t="shared" si="0"/>
        <v>0</v>
      </c>
    </row>
    <row r="33" spans="1:7" ht="44.25" customHeight="1" x14ac:dyDescent="0.3">
      <c r="A33" s="16" t="s">
        <v>37</v>
      </c>
      <c r="B33" s="16"/>
      <c r="C33" s="11">
        <v>2</v>
      </c>
      <c r="D33" s="11" t="s">
        <v>11</v>
      </c>
      <c r="E33" s="11"/>
      <c r="F33" s="12">
        <v>0</v>
      </c>
      <c r="G33" s="13">
        <f t="shared" si="0"/>
        <v>0</v>
      </c>
    </row>
    <row r="34" spans="1:7" ht="43.5" customHeight="1" x14ac:dyDescent="0.3">
      <c r="A34" s="16" t="s">
        <v>38</v>
      </c>
      <c r="B34" s="16"/>
      <c r="C34" s="11">
        <v>12</v>
      </c>
      <c r="D34" s="11" t="s">
        <v>11</v>
      </c>
      <c r="E34" s="11"/>
      <c r="F34" s="12">
        <v>0</v>
      </c>
      <c r="G34" s="13">
        <f t="shared" si="0"/>
        <v>0</v>
      </c>
    </row>
    <row r="35" spans="1:7" ht="86.25" customHeight="1" x14ac:dyDescent="0.3">
      <c r="A35" s="16" t="s">
        <v>41</v>
      </c>
      <c r="B35" s="16"/>
      <c r="C35" s="11">
        <v>20</v>
      </c>
      <c r="D35" s="11" t="s">
        <v>29</v>
      </c>
      <c r="E35" s="11"/>
      <c r="F35" s="12">
        <v>0</v>
      </c>
      <c r="G35" s="13">
        <f t="shared" si="0"/>
        <v>0</v>
      </c>
    </row>
    <row r="36" spans="1:7" ht="43.5" customHeight="1" x14ac:dyDescent="0.3">
      <c r="A36" s="16" t="s">
        <v>39</v>
      </c>
      <c r="B36" s="16"/>
      <c r="C36" s="11">
        <v>20</v>
      </c>
      <c r="D36" s="11" t="s">
        <v>29</v>
      </c>
      <c r="E36" s="11"/>
      <c r="F36" s="12">
        <v>0</v>
      </c>
      <c r="G36" s="13">
        <f t="shared" si="0"/>
        <v>0</v>
      </c>
    </row>
    <row r="37" spans="1:7" ht="93.75" customHeight="1" x14ac:dyDescent="0.3">
      <c r="A37" s="16" t="s">
        <v>40</v>
      </c>
      <c r="B37" s="16"/>
      <c r="C37" s="11">
        <v>20</v>
      </c>
      <c r="D37" s="11" t="s">
        <v>29</v>
      </c>
      <c r="E37" s="11"/>
      <c r="F37" s="12">
        <v>0</v>
      </c>
      <c r="G37" s="13">
        <f t="shared" si="0"/>
        <v>0</v>
      </c>
    </row>
    <row r="38" spans="1:7" ht="75.75" customHeight="1" x14ac:dyDescent="0.3">
      <c r="A38" s="16" t="s">
        <v>42</v>
      </c>
      <c r="B38" s="16"/>
      <c r="C38" s="11">
        <v>16</v>
      </c>
      <c r="D38" s="11" t="s">
        <v>11</v>
      </c>
      <c r="E38" s="11"/>
      <c r="F38" s="12">
        <v>0</v>
      </c>
      <c r="G38" s="13">
        <f t="shared" ref="G38:G69" si="1">F38*C38</f>
        <v>0</v>
      </c>
    </row>
    <row r="39" spans="1:7" ht="45" customHeight="1" x14ac:dyDescent="0.3">
      <c r="A39" s="16" t="s">
        <v>43</v>
      </c>
      <c r="B39" s="16"/>
      <c r="C39" s="11">
        <v>50</v>
      </c>
      <c r="D39" s="11" t="s">
        <v>29</v>
      </c>
      <c r="E39" s="11"/>
      <c r="F39" s="12">
        <v>0</v>
      </c>
      <c r="G39" s="13">
        <f t="shared" si="1"/>
        <v>0</v>
      </c>
    </row>
    <row r="40" spans="1:7" ht="46.5" customHeight="1" x14ac:dyDescent="0.3">
      <c r="A40" s="16" t="s">
        <v>44</v>
      </c>
      <c r="B40" s="16"/>
      <c r="C40" s="11">
        <v>2</v>
      </c>
      <c r="D40" s="11" t="s">
        <v>45</v>
      </c>
      <c r="E40" s="11"/>
      <c r="F40" s="12">
        <v>0</v>
      </c>
      <c r="G40" s="13">
        <f t="shared" si="1"/>
        <v>0</v>
      </c>
    </row>
    <row r="41" spans="1:7" ht="45" customHeight="1" x14ac:dyDescent="0.3">
      <c r="A41" s="16" t="s">
        <v>46</v>
      </c>
      <c r="B41" s="16"/>
      <c r="C41" s="11">
        <v>2</v>
      </c>
      <c r="D41" s="11" t="s">
        <v>45</v>
      </c>
      <c r="E41" s="11"/>
      <c r="F41" s="12">
        <v>0</v>
      </c>
      <c r="G41" s="13">
        <f t="shared" si="1"/>
        <v>0</v>
      </c>
    </row>
    <row r="42" spans="1:7" ht="45" customHeight="1" x14ac:dyDescent="0.3">
      <c r="A42" s="16" t="s">
        <v>47</v>
      </c>
      <c r="B42" s="16"/>
      <c r="C42" s="11">
        <v>1</v>
      </c>
      <c r="D42" s="11" t="s">
        <v>45</v>
      </c>
      <c r="E42" s="11"/>
      <c r="F42" s="12">
        <v>0</v>
      </c>
      <c r="G42" s="13">
        <f t="shared" si="1"/>
        <v>0</v>
      </c>
    </row>
    <row r="43" spans="1:7" ht="42.75" customHeight="1" x14ac:dyDescent="0.3">
      <c r="A43" s="16" t="s">
        <v>48</v>
      </c>
      <c r="B43" s="16"/>
      <c r="C43" s="11">
        <v>1</v>
      </c>
      <c r="D43" s="11" t="s">
        <v>45</v>
      </c>
      <c r="E43" s="11"/>
      <c r="F43" s="12">
        <v>0</v>
      </c>
      <c r="G43" s="13">
        <f t="shared" si="1"/>
        <v>0</v>
      </c>
    </row>
    <row r="44" spans="1:7" ht="42.75" customHeight="1" x14ac:dyDescent="0.3">
      <c r="A44" s="16" t="s">
        <v>49</v>
      </c>
      <c r="B44" s="16"/>
      <c r="C44" s="11">
        <v>48</v>
      </c>
      <c r="D44" s="11" t="s">
        <v>11</v>
      </c>
      <c r="E44" s="11"/>
      <c r="F44" s="12">
        <v>0</v>
      </c>
      <c r="G44" s="13">
        <f t="shared" si="1"/>
        <v>0</v>
      </c>
    </row>
    <row r="45" spans="1:7" x14ac:dyDescent="0.3">
      <c r="A45" s="16" t="s">
        <v>50</v>
      </c>
      <c r="B45" s="16"/>
      <c r="C45" s="11">
        <v>48</v>
      </c>
      <c r="D45" s="11" t="s">
        <v>11</v>
      </c>
      <c r="E45" s="11"/>
      <c r="F45" s="12">
        <v>0</v>
      </c>
      <c r="G45" s="13">
        <f t="shared" si="1"/>
        <v>0</v>
      </c>
    </row>
    <row r="46" spans="1:7" ht="44.25" customHeight="1" x14ac:dyDescent="0.3">
      <c r="A46" s="16" t="s">
        <v>51</v>
      </c>
      <c r="B46" s="16"/>
      <c r="C46" s="11">
        <v>16</v>
      </c>
      <c r="D46" s="11" t="s">
        <v>11</v>
      </c>
      <c r="E46" s="11"/>
      <c r="F46" s="12">
        <v>0</v>
      </c>
      <c r="G46" s="13">
        <f t="shared" si="1"/>
        <v>0</v>
      </c>
    </row>
    <row r="47" spans="1:7" x14ac:dyDescent="0.3">
      <c r="A47" s="16" t="s">
        <v>52</v>
      </c>
      <c r="B47" s="16"/>
      <c r="C47" s="11">
        <v>12</v>
      </c>
      <c r="D47" s="11" t="s">
        <v>11</v>
      </c>
      <c r="E47" s="11"/>
      <c r="F47" s="12">
        <v>0</v>
      </c>
      <c r="G47" s="13">
        <f t="shared" si="1"/>
        <v>0</v>
      </c>
    </row>
    <row r="48" spans="1:7" ht="95.25" customHeight="1" x14ac:dyDescent="0.3">
      <c r="A48" s="16" t="s">
        <v>53</v>
      </c>
      <c r="B48" s="16"/>
      <c r="C48" s="11">
        <v>30</v>
      </c>
      <c r="D48" s="11" t="s">
        <v>11</v>
      </c>
      <c r="E48" s="11"/>
      <c r="F48" s="12">
        <v>0</v>
      </c>
      <c r="G48" s="13">
        <f t="shared" si="1"/>
        <v>0</v>
      </c>
    </row>
    <row r="49" spans="1:7" ht="51" customHeight="1" x14ac:dyDescent="0.3">
      <c r="A49" s="16" t="s">
        <v>54</v>
      </c>
      <c r="B49" s="16"/>
      <c r="C49" s="11">
        <v>1</v>
      </c>
      <c r="D49" s="11" t="s">
        <v>11</v>
      </c>
      <c r="E49" s="11"/>
      <c r="F49" s="12">
        <v>0</v>
      </c>
      <c r="G49" s="13">
        <f t="shared" si="1"/>
        <v>0</v>
      </c>
    </row>
    <row r="50" spans="1:7" ht="81" customHeight="1" x14ac:dyDescent="0.3">
      <c r="A50" s="16" t="s">
        <v>63</v>
      </c>
      <c r="B50" s="16"/>
      <c r="C50" s="11">
        <v>1</v>
      </c>
      <c r="D50" s="11" t="s">
        <v>11</v>
      </c>
      <c r="E50" s="11"/>
      <c r="F50" s="12">
        <v>0</v>
      </c>
      <c r="G50" s="13">
        <f t="shared" si="1"/>
        <v>0</v>
      </c>
    </row>
    <row r="51" spans="1:7" ht="44.25" customHeight="1" x14ac:dyDescent="0.3">
      <c r="A51" s="16" t="s">
        <v>57</v>
      </c>
      <c r="B51" s="16"/>
      <c r="C51" s="11">
        <v>1</v>
      </c>
      <c r="D51" s="11" t="s">
        <v>11</v>
      </c>
      <c r="E51" s="11"/>
      <c r="F51" s="12">
        <v>0</v>
      </c>
      <c r="G51" s="13">
        <f t="shared" si="1"/>
        <v>0</v>
      </c>
    </row>
    <row r="52" spans="1:7" ht="28.5" customHeight="1" x14ac:dyDescent="0.3">
      <c r="A52" s="16" t="s">
        <v>58</v>
      </c>
      <c r="B52" s="16"/>
      <c r="C52" s="11">
        <v>1</v>
      </c>
      <c r="D52" s="11" t="s">
        <v>11</v>
      </c>
      <c r="E52" s="11"/>
      <c r="F52" s="12">
        <v>0</v>
      </c>
      <c r="G52" s="13">
        <f t="shared" si="1"/>
        <v>0</v>
      </c>
    </row>
    <row r="53" spans="1:7" x14ac:dyDescent="0.3">
      <c r="A53" s="16" t="s">
        <v>55</v>
      </c>
      <c r="B53" s="16"/>
      <c r="C53" s="11">
        <v>1</v>
      </c>
      <c r="D53" s="11" t="s">
        <v>11</v>
      </c>
      <c r="E53" s="11"/>
      <c r="F53" s="12">
        <v>0</v>
      </c>
      <c r="G53" s="13">
        <f t="shared" si="1"/>
        <v>0</v>
      </c>
    </row>
    <row r="54" spans="1:7" ht="45.75" customHeight="1" x14ac:dyDescent="0.3">
      <c r="A54" s="16" t="s">
        <v>56</v>
      </c>
      <c r="B54" s="16"/>
      <c r="C54" s="11">
        <v>1</v>
      </c>
      <c r="D54" s="11" t="s">
        <v>11</v>
      </c>
      <c r="E54" s="11"/>
      <c r="F54" s="12">
        <v>0</v>
      </c>
      <c r="G54" s="13">
        <f t="shared" si="1"/>
        <v>0</v>
      </c>
    </row>
    <row r="55" spans="1:7" x14ac:dyDescent="0.3">
      <c r="C55" s="1"/>
      <c r="D55" s="1"/>
      <c r="E55" s="1"/>
      <c r="F55" s="9" t="s">
        <v>60</v>
      </c>
      <c r="G55" s="8">
        <f>SUM(G6:G54)</f>
        <v>0</v>
      </c>
    </row>
  </sheetData>
  <mergeCells count="53"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D3:E3"/>
    <mergeCell ref="A5:B5"/>
    <mergeCell ref="A6:B6"/>
    <mergeCell ref="A1:H1"/>
    <mergeCell ref="B2:F2"/>
    <mergeCell ref="A7:B7"/>
    <mergeCell ref="A8:B8"/>
    <mergeCell ref="A9:B9"/>
    <mergeCell ref="A10:B10"/>
    <mergeCell ref="A11:B11"/>
    <mergeCell ref="A23:B23"/>
    <mergeCell ref="A24:B24"/>
    <mergeCell ref="A12:B12"/>
    <mergeCell ref="A13:B13"/>
    <mergeCell ref="A14:B14"/>
    <mergeCell ref="A15:B15"/>
    <mergeCell ref="A16:B16"/>
    <mergeCell ref="A25:B25"/>
    <mergeCell ref="A26:B26"/>
    <mergeCell ref="A34:B34"/>
    <mergeCell ref="A17:B17"/>
    <mergeCell ref="A18:B18"/>
    <mergeCell ref="A19:B19"/>
    <mergeCell ref="A20:B20"/>
    <mergeCell ref="A21:B21"/>
    <mergeCell ref="A27:B27"/>
    <mergeCell ref="A33:B33"/>
    <mergeCell ref="A28:B28"/>
    <mergeCell ref="A29:B29"/>
    <mergeCell ref="A30:B30"/>
    <mergeCell ref="A31:B31"/>
    <mergeCell ref="A32:B32"/>
    <mergeCell ref="A22:B22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WIKSTROM, NOEMI R CIV USSF SpOC 21 CES/CEOER</dc:creator>
  <cp:lastModifiedBy>COLUNGA, KAZUO T CIV USSF CFC 21 CONS/PKA</cp:lastModifiedBy>
  <cp:lastPrinted>2025-05-07T19:54:56Z</cp:lastPrinted>
  <dcterms:created xsi:type="dcterms:W3CDTF">2025-05-01T13:02:44Z</dcterms:created>
  <dcterms:modified xsi:type="dcterms:W3CDTF">2026-03-17T21:36:41Z</dcterms:modified>
</cp:coreProperties>
</file>