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.sharepoint-mil.us/teams/CCAM-AMB/Shared Documents/General/FRAM II/SSP/"/>
    </mc:Choice>
  </mc:AlternateContent>
  <xr:revisionPtr revIDLastSave="14" documentId="8_{AD9A338A-8210-4C57-B487-0CC4C35B6DDA}" xr6:coauthVersionLast="47" xr6:coauthVersionMax="47" xr10:uidLastSave="{0EFA8EB9-448C-45DE-A2FD-FD35C42A5A22}"/>
  <bookViews>
    <workbookView minimized="1" xWindow="29355" yWindow="765" windowWidth="21600" windowHeight="11205" xr2:uid="{A399F163-C1D1-4053-A36F-3042C1C086BD}"/>
  </bookViews>
  <sheets>
    <sheet name="Instructions" sheetId="9" r:id="rId1"/>
    <sheet name="Pricing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6" l="1"/>
  <c r="Q35" i="6"/>
  <c r="D36" i="6"/>
  <c r="N36" i="6"/>
  <c r="C36" i="6"/>
  <c r="M22" i="6"/>
  <c r="M36" i="6" s="1"/>
  <c r="O5" i="6"/>
  <c r="O22" i="6" s="1"/>
  <c r="O36" i="6" s="1"/>
  <c r="O6" i="6"/>
  <c r="O23" i="6" s="1"/>
  <c r="O7" i="6"/>
  <c r="O24" i="6" s="1"/>
  <c r="O8" i="6"/>
  <c r="O25" i="6" s="1"/>
  <c r="O9" i="6"/>
  <c r="O26" i="6" s="1"/>
  <c r="O10" i="6"/>
  <c r="O27" i="6" s="1"/>
  <c r="O11" i="6"/>
  <c r="O28" i="6" s="1"/>
  <c r="O12" i="6"/>
  <c r="O29" i="6" s="1"/>
  <c r="O13" i="6"/>
  <c r="O30" i="6" s="1"/>
  <c r="N35" i="6"/>
  <c r="C33" i="6"/>
  <c r="E27" i="6"/>
  <c r="F27" i="6"/>
  <c r="G27" i="6"/>
  <c r="H27" i="6"/>
  <c r="I27" i="6"/>
  <c r="J27" i="6"/>
  <c r="K27" i="6"/>
  <c r="L27" i="6"/>
  <c r="M27" i="6"/>
  <c r="D27" i="6"/>
  <c r="Q27" i="6" s="1"/>
  <c r="D23" i="6"/>
  <c r="Q23" i="6" s="1"/>
  <c r="E23" i="6"/>
  <c r="F23" i="6"/>
  <c r="G23" i="6"/>
  <c r="H23" i="6"/>
  <c r="I23" i="6"/>
  <c r="J23" i="6"/>
  <c r="K23" i="6"/>
  <c r="L23" i="6"/>
  <c r="M23" i="6"/>
  <c r="D24" i="6"/>
  <c r="Q24" i="6" s="1"/>
  <c r="E24" i="6"/>
  <c r="F24" i="6"/>
  <c r="G24" i="6"/>
  <c r="H24" i="6"/>
  <c r="I24" i="6"/>
  <c r="J24" i="6"/>
  <c r="K24" i="6"/>
  <c r="L24" i="6"/>
  <c r="M24" i="6"/>
  <c r="D25" i="6"/>
  <c r="Q25" i="6" s="1"/>
  <c r="E25" i="6"/>
  <c r="F25" i="6"/>
  <c r="G25" i="6"/>
  <c r="H25" i="6"/>
  <c r="I25" i="6"/>
  <c r="J25" i="6"/>
  <c r="K25" i="6"/>
  <c r="L25" i="6"/>
  <c r="M25" i="6"/>
  <c r="H26" i="6"/>
  <c r="Q26" i="6" s="1"/>
  <c r="I26" i="6"/>
  <c r="J26" i="6"/>
  <c r="K26" i="6"/>
  <c r="L26" i="6"/>
  <c r="M26" i="6"/>
  <c r="E22" i="6"/>
  <c r="Q22" i="6" s="1"/>
  <c r="F22" i="6"/>
  <c r="F36" i="6" s="1"/>
  <c r="G22" i="6"/>
  <c r="G36" i="6" s="1"/>
  <c r="H22" i="6"/>
  <c r="H36" i="6" s="1"/>
  <c r="I22" i="6"/>
  <c r="I36" i="6" s="1"/>
  <c r="J22" i="6"/>
  <c r="J36" i="6" s="1"/>
  <c r="K22" i="6"/>
  <c r="K36" i="6" s="1"/>
  <c r="L22" i="6"/>
  <c r="L36" i="6" s="1"/>
  <c r="D22" i="6"/>
  <c r="E28" i="6"/>
  <c r="F28" i="6"/>
  <c r="G28" i="6"/>
  <c r="H28" i="6"/>
  <c r="I28" i="6"/>
  <c r="J28" i="6"/>
  <c r="K28" i="6"/>
  <c r="L28" i="6"/>
  <c r="M28" i="6"/>
  <c r="E29" i="6"/>
  <c r="F29" i="6"/>
  <c r="G29" i="6"/>
  <c r="H29" i="6"/>
  <c r="I29" i="6"/>
  <c r="J29" i="6"/>
  <c r="K29" i="6"/>
  <c r="L29" i="6"/>
  <c r="M29" i="6"/>
  <c r="E30" i="6"/>
  <c r="F30" i="6"/>
  <c r="G30" i="6"/>
  <c r="H30" i="6"/>
  <c r="I30" i="6"/>
  <c r="J30" i="6"/>
  <c r="K30" i="6"/>
  <c r="L30" i="6"/>
  <c r="M30" i="6"/>
  <c r="D30" i="6"/>
  <c r="Q30" i="6" s="1"/>
  <c r="D29" i="6"/>
  <c r="Q29" i="6" s="1"/>
  <c r="D28" i="6"/>
  <c r="Q28" i="6" s="1"/>
  <c r="E36" i="6" l="1"/>
  <c r="Q33" i="6"/>
  <c r="Q36" i="6" s="1"/>
</calcChain>
</file>

<file path=xl/sharedStrings.xml><?xml version="1.0" encoding="utf-8"?>
<sst xmlns="http://schemas.openxmlformats.org/spreadsheetml/2006/main" count="108" uniqueCount="66">
  <si>
    <t>CLIN</t>
  </si>
  <si>
    <t>Contract Data Requirements List (CDRL)</t>
  </si>
  <si>
    <t>Contractor Manpower Reporting</t>
  </si>
  <si>
    <t>0012</t>
  </si>
  <si>
    <t>0013</t>
  </si>
  <si>
    <t>AH-64E Aircraft Maintenance</t>
  </si>
  <si>
    <t>CH-47F Aircraft Maintenance</t>
  </si>
  <si>
    <t>UH-72 Aircraft Maintenance</t>
  </si>
  <si>
    <t>MV-75 Aircraft Maintenance</t>
  </si>
  <si>
    <t>Base Year</t>
  </si>
  <si>
    <t>OY1</t>
  </si>
  <si>
    <t>OY2</t>
  </si>
  <si>
    <t>OY3</t>
  </si>
  <si>
    <t>OY4</t>
  </si>
  <si>
    <t>OY5</t>
  </si>
  <si>
    <t>OY6</t>
  </si>
  <si>
    <t>OY7</t>
  </si>
  <si>
    <t>OY8</t>
  </si>
  <si>
    <t>OY9</t>
  </si>
  <si>
    <t>6 Mth Ext</t>
  </si>
  <si>
    <t>UH-60M &amp; UH-60 A/L MEDEVAC Aircraft Maintenance</t>
  </si>
  <si>
    <t>Transition In</t>
  </si>
  <si>
    <t>Transition Out</t>
  </si>
  <si>
    <t>11/16-27 - 1/15/28</t>
  </si>
  <si>
    <t>1/16/28 - 1/15/29</t>
  </si>
  <si>
    <t>1/16/29 - 1/15/30</t>
  </si>
  <si>
    <t>1/16/30 - 1/15/31</t>
  </si>
  <si>
    <t>1/16/31 - 1/15/32</t>
  </si>
  <si>
    <t>1/16/32 - 1/15/33</t>
  </si>
  <si>
    <t>1/16/33 - 1/15/34</t>
  </si>
  <si>
    <t>1/16/34 - 1/15/35</t>
  </si>
  <si>
    <t>1/16/35 - 1/15/36</t>
  </si>
  <si>
    <t>1/16/36 - 1/15/37</t>
  </si>
  <si>
    <t>1/16/37 - 1/15/38</t>
  </si>
  <si>
    <t>11/15/37 - 1/15/38</t>
  </si>
  <si>
    <t>1/16-38 - 7/15/38</t>
  </si>
  <si>
    <t>CLIN Description</t>
  </si>
  <si>
    <t>Material*</t>
  </si>
  <si>
    <t>Services &amp; Travel*</t>
  </si>
  <si>
    <t>Local Purchase*</t>
  </si>
  <si>
    <t>POP:</t>
  </si>
  <si>
    <t>Other Support</t>
  </si>
  <si>
    <t>XX10</t>
  </si>
  <si>
    <t>XX11</t>
  </si>
  <si>
    <t>Phase-In: Labor</t>
  </si>
  <si>
    <t>Phase-In: Material &amp; Travel</t>
  </si>
  <si>
    <t>Phase-Out</t>
  </si>
  <si>
    <t>Unit Price By Period</t>
  </si>
  <si>
    <t>Price</t>
  </si>
  <si>
    <t>Instructions:</t>
  </si>
  <si>
    <t>The Offeror shall enter its proposed fixed unit price in the appropiate blue highlighted cells to satisfy the appropiate CLIN performance requirements.</t>
  </si>
  <si>
    <t xml:space="preserve">The Oferor's proposed fixed unit prices are formulated to calcuate an extended price in the green cells. </t>
  </si>
  <si>
    <t>The Offeror is responsible for ensuring that all calculations within each cell are accurate and reflective of the Offeror's proposed price.</t>
  </si>
  <si>
    <t>For proposal purposes, the Government has prepopulated the predetermined plug numbers for Material, Services &amp; Travel, and Local Purchase CLINS as follows: Material $200,000 per month, Services and Travel $700,000 per month, and Local Purchase $100,000 per month.</t>
  </si>
  <si>
    <t>XX01</t>
  </si>
  <si>
    <t>XX02</t>
  </si>
  <si>
    <t>XX03</t>
  </si>
  <si>
    <t>XX04</t>
  </si>
  <si>
    <t>XX05</t>
  </si>
  <si>
    <t>XX06</t>
  </si>
  <si>
    <t>XX07</t>
  </si>
  <si>
    <t>XX08</t>
  </si>
  <si>
    <t>XX09</t>
  </si>
  <si>
    <t>Total Price By Period</t>
  </si>
  <si>
    <t>Total Evaluated</t>
  </si>
  <si>
    <t>The Offeror's proposed fixed unit price and resultant extended price are utilized to calculate the Total Evaluated Price in the orange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</si>
</sst>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6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44" fontId="1" fillId="5" borderId="1" xfId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44" fontId="1" fillId="6" borderId="1" xfId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44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1" fillId="2" borderId="0" xfId="1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1" fillId="0" borderId="0" xfId="0" applyFont="1"/>
    <xf numFmtId="49" fontId="11" fillId="7" borderId="0" xfId="0" applyNumberFormat="1" applyFont="1" applyFill="1" applyAlignment="1">
      <alignment wrapText="1"/>
    </xf>
    <xf numFmtId="44" fontId="1" fillId="7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Alignment="1">
      <alignment wrapText="1"/>
    </xf>
    <xf numFmtId="0" fontId="11" fillId="0" borderId="0" xfId="0" applyFont="1" applyFill="1"/>
    <xf numFmtId="49" fontId="11" fillId="6" borderId="0" xfId="0" applyNumberFormat="1" applyFont="1" applyFill="1" applyAlignment="1">
      <alignment wrapText="1"/>
    </xf>
    <xf numFmtId="49" fontId="11" fillId="5" borderId="0" xfId="0" applyNumberFormat="1" applyFont="1" applyFill="1" applyAlignment="1">
      <alignment wrapText="1"/>
    </xf>
    <xf numFmtId="0" fontId="1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64" fontId="1" fillId="5" borderId="1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DC3E-76EF-4CDA-B78C-C4CBF2DAFC20}">
  <dimension ref="A1:A34"/>
  <sheetViews>
    <sheetView tabSelected="1" workbookViewId="0">
      <selection activeCell="A7" sqref="A7"/>
    </sheetView>
  </sheetViews>
  <sheetFormatPr defaultRowHeight="15" x14ac:dyDescent="0.2"/>
  <cols>
    <col min="1" max="1" width="151.28515625" style="30" customWidth="1"/>
    <col min="2" max="16384" width="9.140625" style="30"/>
  </cols>
  <sheetData>
    <row r="1" spans="1:1" ht="20.25" x14ac:dyDescent="0.2">
      <c r="A1" s="37" t="s">
        <v>49</v>
      </c>
    </row>
    <row r="2" spans="1:1" x14ac:dyDescent="0.2">
      <c r="A2" s="33" t="s">
        <v>52</v>
      </c>
    </row>
    <row r="3" spans="1:1" ht="30" x14ac:dyDescent="0.2">
      <c r="A3" s="33" t="s">
        <v>53</v>
      </c>
    </row>
    <row r="4" spans="1:1" x14ac:dyDescent="0.2">
      <c r="A4" s="35" t="s">
        <v>50</v>
      </c>
    </row>
    <row r="5" spans="1:1" x14ac:dyDescent="0.2">
      <c r="A5" s="36" t="s">
        <v>51</v>
      </c>
    </row>
    <row r="6" spans="1:1" x14ac:dyDescent="0.2">
      <c r="A6" s="31" t="s">
        <v>65</v>
      </c>
    </row>
    <row r="7" spans="1:1" x14ac:dyDescent="0.2">
      <c r="A7" s="34"/>
    </row>
    <row r="8" spans="1:1" x14ac:dyDescent="0.2">
      <c r="A8" s="34"/>
    </row>
    <row r="9" spans="1:1" x14ac:dyDescent="0.2">
      <c r="A9" s="34"/>
    </row>
    <row r="10" spans="1:1" x14ac:dyDescent="0.2">
      <c r="A10" s="34"/>
    </row>
    <row r="11" spans="1:1" x14ac:dyDescent="0.2">
      <c r="A11" s="34"/>
    </row>
    <row r="12" spans="1:1" x14ac:dyDescent="0.2">
      <c r="A12" s="34"/>
    </row>
    <row r="13" spans="1:1" x14ac:dyDescent="0.2">
      <c r="A13" s="34"/>
    </row>
    <row r="14" spans="1:1" x14ac:dyDescent="0.2">
      <c r="A14" s="34"/>
    </row>
    <row r="15" spans="1:1" x14ac:dyDescent="0.2">
      <c r="A15" s="16"/>
    </row>
    <row r="16" spans="1:1" x14ac:dyDescent="0.2">
      <c r="A16" s="34"/>
    </row>
    <row r="17" spans="1:1" x14ac:dyDescent="0.2">
      <c r="A17" s="34"/>
    </row>
    <row r="18" spans="1:1" x14ac:dyDescent="0.2">
      <c r="A18" s="34"/>
    </row>
    <row r="19" spans="1:1" x14ac:dyDescent="0.2">
      <c r="A19" s="34"/>
    </row>
    <row r="20" spans="1:1" x14ac:dyDescent="0.2">
      <c r="A20" s="34"/>
    </row>
    <row r="21" spans="1:1" x14ac:dyDescent="0.2">
      <c r="A21" s="34"/>
    </row>
    <row r="22" spans="1:1" x14ac:dyDescent="0.2">
      <c r="A22" s="34"/>
    </row>
    <row r="23" spans="1:1" x14ac:dyDescent="0.2">
      <c r="A23" s="34"/>
    </row>
    <row r="24" spans="1:1" x14ac:dyDescent="0.2">
      <c r="A24" s="34"/>
    </row>
    <row r="25" spans="1:1" x14ac:dyDescent="0.2">
      <c r="A25" s="34"/>
    </row>
    <row r="26" spans="1:1" x14ac:dyDescent="0.2">
      <c r="A26" s="34"/>
    </row>
    <row r="27" spans="1:1" x14ac:dyDescent="0.2">
      <c r="A27" s="34"/>
    </row>
    <row r="28" spans="1:1" x14ac:dyDescent="0.2">
      <c r="A28" s="34"/>
    </row>
    <row r="29" spans="1:1" x14ac:dyDescent="0.2">
      <c r="A29" s="34"/>
    </row>
    <row r="30" spans="1:1" x14ac:dyDescent="0.2">
      <c r="A30" s="34"/>
    </row>
    <row r="31" spans="1:1" x14ac:dyDescent="0.2">
      <c r="A31" s="34"/>
    </row>
    <row r="32" spans="1:1" x14ac:dyDescent="0.2">
      <c r="A32" s="34"/>
    </row>
    <row r="33" spans="1:1" x14ac:dyDescent="0.2">
      <c r="A33" s="34"/>
    </row>
    <row r="34" spans="1:1" x14ac:dyDescent="0.2">
      <c r="A34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CF1A-0423-4F98-A18D-D6A730F7D79A}">
  <dimension ref="A1:Q60"/>
  <sheetViews>
    <sheetView topLeftCell="B1" workbookViewId="0">
      <selection activeCell="Q21" sqref="Q21"/>
    </sheetView>
  </sheetViews>
  <sheetFormatPr defaultColWidth="9.28515625" defaultRowHeight="12.75" x14ac:dyDescent="0.25"/>
  <cols>
    <col min="1" max="1" width="10.140625" style="3" customWidth="1"/>
    <col min="2" max="2" width="47.42578125" style="2" bestFit="1" customWidth="1"/>
    <col min="3" max="3" width="16.5703125" style="2" bestFit="1" customWidth="1"/>
    <col min="4" max="13" width="16.85546875" style="3" bestFit="1" customWidth="1"/>
    <col min="14" max="14" width="16.140625" style="3" bestFit="1" customWidth="1"/>
    <col min="15" max="15" width="15.7109375" style="3" bestFit="1" customWidth="1"/>
    <col min="16" max="16" width="4.7109375" style="3" customWidth="1"/>
    <col min="17" max="17" width="20.42578125" style="3" customWidth="1"/>
    <col min="18" max="16384" width="9.28515625" style="3"/>
  </cols>
  <sheetData>
    <row r="1" spans="1:17" ht="18" x14ac:dyDescent="0.25">
      <c r="A1" s="18"/>
      <c r="B1" s="18"/>
      <c r="C1" s="18"/>
      <c r="D1" s="38" t="s">
        <v>47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17"/>
      <c r="Q1" s="17"/>
    </row>
    <row r="2" spans="1:17" ht="15" x14ac:dyDescent="0.25">
      <c r="A2" s="18"/>
      <c r="B2" s="18"/>
      <c r="C2" s="18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7"/>
      <c r="Q2" s="17"/>
    </row>
    <row r="3" spans="1:17" x14ac:dyDescent="0.25">
      <c r="A3" s="4"/>
      <c r="B3" s="20" t="s">
        <v>40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33</v>
      </c>
      <c r="N3" s="4" t="s">
        <v>34</v>
      </c>
      <c r="O3" s="4" t="s">
        <v>35</v>
      </c>
      <c r="P3" s="17"/>
      <c r="Q3" s="17"/>
    </row>
    <row r="4" spans="1:17" s="19" customFormat="1" ht="15" x14ac:dyDescent="0.25">
      <c r="A4" s="18" t="s">
        <v>0</v>
      </c>
      <c r="B4" s="18" t="s">
        <v>36</v>
      </c>
      <c r="C4" s="18" t="s">
        <v>21</v>
      </c>
      <c r="D4" s="18" t="s">
        <v>9</v>
      </c>
      <c r="E4" s="18" t="s">
        <v>10</v>
      </c>
      <c r="F4" s="18" t="s">
        <v>11</v>
      </c>
      <c r="G4" s="18" t="s">
        <v>12</v>
      </c>
      <c r="H4" s="18" t="s">
        <v>13</v>
      </c>
      <c r="I4" s="18" t="s">
        <v>14</v>
      </c>
      <c r="J4" s="18" t="s">
        <v>15</v>
      </c>
      <c r="K4" s="18" t="s">
        <v>16</v>
      </c>
      <c r="L4" s="18" t="s">
        <v>17</v>
      </c>
      <c r="M4" s="18" t="s">
        <v>18</v>
      </c>
      <c r="N4" s="18" t="s">
        <v>22</v>
      </c>
      <c r="O4" s="18" t="s">
        <v>19</v>
      </c>
      <c r="P4" s="25"/>
      <c r="Q4" s="27"/>
    </row>
    <row r="5" spans="1:17" x14ac:dyDescent="0.25">
      <c r="A5" s="14" t="s">
        <v>54</v>
      </c>
      <c r="B5" s="15" t="s">
        <v>5</v>
      </c>
      <c r="C5" s="8"/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8"/>
      <c r="O5" s="39">
        <f>M5</f>
        <v>0</v>
      </c>
      <c r="P5" s="26"/>
      <c r="Q5" s="17"/>
    </row>
    <row r="6" spans="1:17" x14ac:dyDescent="0.25">
      <c r="A6" s="14" t="s">
        <v>55</v>
      </c>
      <c r="B6" s="15" t="s">
        <v>6</v>
      </c>
      <c r="C6" s="8"/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8"/>
      <c r="O6" s="39">
        <f t="shared" ref="O6:O13" si="0">M6</f>
        <v>0</v>
      </c>
      <c r="P6" s="26"/>
      <c r="Q6" s="17"/>
    </row>
    <row r="7" spans="1:17" x14ac:dyDescent="0.25">
      <c r="A7" s="14" t="s">
        <v>56</v>
      </c>
      <c r="B7" s="15" t="s">
        <v>20</v>
      </c>
      <c r="C7" s="8"/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8"/>
      <c r="O7" s="39">
        <f t="shared" si="0"/>
        <v>0</v>
      </c>
      <c r="P7" s="26"/>
      <c r="Q7" s="17"/>
    </row>
    <row r="8" spans="1:17" x14ac:dyDescent="0.25">
      <c r="A8" s="14" t="s">
        <v>57</v>
      </c>
      <c r="B8" s="15" t="s">
        <v>7</v>
      </c>
      <c r="C8" s="8"/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8"/>
      <c r="O8" s="39">
        <f t="shared" si="0"/>
        <v>0</v>
      </c>
      <c r="P8" s="26"/>
      <c r="Q8" s="17"/>
    </row>
    <row r="9" spans="1:17" x14ac:dyDescent="0.25">
      <c r="A9" s="14" t="s">
        <v>58</v>
      </c>
      <c r="B9" s="15" t="s">
        <v>8</v>
      </c>
      <c r="C9" s="8"/>
      <c r="D9" s="9"/>
      <c r="E9" s="9"/>
      <c r="F9" s="9"/>
      <c r="G9" s="9"/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8"/>
      <c r="O9" s="39">
        <f t="shared" si="0"/>
        <v>0</v>
      </c>
      <c r="P9" s="26"/>
      <c r="Q9" s="17"/>
    </row>
    <row r="10" spans="1:17" x14ac:dyDescent="0.25">
      <c r="A10" s="14" t="s">
        <v>59</v>
      </c>
      <c r="B10" s="15" t="s">
        <v>41</v>
      </c>
      <c r="C10" s="8"/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8"/>
      <c r="O10" s="39">
        <f t="shared" si="0"/>
        <v>0</v>
      </c>
      <c r="P10" s="26"/>
      <c r="Q10" s="17"/>
    </row>
    <row r="11" spans="1:17" x14ac:dyDescent="0.25">
      <c r="A11" s="14" t="s">
        <v>60</v>
      </c>
      <c r="B11" s="15" t="s">
        <v>37</v>
      </c>
      <c r="C11" s="8"/>
      <c r="D11" s="22">
        <v>200000</v>
      </c>
      <c r="E11" s="22">
        <v>200000</v>
      </c>
      <c r="F11" s="22">
        <v>200000</v>
      </c>
      <c r="G11" s="22">
        <v>200000</v>
      </c>
      <c r="H11" s="22">
        <v>200000</v>
      </c>
      <c r="I11" s="22">
        <v>200000</v>
      </c>
      <c r="J11" s="22">
        <v>200000</v>
      </c>
      <c r="K11" s="22">
        <v>200000</v>
      </c>
      <c r="L11" s="22">
        <v>200000</v>
      </c>
      <c r="M11" s="22">
        <v>200000</v>
      </c>
      <c r="N11" s="8"/>
      <c r="O11" s="39">
        <f t="shared" si="0"/>
        <v>200000</v>
      </c>
      <c r="P11" s="26"/>
      <c r="Q11" s="17"/>
    </row>
    <row r="12" spans="1:17" x14ac:dyDescent="0.25">
      <c r="A12" s="14" t="s">
        <v>61</v>
      </c>
      <c r="B12" s="15" t="s">
        <v>38</v>
      </c>
      <c r="C12" s="8"/>
      <c r="D12" s="22">
        <v>700000</v>
      </c>
      <c r="E12" s="22">
        <v>700000</v>
      </c>
      <c r="F12" s="22">
        <v>700000</v>
      </c>
      <c r="G12" s="22">
        <v>700000</v>
      </c>
      <c r="H12" s="22">
        <v>700000</v>
      </c>
      <c r="I12" s="22">
        <v>700000</v>
      </c>
      <c r="J12" s="22">
        <v>700000</v>
      </c>
      <c r="K12" s="22">
        <v>700000</v>
      </c>
      <c r="L12" s="22">
        <v>700000</v>
      </c>
      <c r="M12" s="22">
        <v>700000</v>
      </c>
      <c r="N12" s="8"/>
      <c r="O12" s="39">
        <f t="shared" si="0"/>
        <v>700000</v>
      </c>
      <c r="P12" s="26"/>
      <c r="Q12" s="17"/>
    </row>
    <row r="13" spans="1:17" x14ac:dyDescent="0.25">
      <c r="A13" s="14" t="s">
        <v>62</v>
      </c>
      <c r="B13" s="15" t="s">
        <v>39</v>
      </c>
      <c r="C13" s="8"/>
      <c r="D13" s="22">
        <v>100000</v>
      </c>
      <c r="E13" s="22">
        <v>100000</v>
      </c>
      <c r="F13" s="22">
        <v>100000</v>
      </c>
      <c r="G13" s="22">
        <v>100000</v>
      </c>
      <c r="H13" s="22">
        <v>100000</v>
      </c>
      <c r="I13" s="22">
        <v>100000</v>
      </c>
      <c r="J13" s="22">
        <v>100000</v>
      </c>
      <c r="K13" s="22">
        <v>100000</v>
      </c>
      <c r="L13" s="22">
        <v>100000</v>
      </c>
      <c r="M13" s="22">
        <v>100000</v>
      </c>
      <c r="N13" s="8"/>
      <c r="O13" s="39">
        <f t="shared" si="0"/>
        <v>100000</v>
      </c>
      <c r="P13" s="26"/>
      <c r="Q13" s="17"/>
    </row>
    <row r="14" spans="1:17" x14ac:dyDescent="0.25">
      <c r="A14" s="14" t="s">
        <v>42</v>
      </c>
      <c r="B14" s="15" t="s">
        <v>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6"/>
      <c r="Q14" s="17"/>
    </row>
    <row r="15" spans="1:17" x14ac:dyDescent="0.25">
      <c r="A15" s="14" t="s">
        <v>43</v>
      </c>
      <c r="B15" s="15" t="s">
        <v>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6"/>
      <c r="Q15" s="17"/>
    </row>
    <row r="16" spans="1:17" x14ac:dyDescent="0.25">
      <c r="A16" s="14" t="s">
        <v>3</v>
      </c>
      <c r="B16" s="15" t="s">
        <v>44</v>
      </c>
      <c r="C16" s="21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6"/>
      <c r="Q16" s="17"/>
    </row>
    <row r="17" spans="1:17" x14ac:dyDescent="0.25">
      <c r="A17" s="14" t="s">
        <v>4</v>
      </c>
      <c r="B17" s="15" t="s">
        <v>45</v>
      </c>
      <c r="C17" s="21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6"/>
      <c r="Q17" s="17"/>
    </row>
    <row r="18" spans="1:17" x14ac:dyDescent="0.25">
      <c r="A18" s="14">
        <v>9014</v>
      </c>
      <c r="B18" s="15" t="s">
        <v>46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21">
        <v>0</v>
      </c>
      <c r="O18" s="8"/>
      <c r="P18" s="26"/>
      <c r="Q18" s="17"/>
    </row>
    <row r="19" spans="1:17" ht="18" x14ac:dyDescent="0.25">
      <c r="A19" s="17"/>
      <c r="B19" s="29"/>
      <c r="C19" s="18"/>
      <c r="D19" s="38" t="s">
        <v>63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17"/>
      <c r="Q19" s="17"/>
    </row>
    <row r="20" spans="1:17" ht="15.75" x14ac:dyDescent="0.25">
      <c r="A20" s="17"/>
      <c r="B20" s="29"/>
      <c r="C20" s="1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17"/>
      <c r="Q20" s="28" t="s">
        <v>64</v>
      </c>
    </row>
    <row r="21" spans="1:17" s="23" customFormat="1" ht="15.75" x14ac:dyDescent="0.25">
      <c r="A21" s="18" t="s">
        <v>0</v>
      </c>
      <c r="B21" s="18" t="s">
        <v>36</v>
      </c>
      <c r="C21" s="18" t="s">
        <v>21</v>
      </c>
      <c r="D21" s="18" t="s">
        <v>9</v>
      </c>
      <c r="E21" s="18" t="s">
        <v>10</v>
      </c>
      <c r="F21" s="18" t="s">
        <v>11</v>
      </c>
      <c r="G21" s="18" t="s">
        <v>12</v>
      </c>
      <c r="H21" s="18" t="s">
        <v>13</v>
      </c>
      <c r="I21" s="18" t="s">
        <v>14</v>
      </c>
      <c r="J21" s="18" t="s">
        <v>15</v>
      </c>
      <c r="K21" s="18" t="s">
        <v>16</v>
      </c>
      <c r="L21" s="18" t="s">
        <v>17</v>
      </c>
      <c r="M21" s="18" t="s">
        <v>18</v>
      </c>
      <c r="N21" s="18" t="s">
        <v>22</v>
      </c>
      <c r="O21" s="18" t="s">
        <v>19</v>
      </c>
      <c r="P21" s="25"/>
      <c r="Q21" s="28" t="s">
        <v>48</v>
      </c>
    </row>
    <row r="22" spans="1:17" x14ac:dyDescent="0.25">
      <c r="A22" s="14" t="s">
        <v>54</v>
      </c>
      <c r="B22" s="15" t="s">
        <v>5</v>
      </c>
      <c r="C22" s="8"/>
      <c r="D22" s="13">
        <f>D5*12</f>
        <v>0</v>
      </c>
      <c r="E22" s="13">
        <f t="shared" ref="E22:L22" si="1">E5*12</f>
        <v>0</v>
      </c>
      <c r="F22" s="13">
        <f t="shared" si="1"/>
        <v>0</v>
      </c>
      <c r="G22" s="13">
        <f t="shared" si="1"/>
        <v>0</v>
      </c>
      <c r="H22" s="13">
        <f t="shared" si="1"/>
        <v>0</v>
      </c>
      <c r="I22" s="13">
        <f t="shared" si="1"/>
        <v>0</v>
      </c>
      <c r="J22" s="13">
        <f t="shared" si="1"/>
        <v>0</v>
      </c>
      <c r="K22" s="13">
        <f t="shared" si="1"/>
        <v>0</v>
      </c>
      <c r="L22" s="13">
        <f t="shared" si="1"/>
        <v>0</v>
      </c>
      <c r="M22" s="13">
        <f>M5*12</f>
        <v>0</v>
      </c>
      <c r="N22" s="9"/>
      <c r="O22" s="12">
        <f t="shared" ref="O22:O30" si="2">O5*6</f>
        <v>0</v>
      </c>
      <c r="P22" s="26"/>
      <c r="Q22" s="32">
        <f>SUM(C22:O22)</f>
        <v>0</v>
      </c>
    </row>
    <row r="23" spans="1:17" x14ac:dyDescent="0.25">
      <c r="A23" s="14" t="s">
        <v>55</v>
      </c>
      <c r="B23" s="15" t="s">
        <v>6</v>
      </c>
      <c r="C23" s="8"/>
      <c r="D23" s="13">
        <f t="shared" ref="D23:M23" si="3">D6*12</f>
        <v>0</v>
      </c>
      <c r="E23" s="13">
        <f t="shared" si="3"/>
        <v>0</v>
      </c>
      <c r="F23" s="13">
        <f t="shared" si="3"/>
        <v>0</v>
      </c>
      <c r="G23" s="13">
        <f t="shared" si="3"/>
        <v>0</v>
      </c>
      <c r="H23" s="13">
        <f t="shared" si="3"/>
        <v>0</v>
      </c>
      <c r="I23" s="13">
        <f t="shared" si="3"/>
        <v>0</v>
      </c>
      <c r="J23" s="13">
        <f t="shared" si="3"/>
        <v>0</v>
      </c>
      <c r="K23" s="13">
        <f t="shared" si="3"/>
        <v>0</v>
      </c>
      <c r="L23" s="13">
        <f t="shared" si="3"/>
        <v>0</v>
      </c>
      <c r="M23" s="13">
        <f t="shared" si="3"/>
        <v>0</v>
      </c>
      <c r="N23" s="9"/>
      <c r="O23" s="12">
        <f t="shared" si="2"/>
        <v>0</v>
      </c>
      <c r="P23" s="26"/>
      <c r="Q23" s="32">
        <f t="shared" ref="Q23:Q35" si="4">SUM(C23:O23)</f>
        <v>0</v>
      </c>
    </row>
    <row r="24" spans="1:17" x14ac:dyDescent="0.25">
      <c r="A24" s="14" t="s">
        <v>56</v>
      </c>
      <c r="B24" s="15" t="s">
        <v>20</v>
      </c>
      <c r="C24" s="8"/>
      <c r="D24" s="13">
        <f t="shared" ref="D24:M24" si="5">D7*12</f>
        <v>0</v>
      </c>
      <c r="E24" s="13">
        <f t="shared" si="5"/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9"/>
      <c r="O24" s="12">
        <f t="shared" si="2"/>
        <v>0</v>
      </c>
      <c r="P24" s="26"/>
      <c r="Q24" s="32">
        <f t="shared" si="4"/>
        <v>0</v>
      </c>
    </row>
    <row r="25" spans="1:17" x14ac:dyDescent="0.25">
      <c r="A25" s="14" t="s">
        <v>57</v>
      </c>
      <c r="B25" s="15" t="s">
        <v>7</v>
      </c>
      <c r="C25" s="8"/>
      <c r="D25" s="13">
        <f t="shared" ref="D25:M27" si="6">D8*12</f>
        <v>0</v>
      </c>
      <c r="E25" s="13">
        <f t="shared" si="6"/>
        <v>0</v>
      </c>
      <c r="F25" s="13">
        <f t="shared" si="6"/>
        <v>0</v>
      </c>
      <c r="G25" s="13">
        <f t="shared" si="6"/>
        <v>0</v>
      </c>
      <c r="H25" s="13">
        <f t="shared" si="6"/>
        <v>0</v>
      </c>
      <c r="I25" s="13">
        <f t="shared" si="6"/>
        <v>0</v>
      </c>
      <c r="J25" s="13">
        <f t="shared" si="6"/>
        <v>0</v>
      </c>
      <c r="K25" s="13">
        <f t="shared" si="6"/>
        <v>0</v>
      </c>
      <c r="L25" s="13">
        <f t="shared" si="6"/>
        <v>0</v>
      </c>
      <c r="M25" s="13">
        <f t="shared" si="6"/>
        <v>0</v>
      </c>
      <c r="N25" s="9"/>
      <c r="O25" s="12">
        <f t="shared" si="2"/>
        <v>0</v>
      </c>
      <c r="P25" s="26"/>
      <c r="Q25" s="32">
        <f t="shared" si="4"/>
        <v>0</v>
      </c>
    </row>
    <row r="26" spans="1:17" x14ac:dyDescent="0.25">
      <c r="A26" s="14" t="s">
        <v>58</v>
      </c>
      <c r="B26" s="15" t="s">
        <v>8</v>
      </c>
      <c r="C26" s="8"/>
      <c r="D26" s="9"/>
      <c r="E26" s="9"/>
      <c r="F26" s="9"/>
      <c r="G26" s="9"/>
      <c r="H26" s="13">
        <f t="shared" ref="H26:M26" si="7">H9*12</f>
        <v>0</v>
      </c>
      <c r="I26" s="13">
        <f t="shared" si="7"/>
        <v>0</v>
      </c>
      <c r="J26" s="13">
        <f t="shared" si="7"/>
        <v>0</v>
      </c>
      <c r="K26" s="13">
        <f t="shared" si="7"/>
        <v>0</v>
      </c>
      <c r="L26" s="13">
        <f t="shared" si="7"/>
        <v>0</v>
      </c>
      <c r="M26" s="13">
        <f t="shared" si="7"/>
        <v>0</v>
      </c>
      <c r="N26" s="9"/>
      <c r="O26" s="12">
        <f t="shared" si="2"/>
        <v>0</v>
      </c>
      <c r="P26" s="26"/>
      <c r="Q26" s="32">
        <f t="shared" si="4"/>
        <v>0</v>
      </c>
    </row>
    <row r="27" spans="1:17" s="2" customFormat="1" x14ac:dyDescent="0.25">
      <c r="A27" s="14" t="s">
        <v>59</v>
      </c>
      <c r="B27" s="15" t="s">
        <v>41</v>
      </c>
      <c r="C27" s="8"/>
      <c r="D27" s="13">
        <f t="shared" si="6"/>
        <v>0</v>
      </c>
      <c r="E27" s="13">
        <f t="shared" si="6"/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9"/>
      <c r="O27" s="12">
        <f t="shared" si="2"/>
        <v>0</v>
      </c>
      <c r="P27" s="26"/>
      <c r="Q27" s="32">
        <f t="shared" si="4"/>
        <v>0</v>
      </c>
    </row>
    <row r="28" spans="1:17" s="2" customFormat="1" x14ac:dyDescent="0.25">
      <c r="A28" s="14" t="s">
        <v>60</v>
      </c>
      <c r="B28" s="15" t="s">
        <v>37</v>
      </c>
      <c r="C28" s="8"/>
      <c r="D28" s="12">
        <f>D11*12</f>
        <v>2400000</v>
      </c>
      <c r="E28" s="12">
        <f t="shared" ref="E28:M28" si="8">E11*12</f>
        <v>2400000</v>
      </c>
      <c r="F28" s="12">
        <f t="shared" si="8"/>
        <v>2400000</v>
      </c>
      <c r="G28" s="12">
        <f t="shared" si="8"/>
        <v>2400000</v>
      </c>
      <c r="H28" s="12">
        <f t="shared" si="8"/>
        <v>2400000</v>
      </c>
      <c r="I28" s="12">
        <f t="shared" si="8"/>
        <v>2400000</v>
      </c>
      <c r="J28" s="12">
        <f t="shared" si="8"/>
        <v>2400000</v>
      </c>
      <c r="K28" s="12">
        <f t="shared" si="8"/>
        <v>2400000</v>
      </c>
      <c r="L28" s="12">
        <f t="shared" si="8"/>
        <v>2400000</v>
      </c>
      <c r="M28" s="12">
        <f t="shared" si="8"/>
        <v>2400000</v>
      </c>
      <c r="N28" s="10"/>
      <c r="O28" s="12">
        <f t="shared" si="2"/>
        <v>1200000</v>
      </c>
      <c r="P28" s="26"/>
      <c r="Q28" s="32">
        <f t="shared" si="4"/>
        <v>25200000</v>
      </c>
    </row>
    <row r="29" spans="1:17" s="2" customFormat="1" x14ac:dyDescent="0.25">
      <c r="A29" s="14" t="s">
        <v>61</v>
      </c>
      <c r="B29" s="15" t="s">
        <v>38</v>
      </c>
      <c r="C29" s="8"/>
      <c r="D29" s="12">
        <f t="shared" ref="D29:M30" si="9">D12*12</f>
        <v>8400000</v>
      </c>
      <c r="E29" s="12">
        <f t="shared" si="9"/>
        <v>8400000</v>
      </c>
      <c r="F29" s="12">
        <f t="shared" si="9"/>
        <v>8400000</v>
      </c>
      <c r="G29" s="12">
        <f t="shared" si="9"/>
        <v>8400000</v>
      </c>
      <c r="H29" s="12">
        <f t="shared" si="9"/>
        <v>8400000</v>
      </c>
      <c r="I29" s="12">
        <f t="shared" si="9"/>
        <v>8400000</v>
      </c>
      <c r="J29" s="12">
        <f t="shared" si="9"/>
        <v>8400000</v>
      </c>
      <c r="K29" s="12">
        <f t="shared" si="9"/>
        <v>8400000</v>
      </c>
      <c r="L29" s="12">
        <f t="shared" si="9"/>
        <v>8400000</v>
      </c>
      <c r="M29" s="12">
        <f t="shared" si="9"/>
        <v>8400000</v>
      </c>
      <c r="N29" s="10"/>
      <c r="O29" s="12">
        <f t="shared" si="2"/>
        <v>4200000</v>
      </c>
      <c r="P29" s="26"/>
      <c r="Q29" s="32">
        <f t="shared" si="4"/>
        <v>88200000</v>
      </c>
    </row>
    <row r="30" spans="1:17" s="2" customFormat="1" x14ac:dyDescent="0.25">
      <c r="A30" s="14" t="s">
        <v>62</v>
      </c>
      <c r="B30" s="15" t="s">
        <v>39</v>
      </c>
      <c r="C30" s="8"/>
      <c r="D30" s="12">
        <f>D13*12</f>
        <v>1200000</v>
      </c>
      <c r="E30" s="12">
        <f t="shared" si="9"/>
        <v>1200000</v>
      </c>
      <c r="F30" s="12">
        <f t="shared" si="9"/>
        <v>1200000</v>
      </c>
      <c r="G30" s="12">
        <f t="shared" si="9"/>
        <v>1200000</v>
      </c>
      <c r="H30" s="12">
        <f t="shared" si="9"/>
        <v>1200000</v>
      </c>
      <c r="I30" s="12">
        <f t="shared" si="9"/>
        <v>1200000</v>
      </c>
      <c r="J30" s="12">
        <f t="shared" si="9"/>
        <v>1200000</v>
      </c>
      <c r="K30" s="12">
        <f t="shared" si="9"/>
        <v>1200000</v>
      </c>
      <c r="L30" s="12">
        <f t="shared" si="9"/>
        <v>1200000</v>
      </c>
      <c r="M30" s="12">
        <f t="shared" si="9"/>
        <v>1200000</v>
      </c>
      <c r="N30" s="10"/>
      <c r="O30" s="12">
        <f t="shared" si="2"/>
        <v>600000</v>
      </c>
      <c r="P30" s="26"/>
      <c r="Q30" s="32">
        <f t="shared" si="4"/>
        <v>12600000</v>
      </c>
    </row>
    <row r="31" spans="1:17" s="2" customFormat="1" x14ac:dyDescent="0.25">
      <c r="A31" s="14" t="s">
        <v>42</v>
      </c>
      <c r="B31" s="15" t="s">
        <v>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26"/>
      <c r="Q31" s="32"/>
    </row>
    <row r="32" spans="1:17" s="2" customFormat="1" x14ac:dyDescent="0.25">
      <c r="A32" s="14" t="s">
        <v>43</v>
      </c>
      <c r="B32" s="15" t="s">
        <v>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26"/>
      <c r="Q32" s="32"/>
    </row>
    <row r="33" spans="1:17" s="2" customFormat="1" x14ac:dyDescent="0.25">
      <c r="A33" s="14" t="s">
        <v>3</v>
      </c>
      <c r="B33" s="15" t="s">
        <v>44</v>
      </c>
      <c r="C33" s="13">
        <f>C16*2</f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26"/>
      <c r="Q33" s="32">
        <f t="shared" si="4"/>
        <v>0</v>
      </c>
    </row>
    <row r="34" spans="1:17" s="2" customFormat="1" x14ac:dyDescent="0.25">
      <c r="A34" s="14" t="s">
        <v>4</v>
      </c>
      <c r="B34" s="15" t="s">
        <v>45</v>
      </c>
      <c r="C34" s="13"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26"/>
      <c r="Q34" s="32">
        <f t="shared" si="4"/>
        <v>0</v>
      </c>
    </row>
    <row r="35" spans="1:17" s="2" customFormat="1" x14ac:dyDescent="0.25">
      <c r="A35" s="14">
        <v>9014</v>
      </c>
      <c r="B35" s="15" t="s">
        <v>46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13">
        <f>N18*2</f>
        <v>0</v>
      </c>
      <c r="O35" s="8"/>
      <c r="P35" s="26"/>
      <c r="Q35" s="32">
        <f t="shared" si="4"/>
        <v>0</v>
      </c>
    </row>
    <row r="36" spans="1:17" s="23" customFormat="1" ht="15" x14ac:dyDescent="0.25">
      <c r="A36" s="18"/>
      <c r="B36" s="18"/>
      <c r="C36" s="24">
        <f>SUM(C22:C35)</f>
        <v>0</v>
      </c>
      <c r="D36" s="24">
        <f t="shared" ref="D36:Q36" si="10">SUM(D22:D35)</f>
        <v>12000000</v>
      </c>
      <c r="E36" s="24">
        <f t="shared" si="10"/>
        <v>12000000</v>
      </c>
      <c r="F36" s="24">
        <f t="shared" si="10"/>
        <v>12000000</v>
      </c>
      <c r="G36" s="24">
        <f t="shared" si="10"/>
        <v>12000000</v>
      </c>
      <c r="H36" s="24">
        <f t="shared" si="10"/>
        <v>12000000</v>
      </c>
      <c r="I36" s="24">
        <f t="shared" si="10"/>
        <v>12000000</v>
      </c>
      <c r="J36" s="24">
        <f t="shared" si="10"/>
        <v>12000000</v>
      </c>
      <c r="K36" s="24">
        <f t="shared" si="10"/>
        <v>12000000</v>
      </c>
      <c r="L36" s="24">
        <f t="shared" si="10"/>
        <v>12000000</v>
      </c>
      <c r="M36" s="24">
        <f t="shared" si="10"/>
        <v>12000000</v>
      </c>
      <c r="N36" s="24">
        <f t="shared" si="10"/>
        <v>0</v>
      </c>
      <c r="O36" s="24">
        <f t="shared" si="10"/>
        <v>6000000</v>
      </c>
      <c r="P36" s="25"/>
      <c r="Q36" s="24">
        <f t="shared" si="10"/>
        <v>126000000</v>
      </c>
    </row>
    <row r="37" spans="1:17" s="2" customFormat="1" x14ac:dyDescent="0.25">
      <c r="A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6"/>
    </row>
    <row r="38" spans="1:17" s="2" customFormat="1" x14ac:dyDescent="0.25">
      <c r="A38" s="1"/>
      <c r="D38" s="1"/>
    </row>
    <row r="39" spans="1:17" s="2" customFormat="1" x14ac:dyDescent="0.25">
      <c r="A39" s="7"/>
      <c r="D39" s="1"/>
    </row>
    <row r="40" spans="1:17" s="2" customFormat="1" x14ac:dyDescent="0.25">
      <c r="A40" s="7"/>
      <c r="D40" s="1"/>
    </row>
    <row r="41" spans="1:17" s="2" customFormat="1" x14ac:dyDescent="0.25">
      <c r="A41" s="5"/>
      <c r="D41" s="1"/>
    </row>
    <row r="42" spans="1:17" s="2" customFormat="1" x14ac:dyDescent="0.25">
      <c r="A42" s="5"/>
      <c r="D42" s="1"/>
    </row>
    <row r="43" spans="1:17" s="2" customFormat="1" x14ac:dyDescent="0.25">
      <c r="A43" s="5"/>
      <c r="D43" s="1"/>
    </row>
    <row r="44" spans="1:17" s="2" customFormat="1" x14ac:dyDescent="0.25">
      <c r="A44" s="1"/>
      <c r="D44" s="1"/>
    </row>
    <row r="45" spans="1:17" s="2" customFormat="1" x14ac:dyDescent="0.25">
      <c r="A45" s="1"/>
      <c r="D45" s="1"/>
    </row>
    <row r="46" spans="1:17" s="2" customFormat="1" x14ac:dyDescent="0.25">
      <c r="A46" s="1"/>
      <c r="D46" s="1"/>
    </row>
    <row r="47" spans="1:17" s="2" customFormat="1" x14ac:dyDescent="0.25">
      <c r="A47" s="1"/>
      <c r="D47" s="1"/>
    </row>
    <row r="48" spans="1:17" s="2" customFormat="1" x14ac:dyDescent="0.25">
      <c r="A48" s="1"/>
      <c r="D48" s="1"/>
    </row>
    <row r="49" spans="1:4" s="2" customFormat="1" x14ac:dyDescent="0.25">
      <c r="A49" s="1"/>
      <c r="D49" s="1"/>
    </row>
    <row r="50" spans="1:4" s="2" customFormat="1" x14ac:dyDescent="0.25">
      <c r="A50" s="1"/>
      <c r="D50" s="1"/>
    </row>
    <row r="51" spans="1:4" s="2" customFormat="1" x14ac:dyDescent="0.25">
      <c r="A51" s="1"/>
      <c r="D51" s="1"/>
    </row>
    <row r="52" spans="1:4" s="2" customFormat="1" x14ac:dyDescent="0.25">
      <c r="A52" s="1"/>
      <c r="D52" s="1"/>
    </row>
    <row r="53" spans="1:4" s="2" customFormat="1" x14ac:dyDescent="0.25">
      <c r="A53" s="1"/>
      <c r="D53" s="1"/>
    </row>
    <row r="54" spans="1:4" s="2" customFormat="1" x14ac:dyDescent="0.25">
      <c r="A54" s="1"/>
      <c r="D54" s="3"/>
    </row>
    <row r="55" spans="1:4" s="2" customFormat="1" x14ac:dyDescent="0.25">
      <c r="A55" s="1"/>
      <c r="D55" s="3"/>
    </row>
    <row r="56" spans="1:4" s="2" customFormat="1" x14ac:dyDescent="0.25">
      <c r="A56" s="3"/>
      <c r="D56" s="3"/>
    </row>
    <row r="57" spans="1:4" s="2" customFormat="1" x14ac:dyDescent="0.25">
      <c r="A57" s="3"/>
      <c r="D57" s="3"/>
    </row>
    <row r="58" spans="1:4" s="2" customFormat="1" x14ac:dyDescent="0.25">
      <c r="A58" s="3"/>
      <c r="D58" s="3"/>
    </row>
    <row r="59" spans="1:4" s="2" customFormat="1" x14ac:dyDescent="0.25">
      <c r="A59" s="3"/>
      <c r="D59" s="3"/>
    </row>
    <row r="60" spans="1:4" s="2" customFormat="1" x14ac:dyDescent="0.25">
      <c r="A60" s="3"/>
      <c r="D60" s="3"/>
    </row>
  </sheetData>
  <mergeCells count="2">
    <mergeCell ref="D1:O1"/>
    <mergeCell ref="D19:O19"/>
  </mergeCells>
  <phoneticPr fontId="5" type="noConversion"/>
  <pageMargins left="0.7" right="0.7" top="0.75" bottom="0.75" header="0.3" footer="0.3"/>
  <pageSetup orientation="portrait" horizontalDpi="1200" verticalDpi="1200" r:id="rId1"/>
  <ignoredErrors>
    <ignoredError sqref="A16:XFD16 A17 A33:A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5119671-51af-4a0f-aa50-c9bd38c9d9e8">
      <Terms xmlns="http://schemas.microsoft.com/office/infopath/2007/PartnerControls"/>
    </lcf76f155ced4ddcb4097134ff3c332f>
    <TaxCatchAll xmlns="46c069c1-e0e2-437c-8f34-03a26d1db4c4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27081AA91AEF459764F9BACC3DFA0C" ma:contentTypeVersion="16" ma:contentTypeDescription="Create a new document." ma:contentTypeScope="" ma:versionID="3e060ce95d997433f217930301d2a4a4">
  <xsd:schema xmlns:xsd="http://www.w3.org/2001/XMLSchema" xmlns:xs="http://www.w3.org/2001/XMLSchema" xmlns:p="http://schemas.microsoft.com/office/2006/metadata/properties" xmlns:ns1="http://schemas.microsoft.com/sharepoint/v3" xmlns:ns2="05119671-51af-4a0f-aa50-c9bd38c9d9e8" xmlns:ns3="46c069c1-e0e2-437c-8f34-03a26d1db4c4" targetNamespace="http://schemas.microsoft.com/office/2006/metadata/properties" ma:root="true" ma:fieldsID="7d8fe5f8e553631293719600b1e3f096" ns1:_="" ns2:_="" ns3:_="">
    <xsd:import namespace="http://schemas.microsoft.com/sharepoint/v3"/>
    <xsd:import namespace="05119671-51af-4a0f-aa50-c9bd38c9d9e8"/>
    <xsd:import namespace="46c069c1-e0e2-437c-8f34-03a26d1db4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19671-51af-4a0f-aa50-c9bd38c9d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069c1-e0e2-437c-8f34-03a26d1db4c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cd4861-8461-4035-a1b3-6688e2000337}" ma:internalName="TaxCatchAll" ma:showField="CatchAllData" ma:web="46c069c1-e0e2-437c-8f34-03a26d1db4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FC1CEA-9718-4088-850F-27AC9DF0859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5119671-51af-4a0f-aa50-c9bd38c9d9e8"/>
    <ds:schemaRef ds:uri="46c069c1-e0e2-437c-8f34-03a26d1db4c4"/>
  </ds:schemaRefs>
</ds:datastoreItem>
</file>

<file path=customXml/itemProps2.xml><?xml version="1.0" encoding="utf-8"?>
<ds:datastoreItem xmlns:ds="http://schemas.openxmlformats.org/officeDocument/2006/customXml" ds:itemID="{636008DA-9E37-44AE-9C2F-0425E20D4E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119671-51af-4a0f-aa50-c9bd38c9d9e8"/>
    <ds:schemaRef ds:uri="46c069c1-e0e2-437c-8f34-03a26d1db4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02CF85-1A42-41E2-BC94-CEE550FB8A1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Pricing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Isom, Dee P (Mr.) CIV USARMY ACC (USA)</dc:creator>
  <cp:lastModifiedBy>Murphy, Jennifer M CIV USARMY ACC (USA)</cp:lastModifiedBy>
  <dcterms:created xsi:type="dcterms:W3CDTF">2025-06-17T20:29:25Z</dcterms:created>
  <dcterms:modified xsi:type="dcterms:W3CDTF">2026-03-26T13:55:20Z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0x010100DA27081AA91AEF459764F9BACC3DFA0C</vt:lpwstr>
  </property>
  <property fmtid="{D5CDD505-2E9C-101B-9397-08002B2CF9AE}" pid="3" name="MediaServiceImageTags">
    <vt:lpwstr/>
  </property>
</Properties>
</file>