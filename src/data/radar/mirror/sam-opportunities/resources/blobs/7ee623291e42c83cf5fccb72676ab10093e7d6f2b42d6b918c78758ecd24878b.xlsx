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N:\SUPPO\Contracts Stuff\"/>
    </mc:Choice>
  </mc:AlternateContent>
  <xr:revisionPtr revIDLastSave="0" documentId="13_ncr:1_{714695A3-C873-4BE1-8D22-B533365DFED0}" xr6:coauthVersionLast="47" xr6:coauthVersionMax="47" xr10:uidLastSave="{00000000-0000-0000-0000-000000000000}"/>
  <bookViews>
    <workbookView xWindow="-120" yWindow="90" windowWidth="29040" windowHeight="15630" xr2:uid="{00000000-000D-0000-FFFF-FFFF00000000}"/>
  </bookViews>
  <sheets>
    <sheet name="HISTORICAL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8" l="1"/>
  <c r="D5" i="8" s="1"/>
  <c r="E5" i="8" s="1"/>
  <c r="C6" i="8"/>
  <c r="D6" i="8" s="1"/>
  <c r="E6" i="8" s="1"/>
  <c r="C7" i="8"/>
  <c r="D7" i="8" s="1"/>
  <c r="E7" i="8" s="1"/>
  <c r="C8" i="8"/>
  <c r="D8" i="8" s="1"/>
  <c r="E8" i="8" s="1"/>
  <c r="C9" i="8"/>
  <c r="D9" i="8" s="1"/>
  <c r="E9" i="8" s="1"/>
  <c r="C10" i="8"/>
  <c r="D10" i="8" s="1"/>
  <c r="E10" i="8" s="1"/>
  <c r="F10" i="8" s="1"/>
  <c r="C11" i="8"/>
  <c r="D11" i="8" s="1"/>
  <c r="E11" i="8" s="1"/>
  <c r="F11" i="8" s="1"/>
  <c r="C12" i="8"/>
  <c r="D12" i="8" s="1"/>
  <c r="E12" i="8" s="1"/>
  <c r="F12" i="8" s="1"/>
  <c r="C13" i="8"/>
  <c r="D13" i="8" s="1"/>
  <c r="E13" i="8" s="1"/>
  <c r="F13" i="8" s="1"/>
  <c r="C14" i="8"/>
  <c r="D14" i="8" s="1"/>
  <c r="E14" i="8" s="1"/>
  <c r="F14" i="8" s="1"/>
  <c r="C15" i="8"/>
  <c r="D15" i="8" s="1"/>
  <c r="C16" i="8"/>
  <c r="D16" i="8" s="1"/>
  <c r="C17" i="8"/>
  <c r="D17" i="8" s="1"/>
  <c r="E17" i="8" s="1"/>
  <c r="F17" i="8" s="1"/>
  <c r="C18" i="8"/>
  <c r="D18" i="8" s="1"/>
  <c r="E18" i="8" s="1"/>
  <c r="F18" i="8" s="1"/>
  <c r="C19" i="8"/>
  <c r="D19" i="8" s="1"/>
  <c r="E19" i="8" s="1"/>
  <c r="F19" i="8" s="1"/>
  <c r="C20" i="8"/>
  <c r="D20" i="8" s="1"/>
  <c r="E20" i="8" s="1"/>
  <c r="F20" i="8" s="1"/>
  <c r="C21" i="8"/>
  <c r="D21" i="8" s="1"/>
  <c r="E21" i="8" s="1"/>
  <c r="F21" i="8" s="1"/>
  <c r="C22" i="8"/>
  <c r="D22" i="8" s="1"/>
  <c r="E22" i="8" s="1"/>
  <c r="F22" i="8" s="1"/>
  <c r="C23" i="8"/>
  <c r="D23" i="8" s="1"/>
  <c r="E23" i="8" s="1"/>
  <c r="F23" i="8" s="1"/>
  <c r="C24" i="8"/>
  <c r="D24" i="8" s="1"/>
  <c r="E24" i="8" s="1"/>
  <c r="F24" i="8" s="1"/>
  <c r="C25" i="8"/>
  <c r="D25" i="8" s="1"/>
  <c r="E25" i="8" s="1"/>
  <c r="F25" i="8" s="1"/>
  <c r="C26" i="8"/>
  <c r="D26" i="8" s="1"/>
  <c r="E26" i="8" s="1"/>
  <c r="F26" i="8" s="1"/>
  <c r="C27" i="8"/>
  <c r="D27" i="8" s="1"/>
  <c r="C28" i="8"/>
  <c r="D28" i="8" s="1"/>
  <c r="C29" i="8"/>
  <c r="D29" i="8" s="1"/>
  <c r="E29" i="8" s="1"/>
  <c r="F29" i="8" s="1"/>
  <c r="C30" i="8"/>
  <c r="D30" i="8" s="1"/>
  <c r="E30" i="8" s="1"/>
  <c r="F30" i="8" s="1"/>
  <c r="C31" i="8"/>
  <c r="D31" i="8" s="1"/>
  <c r="E31" i="8" s="1"/>
  <c r="F31" i="8" s="1"/>
  <c r="C32" i="8"/>
  <c r="D32" i="8" s="1"/>
  <c r="E32" i="8" s="1"/>
  <c r="F32" i="8" s="1"/>
  <c r="C33" i="8"/>
  <c r="D33" i="8" s="1"/>
  <c r="E33" i="8" s="1"/>
  <c r="F33" i="8" s="1"/>
  <c r="C34" i="8"/>
  <c r="D34" i="8" s="1"/>
  <c r="E34" i="8" s="1"/>
  <c r="F34" i="8" s="1"/>
  <c r="C35" i="8"/>
  <c r="D35" i="8" s="1"/>
  <c r="E35" i="8" s="1"/>
  <c r="F35" i="8" s="1"/>
  <c r="C36" i="8"/>
  <c r="D36" i="8" s="1"/>
  <c r="E36" i="8" s="1"/>
  <c r="F36" i="8" s="1"/>
  <c r="C37" i="8"/>
  <c r="D37" i="8" s="1"/>
  <c r="C38" i="8"/>
  <c r="D38" i="8" s="1"/>
  <c r="E38" i="8" s="1"/>
  <c r="F38" i="8" s="1"/>
  <c r="C39" i="8"/>
  <c r="D39" i="8" s="1"/>
  <c r="C40" i="8"/>
  <c r="D40" i="8" s="1"/>
  <c r="C41" i="8"/>
  <c r="D41" i="8" s="1"/>
  <c r="E41" i="8" s="1"/>
  <c r="F41" i="8" s="1"/>
  <c r="C42" i="8"/>
  <c r="D42" i="8" s="1"/>
  <c r="E42" i="8" s="1"/>
  <c r="F42" i="8" s="1"/>
  <c r="C43" i="8"/>
  <c r="D43" i="8" s="1"/>
  <c r="E43" i="8" s="1"/>
  <c r="F43" i="8" s="1"/>
  <c r="C44" i="8"/>
  <c r="D44" i="8" s="1"/>
  <c r="E44" i="8" s="1"/>
  <c r="F44" i="8" s="1"/>
  <c r="C45" i="8"/>
  <c r="D45" i="8" s="1"/>
  <c r="E45" i="8" s="1"/>
  <c r="F45" i="8" s="1"/>
  <c r="C46" i="8"/>
  <c r="D46" i="8" s="1"/>
  <c r="E46" i="8" s="1"/>
  <c r="F46" i="8" s="1"/>
  <c r="C47" i="8"/>
  <c r="D47" i="8" s="1"/>
  <c r="E47" i="8" s="1"/>
  <c r="F47" i="8" s="1"/>
  <c r="C48" i="8"/>
  <c r="D48" i="8" s="1"/>
  <c r="E48" i="8" s="1"/>
  <c r="F48" i="8" s="1"/>
  <c r="C49" i="8"/>
  <c r="D49" i="8" s="1"/>
  <c r="C50" i="8"/>
  <c r="D50" i="8" s="1"/>
  <c r="E50" i="8" s="1"/>
  <c r="F50" i="8" s="1"/>
  <c r="C51" i="8"/>
  <c r="D51" i="8" s="1"/>
  <c r="C52" i="8"/>
  <c r="D52" i="8" s="1"/>
  <c r="C53" i="8"/>
  <c r="D53" i="8" s="1"/>
  <c r="E53" i="8" s="1"/>
  <c r="F53" i="8" s="1"/>
  <c r="C54" i="8"/>
  <c r="D54" i="8" s="1"/>
  <c r="E54" i="8" s="1"/>
  <c r="F54" i="8" s="1"/>
  <c r="C55" i="8"/>
  <c r="D55" i="8" s="1"/>
  <c r="E55" i="8" s="1"/>
  <c r="F55" i="8" s="1"/>
  <c r="C56" i="8"/>
  <c r="D56" i="8" s="1"/>
  <c r="E56" i="8" s="1"/>
  <c r="F56" i="8" s="1"/>
  <c r="C57" i="8"/>
  <c r="D57" i="8" s="1"/>
  <c r="E57" i="8" s="1"/>
  <c r="F57" i="8" s="1"/>
  <c r="C58" i="8"/>
  <c r="D58" i="8" s="1"/>
  <c r="E58" i="8" s="1"/>
  <c r="F58" i="8" s="1"/>
  <c r="C59" i="8"/>
  <c r="D59" i="8" s="1"/>
  <c r="E59" i="8" s="1"/>
  <c r="F59" i="8" s="1"/>
  <c r="C60" i="8"/>
  <c r="D60" i="8" s="1"/>
  <c r="E60" i="8" s="1"/>
  <c r="F60" i="8" s="1"/>
  <c r="C61" i="8"/>
  <c r="D61" i="8" s="1"/>
  <c r="C62" i="8"/>
  <c r="D62" i="8" s="1"/>
  <c r="E62" i="8" s="1"/>
  <c r="F62" i="8" s="1"/>
  <c r="C63" i="8"/>
  <c r="D63" i="8" s="1"/>
  <c r="C64" i="8"/>
  <c r="D64" i="8" s="1"/>
  <c r="C65" i="8"/>
  <c r="D65" i="8" s="1"/>
  <c r="E65" i="8" s="1"/>
  <c r="F65" i="8" s="1"/>
  <c r="C66" i="8"/>
  <c r="D66" i="8" s="1"/>
  <c r="E66" i="8" s="1"/>
  <c r="F66" i="8" s="1"/>
  <c r="C67" i="8"/>
  <c r="D67" i="8" s="1"/>
  <c r="E67" i="8" s="1"/>
  <c r="F67" i="8" s="1"/>
  <c r="C68" i="8"/>
  <c r="D68" i="8" s="1"/>
  <c r="E68" i="8" s="1"/>
  <c r="F68" i="8" s="1"/>
  <c r="C69" i="8"/>
  <c r="D69" i="8" s="1"/>
  <c r="E69" i="8" s="1"/>
  <c r="F69" i="8" s="1"/>
  <c r="C70" i="8"/>
  <c r="D70" i="8" s="1"/>
  <c r="C71" i="8"/>
  <c r="D71" i="8" s="1"/>
  <c r="C72" i="8"/>
  <c r="D72" i="8" s="1"/>
  <c r="E72" i="8" s="1"/>
  <c r="F72" i="8" s="1"/>
  <c r="C73" i="8"/>
  <c r="D73" i="8" s="1"/>
  <c r="C74" i="8"/>
  <c r="D74" i="8" s="1"/>
  <c r="E74" i="8" s="1"/>
  <c r="F74" i="8" s="1"/>
  <c r="C75" i="8"/>
  <c r="D75" i="8" s="1"/>
  <c r="C76" i="8"/>
  <c r="D76" i="8" s="1"/>
  <c r="C77" i="8"/>
  <c r="D77" i="8" s="1"/>
  <c r="E77" i="8" s="1"/>
  <c r="F77" i="8" s="1"/>
  <c r="C78" i="8"/>
  <c r="D78" i="8" s="1"/>
  <c r="E78" i="8" s="1"/>
  <c r="F78" i="8" s="1"/>
  <c r="C79" i="8"/>
  <c r="D79" i="8" s="1"/>
  <c r="E79" i="8" s="1"/>
  <c r="F79" i="8" s="1"/>
  <c r="C80" i="8"/>
  <c r="D80" i="8" s="1"/>
  <c r="E80" i="8" s="1"/>
  <c r="F80" i="8" s="1"/>
  <c r="C81" i="8"/>
  <c r="D81" i="8" s="1"/>
  <c r="E81" i="8" s="1"/>
  <c r="F81" i="8" s="1"/>
  <c r="C82" i="8"/>
  <c r="D82" i="8" s="1"/>
  <c r="C83" i="8"/>
  <c r="D83" i="8" s="1"/>
  <c r="C84" i="8"/>
  <c r="D84" i="8" s="1"/>
  <c r="E84" i="8" s="1"/>
  <c r="F84" i="8" s="1"/>
  <c r="C85" i="8"/>
  <c r="D85" i="8" s="1"/>
  <c r="E85" i="8" s="1"/>
  <c r="F85" i="8" s="1"/>
  <c r="C86" i="8"/>
  <c r="D86" i="8" s="1"/>
  <c r="C87" i="8"/>
  <c r="D87" i="8" s="1"/>
  <c r="C88" i="8"/>
  <c r="D88" i="8" s="1"/>
  <c r="C89" i="8"/>
  <c r="D89" i="8" s="1"/>
  <c r="E89" i="8" s="1"/>
  <c r="F89" i="8" s="1"/>
  <c r="C90" i="8"/>
  <c r="D90" i="8" s="1"/>
  <c r="E90" i="8" s="1"/>
  <c r="F90" i="8" s="1"/>
  <c r="C91" i="8"/>
  <c r="D91" i="8" s="1"/>
  <c r="E91" i="8" s="1"/>
  <c r="F91" i="8" s="1"/>
  <c r="C92" i="8"/>
  <c r="D92" i="8" s="1"/>
  <c r="E92" i="8" s="1"/>
  <c r="F92" i="8" s="1"/>
  <c r="C93" i="8"/>
  <c r="D93" i="8" s="1"/>
  <c r="E93" i="8" s="1"/>
  <c r="F93" i="8" s="1"/>
  <c r="C94" i="8"/>
  <c r="D94" i="8" s="1"/>
  <c r="C95" i="8"/>
  <c r="D95" i="8" s="1"/>
  <c r="E95" i="8" s="1"/>
  <c r="F95" i="8" s="1"/>
  <c r="E83" i="8" l="1"/>
  <c r="F83" i="8" s="1"/>
  <c r="E94" i="8"/>
  <c r="F94" i="8" s="1"/>
  <c r="E88" i="8"/>
  <c r="F88" i="8" s="1"/>
  <c r="E16" i="8"/>
  <c r="F16" i="8" s="1"/>
  <c r="E87" i="8"/>
  <c r="F87" i="8" s="1"/>
  <c r="E75" i="8"/>
  <c r="F75" i="8" s="1"/>
  <c r="E63" i="8"/>
  <c r="F63" i="8" s="1"/>
  <c r="E51" i="8"/>
  <c r="F51" i="8" s="1"/>
  <c r="E39" i="8"/>
  <c r="F39" i="8" s="1"/>
  <c r="E27" i="8"/>
  <c r="F27" i="8" s="1"/>
  <c r="E15" i="8"/>
  <c r="F15" i="8" s="1"/>
  <c r="E86" i="8"/>
  <c r="F86" i="8" s="1"/>
  <c r="E73" i="8"/>
  <c r="F73" i="8" s="1"/>
  <c r="E61" i="8"/>
  <c r="F61" i="8" s="1"/>
  <c r="E49" i="8"/>
  <c r="F49" i="8" s="1"/>
  <c r="E37" i="8"/>
  <c r="F37" i="8" s="1"/>
  <c r="E76" i="8"/>
  <c r="F76" i="8" s="1"/>
  <c r="E52" i="8"/>
  <c r="F52" i="8" s="1"/>
  <c r="E71" i="8"/>
  <c r="F71" i="8" s="1"/>
  <c r="E64" i="8"/>
  <c r="F64" i="8" s="1"/>
  <c r="E82" i="8"/>
  <c r="F82" i="8" s="1"/>
  <c r="E70" i="8"/>
  <c r="F70" i="8" s="1"/>
  <c r="E40" i="8"/>
  <c r="F40" i="8" s="1"/>
  <c r="E28" i="8"/>
  <c r="F28" i="8" s="1"/>
  <c r="C4" i="8" l="1"/>
  <c r="D4" i="8" l="1"/>
  <c r="E4" i="8" s="1"/>
</calcChain>
</file>

<file path=xl/sharedStrings.xml><?xml version="1.0" encoding="utf-8"?>
<sst xmlns="http://schemas.openxmlformats.org/spreadsheetml/2006/main" count="94" uniqueCount="94">
  <si>
    <t>Receiving/Processing</t>
  </si>
  <si>
    <t>Number of Trucks Received</t>
  </si>
  <si>
    <t>Number of Pieces Received</t>
  </si>
  <si>
    <t>Number of NMCS/PMCS/AWP Line Items Processed</t>
  </si>
  <si>
    <t>Number of Other DTO Line Items Processed</t>
  </si>
  <si>
    <t xml:space="preserve">            Total DTO Processed</t>
  </si>
  <si>
    <t>Number of Stock Line Items Processed</t>
  </si>
  <si>
    <t>Number of MTIS Line Items Received &amp; Processed</t>
  </si>
  <si>
    <t xml:space="preserve">           Total Number of Line Items Processed</t>
  </si>
  <si>
    <t>Storage/Issue</t>
  </si>
  <si>
    <t>Number of Line Items Stowed</t>
  </si>
  <si>
    <t>Number of BMD"S</t>
  </si>
  <si>
    <t xml:space="preserve">Number of Jasu returns </t>
  </si>
  <si>
    <t xml:space="preserve">RFI'S Back to Stock </t>
  </si>
  <si>
    <t>Number of Custody Issues Made</t>
  </si>
  <si>
    <t>Number of Bearer Issues Made</t>
  </si>
  <si>
    <t>Number of IPG 1 Issues Made</t>
  </si>
  <si>
    <t>Number of IPG 2 Issues Made</t>
  </si>
  <si>
    <t>Number of IPG 3 Issues Made</t>
  </si>
  <si>
    <t>Number of IPG 1 Referrals Made</t>
  </si>
  <si>
    <t>Number of IPG 2 Referrals Made</t>
  </si>
  <si>
    <t>Number of IPG 3 Referrals Made</t>
  </si>
  <si>
    <t>Number of Excess issues Pulled (Offload IPG 3 Only)</t>
  </si>
  <si>
    <t xml:space="preserve">            Total Number of Issues Made</t>
  </si>
  <si>
    <t>DRMO</t>
  </si>
  <si>
    <t>Number of Disposal Issues Pulled (BGJ/A5J)</t>
  </si>
  <si>
    <t>Number of Line Items from Stock Packed for Movement to DRMO</t>
  </si>
  <si>
    <t>Number of Line Items from Customer packed for Movement to DRMO</t>
  </si>
  <si>
    <t>Total Number of Line Items to Stock, from Stock and Customer for Shipment or Movement to DRMO</t>
  </si>
  <si>
    <t xml:space="preserve">  Number of Line Items Processed for Delivery to DRMO</t>
  </si>
  <si>
    <t xml:space="preserve">            Total Number of Pulls </t>
  </si>
  <si>
    <t xml:space="preserve">            Total Number of Issues/Pulls </t>
  </si>
  <si>
    <t>Number of Warehouse Refusals</t>
  </si>
  <si>
    <t>Number of Partial NIS Documents</t>
  </si>
  <si>
    <t>Pilferable Material: Number of Issues</t>
  </si>
  <si>
    <t>Pilferable Material: Number of Stows</t>
  </si>
  <si>
    <t>Packing/Crating</t>
  </si>
  <si>
    <t>Number of Crates/Skids Built for Shipping</t>
  </si>
  <si>
    <t>Number of Crates/Skids Built for Stock Items</t>
  </si>
  <si>
    <t xml:space="preserve">            Total Number of Crates/Skids</t>
  </si>
  <si>
    <t>Number of Crates Repaired for Shipping</t>
  </si>
  <si>
    <t>Number of Crates Repaired for Stock Items</t>
  </si>
  <si>
    <t xml:space="preserve">            Total Number of Crates Repaired</t>
  </si>
  <si>
    <t>Number of Classified Line Items Packed/Crated</t>
  </si>
  <si>
    <t>Number of Line Items Certified</t>
  </si>
  <si>
    <t>Number of Line Items Packed/Crated for Stock</t>
  </si>
  <si>
    <t>Number of Line Items from Stock Packed/Crated for Shipment</t>
  </si>
  <si>
    <t>Number of Line Items from Customer Packed/Crated for Shipment</t>
  </si>
  <si>
    <t>Number of Line Items Delivered</t>
  </si>
  <si>
    <t xml:space="preserve">            Total of Line Items Shipped</t>
  </si>
  <si>
    <t>SASS</t>
  </si>
  <si>
    <t xml:space="preserve">  Number of Pack-up Kits Issued</t>
  </si>
  <si>
    <t xml:space="preserve">         Number of Line Items Issued</t>
  </si>
  <si>
    <t xml:space="preserve">  Number of Pack-up Kits Received</t>
  </si>
  <si>
    <t xml:space="preserve">        Number of Line Items Received</t>
  </si>
  <si>
    <t xml:space="preserve">  Number of Pack-up Kits Issued under 500 Line Items</t>
  </si>
  <si>
    <t xml:space="preserve">  Number of Pack-up Kits Issued over 500 Line Items</t>
  </si>
  <si>
    <t xml:space="preserve">  Number of returning Pack-Up Line Items</t>
  </si>
  <si>
    <t xml:space="preserve">  Number of SASS Stock Checks</t>
  </si>
  <si>
    <t xml:space="preserve">  Number of SASS Temporary Loan Issues</t>
  </si>
  <si>
    <t xml:space="preserve">  Number of Pack-up Kits Delivered</t>
  </si>
  <si>
    <t xml:space="preserve">  Number of Pack-up Kits Shipped</t>
  </si>
  <si>
    <t xml:space="preserve">  Number of Kit Cabinets and Containers Repaired</t>
  </si>
  <si>
    <t xml:space="preserve"> Number of Pack-Up/W Purpose Location Changes</t>
  </si>
  <si>
    <t xml:space="preserve"> Non RFI Inductions</t>
  </si>
  <si>
    <t xml:space="preserve"> JASU Inductions</t>
  </si>
  <si>
    <t xml:space="preserve"> RFI Stored</t>
  </si>
  <si>
    <t xml:space="preserve"> Number of Receipts Received</t>
  </si>
  <si>
    <t xml:space="preserve"> In-House Inventory</t>
  </si>
  <si>
    <t xml:space="preserve"> JASU Returns</t>
  </si>
  <si>
    <t>Local Pick-Up/Delivery to Base Post Office</t>
  </si>
  <si>
    <t>Number of Items Delivered</t>
  </si>
  <si>
    <t>Number of Items Picked-Up</t>
  </si>
  <si>
    <t>Ship Material</t>
  </si>
  <si>
    <t xml:space="preserve">  Number of CBL Documents</t>
  </si>
  <si>
    <t xml:space="preserve">  Number of CBL Line Items</t>
  </si>
  <si>
    <t xml:space="preserve">  Number of Fed-Ex Documents</t>
  </si>
  <si>
    <t xml:space="preserve">  Number of Fed-EX Line Items</t>
  </si>
  <si>
    <t xml:space="preserve">  Number of DHL Documents</t>
  </si>
  <si>
    <t xml:space="preserve">  Number of DHL Line Items</t>
  </si>
  <si>
    <t xml:space="preserve">  Number of UPS Documents</t>
  </si>
  <si>
    <t xml:space="preserve">  Number of UPS Line Items</t>
  </si>
  <si>
    <t xml:space="preserve"> Number of Regional Tranportation Office Documents Faxed  to RSO Oceana for CBL</t>
  </si>
  <si>
    <t xml:space="preserve"> Number of Regional Transportation Office Line Items  Faxed to RSO Oceana for CBL</t>
  </si>
  <si>
    <t xml:space="preserve"> Total Documents Shipped</t>
  </si>
  <si>
    <t>Total Line Items Shipped</t>
  </si>
  <si>
    <t>Miscellaneous</t>
  </si>
  <si>
    <t>Number of Frustrated Receipts</t>
  </si>
  <si>
    <t>Monthly Average FY25</t>
  </si>
  <si>
    <t>Monthly Average FY24</t>
  </si>
  <si>
    <t>Monthly Average FY23</t>
  </si>
  <si>
    <t>Monthly Average FY22</t>
  </si>
  <si>
    <t>Monthly Average FY21</t>
  </si>
  <si>
    <t>Technical Exhibit 20 RSO Norfolk Historic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</si>
</sst>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b/>
      <i/>
      <sz val="14"/>
      <color rgb="FF000000"/>
      <name val="Arial"/>
      <family val="2"/>
    </font>
    <font>
      <b/>
      <i/>
      <sz val="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0" fontId="3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5" fillId="2" borderId="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FE2B-1DCF-4FAB-86A7-D5BDDB3D3441}">
  <dimension ref="A1:F95"/>
  <sheetViews>
    <sheetView tabSelected="1" workbookViewId="0">
      <selection activeCell="F9" sqref="F9"/>
    </sheetView>
  </sheetViews>
  <sheetFormatPr defaultRowHeight="15" x14ac:dyDescent="0.25"/>
  <cols>
    <col min="1" max="1" width="51.42578125" customWidth="1"/>
    <col min="2" max="6" width="12.7109375" customWidth="1"/>
  </cols>
  <sheetData>
    <row r="1" spans="1:6" ht="19.5" customHeight="1" x14ac:dyDescent="0.25">
      <c r="A1" s="12" t="s">
        <v>93</v>
      </c>
      <c r="B1" s="12"/>
      <c r="C1" s="12"/>
      <c r="D1" s="12"/>
      <c r="E1" s="12"/>
      <c r="F1" s="12"/>
    </row>
    <row r="2" spans="1:6" x14ac:dyDescent="0.25">
      <c r="A2" s="13"/>
      <c r="B2" s="13"/>
      <c r="C2" s="13"/>
      <c r="D2" s="13"/>
      <c r="E2" s="13"/>
      <c r="F2" s="13"/>
    </row>
    <row r="3" spans="1:6" ht="34.5" customHeight="1" x14ac:dyDescent="0.25">
      <c r="A3" s="9" t="s">
        <v>0</v>
      </c>
      <c r="B3" s="11" t="s">
        <v>92</v>
      </c>
      <c r="C3" s="11" t="s">
        <v>91</v>
      </c>
      <c r="D3" s="11" t="s">
        <v>90</v>
      </c>
      <c r="E3" s="11" t="s">
        <v>89</v>
      </c>
      <c r="F3" s="11" t="s">
        <v>88</v>
      </c>
    </row>
    <row r="4" spans="1:6" x14ac:dyDescent="0.25">
      <c r="A4" s="1" t="s">
        <v>1</v>
      </c>
      <c r="B4" s="6">
        <v>181</v>
      </c>
      <c r="C4" s="7">
        <f>SUM(B4*0.98)</f>
        <v>177.38</v>
      </c>
      <c r="D4" s="7">
        <f>SUM(C4*0.98)</f>
        <v>173.83239999999998</v>
      </c>
      <c r="E4" s="7">
        <f>SUM(D4*1.01)</f>
        <v>175.57072399999998</v>
      </c>
      <c r="F4" s="7">
        <v>180</v>
      </c>
    </row>
    <row r="5" spans="1:6" x14ac:dyDescent="0.25">
      <c r="A5" s="1" t="s">
        <v>2</v>
      </c>
      <c r="B5" s="6">
        <v>5100</v>
      </c>
      <c r="C5" s="7">
        <f t="shared" ref="C5:D68" si="0">SUM(B5*0.98)</f>
        <v>4998</v>
      </c>
      <c r="D5" s="7">
        <f t="shared" si="0"/>
        <v>4898.04</v>
      </c>
      <c r="E5" s="7">
        <f t="shared" ref="E5:F20" si="1">SUM(D5*1.01)</f>
        <v>4947.0204000000003</v>
      </c>
      <c r="F5" s="7">
        <v>5085</v>
      </c>
    </row>
    <row r="6" spans="1:6" x14ac:dyDescent="0.25">
      <c r="A6" s="1" t="s">
        <v>3</v>
      </c>
      <c r="B6" s="6">
        <v>115</v>
      </c>
      <c r="C6" s="7">
        <f t="shared" si="0"/>
        <v>112.7</v>
      </c>
      <c r="D6" s="7">
        <f t="shared" si="0"/>
        <v>110.446</v>
      </c>
      <c r="E6" s="7">
        <f t="shared" si="1"/>
        <v>111.55046</v>
      </c>
      <c r="F6" s="7">
        <v>114</v>
      </c>
    </row>
    <row r="7" spans="1:6" x14ac:dyDescent="0.25">
      <c r="A7" s="1" t="s">
        <v>4</v>
      </c>
      <c r="B7" s="6">
        <v>1502</v>
      </c>
      <c r="C7" s="7">
        <f t="shared" si="0"/>
        <v>1471.96</v>
      </c>
      <c r="D7" s="7">
        <f t="shared" si="0"/>
        <v>1442.5208</v>
      </c>
      <c r="E7" s="7">
        <f t="shared" si="1"/>
        <v>1456.9460080000001</v>
      </c>
      <c r="F7" s="7">
        <v>1504</v>
      </c>
    </row>
    <row r="8" spans="1:6" x14ac:dyDescent="0.25">
      <c r="A8" s="1" t="s">
        <v>5</v>
      </c>
      <c r="B8" s="6">
        <v>1701</v>
      </c>
      <c r="C8" s="7">
        <f t="shared" si="0"/>
        <v>1666.98</v>
      </c>
      <c r="D8" s="7">
        <f t="shared" si="0"/>
        <v>1633.6404</v>
      </c>
      <c r="E8" s="7">
        <f t="shared" si="1"/>
        <v>1649.9768039999999</v>
      </c>
      <c r="F8" s="7">
        <v>1702</v>
      </c>
    </row>
    <row r="9" spans="1:6" x14ac:dyDescent="0.25">
      <c r="A9" s="1" t="s">
        <v>6</v>
      </c>
      <c r="B9" s="6">
        <v>2012</v>
      </c>
      <c r="C9" s="7">
        <f t="shared" si="0"/>
        <v>1971.76</v>
      </c>
      <c r="D9" s="7">
        <f t="shared" si="0"/>
        <v>1932.3247999999999</v>
      </c>
      <c r="E9" s="7">
        <f t="shared" si="1"/>
        <v>1951.6480479999998</v>
      </c>
      <c r="F9" s="7">
        <v>2008</v>
      </c>
    </row>
    <row r="10" spans="1:6" x14ac:dyDescent="0.25">
      <c r="A10" s="1" t="s">
        <v>7</v>
      </c>
      <c r="B10" s="6">
        <v>3</v>
      </c>
      <c r="C10" s="7">
        <f t="shared" si="0"/>
        <v>2.94</v>
      </c>
      <c r="D10" s="7">
        <f t="shared" si="0"/>
        <v>2.8811999999999998</v>
      </c>
      <c r="E10" s="7">
        <f t="shared" si="1"/>
        <v>2.9100119999999996</v>
      </c>
      <c r="F10" s="7">
        <f t="shared" si="1"/>
        <v>2.9391121199999994</v>
      </c>
    </row>
    <row r="11" spans="1:6" x14ac:dyDescent="0.25">
      <c r="A11" s="1" t="s">
        <v>8</v>
      </c>
      <c r="B11" s="6">
        <v>2996</v>
      </c>
      <c r="C11" s="7">
        <f t="shared" si="0"/>
        <v>2936.08</v>
      </c>
      <c r="D11" s="7">
        <f t="shared" si="0"/>
        <v>2877.3584000000001</v>
      </c>
      <c r="E11" s="7">
        <f t="shared" si="1"/>
        <v>2906.1319840000001</v>
      </c>
      <c r="F11" s="7">
        <f t="shared" si="1"/>
        <v>2935.1933038400002</v>
      </c>
    </row>
    <row r="12" spans="1:6" x14ac:dyDescent="0.25">
      <c r="A12" s="1"/>
      <c r="B12" s="8">
        <v>0</v>
      </c>
      <c r="C12" s="7">
        <f t="shared" si="0"/>
        <v>0</v>
      </c>
      <c r="D12" s="7">
        <f t="shared" si="0"/>
        <v>0</v>
      </c>
      <c r="E12" s="7">
        <f t="shared" si="1"/>
        <v>0</v>
      </c>
      <c r="F12" s="7">
        <f t="shared" si="1"/>
        <v>0</v>
      </c>
    </row>
    <row r="13" spans="1:6" x14ac:dyDescent="0.25">
      <c r="A13" s="9" t="s">
        <v>9</v>
      </c>
      <c r="B13" s="8">
        <v>0</v>
      </c>
      <c r="C13" s="7">
        <f t="shared" si="0"/>
        <v>0</v>
      </c>
      <c r="D13" s="7">
        <f t="shared" si="0"/>
        <v>0</v>
      </c>
      <c r="E13" s="7">
        <f t="shared" si="1"/>
        <v>0</v>
      </c>
      <c r="F13" s="7">
        <f t="shared" si="1"/>
        <v>0</v>
      </c>
    </row>
    <row r="14" spans="1:6" x14ac:dyDescent="0.25">
      <c r="A14" s="1" t="s">
        <v>10</v>
      </c>
      <c r="B14" s="6">
        <v>2036</v>
      </c>
      <c r="C14" s="7">
        <f t="shared" si="0"/>
        <v>1995.28</v>
      </c>
      <c r="D14" s="7">
        <f t="shared" si="0"/>
        <v>1955.3743999999999</v>
      </c>
      <c r="E14" s="7">
        <f t="shared" si="1"/>
        <v>1974.928144</v>
      </c>
      <c r="F14" s="7">
        <f t="shared" si="1"/>
        <v>1994.67742544</v>
      </c>
    </row>
    <row r="15" spans="1:6" x14ac:dyDescent="0.25">
      <c r="A15" s="1" t="s">
        <v>11</v>
      </c>
      <c r="B15" s="6">
        <v>80</v>
      </c>
      <c r="C15" s="7">
        <f t="shared" si="0"/>
        <v>78.400000000000006</v>
      </c>
      <c r="D15" s="7">
        <f t="shared" si="0"/>
        <v>76.832000000000008</v>
      </c>
      <c r="E15" s="7">
        <f t="shared" si="1"/>
        <v>77.600320000000011</v>
      </c>
      <c r="F15" s="7">
        <f t="shared" si="1"/>
        <v>78.376323200000016</v>
      </c>
    </row>
    <row r="16" spans="1:6" x14ac:dyDescent="0.25">
      <c r="A16" s="1" t="s">
        <v>12</v>
      </c>
      <c r="B16" s="6">
        <v>75</v>
      </c>
      <c r="C16" s="7">
        <f t="shared" si="0"/>
        <v>73.5</v>
      </c>
      <c r="D16" s="7">
        <f t="shared" si="0"/>
        <v>72.03</v>
      </c>
      <c r="E16" s="7">
        <f t="shared" si="1"/>
        <v>72.750299999999996</v>
      </c>
      <c r="F16" s="7">
        <f t="shared" si="1"/>
        <v>73.477802999999994</v>
      </c>
    </row>
    <row r="17" spans="1:6" x14ac:dyDescent="0.25">
      <c r="A17" s="1" t="s">
        <v>13</v>
      </c>
      <c r="B17" s="6">
        <v>11</v>
      </c>
      <c r="C17" s="7">
        <f t="shared" si="0"/>
        <v>10.78</v>
      </c>
      <c r="D17" s="7">
        <f t="shared" si="0"/>
        <v>10.564399999999999</v>
      </c>
      <c r="E17" s="7">
        <f t="shared" si="1"/>
        <v>10.670043999999999</v>
      </c>
      <c r="F17" s="7">
        <f t="shared" si="1"/>
        <v>10.77674444</v>
      </c>
    </row>
    <row r="18" spans="1:6" x14ac:dyDescent="0.25">
      <c r="A18" s="1" t="s">
        <v>14</v>
      </c>
      <c r="B18" s="6">
        <v>0</v>
      </c>
      <c r="C18" s="7">
        <f t="shared" si="0"/>
        <v>0</v>
      </c>
      <c r="D18" s="7">
        <f t="shared" si="0"/>
        <v>0</v>
      </c>
      <c r="E18" s="7">
        <f t="shared" si="1"/>
        <v>0</v>
      </c>
      <c r="F18" s="7">
        <f t="shared" si="1"/>
        <v>0</v>
      </c>
    </row>
    <row r="19" spans="1:6" x14ac:dyDescent="0.25">
      <c r="A19" s="1" t="s">
        <v>15</v>
      </c>
      <c r="B19" s="6">
        <v>7</v>
      </c>
      <c r="C19" s="7">
        <f t="shared" si="0"/>
        <v>6.8599999999999994</v>
      </c>
      <c r="D19" s="7">
        <f t="shared" si="0"/>
        <v>6.7227999999999994</v>
      </c>
      <c r="E19" s="7">
        <f t="shared" si="1"/>
        <v>6.7900279999999995</v>
      </c>
      <c r="F19" s="7">
        <f t="shared" si="1"/>
        <v>6.8579282799999994</v>
      </c>
    </row>
    <row r="20" spans="1:6" x14ac:dyDescent="0.25">
      <c r="A20" s="1" t="s">
        <v>16</v>
      </c>
      <c r="B20" s="6">
        <v>1005</v>
      </c>
      <c r="C20" s="7">
        <f t="shared" si="0"/>
        <v>984.9</v>
      </c>
      <c r="D20" s="7">
        <f t="shared" si="0"/>
        <v>965.202</v>
      </c>
      <c r="E20" s="7">
        <f t="shared" si="1"/>
        <v>974.85401999999999</v>
      </c>
      <c r="F20" s="7">
        <f t="shared" si="1"/>
        <v>984.60256019999997</v>
      </c>
    </row>
    <row r="21" spans="1:6" x14ac:dyDescent="0.25">
      <c r="A21" s="1" t="s">
        <v>17</v>
      </c>
      <c r="B21" s="6">
        <v>855</v>
      </c>
      <c r="C21" s="7">
        <f t="shared" si="0"/>
        <v>837.9</v>
      </c>
      <c r="D21" s="7">
        <f t="shared" si="0"/>
        <v>821.14199999999994</v>
      </c>
      <c r="E21" s="7">
        <f t="shared" ref="E21:F36" si="2">SUM(D21*1.01)</f>
        <v>829.35341999999991</v>
      </c>
      <c r="F21" s="7">
        <f t="shared" si="2"/>
        <v>837.64695419999987</v>
      </c>
    </row>
    <row r="22" spans="1:6" x14ac:dyDescent="0.25">
      <c r="A22" s="1" t="s">
        <v>18</v>
      </c>
      <c r="B22" s="6">
        <v>178</v>
      </c>
      <c r="C22" s="7">
        <f t="shared" si="0"/>
        <v>174.44</v>
      </c>
      <c r="D22" s="7">
        <f t="shared" si="0"/>
        <v>170.9512</v>
      </c>
      <c r="E22" s="7">
        <f t="shared" si="2"/>
        <v>172.66071199999999</v>
      </c>
      <c r="F22" s="7">
        <f t="shared" si="2"/>
        <v>174.38731912</v>
      </c>
    </row>
    <row r="23" spans="1:6" x14ac:dyDescent="0.25">
      <c r="A23" s="2" t="s">
        <v>19</v>
      </c>
      <c r="B23" s="6">
        <v>72</v>
      </c>
      <c r="C23" s="7">
        <f t="shared" si="0"/>
        <v>70.56</v>
      </c>
      <c r="D23" s="7">
        <f t="shared" si="0"/>
        <v>69.148799999999994</v>
      </c>
      <c r="E23" s="7">
        <f t="shared" si="2"/>
        <v>69.840288000000001</v>
      </c>
      <c r="F23" s="7">
        <f t="shared" si="2"/>
        <v>70.538690880000004</v>
      </c>
    </row>
    <row r="24" spans="1:6" x14ac:dyDescent="0.25">
      <c r="A24" s="2" t="s">
        <v>20</v>
      </c>
      <c r="B24" s="6">
        <v>96</v>
      </c>
      <c r="C24" s="7">
        <f t="shared" si="0"/>
        <v>94.08</v>
      </c>
      <c r="D24" s="7">
        <f t="shared" si="0"/>
        <v>92.198399999999992</v>
      </c>
      <c r="E24" s="7">
        <f t="shared" si="2"/>
        <v>93.120383999999987</v>
      </c>
      <c r="F24" s="7">
        <f t="shared" si="2"/>
        <v>94.051587839999982</v>
      </c>
    </row>
    <row r="25" spans="1:6" x14ac:dyDescent="0.25">
      <c r="A25" s="2" t="s">
        <v>21</v>
      </c>
      <c r="B25" s="6">
        <v>63</v>
      </c>
      <c r="C25" s="7">
        <f t="shared" si="0"/>
        <v>61.74</v>
      </c>
      <c r="D25" s="7">
        <f t="shared" si="0"/>
        <v>60.505200000000002</v>
      </c>
      <c r="E25" s="7">
        <f t="shared" si="2"/>
        <v>61.110252000000003</v>
      </c>
      <c r="F25" s="7">
        <f t="shared" si="2"/>
        <v>61.721354520000006</v>
      </c>
    </row>
    <row r="26" spans="1:6" x14ac:dyDescent="0.25">
      <c r="A26" s="1" t="s">
        <v>22</v>
      </c>
      <c r="B26" s="6">
        <v>7</v>
      </c>
      <c r="C26" s="7">
        <f t="shared" si="0"/>
        <v>6.8599999999999994</v>
      </c>
      <c r="D26" s="7">
        <f t="shared" si="0"/>
        <v>6.7227999999999994</v>
      </c>
      <c r="E26" s="7">
        <f t="shared" si="2"/>
        <v>6.7900279999999995</v>
      </c>
      <c r="F26" s="7">
        <f t="shared" si="2"/>
        <v>6.8579282799999994</v>
      </c>
    </row>
    <row r="27" spans="1:6" x14ac:dyDescent="0.25">
      <c r="A27" s="1" t="s">
        <v>23</v>
      </c>
      <c r="B27" s="6">
        <v>2074</v>
      </c>
      <c r="C27" s="7">
        <f t="shared" si="0"/>
        <v>2032.52</v>
      </c>
      <c r="D27" s="7">
        <f t="shared" si="0"/>
        <v>1991.8696</v>
      </c>
      <c r="E27" s="7">
        <f t="shared" si="2"/>
        <v>2011.7882959999999</v>
      </c>
      <c r="F27" s="7">
        <f t="shared" si="2"/>
        <v>2031.90617896</v>
      </c>
    </row>
    <row r="28" spans="1:6" x14ac:dyDescent="0.25">
      <c r="A28" s="9" t="s">
        <v>24</v>
      </c>
      <c r="B28" s="6">
        <v>0</v>
      </c>
      <c r="C28" s="7">
        <f t="shared" si="0"/>
        <v>0</v>
      </c>
      <c r="D28" s="7">
        <f t="shared" si="0"/>
        <v>0</v>
      </c>
      <c r="E28" s="7">
        <f t="shared" si="2"/>
        <v>0</v>
      </c>
      <c r="F28" s="7">
        <f t="shared" si="2"/>
        <v>0</v>
      </c>
    </row>
    <row r="29" spans="1:6" x14ac:dyDescent="0.25">
      <c r="A29" s="1" t="s">
        <v>25</v>
      </c>
      <c r="B29" s="6">
        <v>7</v>
      </c>
      <c r="C29" s="7">
        <f t="shared" si="0"/>
        <v>6.8599999999999994</v>
      </c>
      <c r="D29" s="7">
        <f t="shared" si="0"/>
        <v>6.7227999999999994</v>
      </c>
      <c r="E29" s="7">
        <f t="shared" si="2"/>
        <v>6.7900279999999995</v>
      </c>
      <c r="F29" s="7">
        <f t="shared" si="2"/>
        <v>6.8579282799999994</v>
      </c>
    </row>
    <row r="30" spans="1:6" x14ac:dyDescent="0.25">
      <c r="A30" s="1" t="s">
        <v>26</v>
      </c>
      <c r="B30" s="6">
        <v>4</v>
      </c>
      <c r="C30" s="7">
        <f t="shared" si="0"/>
        <v>3.92</v>
      </c>
      <c r="D30" s="7">
        <f t="shared" si="0"/>
        <v>3.8415999999999997</v>
      </c>
      <c r="E30" s="7">
        <f t="shared" si="2"/>
        <v>3.8800159999999999</v>
      </c>
      <c r="F30" s="7">
        <f t="shared" si="2"/>
        <v>3.91881616</v>
      </c>
    </row>
    <row r="31" spans="1:6" x14ac:dyDescent="0.25">
      <c r="A31" s="1" t="s">
        <v>27</v>
      </c>
      <c r="B31" s="6">
        <v>2</v>
      </c>
      <c r="C31" s="7">
        <f t="shared" si="0"/>
        <v>1.96</v>
      </c>
      <c r="D31" s="7">
        <f t="shared" si="0"/>
        <v>1.9207999999999998</v>
      </c>
      <c r="E31" s="7">
        <f t="shared" si="2"/>
        <v>1.940008</v>
      </c>
      <c r="F31" s="7">
        <f t="shared" si="2"/>
        <v>1.95940808</v>
      </c>
    </row>
    <row r="32" spans="1:6" ht="26.25" x14ac:dyDescent="0.25">
      <c r="A32" s="3" t="s">
        <v>28</v>
      </c>
      <c r="B32" s="8">
        <v>0</v>
      </c>
      <c r="C32" s="7">
        <f t="shared" si="0"/>
        <v>0</v>
      </c>
      <c r="D32" s="7">
        <f t="shared" si="0"/>
        <v>0</v>
      </c>
      <c r="E32" s="7">
        <f t="shared" si="2"/>
        <v>0</v>
      </c>
      <c r="F32" s="7">
        <f t="shared" si="2"/>
        <v>0</v>
      </c>
    </row>
    <row r="33" spans="1:6" x14ac:dyDescent="0.25">
      <c r="A33" s="4" t="s">
        <v>29</v>
      </c>
      <c r="B33" s="8">
        <v>0</v>
      </c>
      <c r="C33" s="7">
        <f t="shared" si="0"/>
        <v>0</v>
      </c>
      <c r="D33" s="7">
        <f t="shared" si="0"/>
        <v>0</v>
      </c>
      <c r="E33" s="7">
        <f t="shared" si="2"/>
        <v>0</v>
      </c>
      <c r="F33" s="7">
        <f t="shared" si="2"/>
        <v>0</v>
      </c>
    </row>
    <row r="34" spans="1:6" x14ac:dyDescent="0.25">
      <c r="A34" s="1" t="s">
        <v>30</v>
      </c>
      <c r="B34" s="6">
        <v>3</v>
      </c>
      <c r="C34" s="7">
        <f t="shared" si="0"/>
        <v>2.94</v>
      </c>
      <c r="D34" s="7">
        <f t="shared" si="0"/>
        <v>2.8811999999999998</v>
      </c>
      <c r="E34" s="7">
        <f t="shared" si="2"/>
        <v>2.9100119999999996</v>
      </c>
      <c r="F34" s="7">
        <f t="shared" si="2"/>
        <v>2.9391121199999994</v>
      </c>
    </row>
    <row r="35" spans="1:6" x14ac:dyDescent="0.25">
      <c r="A35" s="1" t="s">
        <v>31</v>
      </c>
      <c r="B35" s="6">
        <v>3</v>
      </c>
      <c r="C35" s="7">
        <f>SUM(B35*0.98)</f>
        <v>2.94</v>
      </c>
      <c r="D35" s="7">
        <f t="shared" si="0"/>
        <v>2.8811999999999998</v>
      </c>
      <c r="E35" s="7">
        <f t="shared" si="2"/>
        <v>2.9100119999999996</v>
      </c>
      <c r="F35" s="7">
        <f t="shared" si="2"/>
        <v>2.9391121199999994</v>
      </c>
    </row>
    <row r="36" spans="1:6" x14ac:dyDescent="0.25">
      <c r="A36" s="1" t="s">
        <v>32</v>
      </c>
      <c r="B36" s="6">
        <v>1</v>
      </c>
      <c r="C36" s="7">
        <f>SUM(B36*0.98)</f>
        <v>0.98</v>
      </c>
      <c r="D36" s="7">
        <f t="shared" si="0"/>
        <v>0.96039999999999992</v>
      </c>
      <c r="E36" s="7">
        <f t="shared" si="2"/>
        <v>0.97000399999999998</v>
      </c>
      <c r="F36" s="7">
        <f t="shared" si="2"/>
        <v>0.97970404</v>
      </c>
    </row>
    <row r="37" spans="1:6" x14ac:dyDescent="0.25">
      <c r="A37" s="1" t="s">
        <v>33</v>
      </c>
      <c r="B37" s="6">
        <v>1</v>
      </c>
      <c r="C37" s="7">
        <f t="shared" si="0"/>
        <v>0.98</v>
      </c>
      <c r="D37" s="7">
        <f t="shared" si="0"/>
        <v>0.96039999999999992</v>
      </c>
      <c r="E37" s="7">
        <f t="shared" ref="E37:F52" si="3">SUM(D37*1.01)</f>
        <v>0.97000399999999998</v>
      </c>
      <c r="F37" s="7">
        <f t="shared" si="3"/>
        <v>0.97970404</v>
      </c>
    </row>
    <row r="38" spans="1:6" x14ac:dyDescent="0.25">
      <c r="A38" s="1" t="s">
        <v>34</v>
      </c>
      <c r="B38" s="6">
        <v>82</v>
      </c>
      <c r="C38" s="7">
        <f t="shared" si="0"/>
        <v>80.36</v>
      </c>
      <c r="D38" s="7">
        <f t="shared" si="0"/>
        <v>78.752799999999993</v>
      </c>
      <c r="E38" s="7">
        <f t="shared" si="3"/>
        <v>79.540327999999988</v>
      </c>
      <c r="F38" s="7">
        <f t="shared" si="3"/>
        <v>80.33573127999999</v>
      </c>
    </row>
    <row r="39" spans="1:6" x14ac:dyDescent="0.25">
      <c r="A39" s="1" t="s">
        <v>35</v>
      </c>
      <c r="B39" s="6">
        <v>36</v>
      </c>
      <c r="C39" s="7">
        <f t="shared" si="0"/>
        <v>35.28</v>
      </c>
      <c r="D39" s="7">
        <f t="shared" si="0"/>
        <v>34.574399999999997</v>
      </c>
      <c r="E39" s="7">
        <f t="shared" si="3"/>
        <v>34.920144000000001</v>
      </c>
      <c r="F39" s="7">
        <f t="shared" si="3"/>
        <v>35.269345440000002</v>
      </c>
    </row>
    <row r="40" spans="1:6" x14ac:dyDescent="0.25">
      <c r="A40" s="1"/>
      <c r="B40" s="8">
        <v>0</v>
      </c>
      <c r="C40" s="7">
        <f t="shared" si="0"/>
        <v>0</v>
      </c>
      <c r="D40" s="7">
        <f t="shared" si="0"/>
        <v>0</v>
      </c>
      <c r="E40" s="7">
        <f t="shared" si="3"/>
        <v>0</v>
      </c>
      <c r="F40" s="7">
        <f t="shared" si="3"/>
        <v>0</v>
      </c>
    </row>
    <row r="41" spans="1:6" x14ac:dyDescent="0.25">
      <c r="A41" s="9" t="s">
        <v>36</v>
      </c>
      <c r="B41" s="6">
        <v>0</v>
      </c>
      <c r="C41" s="7">
        <f t="shared" si="0"/>
        <v>0</v>
      </c>
      <c r="D41" s="7">
        <f t="shared" si="0"/>
        <v>0</v>
      </c>
      <c r="E41" s="7">
        <f t="shared" si="3"/>
        <v>0</v>
      </c>
      <c r="F41" s="7">
        <f t="shared" si="3"/>
        <v>0</v>
      </c>
    </row>
    <row r="42" spans="1:6" x14ac:dyDescent="0.25">
      <c r="A42" s="1" t="s">
        <v>37</v>
      </c>
      <c r="B42" s="6">
        <v>0</v>
      </c>
      <c r="C42" s="7">
        <f t="shared" si="0"/>
        <v>0</v>
      </c>
      <c r="D42" s="7">
        <f t="shared" si="0"/>
        <v>0</v>
      </c>
      <c r="E42" s="7">
        <f t="shared" si="3"/>
        <v>0</v>
      </c>
      <c r="F42" s="7">
        <f t="shared" si="3"/>
        <v>0</v>
      </c>
    </row>
    <row r="43" spans="1:6" x14ac:dyDescent="0.25">
      <c r="A43" s="1" t="s">
        <v>38</v>
      </c>
      <c r="B43" s="6">
        <v>0</v>
      </c>
      <c r="C43" s="7">
        <f t="shared" si="0"/>
        <v>0</v>
      </c>
      <c r="D43" s="7">
        <f t="shared" si="0"/>
        <v>0</v>
      </c>
      <c r="E43" s="7">
        <f t="shared" si="3"/>
        <v>0</v>
      </c>
      <c r="F43" s="7">
        <f t="shared" si="3"/>
        <v>0</v>
      </c>
    </row>
    <row r="44" spans="1:6" x14ac:dyDescent="0.25">
      <c r="A44" s="1" t="s">
        <v>39</v>
      </c>
      <c r="B44" s="6">
        <v>0</v>
      </c>
      <c r="C44" s="7">
        <f t="shared" si="0"/>
        <v>0</v>
      </c>
      <c r="D44" s="7">
        <f t="shared" si="0"/>
        <v>0</v>
      </c>
      <c r="E44" s="7">
        <f t="shared" si="3"/>
        <v>0</v>
      </c>
      <c r="F44" s="7">
        <f t="shared" si="3"/>
        <v>0</v>
      </c>
    </row>
    <row r="45" spans="1:6" x14ac:dyDescent="0.25">
      <c r="A45" s="1" t="s">
        <v>40</v>
      </c>
      <c r="B45" s="6">
        <v>0</v>
      </c>
      <c r="C45" s="7">
        <f t="shared" si="0"/>
        <v>0</v>
      </c>
      <c r="D45" s="7">
        <f t="shared" si="0"/>
        <v>0</v>
      </c>
      <c r="E45" s="7">
        <f t="shared" si="3"/>
        <v>0</v>
      </c>
      <c r="F45" s="7">
        <f t="shared" si="3"/>
        <v>0</v>
      </c>
    </row>
    <row r="46" spans="1:6" x14ac:dyDescent="0.25">
      <c r="A46" s="1" t="s">
        <v>41</v>
      </c>
      <c r="B46" s="6">
        <v>0</v>
      </c>
      <c r="C46" s="7">
        <f t="shared" si="0"/>
        <v>0</v>
      </c>
      <c r="D46" s="7">
        <f t="shared" si="0"/>
        <v>0</v>
      </c>
      <c r="E46" s="7">
        <f t="shared" si="3"/>
        <v>0</v>
      </c>
      <c r="F46" s="7">
        <f t="shared" si="3"/>
        <v>0</v>
      </c>
    </row>
    <row r="47" spans="1:6" x14ac:dyDescent="0.25">
      <c r="A47" s="1" t="s">
        <v>42</v>
      </c>
      <c r="B47" s="6">
        <v>0</v>
      </c>
      <c r="C47" s="7">
        <f t="shared" si="0"/>
        <v>0</v>
      </c>
      <c r="D47" s="7">
        <f t="shared" si="0"/>
        <v>0</v>
      </c>
      <c r="E47" s="7">
        <f t="shared" si="3"/>
        <v>0</v>
      </c>
      <c r="F47" s="7">
        <f t="shared" si="3"/>
        <v>0</v>
      </c>
    </row>
    <row r="48" spans="1:6" x14ac:dyDescent="0.25">
      <c r="A48" s="1" t="s">
        <v>43</v>
      </c>
      <c r="B48" s="6">
        <v>3</v>
      </c>
      <c r="C48" s="7">
        <f t="shared" si="0"/>
        <v>2.94</v>
      </c>
      <c r="D48" s="7">
        <f t="shared" si="0"/>
        <v>2.8811999999999998</v>
      </c>
      <c r="E48" s="7">
        <f t="shared" si="3"/>
        <v>2.9100119999999996</v>
      </c>
      <c r="F48" s="7">
        <f t="shared" si="3"/>
        <v>2.9391121199999994</v>
      </c>
    </row>
    <row r="49" spans="1:6" x14ac:dyDescent="0.25">
      <c r="A49" s="1" t="s">
        <v>44</v>
      </c>
      <c r="B49" s="6">
        <v>86</v>
      </c>
      <c r="C49" s="7">
        <f t="shared" si="0"/>
        <v>84.28</v>
      </c>
      <c r="D49" s="7">
        <f t="shared" si="0"/>
        <v>82.594399999999993</v>
      </c>
      <c r="E49" s="7">
        <f t="shared" si="3"/>
        <v>83.420344</v>
      </c>
      <c r="F49" s="7">
        <f t="shared" si="3"/>
        <v>84.254547439999996</v>
      </c>
    </row>
    <row r="50" spans="1:6" x14ac:dyDescent="0.25">
      <c r="A50" s="1" t="s">
        <v>45</v>
      </c>
      <c r="B50" s="6">
        <v>13</v>
      </c>
      <c r="C50" s="7">
        <f t="shared" si="0"/>
        <v>12.74</v>
      </c>
      <c r="D50" s="7">
        <f t="shared" si="0"/>
        <v>12.485200000000001</v>
      </c>
      <c r="E50" s="7">
        <f t="shared" si="3"/>
        <v>12.610052000000001</v>
      </c>
      <c r="F50" s="7">
        <f t="shared" si="3"/>
        <v>12.736152520000001</v>
      </c>
    </row>
    <row r="51" spans="1:6" x14ac:dyDescent="0.25">
      <c r="A51" s="1" t="s">
        <v>46</v>
      </c>
      <c r="B51" s="6">
        <v>2</v>
      </c>
      <c r="C51" s="7">
        <f t="shared" si="0"/>
        <v>1.96</v>
      </c>
      <c r="D51" s="7">
        <f t="shared" si="0"/>
        <v>1.9207999999999998</v>
      </c>
      <c r="E51" s="7">
        <f t="shared" si="3"/>
        <v>1.940008</v>
      </c>
      <c r="F51" s="7">
        <f t="shared" si="3"/>
        <v>1.95940808</v>
      </c>
    </row>
    <row r="52" spans="1:6" x14ac:dyDescent="0.25">
      <c r="A52" s="1" t="s">
        <v>47</v>
      </c>
      <c r="B52" s="8">
        <v>174</v>
      </c>
      <c r="C52" s="7">
        <f t="shared" si="0"/>
        <v>170.52</v>
      </c>
      <c r="D52" s="7">
        <f t="shared" si="0"/>
        <v>167.1096</v>
      </c>
      <c r="E52" s="7">
        <f t="shared" si="3"/>
        <v>168.78069600000001</v>
      </c>
      <c r="F52" s="7">
        <f t="shared" si="3"/>
        <v>170.46850296</v>
      </c>
    </row>
    <row r="53" spans="1:6" x14ac:dyDescent="0.25">
      <c r="A53" s="1" t="s">
        <v>48</v>
      </c>
      <c r="B53" s="8">
        <v>13</v>
      </c>
      <c r="C53" s="7">
        <f t="shared" si="0"/>
        <v>12.74</v>
      </c>
      <c r="D53" s="7">
        <f t="shared" si="0"/>
        <v>12.485200000000001</v>
      </c>
      <c r="E53" s="7">
        <f t="shared" ref="E53:F68" si="4">SUM(D53*1.01)</f>
        <v>12.610052000000001</v>
      </c>
      <c r="F53" s="7">
        <f t="shared" si="4"/>
        <v>12.736152520000001</v>
      </c>
    </row>
    <row r="54" spans="1:6" x14ac:dyDescent="0.25">
      <c r="A54" s="1" t="s">
        <v>49</v>
      </c>
      <c r="B54" s="8">
        <v>487</v>
      </c>
      <c r="C54" s="7">
        <f t="shared" si="0"/>
        <v>477.26</v>
      </c>
      <c r="D54" s="7">
        <f t="shared" si="0"/>
        <v>467.71479999999997</v>
      </c>
      <c r="E54" s="7">
        <f t="shared" si="4"/>
        <v>472.39194799999996</v>
      </c>
      <c r="F54" s="7">
        <f t="shared" si="4"/>
        <v>477.11586747999996</v>
      </c>
    </row>
    <row r="55" spans="1:6" x14ac:dyDescent="0.25">
      <c r="A55" s="9" t="s">
        <v>50</v>
      </c>
      <c r="B55" s="8">
        <v>0</v>
      </c>
      <c r="C55" s="7">
        <f t="shared" si="0"/>
        <v>0</v>
      </c>
      <c r="D55" s="7">
        <f t="shared" si="0"/>
        <v>0</v>
      </c>
      <c r="E55" s="7">
        <f t="shared" si="4"/>
        <v>0</v>
      </c>
      <c r="F55" s="7">
        <f t="shared" si="4"/>
        <v>0</v>
      </c>
    </row>
    <row r="56" spans="1:6" x14ac:dyDescent="0.25">
      <c r="A56" s="4" t="s">
        <v>51</v>
      </c>
      <c r="B56" s="8">
        <v>5</v>
      </c>
      <c r="C56" s="7">
        <f t="shared" si="0"/>
        <v>4.9000000000000004</v>
      </c>
      <c r="D56" s="7">
        <f t="shared" si="0"/>
        <v>4.8020000000000005</v>
      </c>
      <c r="E56" s="7">
        <f t="shared" si="4"/>
        <v>4.8500200000000007</v>
      </c>
      <c r="F56" s="7">
        <f t="shared" si="4"/>
        <v>4.898520200000001</v>
      </c>
    </row>
    <row r="57" spans="1:6" x14ac:dyDescent="0.25">
      <c r="A57" s="4" t="s">
        <v>52</v>
      </c>
      <c r="B57" s="8">
        <v>117</v>
      </c>
      <c r="C57" s="7">
        <f t="shared" si="0"/>
        <v>114.66</v>
      </c>
      <c r="D57" s="7">
        <f t="shared" si="0"/>
        <v>112.3668</v>
      </c>
      <c r="E57" s="7">
        <f t="shared" si="4"/>
        <v>113.49046799999999</v>
      </c>
      <c r="F57" s="7">
        <f t="shared" si="4"/>
        <v>114.62537268</v>
      </c>
    </row>
    <row r="58" spans="1:6" x14ac:dyDescent="0.25">
      <c r="A58" s="4" t="s">
        <v>53</v>
      </c>
      <c r="B58" s="8">
        <v>3</v>
      </c>
      <c r="C58" s="7">
        <f t="shared" si="0"/>
        <v>2.94</v>
      </c>
      <c r="D58" s="7">
        <f t="shared" si="0"/>
        <v>2.8811999999999998</v>
      </c>
      <c r="E58" s="7">
        <f t="shared" si="4"/>
        <v>2.9100119999999996</v>
      </c>
      <c r="F58" s="7">
        <f t="shared" si="4"/>
        <v>2.9391121199999994</v>
      </c>
    </row>
    <row r="59" spans="1:6" x14ac:dyDescent="0.25">
      <c r="A59" s="4" t="s">
        <v>54</v>
      </c>
      <c r="B59" s="8">
        <v>25</v>
      </c>
      <c r="C59" s="7">
        <f t="shared" si="0"/>
        <v>24.5</v>
      </c>
      <c r="D59" s="7">
        <f t="shared" si="0"/>
        <v>24.009999999999998</v>
      </c>
      <c r="E59" s="7">
        <f t="shared" si="4"/>
        <v>24.2501</v>
      </c>
      <c r="F59" s="7">
        <f t="shared" si="4"/>
        <v>24.492601000000001</v>
      </c>
    </row>
    <row r="60" spans="1:6" x14ac:dyDescent="0.25">
      <c r="A60" s="4" t="s">
        <v>55</v>
      </c>
      <c r="B60" s="8">
        <v>1</v>
      </c>
      <c r="C60" s="7">
        <f t="shared" si="0"/>
        <v>0.98</v>
      </c>
      <c r="D60" s="7">
        <f t="shared" si="0"/>
        <v>0.96039999999999992</v>
      </c>
      <c r="E60" s="7">
        <f t="shared" si="4"/>
        <v>0.97000399999999998</v>
      </c>
      <c r="F60" s="7">
        <f t="shared" si="4"/>
        <v>0.97970404</v>
      </c>
    </row>
    <row r="61" spans="1:6" x14ac:dyDescent="0.25">
      <c r="A61" s="4" t="s">
        <v>56</v>
      </c>
      <c r="B61" s="8">
        <v>1</v>
      </c>
      <c r="C61" s="7">
        <f t="shared" si="0"/>
        <v>0.98</v>
      </c>
      <c r="D61" s="7">
        <f t="shared" si="0"/>
        <v>0.96039999999999992</v>
      </c>
      <c r="E61" s="7">
        <f t="shared" si="4"/>
        <v>0.97000399999999998</v>
      </c>
      <c r="F61" s="7">
        <f t="shared" si="4"/>
        <v>0.97970404</v>
      </c>
    </row>
    <row r="62" spans="1:6" x14ac:dyDescent="0.25">
      <c r="A62" s="4" t="s">
        <v>57</v>
      </c>
      <c r="B62" s="8">
        <v>118</v>
      </c>
      <c r="C62" s="7">
        <f t="shared" si="0"/>
        <v>115.64</v>
      </c>
      <c r="D62" s="7">
        <f t="shared" si="0"/>
        <v>113.3272</v>
      </c>
      <c r="E62" s="7">
        <f t="shared" si="4"/>
        <v>114.46047200000001</v>
      </c>
      <c r="F62" s="7">
        <f t="shared" si="4"/>
        <v>115.60507672000001</v>
      </c>
    </row>
    <row r="63" spans="1:6" x14ac:dyDescent="0.25">
      <c r="A63" s="4" t="s">
        <v>58</v>
      </c>
      <c r="B63" s="8">
        <v>54</v>
      </c>
      <c r="C63" s="7">
        <f t="shared" si="0"/>
        <v>52.92</v>
      </c>
      <c r="D63" s="7">
        <f t="shared" si="0"/>
        <v>51.861600000000003</v>
      </c>
      <c r="E63" s="7">
        <f t="shared" si="4"/>
        <v>52.380216000000004</v>
      </c>
      <c r="F63" s="7">
        <f t="shared" si="4"/>
        <v>52.904018160000007</v>
      </c>
    </row>
    <row r="64" spans="1:6" x14ac:dyDescent="0.25">
      <c r="A64" s="4" t="s">
        <v>59</v>
      </c>
      <c r="B64" s="8">
        <v>0</v>
      </c>
      <c r="C64" s="7">
        <f t="shared" si="0"/>
        <v>0</v>
      </c>
      <c r="D64" s="7">
        <f t="shared" si="0"/>
        <v>0</v>
      </c>
      <c r="E64" s="7">
        <f t="shared" si="4"/>
        <v>0</v>
      </c>
      <c r="F64" s="7">
        <f t="shared" si="4"/>
        <v>0</v>
      </c>
    </row>
    <row r="65" spans="1:6" x14ac:dyDescent="0.25">
      <c r="A65" s="4" t="s">
        <v>60</v>
      </c>
      <c r="B65" s="8">
        <v>2</v>
      </c>
      <c r="C65" s="7">
        <f t="shared" si="0"/>
        <v>1.96</v>
      </c>
      <c r="D65" s="7">
        <f t="shared" si="0"/>
        <v>1.9207999999999998</v>
      </c>
      <c r="E65" s="7">
        <f t="shared" si="4"/>
        <v>1.940008</v>
      </c>
      <c r="F65" s="7">
        <f t="shared" si="4"/>
        <v>1.95940808</v>
      </c>
    </row>
    <row r="66" spans="1:6" x14ac:dyDescent="0.25">
      <c r="A66" s="4" t="s">
        <v>61</v>
      </c>
      <c r="B66" s="8">
        <v>2</v>
      </c>
      <c r="C66" s="7">
        <f t="shared" si="0"/>
        <v>1.96</v>
      </c>
      <c r="D66" s="7">
        <f t="shared" si="0"/>
        <v>1.9207999999999998</v>
      </c>
      <c r="E66" s="7">
        <f t="shared" si="4"/>
        <v>1.940008</v>
      </c>
      <c r="F66" s="7">
        <f t="shared" si="4"/>
        <v>1.95940808</v>
      </c>
    </row>
    <row r="67" spans="1:6" x14ac:dyDescent="0.25">
      <c r="A67" s="4" t="s">
        <v>62</v>
      </c>
      <c r="B67" s="8">
        <v>0</v>
      </c>
      <c r="C67" s="7">
        <f t="shared" si="0"/>
        <v>0</v>
      </c>
      <c r="D67" s="7">
        <f t="shared" si="0"/>
        <v>0</v>
      </c>
      <c r="E67" s="7">
        <f t="shared" si="4"/>
        <v>0</v>
      </c>
      <c r="F67" s="7">
        <f t="shared" si="4"/>
        <v>0</v>
      </c>
    </row>
    <row r="68" spans="1:6" x14ac:dyDescent="0.25">
      <c r="A68" s="4" t="s">
        <v>63</v>
      </c>
      <c r="B68" s="8">
        <v>41</v>
      </c>
      <c r="C68" s="7">
        <f t="shared" si="0"/>
        <v>40.18</v>
      </c>
      <c r="D68" s="7">
        <f t="shared" si="0"/>
        <v>39.376399999999997</v>
      </c>
      <c r="E68" s="7">
        <f t="shared" si="4"/>
        <v>39.770163999999994</v>
      </c>
      <c r="F68" s="7">
        <f t="shared" si="4"/>
        <v>40.167865639999995</v>
      </c>
    </row>
    <row r="69" spans="1:6" x14ac:dyDescent="0.25">
      <c r="A69" s="4" t="s">
        <v>64</v>
      </c>
      <c r="B69" s="8">
        <v>2</v>
      </c>
      <c r="C69" s="7">
        <f t="shared" ref="C69:D95" si="5">SUM(B69*0.98)</f>
        <v>1.96</v>
      </c>
      <c r="D69" s="7">
        <f t="shared" si="5"/>
        <v>1.9207999999999998</v>
      </c>
      <c r="E69" s="7">
        <f t="shared" ref="E69:F84" si="6">SUM(D69*1.01)</f>
        <v>1.940008</v>
      </c>
      <c r="F69" s="7">
        <f t="shared" si="6"/>
        <v>1.95940808</v>
      </c>
    </row>
    <row r="70" spans="1:6" x14ac:dyDescent="0.25">
      <c r="A70" s="4" t="s">
        <v>65</v>
      </c>
      <c r="B70" s="8">
        <v>4</v>
      </c>
      <c r="C70" s="7">
        <f t="shared" si="5"/>
        <v>3.92</v>
      </c>
      <c r="D70" s="7">
        <f t="shared" si="5"/>
        <v>3.8415999999999997</v>
      </c>
      <c r="E70" s="7">
        <f t="shared" si="6"/>
        <v>3.8800159999999999</v>
      </c>
      <c r="F70" s="7">
        <f t="shared" si="6"/>
        <v>3.91881616</v>
      </c>
    </row>
    <row r="71" spans="1:6" x14ac:dyDescent="0.25">
      <c r="A71" s="4" t="s">
        <v>66</v>
      </c>
      <c r="B71" s="8">
        <v>42</v>
      </c>
      <c r="C71" s="7">
        <f t="shared" si="5"/>
        <v>41.16</v>
      </c>
      <c r="D71" s="7">
        <f t="shared" si="5"/>
        <v>40.336799999999997</v>
      </c>
      <c r="E71" s="7">
        <f t="shared" si="6"/>
        <v>40.740167999999997</v>
      </c>
      <c r="F71" s="7">
        <f t="shared" si="6"/>
        <v>41.147569679999997</v>
      </c>
    </row>
    <row r="72" spans="1:6" x14ac:dyDescent="0.25">
      <c r="A72" s="4" t="s">
        <v>67</v>
      </c>
      <c r="B72" s="8">
        <v>23</v>
      </c>
      <c r="C72" s="7">
        <f t="shared" si="5"/>
        <v>22.54</v>
      </c>
      <c r="D72" s="7">
        <f t="shared" si="5"/>
        <v>22.089199999999998</v>
      </c>
      <c r="E72" s="7">
        <f t="shared" si="6"/>
        <v>22.310091999999997</v>
      </c>
      <c r="F72" s="7">
        <f t="shared" si="6"/>
        <v>22.533192919999998</v>
      </c>
    </row>
    <row r="73" spans="1:6" x14ac:dyDescent="0.25">
      <c r="A73" s="4" t="s">
        <v>68</v>
      </c>
      <c r="B73" s="8">
        <v>1</v>
      </c>
      <c r="C73" s="7">
        <f t="shared" si="5"/>
        <v>0.98</v>
      </c>
      <c r="D73" s="7">
        <f t="shared" si="5"/>
        <v>0.96039999999999992</v>
      </c>
      <c r="E73" s="7">
        <f t="shared" si="6"/>
        <v>0.97000399999999998</v>
      </c>
      <c r="F73" s="7">
        <f t="shared" si="6"/>
        <v>0.97970404</v>
      </c>
    </row>
    <row r="74" spans="1:6" x14ac:dyDescent="0.25">
      <c r="A74" s="4" t="s">
        <v>69</v>
      </c>
      <c r="B74" s="8">
        <v>23</v>
      </c>
      <c r="C74" s="7">
        <f t="shared" si="5"/>
        <v>22.54</v>
      </c>
      <c r="D74" s="7">
        <f t="shared" si="5"/>
        <v>22.089199999999998</v>
      </c>
      <c r="E74" s="7">
        <f t="shared" si="6"/>
        <v>22.310091999999997</v>
      </c>
      <c r="F74" s="7">
        <f t="shared" si="6"/>
        <v>22.533192919999998</v>
      </c>
    </row>
    <row r="75" spans="1:6" x14ac:dyDescent="0.25">
      <c r="A75" s="1"/>
      <c r="B75" s="8">
        <v>0</v>
      </c>
      <c r="C75" s="7">
        <f t="shared" si="5"/>
        <v>0</v>
      </c>
      <c r="D75" s="7">
        <f t="shared" si="5"/>
        <v>0</v>
      </c>
      <c r="E75" s="7">
        <f t="shared" si="6"/>
        <v>0</v>
      </c>
      <c r="F75" s="7">
        <f t="shared" si="6"/>
        <v>0</v>
      </c>
    </row>
    <row r="76" spans="1:6" x14ac:dyDescent="0.25">
      <c r="A76" s="9" t="s">
        <v>70</v>
      </c>
      <c r="B76" s="8">
        <v>0</v>
      </c>
      <c r="C76" s="7">
        <f t="shared" si="5"/>
        <v>0</v>
      </c>
      <c r="D76" s="7">
        <f t="shared" si="5"/>
        <v>0</v>
      </c>
      <c r="E76" s="7">
        <f t="shared" si="6"/>
        <v>0</v>
      </c>
      <c r="F76" s="7">
        <f t="shared" si="6"/>
        <v>0</v>
      </c>
    </row>
    <row r="77" spans="1:6" x14ac:dyDescent="0.25">
      <c r="A77" s="1" t="s">
        <v>71</v>
      </c>
      <c r="B77" s="8">
        <v>9</v>
      </c>
      <c r="C77" s="7">
        <f t="shared" si="5"/>
        <v>8.82</v>
      </c>
      <c r="D77" s="7">
        <f t="shared" si="5"/>
        <v>8.6435999999999993</v>
      </c>
      <c r="E77" s="7">
        <f t="shared" si="6"/>
        <v>8.7300360000000001</v>
      </c>
      <c r="F77" s="7">
        <f t="shared" si="6"/>
        <v>8.8173363600000005</v>
      </c>
    </row>
    <row r="78" spans="1:6" x14ac:dyDescent="0.25">
      <c r="A78" s="1" t="s">
        <v>72</v>
      </c>
      <c r="B78" s="8">
        <v>7</v>
      </c>
      <c r="C78" s="7">
        <f t="shared" si="5"/>
        <v>6.8599999999999994</v>
      </c>
      <c r="D78" s="7">
        <f t="shared" si="5"/>
        <v>6.7227999999999994</v>
      </c>
      <c r="E78" s="7">
        <f t="shared" si="6"/>
        <v>6.7900279999999995</v>
      </c>
      <c r="F78" s="7">
        <f t="shared" si="6"/>
        <v>6.8579282799999994</v>
      </c>
    </row>
    <row r="79" spans="1:6" x14ac:dyDescent="0.25">
      <c r="A79" s="1"/>
      <c r="B79" s="8">
        <v>0</v>
      </c>
      <c r="C79" s="7">
        <f t="shared" si="5"/>
        <v>0</v>
      </c>
      <c r="D79" s="7">
        <f t="shared" si="5"/>
        <v>0</v>
      </c>
      <c r="E79" s="7">
        <f t="shared" si="6"/>
        <v>0</v>
      </c>
      <c r="F79" s="7">
        <f t="shared" si="6"/>
        <v>0</v>
      </c>
    </row>
    <row r="80" spans="1:6" x14ac:dyDescent="0.25">
      <c r="A80" s="10" t="s">
        <v>73</v>
      </c>
      <c r="B80" s="8">
        <v>0</v>
      </c>
      <c r="C80" s="7">
        <f t="shared" si="5"/>
        <v>0</v>
      </c>
      <c r="D80" s="7">
        <f t="shared" si="5"/>
        <v>0</v>
      </c>
      <c r="E80" s="7">
        <f t="shared" si="6"/>
        <v>0</v>
      </c>
      <c r="F80" s="7">
        <f t="shared" si="6"/>
        <v>0</v>
      </c>
    </row>
    <row r="81" spans="1:6" x14ac:dyDescent="0.25">
      <c r="A81" s="4" t="s">
        <v>74</v>
      </c>
      <c r="B81" s="8">
        <v>43</v>
      </c>
      <c r="C81" s="7">
        <f t="shared" si="5"/>
        <v>42.14</v>
      </c>
      <c r="D81" s="7">
        <f t="shared" si="5"/>
        <v>41.297199999999997</v>
      </c>
      <c r="E81" s="7">
        <f t="shared" si="6"/>
        <v>41.710172</v>
      </c>
      <c r="F81" s="7">
        <f t="shared" si="6"/>
        <v>42.127273719999998</v>
      </c>
    </row>
    <row r="82" spans="1:6" x14ac:dyDescent="0.25">
      <c r="A82" s="4" t="s">
        <v>75</v>
      </c>
      <c r="B82" s="8">
        <v>61</v>
      </c>
      <c r="C82" s="7">
        <f t="shared" si="5"/>
        <v>59.78</v>
      </c>
      <c r="D82" s="7">
        <f t="shared" si="5"/>
        <v>58.584400000000002</v>
      </c>
      <c r="E82" s="7">
        <f t="shared" si="6"/>
        <v>59.170244000000004</v>
      </c>
      <c r="F82" s="7">
        <f t="shared" si="6"/>
        <v>59.761946440000003</v>
      </c>
    </row>
    <row r="83" spans="1:6" x14ac:dyDescent="0.25">
      <c r="A83" s="4" t="s">
        <v>76</v>
      </c>
      <c r="B83" s="8">
        <v>234</v>
      </c>
      <c r="C83" s="7">
        <f t="shared" si="5"/>
        <v>229.32</v>
      </c>
      <c r="D83" s="7">
        <f t="shared" si="5"/>
        <v>224.7336</v>
      </c>
      <c r="E83" s="7">
        <f t="shared" si="6"/>
        <v>226.98093599999999</v>
      </c>
      <c r="F83" s="7">
        <f t="shared" si="6"/>
        <v>229.25074536</v>
      </c>
    </row>
    <row r="84" spans="1:6" x14ac:dyDescent="0.25">
      <c r="A84" s="4" t="s">
        <v>77</v>
      </c>
      <c r="B84" s="8">
        <v>260</v>
      </c>
      <c r="C84" s="7">
        <f t="shared" si="5"/>
        <v>254.79999999999998</v>
      </c>
      <c r="D84" s="7">
        <f t="shared" si="5"/>
        <v>249.70399999999998</v>
      </c>
      <c r="E84" s="7">
        <f t="shared" si="6"/>
        <v>252.20103999999998</v>
      </c>
      <c r="F84" s="7">
        <f t="shared" si="6"/>
        <v>254.72305039999998</v>
      </c>
    </row>
    <row r="85" spans="1:6" x14ac:dyDescent="0.25">
      <c r="A85" s="4" t="s">
        <v>78</v>
      </c>
      <c r="B85" s="8">
        <v>15</v>
      </c>
      <c r="C85" s="7">
        <f t="shared" si="5"/>
        <v>14.7</v>
      </c>
      <c r="D85" s="7">
        <f t="shared" si="5"/>
        <v>14.405999999999999</v>
      </c>
      <c r="E85" s="7">
        <f t="shared" ref="E85:F95" si="7">SUM(D85*1.01)</f>
        <v>14.550059999999998</v>
      </c>
      <c r="F85" s="7">
        <f t="shared" si="7"/>
        <v>14.695560599999999</v>
      </c>
    </row>
    <row r="86" spans="1:6" x14ac:dyDescent="0.25">
      <c r="A86" s="4" t="s">
        <v>79</v>
      </c>
      <c r="B86" s="8">
        <v>15</v>
      </c>
      <c r="C86" s="7">
        <f t="shared" si="5"/>
        <v>14.7</v>
      </c>
      <c r="D86" s="7">
        <f t="shared" si="5"/>
        <v>14.405999999999999</v>
      </c>
      <c r="E86" s="7">
        <f t="shared" si="7"/>
        <v>14.550059999999998</v>
      </c>
      <c r="F86" s="7">
        <f t="shared" si="7"/>
        <v>14.695560599999999</v>
      </c>
    </row>
    <row r="87" spans="1:6" x14ac:dyDescent="0.25">
      <c r="A87" s="4" t="s">
        <v>80</v>
      </c>
      <c r="B87" s="8">
        <v>55</v>
      </c>
      <c r="C87" s="7">
        <f t="shared" si="5"/>
        <v>53.9</v>
      </c>
      <c r="D87" s="7">
        <f t="shared" si="5"/>
        <v>52.821999999999996</v>
      </c>
      <c r="E87" s="7">
        <f t="shared" si="7"/>
        <v>53.350219999999993</v>
      </c>
      <c r="F87" s="7">
        <f t="shared" si="7"/>
        <v>53.883722199999994</v>
      </c>
    </row>
    <row r="88" spans="1:6" x14ac:dyDescent="0.25">
      <c r="A88" s="4" t="s">
        <v>81</v>
      </c>
      <c r="B88" s="8">
        <v>55</v>
      </c>
      <c r="C88" s="7">
        <f t="shared" si="5"/>
        <v>53.9</v>
      </c>
      <c r="D88" s="7">
        <f t="shared" si="5"/>
        <v>52.821999999999996</v>
      </c>
      <c r="E88" s="7">
        <f t="shared" si="7"/>
        <v>53.350219999999993</v>
      </c>
      <c r="F88" s="7">
        <f t="shared" si="7"/>
        <v>53.883722199999994</v>
      </c>
    </row>
    <row r="89" spans="1:6" ht="24.75" x14ac:dyDescent="0.25">
      <c r="A89" s="5" t="s">
        <v>82</v>
      </c>
      <c r="B89" s="8">
        <v>51</v>
      </c>
      <c r="C89" s="7">
        <f t="shared" si="5"/>
        <v>49.98</v>
      </c>
      <c r="D89" s="7">
        <f t="shared" si="5"/>
        <v>48.980399999999996</v>
      </c>
      <c r="E89" s="7">
        <f t="shared" si="7"/>
        <v>49.470203999999995</v>
      </c>
      <c r="F89" s="7">
        <f t="shared" si="7"/>
        <v>49.964906039999995</v>
      </c>
    </row>
    <row r="90" spans="1:6" ht="24.75" x14ac:dyDescent="0.25">
      <c r="A90" s="5" t="s">
        <v>83</v>
      </c>
      <c r="B90" s="8">
        <v>55</v>
      </c>
      <c r="C90" s="7">
        <f t="shared" si="5"/>
        <v>53.9</v>
      </c>
      <c r="D90" s="7">
        <f t="shared" si="5"/>
        <v>52.821999999999996</v>
      </c>
      <c r="E90" s="7">
        <f t="shared" si="7"/>
        <v>53.350219999999993</v>
      </c>
      <c r="F90" s="7">
        <f t="shared" si="7"/>
        <v>53.883722199999994</v>
      </c>
    </row>
    <row r="91" spans="1:6" x14ac:dyDescent="0.25">
      <c r="A91" s="9" t="s">
        <v>84</v>
      </c>
      <c r="B91" s="8">
        <v>385</v>
      </c>
      <c r="C91" s="7">
        <f t="shared" si="5"/>
        <v>377.3</v>
      </c>
      <c r="D91" s="7">
        <f t="shared" si="5"/>
        <v>369.75400000000002</v>
      </c>
      <c r="E91" s="7">
        <f t="shared" si="7"/>
        <v>373.45154000000002</v>
      </c>
      <c r="F91" s="7">
        <f t="shared" si="7"/>
        <v>377.18605540000004</v>
      </c>
    </row>
    <row r="92" spans="1:6" x14ac:dyDescent="0.25">
      <c r="A92" s="10" t="s">
        <v>85</v>
      </c>
      <c r="B92" s="8">
        <v>424</v>
      </c>
      <c r="C92" s="7">
        <f t="shared" si="5"/>
        <v>415.52</v>
      </c>
      <c r="D92" s="7">
        <f t="shared" si="5"/>
        <v>407.20959999999997</v>
      </c>
      <c r="E92" s="7">
        <f t="shared" si="7"/>
        <v>411.28169599999995</v>
      </c>
      <c r="F92" s="7">
        <f t="shared" si="7"/>
        <v>415.39451295999993</v>
      </c>
    </row>
    <row r="93" spans="1:6" x14ac:dyDescent="0.25">
      <c r="A93" s="1"/>
      <c r="B93" s="8">
        <v>0</v>
      </c>
      <c r="C93" s="7">
        <f t="shared" si="5"/>
        <v>0</v>
      </c>
      <c r="D93" s="7">
        <f t="shared" si="5"/>
        <v>0</v>
      </c>
      <c r="E93" s="7">
        <f t="shared" si="7"/>
        <v>0</v>
      </c>
      <c r="F93" s="7">
        <f t="shared" si="7"/>
        <v>0</v>
      </c>
    </row>
    <row r="94" spans="1:6" x14ac:dyDescent="0.25">
      <c r="A94" s="9" t="s">
        <v>86</v>
      </c>
      <c r="B94" s="8">
        <v>0</v>
      </c>
      <c r="C94" s="7">
        <f t="shared" si="5"/>
        <v>0</v>
      </c>
      <c r="D94" s="7">
        <f t="shared" si="5"/>
        <v>0</v>
      </c>
      <c r="E94" s="7">
        <f t="shared" si="7"/>
        <v>0</v>
      </c>
      <c r="F94" s="7">
        <f t="shared" si="7"/>
        <v>0</v>
      </c>
    </row>
    <row r="95" spans="1:6" x14ac:dyDescent="0.25">
      <c r="A95" s="1" t="s">
        <v>87</v>
      </c>
      <c r="B95" s="8">
        <v>43</v>
      </c>
      <c r="C95" s="7">
        <f t="shared" si="5"/>
        <v>42.14</v>
      </c>
      <c r="D95" s="7">
        <f t="shared" si="5"/>
        <v>41.297199999999997</v>
      </c>
      <c r="E95" s="7">
        <f t="shared" si="7"/>
        <v>41.710172</v>
      </c>
      <c r="F95" s="7">
        <f t="shared" si="7"/>
        <v>42.127273719999998</v>
      </c>
    </row>
  </sheetData>
  <mergeCells count="1">
    <mergeCell ref="A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jeffrey.d.smith13</dc:creator>
  <cp:keywords/>
  <dc:description/>
  <cp:lastModifiedBy>Paige, Dylan S CDR USN NAVSUP FLCN (USA)</cp:lastModifiedBy>
  <cp:revision/>
  <dcterms:created xsi:type="dcterms:W3CDTF">2022-01-05T15:57:25Z</dcterms:created>
  <dcterms:modified xsi:type="dcterms:W3CDTF">2025-08-13T12:47:32Z</dcterms:modified>
  <cp:category/>
  <cp:contentStatus/>
</cp:coreProperties>
</file>