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LRNX\NFECL\PW\PW2\CON SHARED FOLDER\24-R-0003 Sigonella BOS\PWS to CON for RFP\Section J\Annex 2 Management &amp; Administration\"/>
    </mc:Choice>
  </mc:AlternateContent>
  <xr:revisionPtr revIDLastSave="0" documentId="8_{84BDD4B0-ECDF-402C-AF78-C2F9152E2843}" xr6:coauthVersionLast="47" xr6:coauthVersionMax="47" xr10:uidLastSave="{00000000-0000-0000-0000-000000000000}"/>
  <bookViews>
    <workbookView xWindow="13485" yWindow="-32310" windowWidth="57840" windowHeight="31830" tabRatio="844" firstSheet="2" activeTab="2" xr2:uid="{00000000-000D-0000-FFFF-FFFF00000000}"/>
  </bookViews>
  <sheets>
    <sheet name="1-Service Provider Info" sheetId="15" r:id="rId1"/>
    <sheet name="2-Service Provider Field List" sheetId="18" r:id="rId2"/>
    <sheet name="3-Service Provider-Template" sheetId="17" r:id="rId3"/>
  </sheets>
  <definedNames>
    <definedName name="_xlnm.Print_Area" localSheetId="0">'1-Service Provider Info'!$A$1:$D$26</definedName>
    <definedName name="_xlnm.Print_Area" localSheetId="1">'2-Service Provider Field List'!$A$1:$H$42</definedName>
    <definedName name="_xlnm.Print_Area" localSheetId="2">'3-Service Provider-Template'!$A$1:$AJ$31</definedName>
    <definedName name="_xlnm.Print_Titles" localSheetId="1">'2-Service Provider Field List'!$1:$7</definedName>
    <definedName name="_xlnm.Print_Titles" localSheetId="2">'3-Service Provider-Template'!$A:$A,'3-Service Provider-Template'!$1:$1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8" l="1"/>
  <c r="A5" i="18"/>
  <c r="A3" i="18"/>
  <c r="A9" i="18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5" i="17"/>
  <c r="A4" i="17"/>
  <c r="A3" i="17"/>
</calcChain>
</file>

<file path=xl/sharedStrings.xml><?xml version="1.0" encoding="utf-8"?>
<sst xmlns="http://schemas.openxmlformats.org/spreadsheetml/2006/main" count="301" uniqueCount="142">
  <si>
    <r>
      <t xml:space="preserve">ATTACHMENT J-0200000-05
</t>
    </r>
    <r>
      <rPr>
        <u/>
        <sz val="10"/>
        <rFont val="Times New Roman"/>
        <family val="1"/>
      </rPr>
      <t>SERVICE PROVIDER INFORMATION</t>
    </r>
  </si>
  <si>
    <t>Interface: Service Provider</t>
  </si>
  <si>
    <t>VERSION #:</t>
  </si>
  <si>
    <t>V1</t>
  </si>
  <si>
    <t xml:space="preserve">Current as of: </t>
  </si>
  <si>
    <t>1/24/2025</t>
  </si>
  <si>
    <t>Version History</t>
  </si>
  <si>
    <t>V1 - Updated to reflect current interface in MAXIMO</t>
  </si>
  <si>
    <t>TABS</t>
  </si>
  <si>
    <t>1-Service Provider Info</t>
  </si>
  <si>
    <t>This Sheet</t>
  </si>
  <si>
    <t>2-Service Provider Field List</t>
  </si>
  <si>
    <t>Service Provider Template Data Format Information</t>
  </si>
  <si>
    <t>3-Service Provider - Template</t>
  </si>
  <si>
    <t>Sample Excel Format</t>
  </si>
  <si>
    <t xml:space="preserve">Service Provider (BOSC1) is a pipe delimited file. </t>
  </si>
  <si>
    <t>Position</t>
  </si>
  <si>
    <t>Name</t>
  </si>
  <si>
    <t>Required</t>
  </si>
  <si>
    <t>Length
Limit</t>
  </si>
  <si>
    <t>Data Format Note</t>
  </si>
  <si>
    <t>Field Definition</t>
  </si>
  <si>
    <r>
      <t>Content Notes</t>
    </r>
    <r>
      <rPr>
        <i/>
        <sz val="12"/>
        <rFont val="Times New Roman"/>
        <family val="1"/>
      </rPr>
      <t/>
    </r>
  </si>
  <si>
    <t>NAVFAC
MAXIMO_FIELD</t>
  </si>
  <si>
    <t>Approved Date</t>
  </si>
  <si>
    <t>N</t>
  </si>
  <si>
    <t>10</t>
  </si>
  <si>
    <t>MM/DD/YYYY  hh:mm:ss</t>
  </si>
  <si>
    <r>
      <t xml:space="preserve">The Date on which the Work Order was last approved. </t>
    </r>
    <r>
      <rPr>
        <sz val="11"/>
        <color rgb="FFFF0000"/>
        <rFont val="Times New Roman"/>
        <family val="1"/>
      </rPr>
      <t xml:space="preserve"> </t>
    </r>
    <r>
      <rPr>
        <sz val="11"/>
        <rFont val="Times New Roman"/>
        <family val="1"/>
      </rPr>
      <t xml:space="preserve">If the file contains an Approved Date, then this date will be pulled over to the record.  </t>
    </r>
    <r>
      <rPr>
        <sz val="11"/>
        <color rgb="FFFF0000"/>
        <rFont val="Times New Roman"/>
        <family val="1"/>
      </rPr>
      <t xml:space="preserve">
</t>
    </r>
    <r>
      <rPr>
        <i/>
        <sz val="11"/>
        <color rgb="FFFF0000"/>
        <rFont val="Times New Roman"/>
        <family val="1"/>
      </rPr>
      <t>If the Approved Date in the file is null, then the Reported Date plus one minute will be displayed in the record.</t>
    </r>
  </si>
  <si>
    <t>APPROVEDDATE</t>
  </si>
  <si>
    <t>Work Type</t>
  </si>
  <si>
    <t>Y</t>
  </si>
  <si>
    <t>15</t>
  </si>
  <si>
    <r>
      <t xml:space="preserve">
Must match Value List in Maximo.
</t>
    </r>
    <r>
      <rPr>
        <b/>
        <sz val="11"/>
        <rFont val="Times New Roman"/>
        <family val="1"/>
      </rPr>
      <t>(Cross-walked field.).  Must match Crosswalk</t>
    </r>
  </si>
  <si>
    <t>Identifies the work order's type.
Example types are: preventive maintenance, corrective maintenance, emergency maintenance, capital project, and event report.</t>
  </si>
  <si>
    <r>
      <t xml:space="preserve">Value list in REFERENCE SPREADSHEET  </t>
    </r>
    <r>
      <rPr>
        <b/>
        <sz val="12"/>
        <rFont val="Times New Roman"/>
        <family val="1"/>
      </rPr>
      <t>-or-</t>
    </r>
    <r>
      <rPr>
        <sz val="12"/>
        <rFont val="Times New Roman"/>
        <family val="1"/>
      </rPr>
      <t xml:space="preserve">
a valid work types will be specified at contract start </t>
    </r>
  </si>
  <si>
    <t>WORKTYPE</t>
  </si>
  <si>
    <t>Customer Reference Number</t>
  </si>
  <si>
    <t>Contractors internal work order tracking number.  Will update Record if Value is found in Maximo otherwise new record (Work order) will be created.</t>
  </si>
  <si>
    <t>SERVPRVREFCODE</t>
  </si>
  <si>
    <t>Description</t>
  </si>
  <si>
    <t>150</t>
  </si>
  <si>
    <r>
      <t xml:space="preserve">Describes the work order. 
</t>
    </r>
    <r>
      <rPr>
        <i/>
        <sz val="11"/>
        <color rgb="FFFF0000"/>
        <rFont val="Times New Roman"/>
        <family val="1"/>
      </rPr>
      <t>If the Description is null, in the inbound file, then this field is defaulted to CROSSWALK value.</t>
    </r>
  </si>
  <si>
    <t>DESCRIPTION</t>
  </si>
  <si>
    <t>Location</t>
  </si>
  <si>
    <t>30</t>
  </si>
  <si>
    <t>Must match Value List in Maximo</t>
  </si>
  <si>
    <t>Identifies the work order's location.  This is not necessarily the asset's location, however, if an asset is entered, its location will default here.  
- If the Location is null, in the inbound file, then this field is defaulted to the site's base location.</t>
  </si>
  <si>
    <t>Value list in REFERENCE SPREADSHEET</t>
  </si>
  <si>
    <t>LOCATION</t>
  </si>
  <si>
    <t>Reported By</t>
  </si>
  <si>
    <t>62</t>
  </si>
  <si>
    <t>Identifies the person reporting the work order.</t>
  </si>
  <si>
    <r>
      <t xml:space="preserve">Value list in REFERENCE SPREADSHEET  </t>
    </r>
    <r>
      <rPr>
        <b/>
        <sz val="12"/>
        <rFont val="Times New Roman"/>
        <family val="1"/>
      </rPr>
      <t>-or-</t>
    </r>
    <r>
      <rPr>
        <sz val="12"/>
        <rFont val="Times New Roman"/>
        <family val="1"/>
      </rPr>
      <t xml:space="preserve">
a valid identifier will be specified at contract start </t>
    </r>
  </si>
  <si>
    <t>REPORTEDBY</t>
  </si>
  <si>
    <t>Master System</t>
  </si>
  <si>
    <t>N/A</t>
  </si>
  <si>
    <t>Not used</t>
  </si>
  <si>
    <t>Status</t>
  </si>
  <si>
    <t>16</t>
  </si>
  <si>
    <t>(Cross-walked field.)   
Must match Crosswalk</t>
  </si>
  <si>
    <t>Status of the work order, for example, in progress, waiting on material, waiting for approval, completed, or closed.</t>
  </si>
  <si>
    <t>STATUS</t>
  </si>
  <si>
    <t>Status Date</t>
  </si>
  <si>
    <t>STATUSDATE</t>
  </si>
  <si>
    <t>Priority</t>
  </si>
  <si>
    <t>12</t>
  </si>
  <si>
    <t xml:space="preserve">Identifies the importance of the work order, from 0-999, where 0 is the lowest priority and 999 is the highest.  If the Priority is null, in the inbound file, then this field is defaulted. </t>
  </si>
  <si>
    <t>WOPRIORITY</t>
  </si>
  <si>
    <t>Actual Start</t>
  </si>
  <si>
    <t>ACTSTART</t>
  </si>
  <si>
    <t>Actual Finish</t>
  </si>
  <si>
    <t>ACTFINISH</t>
  </si>
  <si>
    <t>Supervisor</t>
  </si>
  <si>
    <t>SUPERVISOR</t>
  </si>
  <si>
    <t>Labor Hours(Actual)</t>
  </si>
  <si>
    <t>8</t>
  </si>
  <si>
    <t>Number (2 decimal places)</t>
  </si>
  <si>
    <t xml:space="preserve">ACTLABHRS
</t>
  </si>
  <si>
    <t>Labor Cost(Actual)</t>
  </si>
  <si>
    <t xml:space="preserve">ACTLABCOST
</t>
  </si>
  <si>
    <t>Material Cost(Actual)</t>
  </si>
  <si>
    <t xml:space="preserve">ACTMATCOST
</t>
  </si>
  <si>
    <t>Duration</t>
  </si>
  <si>
    <t>Estimated remaining number of hours needed to complete the work.</t>
  </si>
  <si>
    <t>ESTDUR</t>
  </si>
  <si>
    <t>Asset</t>
  </si>
  <si>
    <t>25</t>
  </si>
  <si>
    <t>Must match an existing ASSETNUM in Maximo</t>
  </si>
  <si>
    <t>The asset number used must exist in NAVFAC MAXIMO prior to submission, or the record will be rejected.</t>
  </si>
  <si>
    <t xml:space="preserve">Value list in REFERENCE SPREADSHEET
</t>
  </si>
  <si>
    <t>ASSETNUM</t>
  </si>
  <si>
    <t>Target Finish</t>
  </si>
  <si>
    <t>TARGCOMPDATE</t>
  </si>
  <si>
    <t>Target Start</t>
  </si>
  <si>
    <t>TARGSTARTDATE</t>
  </si>
  <si>
    <t>Reported Date</t>
  </si>
  <si>
    <t>REPORTDATE</t>
  </si>
  <si>
    <t>Lead</t>
  </si>
  <si>
    <t xml:space="preserve">Lead person responsible for the work. </t>
  </si>
  <si>
    <t>LEAD</t>
  </si>
  <si>
    <t>Scheduled Start</t>
  </si>
  <si>
    <t>SCHEDSTART</t>
  </si>
  <si>
    <t>Scheduled Finish</t>
  </si>
  <si>
    <t>SCHEDFINISH</t>
  </si>
  <si>
    <t>Modified Date</t>
  </si>
  <si>
    <t>LEAVE BLANK</t>
  </si>
  <si>
    <t>Leave blank/Do Not Use</t>
  </si>
  <si>
    <t>CHANGEDATE</t>
  </si>
  <si>
    <t>Modified By</t>
  </si>
  <si>
    <t>CHANGEBY</t>
  </si>
  <si>
    <t>PMNEXTDUEDATE</t>
  </si>
  <si>
    <t>4</t>
  </si>
  <si>
    <t>Is Task?</t>
  </si>
  <si>
    <t>1</t>
  </si>
  <si>
    <r>
      <rPr>
        <b/>
        <sz val="11"/>
        <rFont val="Times New Roman"/>
        <family val="1"/>
      </rPr>
      <t>Y</t>
    </r>
    <r>
      <rPr>
        <sz val="11"/>
        <rFont val="Times New Roman"/>
        <family val="1"/>
      </rPr>
      <t xml:space="preserve">es or </t>
    </r>
    <r>
      <rPr>
        <b/>
        <sz val="11"/>
        <rFont val="Times New Roman"/>
        <family val="1"/>
      </rPr>
      <t>N</t>
    </r>
    <r>
      <rPr>
        <sz val="11"/>
        <rFont val="Times New Roman"/>
        <family val="1"/>
      </rPr>
      <t>o</t>
    </r>
  </si>
  <si>
    <t>ISTASK</t>
  </si>
  <si>
    <t>Parent WO</t>
  </si>
  <si>
    <t>Length Limit: 250</t>
  </si>
  <si>
    <t>Must exist in NAVFAC MAXIMO prior to submission or the record will be rejected.</t>
  </si>
  <si>
    <t>PARENT</t>
  </si>
  <si>
    <t>Work Order</t>
  </si>
  <si>
    <t>Used in updating record status on existing records.</t>
  </si>
  <si>
    <t>WONUM</t>
  </si>
  <si>
    <t>Detail Location</t>
  </si>
  <si>
    <t>250</t>
  </si>
  <si>
    <t>DETAILLOC</t>
  </si>
  <si>
    <t>CLIN</t>
  </si>
  <si>
    <t>Contract Line Item Number</t>
  </si>
  <si>
    <t>Customer Ref Code</t>
  </si>
  <si>
    <t>CUSTOMERCODE</t>
  </si>
  <si>
    <t>Sub Work Type</t>
  </si>
  <si>
    <t xml:space="preserve">(Cross-walked field).  
Must match Crosswalk  </t>
  </si>
  <si>
    <t>Defaulted field based on the value of worktype</t>
  </si>
  <si>
    <t>SUBWORKTYPE</t>
  </si>
  <si>
    <t>Work Center</t>
  </si>
  <si>
    <t>PERSONGROUP</t>
  </si>
  <si>
    <t>ATTACHMENT J-0200000-05
SERVICE PROVIDER INFORMATION</t>
  </si>
  <si>
    <t>Labor Hours
(Actual)</t>
  </si>
  <si>
    <t>Labor Cost
(Actual)</t>
  </si>
  <si>
    <t>Material Cost
(Actual)</t>
  </si>
  <si>
    <t>Required Field(s)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</si>
</sst>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9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0"/>
      <name val="Times New Roman"/>
      <family val="1"/>
    </font>
    <font>
      <i/>
      <sz val="12"/>
      <name val="Times New Roman"/>
      <family val="1"/>
    </font>
    <font>
      <sz val="14"/>
      <name val="Times New Roman"/>
      <family val="1"/>
    </font>
    <font>
      <sz val="11"/>
      <color rgb="FFFF0000"/>
      <name val="Times New Roman"/>
      <family val="1"/>
    </font>
    <font>
      <i/>
      <sz val="11"/>
      <color rgb="FFFF0000"/>
      <name val="Times New Roman"/>
      <family val="1"/>
    </font>
    <font>
      <i/>
      <sz val="10"/>
      <name val="Times New Roman"/>
      <family val="1"/>
    </font>
    <font>
      <i/>
      <sz val="11"/>
      <name val="Times New Roman"/>
      <family val="1"/>
    </font>
    <font>
      <sz val="9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3" fillId="3" borderId="2" applyNumberFormat="0" applyFont="0" applyAlignment="0" applyProtection="0"/>
    <xf numFmtId="0" fontId="3" fillId="0" borderId="0"/>
    <xf numFmtId="0" fontId="3" fillId="0" borderId="0"/>
  </cellStyleXfs>
  <cellXfs count="68">
    <xf numFmtId="0" fontId="0" fillId="0" borderId="0" xfId="0"/>
    <xf numFmtId="0" fontId="5" fillId="0" borderId="0" xfId="2" applyFont="1"/>
    <xf numFmtId="0" fontId="6" fillId="0" borderId="0" xfId="2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wrapText="1"/>
    </xf>
    <xf numFmtId="0" fontId="7" fillId="0" borderId="0" xfId="2" applyFont="1" applyAlignment="1">
      <alignment horizontal="left" vertical="top"/>
    </xf>
    <xf numFmtId="0" fontId="7" fillId="0" borderId="0" xfId="2" applyFont="1"/>
    <xf numFmtId="0" fontId="8" fillId="0" borderId="0" xfId="2" applyFont="1" applyAlignment="1">
      <alignment horizontal="left"/>
    </xf>
    <xf numFmtId="0" fontId="7" fillId="0" borderId="0" xfId="2" applyFont="1" applyAlignment="1">
      <alignment horizontal="left" vertical="top" wrapText="1"/>
    </xf>
    <xf numFmtId="15" fontId="8" fillId="0" borderId="0" xfId="2" quotePrefix="1" applyNumberFormat="1" applyFont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5" fillId="0" borderId="13" xfId="0" applyFont="1" applyBorder="1"/>
    <xf numFmtId="0" fontId="5" fillId="0" borderId="0" xfId="0" quotePrefix="1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9" fillId="0" borderId="0" xfId="2" applyFont="1"/>
    <xf numFmtId="49" fontId="5" fillId="0" borderId="0" xfId="2" applyNumberFormat="1" applyFont="1" applyAlignment="1">
      <alignment vertical="top" wrapText="1"/>
    </xf>
    <xf numFmtId="49" fontId="5" fillId="0" borderId="0" xfId="2" applyNumberFormat="1" applyFont="1" applyAlignment="1">
      <alignment horizontal="center" vertical="top" wrapText="1"/>
    </xf>
    <xf numFmtId="49" fontId="5" fillId="0" borderId="0" xfId="2" applyNumberFormat="1" applyFont="1" applyAlignment="1">
      <alignment horizontal="left" vertical="top" wrapText="1"/>
    </xf>
    <xf numFmtId="49" fontId="7" fillId="0" borderId="0" xfId="2" applyNumberFormat="1" applyFont="1" applyAlignment="1">
      <alignment vertical="top"/>
    </xf>
    <xf numFmtId="164" fontId="6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center" vertical="top" wrapText="1"/>
    </xf>
    <xf numFmtId="0" fontId="10" fillId="5" borderId="3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10" fillId="5" borderId="4" xfId="2" applyFont="1" applyFill="1" applyBorder="1" applyAlignment="1">
      <alignment horizontal="center" vertical="center" wrapText="1"/>
    </xf>
    <xf numFmtId="0" fontId="6" fillId="5" borderId="5" xfId="2" applyFont="1" applyFill="1" applyBorder="1" applyAlignment="1">
      <alignment horizontal="center" vertical="center" wrapText="1"/>
    </xf>
    <xf numFmtId="0" fontId="10" fillId="5" borderId="10" xfId="2" applyFont="1" applyFill="1" applyBorder="1" applyAlignment="1">
      <alignment horizontal="center" wrapText="1"/>
    </xf>
    <xf numFmtId="0" fontId="6" fillId="0" borderId="6" xfId="2" applyFont="1" applyBorder="1" applyAlignment="1">
      <alignment horizontal="center" vertical="center" wrapText="1"/>
    </xf>
    <xf numFmtId="0" fontId="13" fillId="0" borderId="1" xfId="2" applyFont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0" fontId="9" fillId="0" borderId="1" xfId="2" applyFont="1" applyBorder="1" applyAlignment="1">
      <alignment horizontal="left" vertical="center" wrapText="1"/>
    </xf>
    <xf numFmtId="49" fontId="9" fillId="0" borderId="7" xfId="2" applyNumberFormat="1" applyFont="1" applyBorder="1" applyAlignment="1">
      <alignment vertical="center" wrapText="1"/>
    </xf>
    <xf numFmtId="49" fontId="16" fillId="0" borderId="11" xfId="2" applyNumberFormat="1" applyFont="1" applyBorder="1" applyAlignment="1">
      <alignment horizontal="center" vertical="center"/>
    </xf>
    <xf numFmtId="0" fontId="4" fillId="0" borderId="7" xfId="2" applyFont="1" applyBorder="1" applyAlignment="1">
      <alignment vertical="center" wrapText="1"/>
    </xf>
    <xf numFmtId="3" fontId="4" fillId="0" borderId="1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vertical="center"/>
    </xf>
    <xf numFmtId="0" fontId="9" fillId="0" borderId="1" xfId="2" applyFont="1" applyBorder="1" applyAlignment="1">
      <alignment vertical="center" wrapText="1"/>
    </xf>
    <xf numFmtId="0" fontId="17" fillId="0" borderId="1" xfId="2" applyFont="1" applyBorder="1" applyAlignment="1">
      <alignment horizontal="left" vertical="center" wrapText="1"/>
    </xf>
    <xf numFmtId="0" fontId="16" fillId="0" borderId="11" xfId="2" applyFont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 wrapText="1"/>
    </xf>
    <xf numFmtId="0" fontId="6" fillId="0" borderId="8" xfId="2" applyFont="1" applyBorder="1" applyAlignment="1">
      <alignment horizontal="center" vertical="center" wrapText="1"/>
    </xf>
    <xf numFmtId="0" fontId="13" fillId="0" borderId="9" xfId="2" applyFont="1" applyBorder="1" applyAlignment="1">
      <alignment horizontal="left" vertical="center" wrapText="1"/>
    </xf>
    <xf numFmtId="0" fontId="4" fillId="0" borderId="9" xfId="2" applyFont="1" applyBorder="1" applyAlignment="1">
      <alignment horizontal="center" vertical="center" wrapText="1"/>
    </xf>
    <xf numFmtId="49" fontId="4" fillId="0" borderId="9" xfId="2" applyNumberFormat="1" applyFont="1" applyBorder="1" applyAlignment="1">
      <alignment horizontal="center" vertical="center" wrapText="1"/>
    </xf>
    <xf numFmtId="0" fontId="9" fillId="0" borderId="9" xfId="2" applyFont="1" applyBorder="1" applyAlignment="1">
      <alignment horizontal="left" vertical="center" wrapText="1"/>
    </xf>
    <xf numFmtId="0" fontId="16" fillId="0" borderId="12" xfId="2" applyFont="1" applyBorder="1" applyAlignment="1">
      <alignment horizontal="center" vertical="center"/>
    </xf>
    <xf numFmtId="0" fontId="6" fillId="4" borderId="0" xfId="2" applyFont="1" applyFill="1" applyAlignment="1">
      <alignment horizontal="left" vertical="top"/>
    </xf>
    <xf numFmtId="14" fontId="9" fillId="0" borderId="0" xfId="2" applyNumberFormat="1" applyFont="1"/>
    <xf numFmtId="0" fontId="6" fillId="0" borderId="0" xfId="2" applyFont="1" applyAlignment="1">
      <alignment horizontal="right" vertical="center"/>
    </xf>
    <xf numFmtId="0" fontId="6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6" fillId="0" borderId="0" xfId="2" applyFont="1" applyAlignment="1">
      <alignment horizontal="right" vertical="center" wrapText="1"/>
    </xf>
    <xf numFmtId="3" fontId="4" fillId="2" borderId="1" xfId="2" applyNumberFormat="1" applyFont="1" applyFill="1" applyBorder="1" applyAlignment="1">
      <alignment horizontal="center" vertical="center" wrapText="1"/>
    </xf>
    <xf numFmtId="0" fontId="18" fillId="0" borderId="0" xfId="2" applyFont="1"/>
    <xf numFmtId="14" fontId="5" fillId="0" borderId="0" xfId="2" applyNumberFormat="1" applyFont="1"/>
    <xf numFmtId="0" fontId="5" fillId="0" borderId="0" xfId="2" applyFont="1" applyAlignment="1">
      <alignment horizontal="left"/>
    </xf>
    <xf numFmtId="14" fontId="5" fillId="0" borderId="0" xfId="2" applyNumberFormat="1" applyFont="1" applyAlignment="1">
      <alignment horizontal="left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5" fillId="0" borderId="0" xfId="2" applyFont="1" applyAlignment="1">
      <alignment horizontal="center"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2 2" xfId="5" xr:uid="{00000000-0005-0000-0000-000002000000}"/>
    <cellStyle name="Normal 3" xfId="2" xr:uid="{00000000-0005-0000-0000-000003000000}"/>
    <cellStyle name="Normal 3 2" xfId="4" xr:uid="{00000000-0005-0000-0000-000004000000}"/>
    <cellStyle name="Note 2" xfId="3" xr:uid="{00000000-0005-0000-0000-000005000000}"/>
  </cellStyles>
  <dxfs count="2"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14</xdr:row>
      <xdr:rowOff>95249</xdr:rowOff>
    </xdr:from>
    <xdr:to>
      <xdr:col>17</xdr:col>
      <xdr:colOff>161925</xdr:colOff>
      <xdr:row>26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2038350" y="2676524"/>
          <a:ext cx="11763375" cy="1895476"/>
        </a:xfrm>
        <a:prstGeom prst="rect">
          <a:avLst/>
        </a:prstGeom>
        <a:solidFill>
          <a:schemeClr val="bg1">
            <a:lumMod val="95000"/>
          </a:schemeClr>
        </a:solidFill>
        <a:ln w="1905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>
            <a:spcBef>
              <a:spcPts val="600"/>
            </a:spcBef>
            <a:spcAft>
              <a:spcPts val="600"/>
            </a:spcAft>
          </a:pP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NOTES: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ONLY 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COLUMNs 1-35, and rows containing data should be be included in the  FLAT-FILE SUBMISSION;</a:t>
          </a:r>
        </a:p>
        <a:p>
          <a:pPr marL="285750" indent="-285750" algn="l">
            <a:spcBef>
              <a:spcPts val="200"/>
            </a:spcBef>
            <a:spcAft>
              <a:spcPts val="200"/>
            </a:spcAft>
            <a:buFont typeface="Arial" pitchFamily="34" charset="0"/>
            <a:buChar char="•"/>
          </a:pPr>
          <a:r>
            <a:rPr lang="en-US" sz="160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Pipe Delimited (.txt)  - | (Pipe is at the end of the column.  Must have 35 PIPEs per row.)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9"/>
  <sheetViews>
    <sheetView zoomScaleNormal="100" workbookViewId="0">
      <selection activeCell="H27" sqref="H27"/>
    </sheetView>
  </sheetViews>
  <sheetFormatPr defaultColWidth="9.1796875" defaultRowHeight="13" x14ac:dyDescent="0.3"/>
  <cols>
    <col min="1" max="1" width="33.81640625" style="1" customWidth="1"/>
    <col min="2" max="2" width="36.1796875" style="1" customWidth="1"/>
    <col min="3" max="16384" width="9.1796875" style="1"/>
  </cols>
  <sheetData>
    <row r="1" spans="1:4" ht="30.75" customHeight="1" x14ac:dyDescent="0.3">
      <c r="A1" s="63" t="s">
        <v>0</v>
      </c>
      <c r="B1" s="64"/>
      <c r="C1" s="64"/>
      <c r="D1" s="64"/>
    </row>
    <row r="3" spans="1:4" x14ac:dyDescent="0.3">
      <c r="A3" s="5" t="s">
        <v>1</v>
      </c>
    </row>
    <row r="4" spans="1:4" x14ac:dyDescent="0.3">
      <c r="A4" s="6" t="s">
        <v>2</v>
      </c>
      <c r="B4" s="7" t="s">
        <v>3</v>
      </c>
    </row>
    <row r="5" spans="1:4" x14ac:dyDescent="0.3">
      <c r="A5" s="8" t="s">
        <v>4</v>
      </c>
      <c r="B5" s="9" t="s">
        <v>5</v>
      </c>
    </row>
    <row r="6" spans="1:4" x14ac:dyDescent="0.3">
      <c r="A6" s="5"/>
    </row>
    <row r="7" spans="1:4" x14ac:dyDescent="0.3">
      <c r="A7" s="5"/>
    </row>
    <row r="8" spans="1:4" x14ac:dyDescent="0.3">
      <c r="A8" s="10"/>
      <c r="B8" s="3"/>
    </row>
    <row r="9" spans="1:4" ht="13.5" thickBot="1" x14ac:dyDescent="0.35">
      <c r="A9" s="11" t="s">
        <v>6</v>
      </c>
      <c r="B9" s="12"/>
    </row>
    <row r="10" spans="1:4" x14ac:dyDescent="0.3">
      <c r="A10" s="13" t="s">
        <v>7</v>
      </c>
      <c r="B10" s="3"/>
    </row>
    <row r="11" spans="1:4" x14ac:dyDescent="0.3">
      <c r="A11" s="10"/>
      <c r="B11" s="3"/>
    </row>
    <row r="12" spans="1:4" x14ac:dyDescent="0.3">
      <c r="A12" s="10"/>
      <c r="B12" s="3"/>
    </row>
    <row r="13" spans="1:4" x14ac:dyDescent="0.3">
      <c r="A13" s="14"/>
      <c r="B13" s="3"/>
    </row>
    <row r="14" spans="1:4" x14ac:dyDescent="0.3">
      <c r="A14" s="10"/>
      <c r="B14" s="3"/>
    </row>
    <row r="15" spans="1:4" x14ac:dyDescent="0.3">
      <c r="A15" s="10"/>
      <c r="B15" s="3"/>
    </row>
    <row r="16" spans="1:4" x14ac:dyDescent="0.3">
      <c r="A16" s="10"/>
      <c r="B16" s="3"/>
    </row>
    <row r="17" spans="1:2" x14ac:dyDescent="0.3">
      <c r="A17" s="14"/>
      <c r="B17" s="3"/>
    </row>
    <row r="18" spans="1:2" x14ac:dyDescent="0.3">
      <c r="A18" s="3"/>
      <c r="B18" s="3"/>
    </row>
    <row r="19" spans="1:2" x14ac:dyDescent="0.3">
      <c r="A19" s="3"/>
      <c r="B19" s="3"/>
    </row>
    <row r="20" spans="1:2" x14ac:dyDescent="0.3">
      <c r="A20" s="3"/>
      <c r="B20" s="3"/>
    </row>
    <row r="21" spans="1:2" x14ac:dyDescent="0.3">
      <c r="A21" s="3"/>
      <c r="B21" s="3"/>
    </row>
    <row r="22" spans="1:2" x14ac:dyDescent="0.3">
      <c r="A22" s="3"/>
      <c r="B22" s="3"/>
    </row>
    <row r="23" spans="1:2" x14ac:dyDescent="0.3">
      <c r="A23" s="15" t="s">
        <v>8</v>
      </c>
      <c r="B23" s="3"/>
    </row>
    <row r="24" spans="1:2" x14ac:dyDescent="0.3">
      <c r="A24" s="16" t="s">
        <v>9</v>
      </c>
      <c r="B24" s="17" t="s">
        <v>10</v>
      </c>
    </row>
    <row r="25" spans="1:2" ht="26" x14ac:dyDescent="0.3">
      <c r="A25" s="16" t="s">
        <v>11</v>
      </c>
      <c r="B25" s="17" t="s">
        <v>12</v>
      </c>
    </row>
    <row r="26" spans="1:2" x14ac:dyDescent="0.3">
      <c r="A26" s="16" t="s">
        <v>13</v>
      </c>
      <c r="B26" s="17" t="s">
        <v>14</v>
      </c>
    </row>
    <row r="27" spans="1:2" x14ac:dyDescent="0.3">
      <c r="A27" s="3"/>
      <c r="B27" s="4"/>
    </row>
    <row r="28" spans="1:2" x14ac:dyDescent="0.3">
      <c r="A28" s="3"/>
      <c r="B28" s="4"/>
    </row>
    <row r="29" spans="1:2" x14ac:dyDescent="0.3">
      <c r="A29" s="3"/>
      <c r="B29" s="3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2"/>
  <sheetViews>
    <sheetView topLeftCell="A25" zoomScale="90" zoomScaleNormal="90" zoomScalePageLayoutView="60" workbookViewId="0">
      <selection activeCell="A5" sqref="A5"/>
    </sheetView>
  </sheetViews>
  <sheetFormatPr defaultColWidth="9.1796875" defaultRowHeight="13" x14ac:dyDescent="0.25"/>
  <cols>
    <col min="1" max="1" width="10.81640625" style="20" customWidth="1"/>
    <col min="2" max="2" width="26.54296875" style="19" customWidth="1"/>
    <col min="3" max="3" width="10.453125" style="20" customWidth="1"/>
    <col min="4" max="4" width="8.1796875" style="20" customWidth="1"/>
    <col min="5" max="5" width="25.81640625" style="21" customWidth="1"/>
    <col min="6" max="6" width="43.54296875" style="21" customWidth="1"/>
    <col min="7" max="7" width="52.453125" style="19" customWidth="1"/>
    <col min="8" max="8" width="18.54296875" style="19" customWidth="1"/>
    <col min="9" max="16384" width="9.1796875" style="19"/>
  </cols>
  <sheetData>
    <row r="1" spans="1:8" ht="26.25" customHeight="1" x14ac:dyDescent="0.25">
      <c r="A1" s="65" t="s">
        <v>0</v>
      </c>
      <c r="B1" s="65"/>
      <c r="C1" s="65"/>
      <c r="D1" s="65"/>
      <c r="E1" s="65"/>
      <c r="F1" s="65"/>
      <c r="G1" s="65"/>
      <c r="H1" s="65"/>
    </row>
    <row r="3" spans="1:8" ht="15" x14ac:dyDescent="0.25">
      <c r="A3" s="2" t="str">
        <f>+'1-Service Provider Info'!A3</f>
        <v>Interface: Service Provider</v>
      </c>
      <c r="C3" s="62"/>
      <c r="D3" s="62"/>
    </row>
    <row r="4" spans="1:8" ht="15" x14ac:dyDescent="0.25">
      <c r="A4" s="2" t="str">
        <f>CONCATENATE('1-Service Provider Info'!A4," ",'1-Service Provider Info'!B4)</f>
        <v>VERSION #: V1</v>
      </c>
      <c r="B4" s="22"/>
      <c r="C4" s="62"/>
      <c r="D4" s="62"/>
    </row>
    <row r="5" spans="1:8" ht="15" x14ac:dyDescent="0.25">
      <c r="A5" s="23" t="str">
        <f>CONCATENATE('1-Service Provider Info'!A5," ",'1-Service Provider Info'!B5)</f>
        <v>Current as of:  1/24/2025</v>
      </c>
      <c r="C5" s="62"/>
      <c r="D5" s="62"/>
    </row>
    <row r="6" spans="1:8" ht="13.5" thickBot="1" x14ac:dyDescent="0.3">
      <c r="A6" s="22" t="s">
        <v>15</v>
      </c>
      <c r="B6" s="22"/>
      <c r="C6" s="62"/>
      <c r="D6" s="24"/>
    </row>
    <row r="7" spans="1:8" ht="28" x14ac:dyDescent="0.3">
      <c r="A7" s="25" t="s">
        <v>16</v>
      </c>
      <c r="B7" s="26" t="s">
        <v>17</v>
      </c>
      <c r="C7" s="27" t="s">
        <v>18</v>
      </c>
      <c r="D7" s="27" t="s">
        <v>19</v>
      </c>
      <c r="E7" s="26" t="s">
        <v>20</v>
      </c>
      <c r="F7" s="26" t="s">
        <v>21</v>
      </c>
      <c r="G7" s="28" t="s">
        <v>22</v>
      </c>
      <c r="H7" s="29" t="s">
        <v>23</v>
      </c>
    </row>
    <row r="8" spans="1:8" ht="84" x14ac:dyDescent="0.25">
      <c r="A8" s="30">
        <v>1</v>
      </c>
      <c r="B8" s="31" t="s">
        <v>24</v>
      </c>
      <c r="C8" s="32" t="s">
        <v>25</v>
      </c>
      <c r="D8" s="33" t="s">
        <v>26</v>
      </c>
      <c r="E8" s="34" t="s">
        <v>27</v>
      </c>
      <c r="F8" s="34" t="s">
        <v>28</v>
      </c>
      <c r="G8" s="35"/>
      <c r="H8" s="36" t="s">
        <v>29</v>
      </c>
    </row>
    <row r="9" spans="1:8" ht="70" x14ac:dyDescent="0.25">
      <c r="A9" s="30">
        <f>+A8+1</f>
        <v>2</v>
      </c>
      <c r="B9" s="31" t="s">
        <v>30</v>
      </c>
      <c r="C9" s="32" t="s">
        <v>31</v>
      </c>
      <c r="D9" s="33" t="s">
        <v>32</v>
      </c>
      <c r="E9" s="34" t="s">
        <v>33</v>
      </c>
      <c r="F9" s="34" t="s">
        <v>34</v>
      </c>
      <c r="G9" s="37" t="s">
        <v>35</v>
      </c>
      <c r="H9" s="36" t="s">
        <v>36</v>
      </c>
    </row>
    <row r="10" spans="1:8" ht="42" x14ac:dyDescent="0.25">
      <c r="A10" s="30">
        <f>+A9+1</f>
        <v>3</v>
      </c>
      <c r="B10" s="31" t="s">
        <v>37</v>
      </c>
      <c r="C10" s="32" t="s">
        <v>31</v>
      </c>
      <c r="D10" s="33" t="s">
        <v>26</v>
      </c>
      <c r="E10" s="34"/>
      <c r="F10" s="34" t="s">
        <v>38</v>
      </c>
      <c r="G10" s="35"/>
      <c r="H10" s="36" t="s">
        <v>39</v>
      </c>
    </row>
    <row r="11" spans="1:8" ht="42" x14ac:dyDescent="0.25">
      <c r="A11" s="30">
        <f t="shared" ref="A11:A42" si="0">+A10+1</f>
        <v>4</v>
      </c>
      <c r="B11" s="31" t="s">
        <v>40</v>
      </c>
      <c r="C11" s="38" t="s">
        <v>31</v>
      </c>
      <c r="D11" s="33" t="s">
        <v>41</v>
      </c>
      <c r="E11" s="34"/>
      <c r="F11" s="34" t="s">
        <v>42</v>
      </c>
      <c r="G11" s="35"/>
      <c r="H11" s="36" t="s">
        <v>43</v>
      </c>
    </row>
    <row r="12" spans="1:8" ht="70" x14ac:dyDescent="0.25">
      <c r="A12" s="30">
        <f t="shared" si="0"/>
        <v>5</v>
      </c>
      <c r="B12" s="31" t="s">
        <v>44</v>
      </c>
      <c r="C12" s="32" t="s">
        <v>31</v>
      </c>
      <c r="D12" s="33" t="s">
        <v>45</v>
      </c>
      <c r="E12" s="34" t="s">
        <v>46</v>
      </c>
      <c r="F12" s="34" t="s">
        <v>47</v>
      </c>
      <c r="G12" s="39" t="s">
        <v>48</v>
      </c>
      <c r="H12" s="36" t="s">
        <v>49</v>
      </c>
    </row>
    <row r="13" spans="1:8" ht="31" x14ac:dyDescent="0.25">
      <c r="A13" s="30">
        <f t="shared" si="0"/>
        <v>6</v>
      </c>
      <c r="B13" s="31" t="s">
        <v>50</v>
      </c>
      <c r="C13" s="32" t="s">
        <v>25</v>
      </c>
      <c r="D13" s="33" t="s">
        <v>51</v>
      </c>
      <c r="E13" s="34" t="s">
        <v>46</v>
      </c>
      <c r="F13" s="34" t="s">
        <v>52</v>
      </c>
      <c r="G13" s="37" t="s">
        <v>53</v>
      </c>
      <c r="H13" s="36" t="s">
        <v>54</v>
      </c>
    </row>
    <row r="14" spans="1:8" ht="18" x14ac:dyDescent="0.25">
      <c r="A14" s="30">
        <f t="shared" si="0"/>
        <v>7</v>
      </c>
      <c r="B14" s="31" t="s">
        <v>55</v>
      </c>
      <c r="C14" s="32" t="s">
        <v>25</v>
      </c>
      <c r="D14" s="33" t="s">
        <v>56</v>
      </c>
      <c r="E14" s="34" t="s">
        <v>57</v>
      </c>
      <c r="F14" s="34"/>
      <c r="G14" s="35"/>
      <c r="H14" s="36" t="s">
        <v>56</v>
      </c>
    </row>
    <row r="15" spans="1:8" ht="42" x14ac:dyDescent="0.25">
      <c r="A15" s="30">
        <f t="shared" si="0"/>
        <v>8</v>
      </c>
      <c r="B15" s="31" t="s">
        <v>58</v>
      </c>
      <c r="C15" s="32" t="s">
        <v>31</v>
      </c>
      <c r="D15" s="33" t="s">
        <v>59</v>
      </c>
      <c r="E15" s="34" t="s">
        <v>60</v>
      </c>
      <c r="F15" s="34" t="s">
        <v>61</v>
      </c>
      <c r="G15" s="37" t="s">
        <v>53</v>
      </c>
      <c r="H15" s="36" t="s">
        <v>62</v>
      </c>
    </row>
    <row r="16" spans="1:8" ht="18" x14ac:dyDescent="0.25">
      <c r="A16" s="30">
        <f t="shared" si="0"/>
        <v>9</v>
      </c>
      <c r="B16" s="31" t="s">
        <v>63</v>
      </c>
      <c r="C16" s="32" t="s">
        <v>31</v>
      </c>
      <c r="D16" s="33" t="s">
        <v>26</v>
      </c>
      <c r="E16" s="34" t="s">
        <v>27</v>
      </c>
      <c r="F16" s="34"/>
      <c r="G16" s="35"/>
      <c r="H16" s="36" t="s">
        <v>64</v>
      </c>
    </row>
    <row r="17" spans="1:8" ht="56" x14ac:dyDescent="0.25">
      <c r="A17" s="30">
        <f t="shared" si="0"/>
        <v>10</v>
      </c>
      <c r="B17" s="31" t="s">
        <v>65</v>
      </c>
      <c r="C17" s="32" t="s">
        <v>31</v>
      </c>
      <c r="D17" s="33" t="s">
        <v>66</v>
      </c>
      <c r="E17" s="34" t="s">
        <v>60</v>
      </c>
      <c r="F17" s="34" t="s">
        <v>67</v>
      </c>
      <c r="G17" s="39" t="s">
        <v>48</v>
      </c>
      <c r="H17" s="36" t="s">
        <v>68</v>
      </c>
    </row>
    <row r="18" spans="1:8" ht="18" x14ac:dyDescent="0.25">
      <c r="A18" s="30">
        <f t="shared" si="0"/>
        <v>11</v>
      </c>
      <c r="B18" s="31" t="s">
        <v>69</v>
      </c>
      <c r="C18" s="32" t="s">
        <v>25</v>
      </c>
      <c r="D18" s="33" t="s">
        <v>26</v>
      </c>
      <c r="E18" s="34" t="s">
        <v>27</v>
      </c>
      <c r="F18" s="40"/>
      <c r="G18" s="35"/>
      <c r="H18" s="36" t="s">
        <v>70</v>
      </c>
    </row>
    <row r="19" spans="1:8" ht="18" x14ac:dyDescent="0.25">
      <c r="A19" s="30">
        <f t="shared" si="0"/>
        <v>12</v>
      </c>
      <c r="B19" s="31" t="s">
        <v>71</v>
      </c>
      <c r="C19" s="32" t="s">
        <v>25</v>
      </c>
      <c r="D19" s="33" t="s">
        <v>26</v>
      </c>
      <c r="E19" s="34" t="s">
        <v>27</v>
      </c>
      <c r="F19" s="40"/>
      <c r="G19" s="35"/>
      <c r="H19" s="36" t="s">
        <v>72</v>
      </c>
    </row>
    <row r="20" spans="1:8" ht="31" x14ac:dyDescent="0.25">
      <c r="A20" s="30">
        <f t="shared" si="0"/>
        <v>13</v>
      </c>
      <c r="B20" s="31" t="s">
        <v>73</v>
      </c>
      <c r="C20" s="32" t="s">
        <v>25</v>
      </c>
      <c r="D20" s="33" t="s">
        <v>45</v>
      </c>
      <c r="E20" s="34" t="s">
        <v>46</v>
      </c>
      <c r="F20" s="34"/>
      <c r="G20" s="37" t="s">
        <v>53</v>
      </c>
      <c r="H20" s="36" t="s">
        <v>74</v>
      </c>
    </row>
    <row r="21" spans="1:8" ht="18" x14ac:dyDescent="0.25">
      <c r="A21" s="30">
        <f t="shared" si="0"/>
        <v>14</v>
      </c>
      <c r="B21" s="31" t="s">
        <v>75</v>
      </c>
      <c r="C21" s="32" t="s">
        <v>31</v>
      </c>
      <c r="D21" s="33" t="s">
        <v>76</v>
      </c>
      <c r="E21" s="34" t="s">
        <v>77</v>
      </c>
      <c r="F21" s="34"/>
      <c r="G21" s="35"/>
      <c r="H21" s="36" t="s">
        <v>78</v>
      </c>
    </row>
    <row r="22" spans="1:8" ht="18" x14ac:dyDescent="0.25">
      <c r="A22" s="30">
        <f t="shared" si="0"/>
        <v>15</v>
      </c>
      <c r="B22" s="31" t="s">
        <v>79</v>
      </c>
      <c r="C22" s="32" t="s">
        <v>31</v>
      </c>
      <c r="D22" s="33" t="s">
        <v>26</v>
      </c>
      <c r="E22" s="34" t="s">
        <v>77</v>
      </c>
      <c r="F22" s="34"/>
      <c r="G22" s="35"/>
      <c r="H22" s="36" t="s">
        <v>80</v>
      </c>
    </row>
    <row r="23" spans="1:8" ht="18" x14ac:dyDescent="0.25">
      <c r="A23" s="30">
        <f t="shared" si="0"/>
        <v>16</v>
      </c>
      <c r="B23" s="31" t="s">
        <v>81</v>
      </c>
      <c r="C23" s="32" t="s">
        <v>31</v>
      </c>
      <c r="D23" s="33" t="s">
        <v>26</v>
      </c>
      <c r="E23" s="34" t="s">
        <v>77</v>
      </c>
      <c r="F23" s="34"/>
      <c r="G23" s="35"/>
      <c r="H23" s="36" t="s">
        <v>82</v>
      </c>
    </row>
    <row r="24" spans="1:8" ht="28" x14ac:dyDescent="0.25">
      <c r="A24" s="30">
        <f t="shared" si="0"/>
        <v>17</v>
      </c>
      <c r="B24" s="31" t="s">
        <v>83</v>
      </c>
      <c r="C24" s="32" t="s">
        <v>25</v>
      </c>
      <c r="D24" s="33" t="s">
        <v>76</v>
      </c>
      <c r="E24" s="34" t="s">
        <v>77</v>
      </c>
      <c r="F24" s="34" t="s">
        <v>84</v>
      </c>
      <c r="G24" s="35"/>
      <c r="H24" s="36" t="s">
        <v>85</v>
      </c>
    </row>
    <row r="25" spans="1:8" ht="42" x14ac:dyDescent="0.25">
      <c r="A25" s="30">
        <f t="shared" si="0"/>
        <v>18</v>
      </c>
      <c r="B25" s="31" t="s">
        <v>86</v>
      </c>
      <c r="C25" s="32" t="s">
        <v>25</v>
      </c>
      <c r="D25" s="33" t="s">
        <v>87</v>
      </c>
      <c r="E25" s="34" t="s">
        <v>88</v>
      </c>
      <c r="F25" s="41" t="s">
        <v>89</v>
      </c>
      <c r="G25" s="35" t="s">
        <v>90</v>
      </c>
      <c r="H25" s="36" t="s">
        <v>91</v>
      </c>
    </row>
    <row r="26" spans="1:8" ht="18" x14ac:dyDescent="0.25">
      <c r="A26" s="30">
        <f t="shared" si="0"/>
        <v>19</v>
      </c>
      <c r="B26" s="31" t="s">
        <v>92</v>
      </c>
      <c r="C26" s="32" t="s">
        <v>25</v>
      </c>
      <c r="D26" s="33" t="s">
        <v>26</v>
      </c>
      <c r="E26" s="34" t="s">
        <v>27</v>
      </c>
      <c r="F26" s="34"/>
      <c r="G26" s="35"/>
      <c r="H26" s="36" t="s">
        <v>93</v>
      </c>
    </row>
    <row r="27" spans="1:8" ht="18" x14ac:dyDescent="0.25">
      <c r="A27" s="30">
        <f t="shared" si="0"/>
        <v>20</v>
      </c>
      <c r="B27" s="31" t="s">
        <v>94</v>
      </c>
      <c r="C27" s="32" t="s">
        <v>25</v>
      </c>
      <c r="D27" s="33" t="s">
        <v>26</v>
      </c>
      <c r="E27" s="34" t="s">
        <v>27</v>
      </c>
      <c r="F27" s="34"/>
      <c r="G27" s="35"/>
      <c r="H27" s="42" t="s">
        <v>95</v>
      </c>
    </row>
    <row r="28" spans="1:8" ht="18" x14ac:dyDescent="0.25">
      <c r="A28" s="30">
        <f t="shared" si="0"/>
        <v>21</v>
      </c>
      <c r="B28" s="31" t="s">
        <v>96</v>
      </c>
      <c r="C28" s="32" t="s">
        <v>31</v>
      </c>
      <c r="D28" s="33" t="s">
        <v>26</v>
      </c>
      <c r="E28" s="34" t="s">
        <v>27</v>
      </c>
      <c r="F28" s="34"/>
      <c r="G28" s="35"/>
      <c r="H28" s="42" t="s">
        <v>97</v>
      </c>
    </row>
    <row r="29" spans="1:8" ht="28" x14ac:dyDescent="0.25">
      <c r="A29" s="30">
        <f t="shared" si="0"/>
        <v>22</v>
      </c>
      <c r="B29" s="31" t="s">
        <v>98</v>
      </c>
      <c r="C29" s="32" t="s">
        <v>25</v>
      </c>
      <c r="D29" s="33" t="s">
        <v>45</v>
      </c>
      <c r="E29" s="34" t="s">
        <v>46</v>
      </c>
      <c r="F29" s="34" t="s">
        <v>99</v>
      </c>
      <c r="G29" s="39" t="s">
        <v>48</v>
      </c>
      <c r="H29" s="36" t="s">
        <v>100</v>
      </c>
    </row>
    <row r="30" spans="1:8" ht="18" x14ac:dyDescent="0.25">
      <c r="A30" s="30">
        <f t="shared" si="0"/>
        <v>23</v>
      </c>
      <c r="B30" s="31" t="s">
        <v>101</v>
      </c>
      <c r="C30" s="32" t="s">
        <v>25</v>
      </c>
      <c r="D30" s="33" t="s">
        <v>26</v>
      </c>
      <c r="E30" s="34" t="s">
        <v>27</v>
      </c>
      <c r="F30" s="34"/>
      <c r="G30" s="35"/>
      <c r="H30" s="42" t="s">
        <v>102</v>
      </c>
    </row>
    <row r="31" spans="1:8" ht="18" x14ac:dyDescent="0.25">
      <c r="A31" s="30">
        <f t="shared" si="0"/>
        <v>24</v>
      </c>
      <c r="B31" s="31" t="s">
        <v>103</v>
      </c>
      <c r="C31" s="32" t="s">
        <v>25</v>
      </c>
      <c r="D31" s="33" t="s">
        <v>26</v>
      </c>
      <c r="E31" s="34" t="s">
        <v>27</v>
      </c>
      <c r="F31" s="34"/>
      <c r="G31" s="35"/>
      <c r="H31" s="42" t="s">
        <v>104</v>
      </c>
    </row>
    <row r="32" spans="1:8" ht="18" x14ac:dyDescent="0.25">
      <c r="A32" s="30">
        <f t="shared" si="0"/>
        <v>25</v>
      </c>
      <c r="B32" s="31" t="s">
        <v>105</v>
      </c>
      <c r="C32" s="32" t="s">
        <v>31</v>
      </c>
      <c r="D32" s="33" t="s">
        <v>26</v>
      </c>
      <c r="E32" s="43" t="s">
        <v>106</v>
      </c>
      <c r="F32" s="34" t="s">
        <v>107</v>
      </c>
      <c r="G32" s="34" t="s">
        <v>107</v>
      </c>
      <c r="H32" s="42" t="s">
        <v>108</v>
      </c>
    </row>
    <row r="33" spans="1:8" ht="18" x14ac:dyDescent="0.25">
      <c r="A33" s="30">
        <f t="shared" si="0"/>
        <v>26</v>
      </c>
      <c r="B33" s="31" t="s">
        <v>109</v>
      </c>
      <c r="C33" s="32" t="s">
        <v>31</v>
      </c>
      <c r="D33" s="33" t="s">
        <v>45</v>
      </c>
      <c r="E33" s="43" t="s">
        <v>106</v>
      </c>
      <c r="F33" s="34" t="s">
        <v>107</v>
      </c>
      <c r="G33" s="34" t="s">
        <v>107</v>
      </c>
      <c r="H33" s="42" t="s">
        <v>110</v>
      </c>
    </row>
    <row r="34" spans="1:8" ht="18" x14ac:dyDescent="0.25">
      <c r="A34" s="30">
        <f t="shared" si="0"/>
        <v>27</v>
      </c>
      <c r="B34" s="31" t="s">
        <v>111</v>
      </c>
      <c r="C34" s="32" t="s">
        <v>25</v>
      </c>
      <c r="D34" s="33" t="s">
        <v>112</v>
      </c>
      <c r="E34" s="34" t="s">
        <v>27</v>
      </c>
      <c r="F34" s="34"/>
      <c r="G34" s="35"/>
      <c r="H34" s="42" t="s">
        <v>111</v>
      </c>
    </row>
    <row r="35" spans="1:8" ht="18" x14ac:dyDescent="0.25">
      <c r="A35" s="30">
        <f t="shared" si="0"/>
        <v>28</v>
      </c>
      <c r="B35" s="31" t="s">
        <v>113</v>
      </c>
      <c r="C35" s="32" t="s">
        <v>31</v>
      </c>
      <c r="D35" s="33" t="s">
        <v>114</v>
      </c>
      <c r="E35" s="34"/>
      <c r="F35" s="34" t="s">
        <v>115</v>
      </c>
      <c r="H35" s="42" t="s">
        <v>116</v>
      </c>
    </row>
    <row r="36" spans="1:8" ht="28" x14ac:dyDescent="0.25">
      <c r="A36" s="30">
        <f t="shared" si="0"/>
        <v>29</v>
      </c>
      <c r="B36" s="31" t="s">
        <v>117</v>
      </c>
      <c r="C36" s="32" t="s">
        <v>25</v>
      </c>
      <c r="D36" s="33" t="s">
        <v>26</v>
      </c>
      <c r="E36" s="34" t="s">
        <v>118</v>
      </c>
      <c r="F36" s="34" t="s">
        <v>119</v>
      </c>
      <c r="G36" s="35" t="s">
        <v>119</v>
      </c>
      <c r="H36" s="42" t="s">
        <v>120</v>
      </c>
    </row>
    <row r="37" spans="1:8" ht="28" x14ac:dyDescent="0.25">
      <c r="A37" s="30">
        <f t="shared" si="0"/>
        <v>30</v>
      </c>
      <c r="B37" s="31" t="s">
        <v>121</v>
      </c>
      <c r="C37" s="32" t="s">
        <v>25</v>
      </c>
      <c r="D37" s="33" t="s">
        <v>26</v>
      </c>
      <c r="E37" s="34" t="s">
        <v>46</v>
      </c>
      <c r="F37" s="34" t="s">
        <v>122</v>
      </c>
      <c r="G37" s="35"/>
      <c r="H37" s="36" t="s">
        <v>123</v>
      </c>
    </row>
    <row r="38" spans="1:8" ht="18" x14ac:dyDescent="0.25">
      <c r="A38" s="30">
        <f t="shared" si="0"/>
        <v>31</v>
      </c>
      <c r="B38" s="31" t="s">
        <v>124</v>
      </c>
      <c r="C38" s="32" t="s">
        <v>25</v>
      </c>
      <c r="D38" s="33" t="s">
        <v>125</v>
      </c>
      <c r="E38" s="34"/>
      <c r="F38" s="34"/>
      <c r="G38" s="35"/>
      <c r="H38" s="42" t="s">
        <v>126</v>
      </c>
    </row>
    <row r="39" spans="1:8" ht="18" x14ac:dyDescent="0.25">
      <c r="A39" s="30">
        <f t="shared" si="0"/>
        <v>32</v>
      </c>
      <c r="B39" s="31" t="s">
        <v>127</v>
      </c>
      <c r="C39" s="32" t="s">
        <v>25</v>
      </c>
      <c r="D39" s="33" t="s">
        <v>45</v>
      </c>
      <c r="E39" s="34"/>
      <c r="F39" s="34" t="s">
        <v>128</v>
      </c>
      <c r="G39" s="35"/>
      <c r="H39" s="42" t="s">
        <v>127</v>
      </c>
    </row>
    <row r="40" spans="1:8" ht="28" x14ac:dyDescent="0.25">
      <c r="A40" s="30">
        <f t="shared" si="0"/>
        <v>33</v>
      </c>
      <c r="B40" s="31" t="s">
        <v>129</v>
      </c>
      <c r="C40" s="32" t="s">
        <v>25</v>
      </c>
      <c r="D40" s="33" t="s">
        <v>76</v>
      </c>
      <c r="E40" s="34" t="s">
        <v>46</v>
      </c>
      <c r="F40" s="34"/>
      <c r="G40" s="39" t="s">
        <v>48</v>
      </c>
      <c r="H40" s="42" t="s">
        <v>130</v>
      </c>
    </row>
    <row r="41" spans="1:8" ht="28" x14ac:dyDescent="0.25">
      <c r="A41" s="30">
        <f t="shared" si="0"/>
        <v>34</v>
      </c>
      <c r="B41" s="31" t="s">
        <v>131</v>
      </c>
      <c r="C41" s="32" t="s">
        <v>25</v>
      </c>
      <c r="D41" s="33" t="s">
        <v>32</v>
      </c>
      <c r="E41" s="34" t="s">
        <v>132</v>
      </c>
      <c r="F41" s="34" t="s">
        <v>133</v>
      </c>
      <c r="G41" s="44"/>
      <c r="H41" s="42" t="s">
        <v>134</v>
      </c>
    </row>
    <row r="42" spans="1:8" ht="31.5" thickBot="1" x14ac:dyDescent="0.3">
      <c r="A42" s="45">
        <f t="shared" si="0"/>
        <v>35</v>
      </c>
      <c r="B42" s="46" t="s">
        <v>135</v>
      </c>
      <c r="C42" s="47" t="s">
        <v>25</v>
      </c>
      <c r="D42" s="48" t="s">
        <v>76</v>
      </c>
      <c r="E42" s="49" t="s">
        <v>46</v>
      </c>
      <c r="F42" s="49"/>
      <c r="G42" s="49" t="s">
        <v>53</v>
      </c>
      <c r="H42" s="50" t="s">
        <v>136</v>
      </c>
    </row>
  </sheetData>
  <mergeCells count="1">
    <mergeCell ref="A1:H1"/>
  </mergeCells>
  <conditionalFormatting sqref="C8:D42">
    <cfRule type="containsText" dxfId="1" priority="3" operator="containsText" text="Y">
      <formula>NOT(ISERROR(SEARCH("Y",C8)))</formula>
    </cfRule>
  </conditionalFormatting>
  <printOptions horizontalCentered="1"/>
  <pageMargins left="0.7" right="0.7" top="0.75" bottom="0.75" header="0.3" footer="0.3"/>
  <pageSetup scale="58" fitToHeight="2" orientation="landscape" r:id="rId1"/>
  <ignoredErrors>
    <ignoredError sqref="D8:D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15"/>
  <sheetViews>
    <sheetView tabSelected="1" zoomScaleNormal="100" workbookViewId="0">
      <selection activeCell="F37" sqref="F37"/>
    </sheetView>
  </sheetViews>
  <sheetFormatPr defaultColWidth="9.1796875" defaultRowHeight="13" x14ac:dyDescent="0.3"/>
  <cols>
    <col min="1" max="1" width="28.54296875" style="1" customWidth="1"/>
    <col min="2" max="2" width="12.1796875" style="1" customWidth="1"/>
    <col min="3" max="3" width="11" style="1" customWidth="1"/>
    <col min="4" max="4" width="12.54296875" style="1" customWidth="1"/>
    <col min="5" max="5" width="14.54296875" style="1" customWidth="1"/>
    <col min="6" max="6" width="11.1796875" style="1" customWidth="1"/>
    <col min="7" max="7" width="10.54296875" style="1" customWidth="1"/>
    <col min="8" max="8" width="12" style="1" customWidth="1"/>
    <col min="9" max="9" width="10.81640625" style="1" customWidth="1"/>
    <col min="10" max="10" width="9.453125" style="1" customWidth="1"/>
    <col min="11" max="11" width="10.453125" style="1" customWidth="1"/>
    <col min="12" max="13" width="9.453125" style="1" customWidth="1"/>
    <col min="14" max="14" width="11.81640625" style="1" customWidth="1"/>
    <col min="15" max="15" width="9.54296875" style="1" customWidth="1"/>
    <col min="16" max="16" width="11.81640625" style="1" customWidth="1"/>
    <col min="17" max="17" width="12.54296875" style="1" customWidth="1"/>
    <col min="18" max="18" width="9.54296875" style="1" customWidth="1"/>
    <col min="19" max="19" width="12.453125" style="1" customWidth="1"/>
    <col min="20" max="20" width="12.54296875" style="1" customWidth="1"/>
    <col min="21" max="21" width="15.81640625" style="1" customWidth="1"/>
    <col min="22" max="22" width="14.453125" style="1" customWidth="1"/>
    <col min="23" max="23" width="11" style="1" customWidth="1"/>
    <col min="24" max="24" width="7.54296875" style="1" customWidth="1"/>
    <col min="25" max="25" width="12.1796875" style="1" customWidth="1"/>
    <col min="26" max="26" width="8.54296875" style="1" customWidth="1"/>
    <col min="27" max="27" width="9.54296875" style="1" customWidth="1"/>
    <col min="28" max="28" width="12.453125" style="1" customWidth="1"/>
    <col min="29" max="29" width="11" style="1" customWidth="1"/>
    <col min="30" max="31" width="8.54296875" style="1" customWidth="1"/>
    <col min="32" max="32" width="9.54296875" style="1" customWidth="1"/>
    <col min="33" max="33" width="9.81640625" style="1" customWidth="1"/>
    <col min="34" max="34" width="11.1796875" style="1" customWidth="1"/>
    <col min="35" max="16384" width="9.1796875" style="1"/>
  </cols>
  <sheetData>
    <row r="1" spans="1:36" ht="24.75" customHeight="1" x14ac:dyDescent="0.3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6" t="s">
        <v>137</v>
      </c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</row>
    <row r="3" spans="1:36" ht="15" x14ac:dyDescent="0.3">
      <c r="A3" s="51" t="str">
        <f>+'1-Service Provider Info'!A3</f>
        <v>Interface: Service Provider</v>
      </c>
    </row>
    <row r="4" spans="1:36" ht="15" x14ac:dyDescent="0.3">
      <c r="A4" s="51" t="str">
        <f>CONCATENATE('1-Service Provider Info'!A4," ",'1-Service Provider Info'!B4)</f>
        <v>VERSION #: V1</v>
      </c>
    </row>
    <row r="5" spans="1:36" ht="15" x14ac:dyDescent="0.3">
      <c r="A5" s="51" t="str">
        <f>CONCATENATE('1-Service Provider Info'!A5," ",'1-Service Provider Info'!B5)</f>
        <v>Current as of:  1/24/2025</v>
      </c>
      <c r="B5" s="52"/>
    </row>
    <row r="6" spans="1:36" ht="15" x14ac:dyDescent="0.3">
      <c r="A6" s="2"/>
      <c r="B6" s="18"/>
    </row>
    <row r="7" spans="1:36" ht="15" x14ac:dyDescent="0.3">
      <c r="A7" s="53" t="s">
        <v>16</v>
      </c>
      <c r="B7" s="54">
        <v>1</v>
      </c>
      <c r="C7" s="54">
        <v>2</v>
      </c>
      <c r="D7" s="54">
        <v>3</v>
      </c>
      <c r="E7" s="54">
        <v>4</v>
      </c>
      <c r="F7" s="54">
        <v>5</v>
      </c>
      <c r="G7" s="54">
        <v>6</v>
      </c>
      <c r="H7" s="54">
        <v>7</v>
      </c>
      <c r="I7" s="54">
        <v>8</v>
      </c>
      <c r="J7" s="54">
        <v>9</v>
      </c>
      <c r="K7" s="54">
        <v>10</v>
      </c>
      <c r="L7" s="54">
        <v>11</v>
      </c>
      <c r="M7" s="54">
        <v>12</v>
      </c>
      <c r="N7" s="54">
        <v>13</v>
      </c>
      <c r="O7" s="54">
        <v>14</v>
      </c>
      <c r="P7" s="54">
        <v>15</v>
      </c>
      <c r="Q7" s="54">
        <v>16</v>
      </c>
      <c r="R7" s="54">
        <v>17</v>
      </c>
      <c r="S7" s="54">
        <v>18</v>
      </c>
      <c r="T7" s="54">
        <v>19</v>
      </c>
      <c r="U7" s="54">
        <v>20</v>
      </c>
      <c r="V7" s="54">
        <v>21</v>
      </c>
      <c r="W7" s="54">
        <v>22</v>
      </c>
      <c r="X7" s="54">
        <v>23</v>
      </c>
      <c r="Y7" s="54">
        <v>24</v>
      </c>
      <c r="Z7" s="54">
        <v>25</v>
      </c>
      <c r="AA7" s="54">
        <v>26</v>
      </c>
      <c r="AB7" s="54">
        <v>27</v>
      </c>
      <c r="AC7" s="54">
        <v>28</v>
      </c>
      <c r="AD7" s="54">
        <v>29</v>
      </c>
      <c r="AE7" s="54">
        <v>30</v>
      </c>
      <c r="AF7" s="54">
        <v>31</v>
      </c>
      <c r="AG7" s="54">
        <v>32</v>
      </c>
      <c r="AH7" s="54">
        <v>33</v>
      </c>
      <c r="AI7" s="54">
        <v>34</v>
      </c>
      <c r="AJ7" s="54">
        <v>35</v>
      </c>
    </row>
    <row r="8" spans="1:36" ht="46.5" x14ac:dyDescent="0.3">
      <c r="A8" s="53" t="s">
        <v>17</v>
      </c>
      <c r="B8" s="55" t="s">
        <v>24</v>
      </c>
      <c r="C8" s="55" t="s">
        <v>30</v>
      </c>
      <c r="D8" s="55" t="s">
        <v>37</v>
      </c>
      <c r="E8" s="55" t="s">
        <v>40</v>
      </c>
      <c r="F8" s="55" t="s">
        <v>44</v>
      </c>
      <c r="G8" s="55" t="s">
        <v>50</v>
      </c>
      <c r="H8" s="55" t="s">
        <v>55</v>
      </c>
      <c r="I8" s="55" t="s">
        <v>58</v>
      </c>
      <c r="J8" s="55" t="s">
        <v>63</v>
      </c>
      <c r="K8" s="55" t="s">
        <v>65</v>
      </c>
      <c r="L8" s="55" t="s">
        <v>69</v>
      </c>
      <c r="M8" s="55" t="s">
        <v>71</v>
      </c>
      <c r="N8" s="55" t="s">
        <v>73</v>
      </c>
      <c r="O8" s="55" t="s">
        <v>138</v>
      </c>
      <c r="P8" s="55" t="s">
        <v>139</v>
      </c>
      <c r="Q8" s="55" t="s">
        <v>140</v>
      </c>
      <c r="R8" s="55" t="s">
        <v>83</v>
      </c>
      <c r="S8" s="55" t="s">
        <v>86</v>
      </c>
      <c r="T8" s="55" t="s">
        <v>92</v>
      </c>
      <c r="U8" s="32" t="s">
        <v>94</v>
      </c>
      <c r="V8" s="32" t="s">
        <v>96</v>
      </c>
      <c r="W8" s="55" t="s">
        <v>98</v>
      </c>
      <c r="X8" s="55" t="s">
        <v>101</v>
      </c>
      <c r="Y8" s="55" t="s">
        <v>103</v>
      </c>
      <c r="Z8" s="55" t="s">
        <v>105</v>
      </c>
      <c r="AA8" s="55" t="s">
        <v>109</v>
      </c>
      <c r="AB8" s="32" t="s">
        <v>111</v>
      </c>
      <c r="AC8" s="32" t="s">
        <v>113</v>
      </c>
      <c r="AD8" s="32" t="s">
        <v>117</v>
      </c>
      <c r="AE8" s="32" t="s">
        <v>121</v>
      </c>
      <c r="AF8" s="32" t="s">
        <v>124</v>
      </c>
      <c r="AG8" s="32" t="s">
        <v>127</v>
      </c>
      <c r="AH8" s="32" t="s">
        <v>129</v>
      </c>
      <c r="AI8" s="32" t="s">
        <v>131</v>
      </c>
      <c r="AJ8" s="32" t="s">
        <v>135</v>
      </c>
    </row>
    <row r="9" spans="1:36" ht="15.5" x14ac:dyDescent="0.3">
      <c r="A9" s="56" t="s">
        <v>141</v>
      </c>
      <c r="B9" s="55" t="s">
        <v>25</v>
      </c>
      <c r="C9" s="55" t="s">
        <v>31</v>
      </c>
      <c r="D9" s="55" t="s">
        <v>31</v>
      </c>
      <c r="E9" s="57" t="s">
        <v>31</v>
      </c>
      <c r="F9" s="55" t="s">
        <v>31</v>
      </c>
      <c r="G9" s="55" t="s">
        <v>25</v>
      </c>
      <c r="H9" s="55" t="s">
        <v>25</v>
      </c>
      <c r="I9" s="55" t="s">
        <v>31</v>
      </c>
      <c r="J9" s="55" t="s">
        <v>31</v>
      </c>
      <c r="K9" s="55" t="s">
        <v>31</v>
      </c>
      <c r="L9" s="55" t="s">
        <v>25</v>
      </c>
      <c r="M9" s="55" t="s">
        <v>25</v>
      </c>
      <c r="N9" s="55" t="s">
        <v>25</v>
      </c>
      <c r="O9" s="55" t="s">
        <v>31</v>
      </c>
      <c r="P9" s="55" t="s">
        <v>31</v>
      </c>
      <c r="Q9" s="55" t="s">
        <v>31</v>
      </c>
      <c r="R9" s="55" t="s">
        <v>25</v>
      </c>
      <c r="S9" s="55" t="s">
        <v>25</v>
      </c>
      <c r="T9" s="55" t="s">
        <v>25</v>
      </c>
      <c r="U9" s="55" t="s">
        <v>25</v>
      </c>
      <c r="V9" s="55" t="s">
        <v>31</v>
      </c>
      <c r="W9" s="55" t="s">
        <v>25</v>
      </c>
      <c r="X9" s="55" t="s">
        <v>25</v>
      </c>
      <c r="Y9" s="55" t="s">
        <v>25</v>
      </c>
      <c r="Z9" s="55" t="s">
        <v>31</v>
      </c>
      <c r="AA9" s="55" t="s">
        <v>31</v>
      </c>
      <c r="AB9" s="55" t="s">
        <v>25</v>
      </c>
      <c r="AC9" s="55" t="s">
        <v>31</v>
      </c>
      <c r="AD9" s="55" t="s">
        <v>25</v>
      </c>
      <c r="AE9" s="55" t="s">
        <v>25</v>
      </c>
      <c r="AF9" s="55" t="s">
        <v>25</v>
      </c>
      <c r="AG9" s="55" t="s">
        <v>25</v>
      </c>
      <c r="AH9" s="55" t="s">
        <v>25</v>
      </c>
      <c r="AI9" s="55" t="s">
        <v>25</v>
      </c>
      <c r="AJ9" s="55" t="s">
        <v>25</v>
      </c>
    </row>
    <row r="10" spans="1:36" x14ac:dyDescent="0.3">
      <c r="L10" s="58"/>
      <c r="Y10" s="59"/>
    </row>
    <row r="12" spans="1:36" x14ac:dyDescent="0.3"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W12" s="61"/>
      <c r="X12" s="60"/>
      <c r="Y12" s="60"/>
      <c r="Z12" s="60"/>
      <c r="AA12" s="60"/>
      <c r="AB12" s="60"/>
    </row>
    <row r="13" spans="1:36" x14ac:dyDescent="0.3">
      <c r="B13" s="60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B13" s="60"/>
    </row>
    <row r="14" spans="1:36" x14ac:dyDescent="0.3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</row>
    <row r="15" spans="1:36" x14ac:dyDescent="0.3">
      <c r="B15" s="60"/>
      <c r="C15" s="60"/>
      <c r="D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</row>
  </sheetData>
  <mergeCells count="2">
    <mergeCell ref="A1:S1"/>
    <mergeCell ref="T1:AJ1"/>
  </mergeCells>
  <conditionalFormatting sqref="B9:AJ9">
    <cfRule type="containsText" dxfId="0" priority="1" operator="containsText" text="Y">
      <formula>NOT(ISERROR(SEARCH("Y",B9)))</formula>
    </cfRule>
  </conditionalFormatting>
  <pageMargins left="0.7" right="0.7" top="0.75" bottom="0.75" header="0.3" footer="0.3"/>
  <pageSetup paperSize="5" scale="68" fitToWidth="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B5A48783261F40A941FB0DE21D8405" ma:contentTypeVersion="4" ma:contentTypeDescription="Create a new document." ma:contentTypeScope="" ma:versionID="32226138d76b8695d3472ba4252aa9c7">
  <xsd:schema xmlns:xsd="http://www.w3.org/2001/XMLSchema" xmlns:xs="http://www.w3.org/2001/XMLSchema" xmlns:p="http://schemas.microsoft.com/office/2006/metadata/properties" xmlns:ns2="37b65082-bd75-48bb-93fb-73eb666f822a" targetNamespace="http://schemas.microsoft.com/office/2006/metadata/properties" ma:root="true" ma:fieldsID="921c38219af6c91e392733847a7b1e21" ns2:_="">
    <xsd:import namespace="37b65082-bd75-48bb-93fb-73eb666f82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65082-bd75-48bb-93fb-73eb666f82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64093E-55FD-486D-8DC0-CE8885068C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DF5B8E-7016-411D-9706-A4C626DF4A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B68D8DE-6549-4410-BE53-B23F5FABB3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b65082-bd75-48bb-93fb-73eb666f82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1-Service Provider Info</vt:lpstr>
      <vt:lpstr>2-Service Provider Field List</vt:lpstr>
      <vt:lpstr>3-Service Provider-Template</vt:lpstr>
      <vt:lpstr>'1-Service Provider Info'!Print_Area</vt:lpstr>
      <vt:lpstr>'2-Service Provider Field List'!Print_Area</vt:lpstr>
      <vt:lpstr>'3-Service Provider-Template'!Print_Area</vt:lpstr>
      <vt:lpstr>'2-Service Provider Field List'!Print_Titles</vt:lpstr>
      <vt:lpstr>'3-Service Provider-Template'!Print_Titles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william.r.schoen</dc:creator>
  <cp:keywords/>
  <dc:description/>
  <cp:lastModifiedBy>Hall, Letron N CIV USN NAVFAC LANT NOR VA (USA)</cp:lastModifiedBy>
  <cp:revision/>
  <dcterms:created xsi:type="dcterms:W3CDTF">2010-09-27T14:18:14Z</dcterms:created>
  <dcterms:modified xsi:type="dcterms:W3CDTF">2025-05-14T18:45:09Z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0x01010072B5A48783261F40A941FB0DE21D8405</vt:lpwstr>
  </property>
  <property fmtid="{D5CDD505-2E9C-101B-9397-08002B2CF9AE}" pid="4" name="MediaServiceImageTags">
    <vt:lpwstr/>
  </property>
  <property fmtid="{D5CDD505-2E9C-101B-9397-08002B2CF9AE}" pid="5" name="Order">
    <vt:r8>9000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