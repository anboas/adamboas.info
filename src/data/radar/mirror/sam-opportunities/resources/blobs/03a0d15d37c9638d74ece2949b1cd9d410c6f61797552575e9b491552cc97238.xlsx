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flankspeed-my.sharepoint-mil.us/personal/amber_v_bradley_civ_us_navy_mil/Documents/Desktop/DIV 40 IDIQ/MOPAS_PRESOL/"/>
    </mc:Choice>
  </mc:AlternateContent>
  <xr:revisionPtr revIDLastSave="223" documentId="8_{52204F0A-E46C-4CFA-BA6F-FF77A0CAE8B4}" xr6:coauthVersionLast="47" xr6:coauthVersionMax="47" xr10:uidLastSave="{CAC59A2A-7D2E-413B-8BBB-8E584A886A6D}"/>
  <bookViews>
    <workbookView xWindow="-120" yWindow="90" windowWidth="29040" windowHeight="15510" xr2:uid="{00000000-000D-0000-FFFF-FFFF00000000}"/>
  </bookViews>
  <sheets>
    <sheet name="Attachment 4"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6" i="1" l="1"/>
  <c r="D72" i="1"/>
  <c r="D58" i="1"/>
  <c r="D44" i="1"/>
  <c r="D29" i="1"/>
  <c r="D14" i="1"/>
  <c r="B68" i="1"/>
  <c r="B54" i="1"/>
  <c r="B40" i="1"/>
  <c r="B25" i="1"/>
  <c r="B10" i="1"/>
  <c r="B82" i="1"/>
  <c r="D81" i="1"/>
  <c r="D80" i="1"/>
  <c r="D79" i="1"/>
  <c r="D78" i="1"/>
  <c r="D77" i="1"/>
  <c r="D75" i="1"/>
  <c r="D67" i="1"/>
  <c r="D66" i="1"/>
  <c r="D65" i="1"/>
  <c r="D64" i="1"/>
  <c r="D63" i="1"/>
  <c r="D62" i="1"/>
  <c r="D61" i="1"/>
  <c r="D53" i="1"/>
  <c r="D52" i="1"/>
  <c r="D51" i="1"/>
  <c r="D50" i="1"/>
  <c r="D49" i="1"/>
  <c r="D48" i="1"/>
  <c r="D47" i="1"/>
  <c r="D39" i="1"/>
  <c r="D38" i="1"/>
  <c r="D37" i="1"/>
  <c r="D36" i="1"/>
  <c r="D35" i="1"/>
  <c r="D34" i="1"/>
  <c r="D33" i="1"/>
  <c r="D40" i="1" s="1"/>
  <c r="D24" i="1"/>
  <c r="D23" i="1"/>
  <c r="D22" i="1"/>
  <c r="D21" i="1"/>
  <c r="D20" i="1"/>
  <c r="D19" i="1"/>
  <c r="D18" i="1"/>
  <c r="D4" i="1"/>
  <c r="D5" i="1"/>
  <c r="D6" i="1"/>
  <c r="D7" i="1"/>
  <c r="D8" i="1"/>
  <c r="D9" i="1"/>
  <c r="D3" i="1"/>
  <c r="D82" i="1" l="1"/>
  <c r="D86" i="1" s="1"/>
  <c r="B88" i="1" s="1"/>
  <c r="D10" i="1"/>
  <c r="D25" i="1"/>
  <c r="D68" i="1"/>
  <c r="D54" i="1"/>
</calcChain>
</file>

<file path=xl/sharedStrings.xml><?xml version="1.0" encoding="utf-8"?>
<sst xmlns="http://schemas.openxmlformats.org/spreadsheetml/2006/main" count="104" uniqueCount="54">
  <si>
    <t>Program Manager</t>
  </si>
  <si>
    <t>Test and Evaluation Manager</t>
  </si>
  <si>
    <t>Test and Evaluation Engineer</t>
  </si>
  <si>
    <t>Senior Test and Evaluation Analyst</t>
  </si>
  <si>
    <t>Junior Test and Evaluation Analyst</t>
  </si>
  <si>
    <t>Year 1 Hours</t>
  </si>
  <si>
    <t>Year 1 Rate</t>
  </si>
  <si>
    <t>Year 1 Extended Price</t>
  </si>
  <si>
    <t>Year 2 Hours</t>
  </si>
  <si>
    <t>Year 2 Rate</t>
  </si>
  <si>
    <t>Year 2 Extended Price</t>
  </si>
  <si>
    <t>FAR clause 52.217-8 (6 month) Categories</t>
  </si>
  <si>
    <t>52.217-8 Hours</t>
  </si>
  <si>
    <t>52.217-8 Rate</t>
  </si>
  <si>
    <t>52.217-8 Extended Price</t>
  </si>
  <si>
    <t>Year 3 Hours</t>
  </si>
  <si>
    <t>Year 3 Rate</t>
  </si>
  <si>
    <t>Year 3 Extended Price</t>
  </si>
  <si>
    <t>Year 4 Hours</t>
  </si>
  <si>
    <t>Year 4 Rate</t>
  </si>
  <si>
    <t>Year 4 Extended Price</t>
  </si>
  <si>
    <t>Total - 5 years + 52.217-8</t>
  </si>
  <si>
    <t>Year 1 Travel</t>
  </si>
  <si>
    <t>Year 1 Labor + Travel</t>
  </si>
  <si>
    <t>Unburdened</t>
  </si>
  <si>
    <t>Burdens (if any)</t>
  </si>
  <si>
    <t>Burdened Travel</t>
  </si>
  <si>
    <t>Year 1 Labor Categories</t>
  </si>
  <si>
    <t>Year 2 Labor Categories</t>
  </si>
  <si>
    <t>Year 3 Labor Categories</t>
  </si>
  <si>
    <t>Year 4 Labor Categories</t>
  </si>
  <si>
    <t>Year 2 Travel</t>
  </si>
  <si>
    <t>Year 2 Labor + Travel</t>
  </si>
  <si>
    <t>FAR clause 52.217-8 Travel</t>
  </si>
  <si>
    <t>FAR clause 52.217-8 Labor + Travel</t>
  </si>
  <si>
    <t>Year 4 Labor + Travel</t>
  </si>
  <si>
    <t>Year 4 Travel</t>
  </si>
  <si>
    <t>Year 3 Labor + Travel</t>
  </si>
  <si>
    <t>Year 3 Travel</t>
  </si>
  <si>
    <r>
      <rPr>
        <b/>
        <sz val="10"/>
        <color theme="1"/>
        <rFont val="Times New Roman"/>
        <family val="1"/>
      </rPr>
      <t>Instructions:</t>
    </r>
    <r>
      <rPr>
        <sz val="10"/>
        <color theme="1"/>
        <rFont val="Times New Roman"/>
        <family val="1"/>
      </rPr>
      <t xml:space="preserve">  Provide the fully burdened hourly rate for each labor category for each performance period.  Complete the extended price and the labor subtotals for each performance period  Apply burdens, if any, to the Government-provided travel amount and complete the fully burdened travel amount for each performance period.  Provide the sum of the labor and travel for each performance period.  Provide the total for the entire five-year and FAR clause 52.217-8 ordering period.</t>
    </r>
  </si>
  <si>
    <t>Year 1 Labor Subtotal</t>
  </si>
  <si>
    <t>Year 2 Labor Subtotal</t>
  </si>
  <si>
    <t>Year 3 Labor Subtotal</t>
  </si>
  <si>
    <t>Year 4 Labor Subtotal</t>
  </si>
  <si>
    <t>FAR clause 52.217-8 Labor Subtotal</t>
  </si>
  <si>
    <t>Cybersecurity/Operational SME</t>
  </si>
  <si>
    <t>Data Engineer</t>
  </si>
  <si>
    <t>BASE Year Labor Categories</t>
  </si>
  <si>
    <t>BASE Year  Hours</t>
  </si>
  <si>
    <t>BASE Year  Rate</t>
  </si>
  <si>
    <t>BASE Year Extended Price</t>
  </si>
  <si>
    <t>BASE Year Labor Subtotal</t>
  </si>
  <si>
    <t>BASE Year Travel</t>
  </si>
  <si>
    <t>BASE Year Labor + Travel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</si>
</sst>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00"/>
  </numFmts>
  <fonts count="8" x14ac:knownFonts="1">
    <font>
      <sz val="11"/>
      <color theme="1"/>
      <name val="Calibri"/>
      <family val="2"/>
      <scheme val="minor"/>
    </font>
    <font>
      <sz val="10"/>
      <color theme="1"/>
      <name val="Times New Roman"/>
      <family val="1"/>
    </font>
    <font>
      <sz val="11"/>
      <color theme="1"/>
      <name val="Calibri"/>
      <family val="2"/>
      <scheme val="minor"/>
    </font>
    <font>
      <sz val="11"/>
      <color theme="1"/>
      <name val="Times New Roman"/>
      <family val="1"/>
    </font>
    <font>
      <b/>
      <sz val="10"/>
      <color theme="1"/>
      <name val="Times New Roman"/>
      <family val="1"/>
    </font>
    <font>
      <b/>
      <sz val="10"/>
      <color theme="0"/>
      <name val="Times New Roman"/>
      <family val="1"/>
    </font>
    <font>
      <b/>
      <sz val="12"/>
      <color theme="0"/>
      <name val="Times New Roman"/>
      <family val="1"/>
    </font>
    <font>
      <b/>
      <sz val="12"/>
      <color theme="1"/>
      <name val="Times New Roman"/>
      <family val="1"/>
    </font>
  </fonts>
  <fills count="5">
    <fill>
      <patternFill patternType="none"/>
    </fill>
    <fill>
      <patternFill patternType="gray125"/>
    </fill>
    <fill>
      <patternFill patternType="solid">
        <fgColor theme="1"/>
        <bgColor indexed="64"/>
      </patternFill>
    </fill>
    <fill>
      <patternFill patternType="solid">
        <fgColor theme="0" tint="-0.249977111117893"/>
        <bgColor indexed="64"/>
      </patternFill>
    </fill>
    <fill>
      <patternFill patternType="solid">
        <fgColor theme="5" tint="0.39997558519241921"/>
        <bgColor indexed="64"/>
      </patternFill>
    </fill>
  </fills>
  <borders count="6">
    <border>
      <left/>
      <right/>
      <top/>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2" fillId="0" borderId="0" applyFont="0" applyFill="0" applyBorder="0" applyAlignment="0" applyProtection="0"/>
    <xf numFmtId="44" fontId="2" fillId="0" borderId="0" applyFont="0" applyFill="0" applyBorder="0" applyAlignment="0" applyProtection="0"/>
  </cellStyleXfs>
  <cellXfs count="33">
    <xf numFmtId="0" fontId="0" fillId="0" borderId="0" xfId="0"/>
    <xf numFmtId="0" fontId="1" fillId="0" borderId="0" xfId="0" applyFont="1" applyBorder="1" applyAlignment="1">
      <alignment vertical="center"/>
    </xf>
    <xf numFmtId="0" fontId="1" fillId="0" borderId="0" xfId="0" applyFont="1" applyBorder="1" applyAlignment="1">
      <alignment horizontal="center" vertical="center"/>
    </xf>
    <xf numFmtId="0" fontId="4" fillId="0" borderId="0" xfId="0" applyFont="1" applyBorder="1" applyAlignment="1">
      <alignment vertical="center"/>
    </xf>
    <xf numFmtId="3" fontId="1" fillId="0" borderId="0" xfId="1" applyNumberFormat="1" applyFont="1" applyBorder="1" applyAlignment="1">
      <alignment horizontal="center" vertical="center"/>
    </xf>
    <xf numFmtId="0" fontId="4" fillId="0" borderId="0" xfId="0" applyFont="1" applyFill="1" applyBorder="1" applyAlignment="1">
      <alignment vertical="center"/>
    </xf>
    <xf numFmtId="3" fontId="4" fillId="0" borderId="0" xfId="1" applyNumberFormat="1" applyFont="1" applyFill="1" applyBorder="1" applyAlignment="1">
      <alignment horizontal="center" vertical="center"/>
    </xf>
    <xf numFmtId="164" fontId="4" fillId="0" borderId="0" xfId="0" applyNumberFormat="1" applyFont="1" applyFill="1" applyBorder="1" applyAlignment="1">
      <alignment horizontal="center" vertical="center"/>
    </xf>
    <xf numFmtId="0" fontId="1" fillId="0" borderId="0" xfId="0" applyFont="1" applyFill="1" applyBorder="1" applyAlignment="1">
      <alignment vertical="center"/>
    </xf>
    <xf numFmtId="49" fontId="3" fillId="0" borderId="4" xfId="0" applyNumberFormat="1" applyFont="1" applyBorder="1"/>
    <xf numFmtId="3" fontId="3" fillId="0" borderId="4" xfId="1" applyNumberFormat="1" applyFont="1" applyBorder="1" applyAlignment="1">
      <alignment horizontal="center" vertical="center"/>
    </xf>
    <xf numFmtId="44" fontId="3" fillId="0" borderId="4" xfId="2" applyFont="1" applyBorder="1" applyAlignment="1">
      <alignment horizontal="center" vertical="center"/>
    </xf>
    <xf numFmtId="44" fontId="1" fillId="0" borderId="4" xfId="2" applyFont="1" applyBorder="1" applyAlignment="1">
      <alignment horizontal="center" vertical="center"/>
    </xf>
    <xf numFmtId="3" fontId="1" fillId="0" borderId="4" xfId="1" applyNumberFormat="1" applyFont="1" applyBorder="1" applyAlignment="1">
      <alignment horizontal="center" vertical="center"/>
    </xf>
    <xf numFmtId="0" fontId="4" fillId="3" borderId="4" xfId="0" applyFont="1" applyFill="1" applyBorder="1" applyAlignment="1">
      <alignment vertical="center"/>
    </xf>
    <xf numFmtId="3" fontId="4" fillId="3" borderId="4" xfId="1" applyNumberFormat="1" applyFont="1" applyFill="1" applyBorder="1" applyAlignment="1">
      <alignment horizontal="center" vertical="center"/>
    </xf>
    <xf numFmtId="44" fontId="4" fillId="3" borderId="4" xfId="2" applyFont="1" applyFill="1" applyBorder="1" applyAlignment="1">
      <alignment horizontal="center" vertical="center"/>
    </xf>
    <xf numFmtId="0" fontId="4" fillId="0" borderId="4" xfId="0" applyFont="1" applyFill="1" applyBorder="1" applyAlignment="1">
      <alignment vertical="center"/>
    </xf>
    <xf numFmtId="3" fontId="4" fillId="0" borderId="4" xfId="1" applyNumberFormat="1" applyFont="1" applyFill="1" applyBorder="1" applyAlignment="1">
      <alignment horizontal="center" vertical="center"/>
    </xf>
    <xf numFmtId="164" fontId="4" fillId="0" borderId="4" xfId="0" applyNumberFormat="1" applyFont="1" applyFill="1" applyBorder="1" applyAlignment="1">
      <alignment horizontal="center" vertical="center"/>
    </xf>
    <xf numFmtId="0" fontId="5" fillId="2" borderId="4" xfId="0" applyFont="1" applyFill="1" applyBorder="1" applyAlignment="1">
      <alignment horizontal="center" vertical="center"/>
    </xf>
    <xf numFmtId="3" fontId="5" fillId="2" borderId="4" xfId="1" applyNumberFormat="1" applyFont="1" applyFill="1" applyBorder="1" applyAlignment="1">
      <alignment horizontal="center" vertical="center"/>
    </xf>
    <xf numFmtId="164" fontId="4" fillId="4" borderId="4" xfId="0" applyNumberFormat="1" applyFont="1" applyFill="1" applyBorder="1" applyAlignment="1">
      <alignment horizontal="center" vertical="center"/>
    </xf>
    <xf numFmtId="0" fontId="6" fillId="2" borderId="1" xfId="0" applyFont="1" applyFill="1" applyBorder="1" applyAlignment="1">
      <alignment vertical="center"/>
    </xf>
    <xf numFmtId="0" fontId="7" fillId="0" borderId="0" xfId="0" applyFont="1" applyBorder="1" applyAlignment="1">
      <alignment vertical="center"/>
    </xf>
    <xf numFmtId="44" fontId="4" fillId="3" borderId="4" xfId="2" applyFont="1" applyFill="1" applyBorder="1" applyAlignment="1">
      <alignment vertical="center"/>
    </xf>
    <xf numFmtId="164" fontId="6" fillId="2" borderId="3" xfId="2" applyNumberFormat="1" applyFont="1" applyFill="1" applyBorder="1" applyAlignment="1">
      <alignment horizontal="center" vertical="center"/>
    </xf>
    <xf numFmtId="44" fontId="6" fillId="2" borderId="3" xfId="2" applyFont="1" applyFill="1" applyBorder="1" applyAlignment="1">
      <alignment horizontal="center" vertical="center"/>
    </xf>
    <xf numFmtId="0" fontId="4" fillId="0" borderId="4" xfId="0" applyFont="1" applyFill="1" applyBorder="1" applyAlignment="1">
      <alignment horizontal="center" vertical="center"/>
    </xf>
    <xf numFmtId="0" fontId="4" fillId="4" borderId="1" xfId="0" applyFont="1" applyFill="1" applyBorder="1" applyAlignment="1">
      <alignment horizontal="left" vertical="center"/>
    </xf>
    <xf numFmtId="0" fontId="4" fillId="4" borderId="3" xfId="0" applyFont="1" applyFill="1" applyBorder="1" applyAlignment="1">
      <alignment horizontal="left" vertical="center"/>
    </xf>
    <xf numFmtId="0" fontId="4" fillId="4" borderId="5" xfId="0" applyFont="1" applyFill="1" applyBorder="1" applyAlignment="1">
      <alignment horizontal="left" vertical="center"/>
    </xf>
    <xf numFmtId="0" fontId="1" fillId="0" borderId="2" xfId="0" applyFont="1" applyBorder="1" applyAlignment="1">
      <alignment horizontal="left" vertical="center" wrapText="1"/>
    </xf>
  </cellXfs>
  <cellStyles count="3">
    <cellStyle name="Comma" xfId="1" builtinId="3"/>
    <cellStyle name="Currency" xfId="2" builtinId="4"/>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10" Type="http://schemas.openxmlformats.org/officeDocument/2006/relationships/customXml" Target="../customXml/item4.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8"/>
  <sheetViews>
    <sheetView showGridLines="0" tabSelected="1" topLeftCell="A54" zoomScaleNormal="100" workbookViewId="0">
      <selection activeCell="A76" sqref="A76"/>
    </sheetView>
  </sheetViews>
  <sheetFormatPr defaultColWidth="18.7109375" defaultRowHeight="12.75" x14ac:dyDescent="0.25"/>
  <cols>
    <col min="1" max="1" width="35.140625" style="1" bestFit="1" customWidth="1"/>
    <col min="2" max="2" width="18.7109375" style="4"/>
    <col min="3" max="3" width="18.7109375" style="2"/>
    <col min="4" max="4" width="22.28515625" style="2" bestFit="1" customWidth="1"/>
    <col min="5" max="16384" width="18.7109375" style="1"/>
  </cols>
  <sheetData>
    <row r="1" spans="1:4" ht="76.900000000000006" customHeight="1" x14ac:dyDescent="0.25">
      <c r="A1" s="32" t="s">
        <v>39</v>
      </c>
      <c r="B1" s="32"/>
      <c r="C1" s="32"/>
      <c r="D1" s="32"/>
    </row>
    <row r="2" spans="1:4" x14ac:dyDescent="0.25">
      <c r="A2" s="20" t="s">
        <v>47</v>
      </c>
      <c r="B2" s="21" t="s">
        <v>48</v>
      </c>
      <c r="C2" s="20" t="s">
        <v>49</v>
      </c>
      <c r="D2" s="20" t="s">
        <v>50</v>
      </c>
    </row>
    <row r="3" spans="1:4" ht="15" x14ac:dyDescent="0.25">
      <c r="A3" s="9" t="s">
        <v>0</v>
      </c>
      <c r="B3" s="10">
        <v>1920</v>
      </c>
      <c r="C3" s="11"/>
      <c r="D3" s="12">
        <f>C3*B3</f>
        <v>0</v>
      </c>
    </row>
    <row r="4" spans="1:4" ht="15" x14ac:dyDescent="0.25">
      <c r="A4" s="9" t="s">
        <v>1</v>
      </c>
      <c r="B4" s="10">
        <v>8640</v>
      </c>
      <c r="C4" s="11"/>
      <c r="D4" s="12">
        <f t="shared" ref="D4:D9" si="0">C4*B4</f>
        <v>0</v>
      </c>
    </row>
    <row r="5" spans="1:4" ht="15" x14ac:dyDescent="0.25">
      <c r="A5" s="9" t="s">
        <v>2</v>
      </c>
      <c r="B5" s="10">
        <v>7680</v>
      </c>
      <c r="C5" s="11"/>
      <c r="D5" s="12">
        <f t="shared" si="0"/>
        <v>0</v>
      </c>
    </row>
    <row r="6" spans="1:4" ht="15" x14ac:dyDescent="0.25">
      <c r="A6" s="9" t="s">
        <v>3</v>
      </c>
      <c r="B6" s="10">
        <v>12480</v>
      </c>
      <c r="C6" s="11"/>
      <c r="D6" s="12">
        <f t="shared" si="0"/>
        <v>0</v>
      </c>
    </row>
    <row r="7" spans="1:4" ht="15" x14ac:dyDescent="0.25">
      <c r="A7" s="9" t="s">
        <v>4</v>
      </c>
      <c r="B7" s="10">
        <v>6720</v>
      </c>
      <c r="C7" s="11"/>
      <c r="D7" s="12">
        <f t="shared" si="0"/>
        <v>0</v>
      </c>
    </row>
    <row r="8" spans="1:4" ht="15" x14ac:dyDescent="0.25">
      <c r="A8" s="9" t="s">
        <v>45</v>
      </c>
      <c r="B8" s="10">
        <v>3840</v>
      </c>
      <c r="C8" s="11"/>
      <c r="D8" s="12">
        <f t="shared" si="0"/>
        <v>0</v>
      </c>
    </row>
    <row r="9" spans="1:4" ht="15" x14ac:dyDescent="0.25">
      <c r="A9" s="9" t="s">
        <v>46</v>
      </c>
      <c r="B9" s="13">
        <v>1920</v>
      </c>
      <c r="C9" s="12"/>
      <c r="D9" s="12">
        <f t="shared" si="0"/>
        <v>0</v>
      </c>
    </row>
    <row r="10" spans="1:4" s="3" customFormat="1" x14ac:dyDescent="0.25">
      <c r="A10" s="14" t="s">
        <v>51</v>
      </c>
      <c r="B10" s="15">
        <f>SUM(B3:B9)</f>
        <v>43200</v>
      </c>
      <c r="C10" s="16"/>
      <c r="D10" s="16">
        <f>SUM(D3:D9)</f>
        <v>0</v>
      </c>
    </row>
    <row r="11" spans="1:4" x14ac:dyDescent="0.25">
      <c r="A11" s="17"/>
      <c r="B11" s="18" t="s">
        <v>24</v>
      </c>
      <c r="C11" s="19" t="s">
        <v>25</v>
      </c>
      <c r="D11" s="19" t="s">
        <v>26</v>
      </c>
    </row>
    <row r="12" spans="1:4" s="5" customFormat="1" x14ac:dyDescent="0.25">
      <c r="A12" s="14" t="s">
        <v>52</v>
      </c>
      <c r="B12" s="16">
        <v>757780.22879999992</v>
      </c>
      <c r="C12" s="16"/>
      <c r="D12" s="16"/>
    </row>
    <row r="13" spans="1:4" s="8" customFormat="1" x14ac:dyDescent="0.25">
      <c r="A13" s="28"/>
      <c r="B13" s="28"/>
      <c r="C13" s="28"/>
      <c r="D13" s="28"/>
    </row>
    <row r="14" spans="1:4" s="8" customFormat="1" x14ac:dyDescent="0.25">
      <c r="A14" s="29" t="s">
        <v>53</v>
      </c>
      <c r="B14" s="30"/>
      <c r="C14" s="31"/>
      <c r="D14" s="22">
        <f>D10+D12</f>
        <v>0</v>
      </c>
    </row>
    <row r="15" spans="1:4" s="8" customFormat="1" x14ac:dyDescent="0.25">
      <c r="A15" s="5"/>
      <c r="B15" s="6"/>
      <c r="C15" s="7"/>
      <c r="D15" s="7"/>
    </row>
    <row r="17" spans="1:4" x14ac:dyDescent="0.25">
      <c r="A17" s="20" t="s">
        <v>27</v>
      </c>
      <c r="B17" s="21" t="s">
        <v>5</v>
      </c>
      <c r="C17" s="20" t="s">
        <v>6</v>
      </c>
      <c r="D17" s="20" t="s">
        <v>7</v>
      </c>
    </row>
    <row r="18" spans="1:4" ht="15" x14ac:dyDescent="0.25">
      <c r="A18" s="9" t="s">
        <v>0</v>
      </c>
      <c r="B18" s="10">
        <v>1920</v>
      </c>
      <c r="C18" s="11"/>
      <c r="D18" s="12">
        <f>C18*B18</f>
        <v>0</v>
      </c>
    </row>
    <row r="19" spans="1:4" ht="15" x14ac:dyDescent="0.25">
      <c r="A19" s="9" t="s">
        <v>1</v>
      </c>
      <c r="B19" s="10">
        <v>8640</v>
      </c>
      <c r="C19" s="11"/>
      <c r="D19" s="12">
        <f t="shared" ref="D19:D24" si="1">C19*B19</f>
        <v>0</v>
      </c>
    </row>
    <row r="20" spans="1:4" ht="15" x14ac:dyDescent="0.25">
      <c r="A20" s="9" t="s">
        <v>2</v>
      </c>
      <c r="B20" s="10">
        <v>7680</v>
      </c>
      <c r="C20" s="11"/>
      <c r="D20" s="12">
        <f t="shared" si="1"/>
        <v>0</v>
      </c>
    </row>
    <row r="21" spans="1:4" ht="15" x14ac:dyDescent="0.25">
      <c r="A21" s="9" t="s">
        <v>3</v>
      </c>
      <c r="B21" s="10">
        <v>12480</v>
      </c>
      <c r="C21" s="11"/>
      <c r="D21" s="12">
        <f t="shared" si="1"/>
        <v>0</v>
      </c>
    </row>
    <row r="22" spans="1:4" ht="15" x14ac:dyDescent="0.25">
      <c r="A22" s="9" t="s">
        <v>4</v>
      </c>
      <c r="B22" s="10">
        <v>6720</v>
      </c>
      <c r="C22" s="11"/>
      <c r="D22" s="12">
        <f t="shared" si="1"/>
        <v>0</v>
      </c>
    </row>
    <row r="23" spans="1:4" ht="15" x14ac:dyDescent="0.25">
      <c r="A23" s="9" t="s">
        <v>45</v>
      </c>
      <c r="B23" s="10">
        <v>3840</v>
      </c>
      <c r="C23" s="11"/>
      <c r="D23" s="12">
        <f t="shared" si="1"/>
        <v>0</v>
      </c>
    </row>
    <row r="24" spans="1:4" ht="15" x14ac:dyDescent="0.25">
      <c r="A24" s="9" t="s">
        <v>46</v>
      </c>
      <c r="B24" s="13">
        <v>1920</v>
      </c>
      <c r="C24" s="12"/>
      <c r="D24" s="12">
        <f t="shared" si="1"/>
        <v>0</v>
      </c>
    </row>
    <row r="25" spans="1:4" x14ac:dyDescent="0.25">
      <c r="A25" s="14" t="s">
        <v>40</v>
      </c>
      <c r="B25" s="15">
        <f>SUM(B18:B24)</f>
        <v>43200</v>
      </c>
      <c r="C25" s="16"/>
      <c r="D25" s="16">
        <f>SUM(D18:D24)</f>
        <v>0</v>
      </c>
    </row>
    <row r="26" spans="1:4" x14ac:dyDescent="0.25">
      <c r="A26" s="17"/>
      <c r="B26" s="18" t="s">
        <v>24</v>
      </c>
      <c r="C26" s="19" t="s">
        <v>25</v>
      </c>
      <c r="D26" s="19" t="s">
        <v>26</v>
      </c>
    </row>
    <row r="27" spans="1:4" s="5" customFormat="1" x14ac:dyDescent="0.25">
      <c r="A27" s="14" t="s">
        <v>22</v>
      </c>
      <c r="B27" s="16">
        <v>780513.63566399994</v>
      </c>
      <c r="C27" s="16"/>
      <c r="D27" s="16"/>
    </row>
    <row r="28" spans="1:4" x14ac:dyDescent="0.25">
      <c r="A28" s="28"/>
      <c r="B28" s="28"/>
      <c r="C28" s="28"/>
      <c r="D28" s="28"/>
    </row>
    <row r="29" spans="1:4" x14ac:dyDescent="0.25">
      <c r="A29" s="29" t="s">
        <v>23</v>
      </c>
      <c r="B29" s="30"/>
      <c r="C29" s="31"/>
      <c r="D29" s="22">
        <f>D25+D27</f>
        <v>0</v>
      </c>
    </row>
    <row r="30" spans="1:4" s="8" customFormat="1" x14ac:dyDescent="0.25">
      <c r="A30" s="5"/>
      <c r="B30" s="6"/>
      <c r="C30" s="7"/>
      <c r="D30" s="7"/>
    </row>
    <row r="32" spans="1:4" x14ac:dyDescent="0.25">
      <c r="A32" s="20" t="s">
        <v>28</v>
      </c>
      <c r="B32" s="21" t="s">
        <v>8</v>
      </c>
      <c r="C32" s="20" t="s">
        <v>9</v>
      </c>
      <c r="D32" s="20" t="s">
        <v>10</v>
      </c>
    </row>
    <row r="33" spans="1:4" ht="15" x14ac:dyDescent="0.25">
      <c r="A33" s="9" t="s">
        <v>0</v>
      </c>
      <c r="B33" s="10">
        <v>1920</v>
      </c>
      <c r="C33" s="11"/>
      <c r="D33" s="12">
        <f>C33*B33</f>
        <v>0</v>
      </c>
    </row>
    <row r="34" spans="1:4" ht="15" x14ac:dyDescent="0.25">
      <c r="A34" s="9" t="s">
        <v>1</v>
      </c>
      <c r="B34" s="10">
        <v>8640</v>
      </c>
      <c r="C34" s="11"/>
      <c r="D34" s="12">
        <f t="shared" ref="D34:D39" si="2">C34*B34</f>
        <v>0</v>
      </c>
    </row>
    <row r="35" spans="1:4" ht="15" x14ac:dyDescent="0.25">
      <c r="A35" s="9" t="s">
        <v>2</v>
      </c>
      <c r="B35" s="10">
        <v>7680</v>
      </c>
      <c r="C35" s="11"/>
      <c r="D35" s="12">
        <f t="shared" si="2"/>
        <v>0</v>
      </c>
    </row>
    <row r="36" spans="1:4" ht="15" x14ac:dyDescent="0.25">
      <c r="A36" s="9" t="s">
        <v>3</v>
      </c>
      <c r="B36" s="10">
        <v>12480</v>
      </c>
      <c r="C36" s="11"/>
      <c r="D36" s="12">
        <f t="shared" si="2"/>
        <v>0</v>
      </c>
    </row>
    <row r="37" spans="1:4" ht="15" x14ac:dyDescent="0.25">
      <c r="A37" s="9" t="s">
        <v>4</v>
      </c>
      <c r="B37" s="10">
        <v>6720</v>
      </c>
      <c r="C37" s="11"/>
      <c r="D37" s="12">
        <f t="shared" si="2"/>
        <v>0</v>
      </c>
    </row>
    <row r="38" spans="1:4" ht="15" x14ac:dyDescent="0.25">
      <c r="A38" s="9" t="s">
        <v>45</v>
      </c>
      <c r="B38" s="10">
        <v>3840</v>
      </c>
      <c r="C38" s="11"/>
      <c r="D38" s="12">
        <f t="shared" si="2"/>
        <v>0</v>
      </c>
    </row>
    <row r="39" spans="1:4" ht="15" x14ac:dyDescent="0.25">
      <c r="A39" s="9" t="s">
        <v>46</v>
      </c>
      <c r="B39" s="13">
        <v>1920</v>
      </c>
      <c r="C39" s="12"/>
      <c r="D39" s="12">
        <f t="shared" si="2"/>
        <v>0</v>
      </c>
    </row>
    <row r="40" spans="1:4" x14ac:dyDescent="0.25">
      <c r="A40" s="14" t="s">
        <v>41</v>
      </c>
      <c r="B40" s="15">
        <f>SUM(B33:B39)</f>
        <v>43200</v>
      </c>
      <c r="C40" s="16"/>
      <c r="D40" s="16">
        <f>SUM(D33:D39)</f>
        <v>0</v>
      </c>
    </row>
    <row r="41" spans="1:4" x14ac:dyDescent="0.25">
      <c r="A41" s="17"/>
      <c r="B41" s="18" t="s">
        <v>24</v>
      </c>
      <c r="C41" s="19" t="s">
        <v>25</v>
      </c>
      <c r="D41" s="19" t="s">
        <v>26</v>
      </c>
    </row>
    <row r="42" spans="1:4" s="5" customFormat="1" x14ac:dyDescent="0.25">
      <c r="A42" s="14" t="s">
        <v>31</v>
      </c>
      <c r="B42" s="16">
        <v>803929.04473392013</v>
      </c>
      <c r="C42" s="16"/>
      <c r="D42" s="16"/>
    </row>
    <row r="43" spans="1:4" x14ac:dyDescent="0.25">
      <c r="A43" s="28"/>
      <c r="B43" s="28"/>
      <c r="C43" s="28"/>
      <c r="D43" s="28"/>
    </row>
    <row r="44" spans="1:4" x14ac:dyDescent="0.25">
      <c r="A44" s="29" t="s">
        <v>32</v>
      </c>
      <c r="B44" s="30"/>
      <c r="C44" s="31"/>
      <c r="D44" s="22">
        <f>D40+D42</f>
        <v>0</v>
      </c>
    </row>
    <row r="46" spans="1:4" x14ac:dyDescent="0.25">
      <c r="A46" s="20" t="s">
        <v>29</v>
      </c>
      <c r="B46" s="21" t="s">
        <v>15</v>
      </c>
      <c r="C46" s="20" t="s">
        <v>16</v>
      </c>
      <c r="D46" s="20" t="s">
        <v>17</v>
      </c>
    </row>
    <row r="47" spans="1:4" ht="15" x14ac:dyDescent="0.25">
      <c r="A47" s="9" t="s">
        <v>0</v>
      </c>
      <c r="B47" s="10">
        <v>1920</v>
      </c>
      <c r="C47" s="11"/>
      <c r="D47" s="12">
        <f>C47*B47</f>
        <v>0</v>
      </c>
    </row>
    <row r="48" spans="1:4" ht="15" x14ac:dyDescent="0.25">
      <c r="A48" s="9" t="s">
        <v>1</v>
      </c>
      <c r="B48" s="10">
        <v>8640</v>
      </c>
      <c r="C48" s="11"/>
      <c r="D48" s="12">
        <f t="shared" ref="D48:D53" si="3">C48*B48</f>
        <v>0</v>
      </c>
    </row>
    <row r="49" spans="1:4" ht="15" x14ac:dyDescent="0.25">
      <c r="A49" s="9" t="s">
        <v>2</v>
      </c>
      <c r="B49" s="10">
        <v>7680</v>
      </c>
      <c r="C49" s="11"/>
      <c r="D49" s="12">
        <f t="shared" si="3"/>
        <v>0</v>
      </c>
    </row>
    <row r="50" spans="1:4" ht="15" x14ac:dyDescent="0.25">
      <c r="A50" s="9" t="s">
        <v>3</v>
      </c>
      <c r="B50" s="10">
        <v>12480</v>
      </c>
      <c r="C50" s="11"/>
      <c r="D50" s="12">
        <f t="shared" si="3"/>
        <v>0</v>
      </c>
    </row>
    <row r="51" spans="1:4" ht="15" x14ac:dyDescent="0.25">
      <c r="A51" s="9" t="s">
        <v>4</v>
      </c>
      <c r="B51" s="10">
        <v>6720</v>
      </c>
      <c r="C51" s="11"/>
      <c r="D51" s="12">
        <f t="shared" si="3"/>
        <v>0</v>
      </c>
    </row>
    <row r="52" spans="1:4" ht="15" x14ac:dyDescent="0.25">
      <c r="A52" s="9" t="s">
        <v>45</v>
      </c>
      <c r="B52" s="10">
        <v>3840</v>
      </c>
      <c r="C52" s="11"/>
      <c r="D52" s="12">
        <f t="shared" si="3"/>
        <v>0</v>
      </c>
    </row>
    <row r="53" spans="1:4" ht="15" x14ac:dyDescent="0.25">
      <c r="A53" s="9" t="s">
        <v>46</v>
      </c>
      <c r="B53" s="13">
        <v>1920</v>
      </c>
      <c r="C53" s="12"/>
      <c r="D53" s="12">
        <f t="shared" si="3"/>
        <v>0</v>
      </c>
    </row>
    <row r="54" spans="1:4" x14ac:dyDescent="0.25">
      <c r="A54" s="14" t="s">
        <v>42</v>
      </c>
      <c r="B54" s="15">
        <f>SUM(B47:B53)</f>
        <v>43200</v>
      </c>
      <c r="C54" s="16"/>
      <c r="D54" s="16">
        <f>SUM(D47:D53)</f>
        <v>0</v>
      </c>
    </row>
    <row r="55" spans="1:4" x14ac:dyDescent="0.25">
      <c r="A55" s="17"/>
      <c r="B55" s="18" t="s">
        <v>24</v>
      </c>
      <c r="C55" s="19" t="s">
        <v>25</v>
      </c>
      <c r="D55" s="19" t="s">
        <v>26</v>
      </c>
    </row>
    <row r="56" spans="1:4" s="5" customFormat="1" x14ac:dyDescent="0.25">
      <c r="A56" s="14" t="s">
        <v>38</v>
      </c>
      <c r="B56" s="16">
        <v>828046.9160759378</v>
      </c>
      <c r="C56" s="16"/>
      <c r="D56" s="16"/>
    </row>
    <row r="57" spans="1:4" x14ac:dyDescent="0.25">
      <c r="A57" s="28"/>
      <c r="B57" s="28"/>
      <c r="C57" s="28"/>
      <c r="D57" s="28"/>
    </row>
    <row r="58" spans="1:4" x14ac:dyDescent="0.25">
      <c r="A58" s="29" t="s">
        <v>37</v>
      </c>
      <c r="B58" s="30"/>
      <c r="C58" s="31"/>
      <c r="D58" s="22">
        <f>D54+D56</f>
        <v>0</v>
      </c>
    </row>
    <row r="60" spans="1:4" x14ac:dyDescent="0.25">
      <c r="A60" s="20" t="s">
        <v>30</v>
      </c>
      <c r="B60" s="21" t="s">
        <v>18</v>
      </c>
      <c r="C60" s="20" t="s">
        <v>19</v>
      </c>
      <c r="D60" s="20" t="s">
        <v>20</v>
      </c>
    </row>
    <row r="61" spans="1:4" ht="15" x14ac:dyDescent="0.25">
      <c r="A61" s="9" t="s">
        <v>0</v>
      </c>
      <c r="B61" s="10">
        <v>1920</v>
      </c>
      <c r="C61" s="11"/>
      <c r="D61" s="12">
        <f>C61*B61</f>
        <v>0</v>
      </c>
    </row>
    <row r="62" spans="1:4" ht="15" x14ac:dyDescent="0.25">
      <c r="A62" s="9" t="s">
        <v>1</v>
      </c>
      <c r="B62" s="10">
        <v>8640</v>
      </c>
      <c r="C62" s="11"/>
      <c r="D62" s="12">
        <f t="shared" ref="D62:D67" si="4">C62*B62</f>
        <v>0</v>
      </c>
    </row>
    <row r="63" spans="1:4" ht="15" x14ac:dyDescent="0.25">
      <c r="A63" s="9" t="s">
        <v>2</v>
      </c>
      <c r="B63" s="10">
        <v>7680</v>
      </c>
      <c r="C63" s="11"/>
      <c r="D63" s="12">
        <f t="shared" si="4"/>
        <v>0</v>
      </c>
    </row>
    <row r="64" spans="1:4" ht="15" x14ac:dyDescent="0.25">
      <c r="A64" s="9" t="s">
        <v>3</v>
      </c>
      <c r="B64" s="10">
        <v>12480</v>
      </c>
      <c r="C64" s="11"/>
      <c r="D64" s="12">
        <f t="shared" si="4"/>
        <v>0</v>
      </c>
    </row>
    <row r="65" spans="1:4" ht="15" x14ac:dyDescent="0.25">
      <c r="A65" s="9" t="s">
        <v>4</v>
      </c>
      <c r="B65" s="10">
        <v>6720</v>
      </c>
      <c r="C65" s="11"/>
      <c r="D65" s="12">
        <f t="shared" si="4"/>
        <v>0</v>
      </c>
    </row>
    <row r="66" spans="1:4" ht="15" x14ac:dyDescent="0.25">
      <c r="A66" s="9" t="s">
        <v>45</v>
      </c>
      <c r="B66" s="10">
        <v>3840</v>
      </c>
      <c r="C66" s="11"/>
      <c r="D66" s="12">
        <f t="shared" si="4"/>
        <v>0</v>
      </c>
    </row>
    <row r="67" spans="1:4" ht="15" x14ac:dyDescent="0.25">
      <c r="A67" s="9" t="s">
        <v>46</v>
      </c>
      <c r="B67" s="13">
        <v>1920</v>
      </c>
      <c r="C67" s="12"/>
      <c r="D67" s="12">
        <f t="shared" si="4"/>
        <v>0</v>
      </c>
    </row>
    <row r="68" spans="1:4" x14ac:dyDescent="0.25">
      <c r="A68" s="14" t="s">
        <v>43</v>
      </c>
      <c r="B68" s="15">
        <f>SUM(B61:B67)</f>
        <v>43200</v>
      </c>
      <c r="C68" s="16"/>
      <c r="D68" s="16">
        <f>SUM(D61:D67)</f>
        <v>0</v>
      </c>
    </row>
    <row r="69" spans="1:4" x14ac:dyDescent="0.25">
      <c r="A69" s="17"/>
      <c r="B69" s="18" t="s">
        <v>24</v>
      </c>
      <c r="C69" s="19" t="s">
        <v>25</v>
      </c>
      <c r="D69" s="19" t="s">
        <v>26</v>
      </c>
    </row>
    <row r="70" spans="1:4" s="5" customFormat="1" x14ac:dyDescent="0.25">
      <c r="A70" s="14" t="s">
        <v>36</v>
      </c>
      <c r="B70" s="16">
        <v>852888.32355821587</v>
      </c>
      <c r="C70" s="16"/>
      <c r="D70" s="16"/>
    </row>
    <row r="71" spans="1:4" x14ac:dyDescent="0.25">
      <c r="A71" s="28"/>
      <c r="B71" s="28"/>
      <c r="C71" s="28"/>
      <c r="D71" s="28"/>
    </row>
    <row r="72" spans="1:4" x14ac:dyDescent="0.25">
      <c r="A72" s="29" t="s">
        <v>35</v>
      </c>
      <c r="B72" s="30"/>
      <c r="C72" s="31"/>
      <c r="D72" s="22">
        <f>D68+D70</f>
        <v>0</v>
      </c>
    </row>
    <row r="74" spans="1:4" x14ac:dyDescent="0.25">
      <c r="A74" s="20" t="s">
        <v>11</v>
      </c>
      <c r="B74" s="21" t="s">
        <v>12</v>
      </c>
      <c r="C74" s="20" t="s">
        <v>13</v>
      </c>
      <c r="D74" s="20" t="s">
        <v>14</v>
      </c>
    </row>
    <row r="75" spans="1:4" ht="15" x14ac:dyDescent="0.25">
      <c r="A75" s="9" t="s">
        <v>0</v>
      </c>
      <c r="B75" s="10">
        <v>960</v>
      </c>
      <c r="C75" s="11"/>
      <c r="D75" s="12">
        <f>C75*B75</f>
        <v>0</v>
      </c>
    </row>
    <row r="76" spans="1:4" ht="15" x14ac:dyDescent="0.25">
      <c r="A76" s="9" t="s">
        <v>1</v>
      </c>
      <c r="B76" s="10">
        <v>4320</v>
      </c>
      <c r="C76" s="11"/>
      <c r="D76" s="12">
        <f t="shared" ref="D76:D81" si="5">C76*B76</f>
        <v>0</v>
      </c>
    </row>
    <row r="77" spans="1:4" ht="15" x14ac:dyDescent="0.25">
      <c r="A77" s="9" t="s">
        <v>2</v>
      </c>
      <c r="B77" s="10">
        <v>3840</v>
      </c>
      <c r="C77" s="11"/>
      <c r="D77" s="12">
        <f t="shared" si="5"/>
        <v>0</v>
      </c>
    </row>
    <row r="78" spans="1:4" ht="15" x14ac:dyDescent="0.25">
      <c r="A78" s="9" t="s">
        <v>3</v>
      </c>
      <c r="B78" s="10">
        <v>6240</v>
      </c>
      <c r="C78" s="11"/>
      <c r="D78" s="12">
        <f t="shared" si="5"/>
        <v>0</v>
      </c>
    </row>
    <row r="79" spans="1:4" ht="15" x14ac:dyDescent="0.25">
      <c r="A79" s="9" t="s">
        <v>4</v>
      </c>
      <c r="B79" s="10">
        <v>3360</v>
      </c>
      <c r="C79" s="11"/>
      <c r="D79" s="12">
        <f t="shared" si="5"/>
        <v>0</v>
      </c>
    </row>
    <row r="80" spans="1:4" ht="15" x14ac:dyDescent="0.25">
      <c r="A80" s="9" t="s">
        <v>45</v>
      </c>
      <c r="B80" s="10">
        <v>1920</v>
      </c>
      <c r="C80" s="11"/>
      <c r="D80" s="12">
        <f t="shared" si="5"/>
        <v>0</v>
      </c>
    </row>
    <row r="81" spans="1:4" ht="15" x14ac:dyDescent="0.25">
      <c r="A81" s="9" t="s">
        <v>46</v>
      </c>
      <c r="B81" s="13">
        <v>960</v>
      </c>
      <c r="C81" s="12"/>
      <c r="D81" s="12">
        <f t="shared" si="5"/>
        <v>0</v>
      </c>
    </row>
    <row r="82" spans="1:4" x14ac:dyDescent="0.25">
      <c r="A82" s="14" t="s">
        <v>44</v>
      </c>
      <c r="B82" s="15">
        <f>SUM(B75:B81)</f>
        <v>21600</v>
      </c>
      <c r="C82" s="16"/>
      <c r="D82" s="16">
        <f>SUM(D75:D81)</f>
        <v>0</v>
      </c>
    </row>
    <row r="83" spans="1:4" x14ac:dyDescent="0.25">
      <c r="A83" s="17"/>
      <c r="B83" s="18" t="s">
        <v>24</v>
      </c>
      <c r="C83" s="19" t="s">
        <v>25</v>
      </c>
      <c r="D83" s="19" t="s">
        <v>26</v>
      </c>
    </row>
    <row r="84" spans="1:4" s="3" customFormat="1" x14ac:dyDescent="0.25">
      <c r="A84" s="14" t="s">
        <v>33</v>
      </c>
      <c r="B84" s="25">
        <v>439237.48663248128</v>
      </c>
      <c r="C84" s="25"/>
      <c r="D84" s="25"/>
    </row>
    <row r="85" spans="1:4" x14ac:dyDescent="0.25">
      <c r="A85" s="28"/>
      <c r="B85" s="28"/>
      <c r="C85" s="28"/>
      <c r="D85" s="28"/>
    </row>
    <row r="86" spans="1:4" x14ac:dyDescent="0.25">
      <c r="A86" s="29" t="s">
        <v>34</v>
      </c>
      <c r="B86" s="30"/>
      <c r="C86" s="31"/>
      <c r="D86" s="22">
        <f>D82+D84</f>
        <v>0</v>
      </c>
    </row>
    <row r="88" spans="1:4" s="24" customFormat="1" ht="15.75" x14ac:dyDescent="0.25">
      <c r="A88" s="23" t="s">
        <v>21</v>
      </c>
      <c r="B88" s="26">
        <f>SUM(D14,D29,D44,D58,D72,D86)</f>
        <v>0</v>
      </c>
      <c r="C88" s="27"/>
      <c r="D88" s="27"/>
    </row>
  </sheetData>
  <mergeCells count="14">
    <mergeCell ref="A1:D1"/>
    <mergeCell ref="A28:D28"/>
    <mergeCell ref="A13:D13"/>
    <mergeCell ref="A43:D43"/>
    <mergeCell ref="A57:D57"/>
    <mergeCell ref="B88:D88"/>
    <mergeCell ref="A71:D71"/>
    <mergeCell ref="A85:D85"/>
    <mergeCell ref="A14:C14"/>
    <mergeCell ref="A29:C29"/>
    <mergeCell ref="A86:C86"/>
    <mergeCell ref="A72:C72"/>
    <mergeCell ref="A58:C58"/>
    <mergeCell ref="A44:C44"/>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0A530DFAC5A464AB51274D2CF24C15D" ma:contentTypeVersion="25" ma:contentTypeDescription="Create a new document." ma:contentTypeScope="" ma:versionID="a279e61a34403a933d72cb9a79424c8a">
  <xsd:schema xmlns:xsd="http://www.w3.org/2001/XMLSchema" xmlns:xs="http://www.w3.org/2001/XMLSchema" xmlns:p="http://schemas.microsoft.com/office/2006/metadata/properties" xmlns:ns1="http://schemas.microsoft.com/sharepoint/v3" xmlns:ns2="5730763b-7215-4ed6-8bb9-c13c86676fc2" xmlns:ns3="0206ac7d-c322-4bfe-b617-ef06d387d177" targetNamespace="http://schemas.microsoft.com/office/2006/metadata/properties" ma:root="true" ma:fieldsID="69b0e8fc801a63a31fe32cf2cfeb84f0" ns1:_="" ns2:_="" ns3:_="">
    <xsd:import namespace="http://schemas.microsoft.com/sharepoint/v3"/>
    <xsd:import namespace="5730763b-7215-4ed6-8bb9-c13c86676fc2"/>
    <xsd:import namespace="0206ac7d-c322-4bfe-b617-ef06d387d177"/>
    <xsd:element name="properties">
      <xsd:complexType>
        <xsd:sequence>
          <xsd:element name="documentManagement">
            <xsd:complexType>
              <xsd:all>
                <xsd:element ref="ns2:_dlc_DocId" minOccurs="0"/>
                <xsd:element ref="ns2:_dlc_DocIdUrl" minOccurs="0"/>
                <xsd:element ref="ns2:_dlc_DocIdPersistId" minOccurs="0"/>
                <xsd:element ref="ns2:TaxCatchAll" minOccurs="0"/>
                <xsd:element ref="ns3:MediaServiceMetadata" minOccurs="0"/>
                <xsd:element ref="ns3:MediaServiceFastMetadata" minOccurs="0"/>
                <xsd:element ref="ns3:MediaServiceSearchProperties" minOccurs="0"/>
                <xsd:element ref="ns3:MediaServiceDateTaken" minOccurs="0"/>
                <xsd:element ref="ns3:lcf76f155ced4ddcb4097134ff3c332f" minOccurs="0"/>
                <xsd:element ref="ns3:MediaServiceOCR" minOccurs="0"/>
                <xsd:element ref="ns3:MediaServiceGenerationTime" minOccurs="0"/>
                <xsd:element ref="ns3:MediaServiceEventHashCode" minOccurs="0"/>
                <xsd:element ref="ns3:MediaServiceLocation" minOccurs="0"/>
                <xsd:element ref="ns3: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730763b-7215-4ed6-8bb9-c13c86676fc2"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1" nillable="true" ma:displayName="Taxonomy Catch All Column" ma:hidden="true" ma:list="{001e0b25-0ed6-4ebf-aec9-2a83a76e26ef}" ma:internalName="TaxCatchAll" ma:showField="CatchAllData" ma:web="5730763b-7215-4ed6-8bb9-c13c86676fc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206ac7d-c322-4bfe-b617-ef06d387d177"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descriptio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5730763b-7215-4ed6-8bb9-c13c86676fc2" xsi:nil="true"/>
    <lcf76f155ced4ddcb4097134ff3c332f xmlns="0206ac7d-c322-4bfe-b617-ef06d387d177">
      <Terms xmlns="http://schemas.microsoft.com/office/infopath/2007/PartnerControls"/>
    </lcf76f155ced4ddcb4097134ff3c332f>
    <_dlc_DocId xmlns="5730763b-7215-4ed6-8bb9-c13c86676fc2">4M46DH3RNQFE-549379846-659004</_dlc_DocId>
    <_dlc_DocIdUrl xmlns="5730763b-7215-4ed6-8bb9-c13c86676fc2">
      <Url>https://flankspeed.sharepoint-mil.us/sites/NAVSUP_FLCN_C200_eFiles/_layouts/15/DocIdRedir.aspx?ID=4M46DH3RNQFE-549379846-659004</Url>
      <Description>4M46DH3RNQFE-549379846-659004</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4AA1D742-532C-4B9E-8DEA-A081036F79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730763b-7215-4ed6-8bb9-c13c86676fc2"/>
    <ds:schemaRef ds:uri="0206ac7d-c322-4bfe-b617-ef06d387d1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37BB2C-2A37-4E8C-AEAA-96374518DF1A}">
  <ds:schemaRefs>
    <ds:schemaRef ds:uri="http://schemas.microsoft.com/office/infopath/2007/PartnerControls"/>
    <ds:schemaRef ds:uri="http://purl.org/dc/dcmitype/"/>
    <ds:schemaRef ds:uri="http://schemas.microsoft.com/office/2006/documentManagement/types"/>
    <ds:schemaRef ds:uri="0206ac7d-c322-4bfe-b617-ef06d387d177"/>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5730763b-7215-4ed6-8bb9-c13c86676fc2"/>
    <ds:schemaRef ds:uri="http://schemas.microsoft.com/sharepoint/v3"/>
  </ds:schemaRefs>
</ds:datastoreItem>
</file>

<file path=customXml/itemProps3.xml><?xml version="1.0" encoding="utf-8"?>
<ds:datastoreItem xmlns:ds="http://schemas.openxmlformats.org/officeDocument/2006/customXml" ds:itemID="{1AD048A0-755E-4F8B-8867-CC7D727B0332}">
  <ds:schemaRefs>
    <ds:schemaRef ds:uri="http://schemas.microsoft.com/sharepoint/v3/contenttype/forms"/>
  </ds:schemaRefs>
</ds:datastoreItem>
</file>

<file path=customXml/itemProps4.xml><?xml version="1.0" encoding="utf-8"?>
<ds:datastoreItem xmlns:ds="http://schemas.openxmlformats.org/officeDocument/2006/customXml" ds:itemID="{980BE64E-0845-4B61-B120-92E17F9751CB}">
  <ds:schemaRefs>
    <ds:schemaRef ds:uri="http://schemas.microsoft.com/sharepoint/events"/>
  </ds:schemaRefs>
</ds:datastoreItem>
</file>

<file path=docMetadata/LabelInfo.xml><?xml version="1.0" encoding="utf-8"?>
<clbl:labelList xmlns:clbl="http://schemas.microsoft.com/office/2020/mipLabelMetadata">
  <clbl:label id="{e3333e00-c877-4b87-b6ad-45e942de1750}" enabled="0" method="" siteId="{e3333e00-c877-4b87-b6ad-45e942de175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Attachment 4</vt:lpstr>
    </vt:vector>
  </TitlesOfParts>
  <Company>HPES NMCI NGEN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Lafferty, Danielle V CIV NAVSUP FLC Norfolk, 245.1</dc:creator>
  <cp:lastModifiedBy>Bradley, Amber Virginia CIV USN NAVSUP FLCN (USA)</cp:lastModifiedBy>
  <dcterms:created xsi:type="dcterms:W3CDTF">2019-12-23T16:05:21Z</dcterms:created>
  <dcterms:modified xsi:type="dcterms:W3CDTF">2026-02-18T19:22:33Z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0x010100F0A530DFAC5A464AB51274D2CF24C15D</vt:lpwstr>
  </property>
  <property fmtid="{D5CDD505-2E9C-101B-9397-08002B2CF9AE}" pid="3" name="_dlc_DocIdItemGuid">
    <vt:lpwstr>5f2ab432-c41c-455e-a798-8ca36f2c0e9c</vt:lpwstr>
  </property>
</Properties>
</file>