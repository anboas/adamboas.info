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catherine_r_mckinney_mil_army_mil/Documents/Documents/FCE-EAST (JTF-SB)/Del Rio RLB Recompete/"/>
    </mc:Choice>
  </mc:AlternateContent>
  <xr:revisionPtr revIDLastSave="5" documentId="8_{2A9799F0-C258-46F4-869E-17ADD70EAFD2}" xr6:coauthVersionLast="47" xr6:coauthVersionMax="47" xr10:uidLastSave="{4231DBC2-894F-42BC-994B-D19715CE5A64}"/>
  <bookViews>
    <workbookView xWindow="-19310" yWindow="-90" windowWidth="19420" windowHeight="10280" xr2:uid="{C0F9A7B1-3A08-4F11-A3DD-FA912D2F9341}"/>
  </bookViews>
  <sheets>
    <sheet name="CLINs" sheetId="15" r:id="rId1"/>
    <sheet name="HQ (R)" sheetId="10" state="hidden" r:id="rId2"/>
    <sheet name="DSB (R)" sheetId="4" state="hidden" r:id="rId3"/>
    <sheet name="DIVARTY (R)" sheetId="6" state="hidden" r:id="rId4"/>
    <sheet name="CAB (R)" sheetId="5" state="hidden" r:id="rId5"/>
    <sheet name="1BCT (R)" sheetId="12" state="hidden" r:id="rId6"/>
    <sheet name="2BCT (R)" sheetId="7" state="hidden" r:id="rId7"/>
    <sheet name="3BCT (r)" sheetId="13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5" l="1"/>
  <c r="D9" i="15"/>
  <c r="F3" i="4" l="1"/>
  <c r="G3" i="4" s="1"/>
  <c r="F4" i="12"/>
  <c r="G4" i="12" s="1"/>
  <c r="F5" i="12"/>
  <c r="G5" i="12" s="1"/>
  <c r="F6" i="12"/>
  <c r="G6" i="12" s="1"/>
  <c r="F7" i="12"/>
  <c r="G7" i="12" s="1"/>
  <c r="F8" i="12"/>
  <c r="G8" i="12" s="1"/>
  <c r="F9" i="12"/>
  <c r="G9" i="12" s="1"/>
  <c r="F3" i="12"/>
  <c r="G3" i="12" s="1"/>
  <c r="F4" i="13"/>
  <c r="G4" i="13" s="1"/>
  <c r="F5" i="13"/>
  <c r="G5" i="13" s="1"/>
  <c r="F6" i="13"/>
  <c r="G6" i="13" s="1"/>
  <c r="F7" i="13"/>
  <c r="G7" i="13" s="1"/>
  <c r="F3" i="13"/>
  <c r="G3" i="13" s="1"/>
  <c r="F4" i="6"/>
  <c r="G4" i="6" s="1"/>
  <c r="F3" i="6"/>
  <c r="G3" i="6" s="1"/>
  <c r="F4" i="7"/>
  <c r="G4" i="7" s="1"/>
  <c r="F5" i="7"/>
  <c r="G5" i="7" s="1"/>
  <c r="F6" i="7"/>
  <c r="G6" i="7" s="1"/>
  <c r="F3" i="7"/>
  <c r="G3" i="7" s="1"/>
</calcChain>
</file>

<file path=xl/sharedStrings.xml><?xml version="1.0" encoding="utf-8"?>
<sst xmlns="http://schemas.openxmlformats.org/spreadsheetml/2006/main" count="231" uniqueCount="103">
  <si>
    <t>Unit</t>
  </si>
  <si>
    <t>Location</t>
  </si>
  <si>
    <t>Head Count at Location</t>
  </si>
  <si>
    <t>Dates Needed at Location</t>
  </si>
  <si>
    <t>8-10 Digit Grid</t>
  </si>
  <si>
    <t>Latrines</t>
  </si>
  <si>
    <t>Hand Wash Stations</t>
  </si>
  <si>
    <t>Dumpster</t>
  </si>
  <si>
    <t>BDE COR POC</t>
  </si>
  <si>
    <t>426 BSB</t>
  </si>
  <si>
    <t>DIVARTY</t>
  </si>
  <si>
    <t>Legend</t>
  </si>
  <si>
    <t>Color</t>
  </si>
  <si>
    <t>Meaning</t>
  </si>
  <si>
    <t>The unit is relocating and will need its services transported to the a new location</t>
  </si>
  <si>
    <t>Item</t>
  </si>
  <si>
    <t>Description</t>
  </si>
  <si>
    <t>Quote Total</t>
  </si>
  <si>
    <t xml:space="preserve">LIFELINER (DSB) Latrine / Hand Wash Station / Gray Water Tank </t>
  </si>
  <si>
    <t>Gray Water Tank</t>
  </si>
  <si>
    <t>101 DSTB</t>
  </si>
  <si>
    <t>TA44</t>
  </si>
  <si>
    <t>03-10OCT</t>
  </si>
  <si>
    <t>16S DF 29297 60892</t>
  </si>
  <si>
    <t>SFC PATTERSON, DAVID</t>
  </si>
  <si>
    <t xml:space="preserve">GLORY (DIVARTY) Latrine / Hand Wash Station / Gray Water Tank </t>
  </si>
  <si>
    <t>TA 34</t>
  </si>
  <si>
    <t>02OCT-10OCT</t>
  </si>
  <si>
    <t>FSD 36349 48616</t>
  </si>
  <si>
    <t>YES</t>
  </si>
  <si>
    <t>SSG ROBERTS, 678-727-2702</t>
  </si>
  <si>
    <t>FSD 37540 48929</t>
  </si>
  <si>
    <t xml:space="preserve">DESTINY (CAB) Latrine / Hand Wash Station / Gray Water Tank </t>
  </si>
  <si>
    <t>96th ASB</t>
  </si>
  <si>
    <t>CAAF</t>
  </si>
  <si>
    <t>04-11OCT</t>
  </si>
  <si>
    <t>16S DF 5478 5870</t>
  </si>
  <si>
    <t>N/A</t>
  </si>
  <si>
    <t>LT Watkins, Jerry 502-974-5009</t>
  </si>
  <si>
    <t>SABRE</t>
  </si>
  <si>
    <t>16S DF 5705 4775</t>
  </si>
  <si>
    <t>101 CAB</t>
  </si>
  <si>
    <t>03-05OCT</t>
  </si>
  <si>
    <t xml:space="preserve">16S DF 56923 47645 </t>
  </si>
  <si>
    <t xml:space="preserve">6-101 </t>
  </si>
  <si>
    <t>05-30OCT</t>
  </si>
  <si>
    <t>16S DF 56815 46734</t>
  </si>
  <si>
    <t>1-101</t>
  </si>
  <si>
    <t>Range 28</t>
  </si>
  <si>
    <t>15-30OCT</t>
  </si>
  <si>
    <t xml:space="preserve">16S DF 37594  50684    </t>
  </si>
  <si>
    <t>Range 40</t>
  </si>
  <si>
    <t xml:space="preserve">16S DF 38663  50562    </t>
  </si>
  <si>
    <t>Range 41</t>
  </si>
  <si>
    <t xml:space="preserve">16S DF 39198  50714    </t>
  </si>
  <si>
    <t xml:space="preserve">BASTOGNE (1BCT) Latrine / Hand Wash Station / Gray Water Tank </t>
  </si>
  <si>
    <t>2-237 IN</t>
  </si>
  <si>
    <t>Sukchon DZ</t>
  </si>
  <si>
    <t>05-09OCT</t>
  </si>
  <si>
    <t>16S DF 45811 46451</t>
  </si>
  <si>
    <t>CPT Ocampo, 907-512-6966</t>
  </si>
  <si>
    <t>1-327 IN</t>
  </si>
  <si>
    <t>Intersection off Jordan Springs</t>
  </si>
  <si>
    <t>16S DF 49319 49954</t>
  </si>
  <si>
    <t>1-506 IN</t>
  </si>
  <si>
    <t>Golden Eagle FLS</t>
  </si>
  <si>
    <t>16S DF 52207 45317</t>
  </si>
  <si>
    <t xml:space="preserve">326 BEB </t>
  </si>
  <si>
    <t>SON PZ</t>
  </si>
  <si>
    <t>16S DF 55108 56810</t>
  </si>
  <si>
    <t>1BCT</t>
  </si>
  <si>
    <t>16S DF 47120 46285</t>
  </si>
  <si>
    <t>16S DF 52176 45358</t>
  </si>
  <si>
    <t>DZ</t>
  </si>
  <si>
    <t>16S DF 45997 48822</t>
  </si>
  <si>
    <t xml:space="preserve">STRIKE (2BCT) Latrine / Hand Wash Station / Gray Water Tank </t>
  </si>
  <si>
    <t xml:space="preserve">2MBCT Strike </t>
  </si>
  <si>
    <t>FCKY</t>
  </si>
  <si>
    <t>10-31 OCT 24</t>
  </si>
  <si>
    <t>16S DF 57168 57199</t>
  </si>
  <si>
    <t>CPT Ellingson, Kaden: 814-494-2825</t>
  </si>
  <si>
    <t>16S DF 57090 57558</t>
  </si>
  <si>
    <t>10-26 OCT 24</t>
  </si>
  <si>
    <t>16S DF 50626 47609</t>
  </si>
  <si>
    <t>26-27 OCT 24</t>
  </si>
  <si>
    <t>16S DF 50423 47650</t>
  </si>
  <si>
    <t xml:space="preserve">RAKKASAN (3BCT) Latrine / Hand Wash Station / Gray Water Tank </t>
  </si>
  <si>
    <t>3BCT</t>
  </si>
  <si>
    <t>Los Banos LZ</t>
  </si>
  <si>
    <t>Cassidy MOUT</t>
  </si>
  <si>
    <t>03-04OCT</t>
  </si>
  <si>
    <t>Lake Kyle</t>
  </si>
  <si>
    <t>Qty</t>
  </si>
  <si>
    <t>Job</t>
  </si>
  <si>
    <t>Months</t>
  </si>
  <si>
    <t>Unit Price</t>
  </si>
  <si>
    <t>Total Amount</t>
  </si>
  <si>
    <t>Modular Office Trailer- Base year</t>
  </si>
  <si>
    <t>Modular Office Trailer- Option Year 1</t>
  </si>
  <si>
    <t>Modular Office Trailer- Option Year 2</t>
  </si>
  <si>
    <t>Modular Office Trailer- Option Year 3</t>
  </si>
  <si>
    <t>Modular Office Trailer- Option Year 4</t>
  </si>
  <si>
    <t>Tear Down and Removal of the Modular Office Trailer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</si>
</sst>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00"/>
  </numFmts>
  <fonts count="2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242424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2"/>
      <name val="Arial"/>
      <family val="2"/>
    </font>
    <font>
      <b/>
      <u/>
      <sz val="14"/>
      <color rgb="FF000000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/>
    <xf numFmtId="0" fontId="9" fillId="0" borderId="7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9" fillId="0" borderId="0" xfId="0" applyFont="1"/>
    <xf numFmtId="0" fontId="5" fillId="2" borderId="0" xfId="0" applyFont="1" applyFill="1"/>
    <xf numFmtId="0" fontId="5" fillId="0" borderId="1" xfId="0" applyFont="1" applyBorder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9" fillId="0" borderId="9" xfId="0" applyNumberFormat="1" applyFont="1" applyBorder="1" applyAlignment="1">
      <alignment horizontal="center"/>
    </xf>
    <xf numFmtId="49" fontId="19" fillId="0" borderId="10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8" fillId="0" borderId="0" xfId="0" applyFont="1" applyProtection="1">
      <protection locked="0"/>
    </xf>
    <xf numFmtId="0" fontId="16" fillId="0" borderId="0" xfId="0" applyFont="1"/>
    <xf numFmtId="164" fontId="17" fillId="0" borderId="9" xfId="0" applyNumberFormat="1" applyFont="1" applyBorder="1"/>
    <xf numFmtId="164" fontId="24" fillId="0" borderId="11" xfId="0" applyNumberFormat="1" applyFont="1" applyBorder="1"/>
    <xf numFmtId="0" fontId="0" fillId="0" borderId="14" xfId="0" applyBorder="1"/>
    <xf numFmtId="3" fontId="22" fillId="5" borderId="2" xfId="0" applyNumberFormat="1" applyFont="1" applyFill="1" applyBorder="1" applyAlignment="1">
      <alignment horizontal="center"/>
    </xf>
    <xf numFmtId="3" fontId="22" fillId="6" borderId="1" xfId="0" applyNumberFormat="1" applyFont="1" applyFill="1" applyBorder="1" applyAlignment="1">
      <alignment horizontal="center"/>
    </xf>
    <xf numFmtId="3" fontId="22" fillId="7" borderId="1" xfId="0" applyNumberFormat="1" applyFont="1" applyFill="1" applyBorder="1" applyAlignment="1">
      <alignment horizontal="center"/>
    </xf>
    <xf numFmtId="3" fontId="22" fillId="8" borderId="1" xfId="0" applyNumberFormat="1" applyFont="1" applyFill="1" applyBorder="1" applyAlignment="1">
      <alignment horizontal="center"/>
    </xf>
    <xf numFmtId="165" fontId="21" fillId="5" borderId="1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164" fontId="22" fillId="5" borderId="2" xfId="0" applyNumberFormat="1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164" fontId="22" fillId="6" borderId="1" xfId="0" applyNumberFormat="1" applyFont="1" applyFill="1" applyBorder="1" applyAlignment="1">
      <alignment horizontal="center"/>
    </xf>
    <xf numFmtId="165" fontId="21" fillId="6" borderId="1" xfId="0" applyNumberFormat="1" applyFont="1" applyFill="1" applyBorder="1" applyAlignment="1">
      <alignment horizontal="center"/>
    </xf>
    <xf numFmtId="165" fontId="21" fillId="7" borderId="1" xfId="0" applyNumberFormat="1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164" fontId="22" fillId="7" borderId="1" xfId="0" applyNumberFormat="1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 vertical="center" wrapText="1"/>
    </xf>
    <xf numFmtId="165" fontId="21" fillId="8" borderId="1" xfId="0" applyNumberFormat="1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164" fontId="22" fillId="8" borderId="1" xfId="0" applyNumberFormat="1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165" fontId="21" fillId="9" borderId="1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0" fontId="23" fillId="9" borderId="1" xfId="0" applyFont="1" applyFill="1" applyBorder="1" applyAlignment="1">
      <alignment horizontal="center" vertical="center"/>
    </xf>
    <xf numFmtId="3" fontId="22" fillId="9" borderId="1" xfId="0" applyNumberFormat="1" applyFont="1" applyFill="1" applyBorder="1" applyAlignment="1">
      <alignment horizontal="center"/>
    </xf>
    <xf numFmtId="164" fontId="22" fillId="9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523240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863A17-2544-4714-8819-B1AE200A828D}"/>
            </a:ext>
          </a:extLst>
        </xdr:cNvPr>
        <xdr:cNvSpPr txBox="1"/>
      </xdr:nvSpPr>
      <xdr:spPr>
        <a:xfrm>
          <a:off x="1251521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BEABB9-7FD6-415A-8FC9-8D627004D31E}"/>
            </a:ext>
          </a:extLst>
        </xdr:cNvPr>
        <xdr:cNvSpPr txBox="1"/>
      </xdr:nvSpPr>
      <xdr:spPr>
        <a:xfrm>
          <a:off x="125190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527050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E2C1FF-A048-4403-B1AD-F5DA780CD20B}"/>
            </a:ext>
          </a:extLst>
        </xdr:cNvPr>
        <xdr:cNvSpPr txBox="1"/>
      </xdr:nvSpPr>
      <xdr:spPr>
        <a:xfrm>
          <a:off x="107283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527050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D44935-E2B6-422B-BC3D-1295A4907718}"/>
            </a:ext>
          </a:extLst>
        </xdr:cNvPr>
        <xdr:cNvSpPr txBox="1"/>
      </xdr:nvSpPr>
      <xdr:spPr>
        <a:xfrm>
          <a:off x="11804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5BE03D-37CA-420D-AA02-6B374115F894}"/>
            </a:ext>
          </a:extLst>
        </xdr:cNvPr>
        <xdr:cNvSpPr txBox="1"/>
      </xdr:nvSpPr>
      <xdr:spPr>
        <a:xfrm>
          <a:off x="119919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BD67514-6145-4FD8-8789-0AF9846C91CD}"/>
            </a:ext>
          </a:extLst>
        </xdr:cNvPr>
        <xdr:cNvSpPr txBox="1"/>
      </xdr:nvSpPr>
      <xdr:spPr>
        <a:xfrm>
          <a:off x="125190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F7A3-27BC-4758-9165-12D4C08DD470}">
  <dimension ref="A1:H20"/>
  <sheetViews>
    <sheetView tabSelected="1" workbookViewId="0">
      <selection activeCell="C6" sqref="C6"/>
    </sheetView>
  </sheetViews>
  <sheetFormatPr defaultRowHeight="15" x14ac:dyDescent="0.25"/>
  <cols>
    <col min="1" max="1" width="28.140625" customWidth="1"/>
    <col min="2" max="2" width="72.85546875" bestFit="1" customWidth="1"/>
    <col min="3" max="4" width="26" customWidth="1"/>
    <col min="5" max="5" width="16.140625" customWidth="1"/>
    <col min="6" max="6" width="19.28515625" bestFit="1" customWidth="1"/>
    <col min="7" max="7" width="13.5703125" customWidth="1"/>
  </cols>
  <sheetData>
    <row r="1" spans="1:8" ht="24.95" customHeight="1" thickBot="1" x14ac:dyDescent="0.3">
      <c r="A1" s="52" t="s">
        <v>15</v>
      </c>
      <c r="B1" s="53" t="s">
        <v>16</v>
      </c>
      <c r="C1" s="53" t="s">
        <v>92</v>
      </c>
      <c r="D1" s="53" t="s">
        <v>0</v>
      </c>
      <c r="E1" s="54" t="s">
        <v>95</v>
      </c>
      <c r="F1" s="55" t="s">
        <v>96</v>
      </c>
      <c r="G1" s="56"/>
      <c r="H1" s="51"/>
    </row>
    <row r="2" spans="1:8" ht="18.75" x14ac:dyDescent="0.3">
      <c r="A2" s="65">
        <v>1</v>
      </c>
      <c r="B2" s="66" t="s">
        <v>97</v>
      </c>
      <c r="C2" s="66">
        <v>12</v>
      </c>
      <c r="D2" s="66" t="s">
        <v>94</v>
      </c>
      <c r="E2" s="61"/>
      <c r="F2" s="67"/>
    </row>
    <row r="3" spans="1:8" ht="18.75" x14ac:dyDescent="0.3">
      <c r="A3" s="75">
        <v>1001</v>
      </c>
      <c r="B3" s="78" t="s">
        <v>98</v>
      </c>
      <c r="C3" s="76">
        <v>12</v>
      </c>
      <c r="D3" s="78" t="s">
        <v>94</v>
      </c>
      <c r="E3" s="64"/>
      <c r="F3" s="77"/>
    </row>
    <row r="4" spans="1:8" ht="18.75" x14ac:dyDescent="0.3">
      <c r="A4" s="70">
        <v>2001</v>
      </c>
      <c r="B4" s="68" t="s">
        <v>99</v>
      </c>
      <c r="C4" s="68">
        <v>12</v>
      </c>
      <c r="D4" s="68" t="s">
        <v>94</v>
      </c>
      <c r="E4" s="62"/>
      <c r="F4" s="69"/>
    </row>
    <row r="5" spans="1:8" ht="18.75" x14ac:dyDescent="0.3">
      <c r="A5" s="71">
        <v>3001</v>
      </c>
      <c r="B5" s="72" t="s">
        <v>100</v>
      </c>
      <c r="C5" s="74">
        <v>12</v>
      </c>
      <c r="D5" s="72" t="s">
        <v>94</v>
      </c>
      <c r="E5" s="63"/>
      <c r="F5" s="73"/>
    </row>
    <row r="6" spans="1:8" ht="18.75" x14ac:dyDescent="0.3">
      <c r="A6" s="79">
        <v>4001</v>
      </c>
      <c r="B6" s="80" t="s">
        <v>101</v>
      </c>
      <c r="C6" s="81">
        <v>12</v>
      </c>
      <c r="D6" s="80" t="s">
        <v>94</v>
      </c>
      <c r="E6" s="82"/>
      <c r="F6" s="83"/>
    </row>
    <row r="7" spans="1:8" ht="18.75" x14ac:dyDescent="0.3">
      <c r="A7" s="79">
        <v>4002</v>
      </c>
      <c r="B7" s="80" t="s">
        <v>102</v>
      </c>
      <c r="C7" s="81">
        <v>1</v>
      </c>
      <c r="D7" s="81" t="s">
        <v>93</v>
      </c>
      <c r="E7" s="82"/>
      <c r="F7" s="83"/>
    </row>
    <row r="8" spans="1:8" ht="15.75" thickBot="1" x14ac:dyDescent="0.3"/>
    <row r="9" spans="1:8" ht="19.5" thickBot="1" x14ac:dyDescent="0.35">
      <c r="A9" s="57"/>
      <c r="B9" s="57"/>
      <c r="C9" s="58" t="s">
        <v>17</v>
      </c>
      <c r="D9" s="59">
        <f>SUM(E2:E7)</f>
        <v>0</v>
      </c>
      <c r="E9" s="59">
        <f>SUM(F2:F7)</f>
        <v>0</v>
      </c>
    </row>
    <row r="20" spans="2:2" x14ac:dyDescent="0.25">
      <c r="B20" s="6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655E-FCDD-4F9D-A8A8-F903FCE80638}">
  <sheetPr>
    <pageSetUpPr fitToPage="1"/>
  </sheetPr>
  <dimension ref="A1:B12"/>
  <sheetViews>
    <sheetView workbookViewId="0">
      <selection activeCell="B85" sqref="B85"/>
    </sheetView>
  </sheetViews>
  <sheetFormatPr defaultColWidth="8.85546875" defaultRowHeight="15.75" x14ac:dyDescent="0.25"/>
  <cols>
    <col min="1" max="1" width="10.42578125" style="17" bestFit="1" customWidth="1"/>
    <col min="2" max="2" width="80.5703125" style="28" customWidth="1"/>
    <col min="3" max="16384" width="8.85546875" style="17"/>
  </cols>
  <sheetData>
    <row r="1" spans="1:2" x14ac:dyDescent="0.25">
      <c r="A1" s="84" t="s">
        <v>11</v>
      </c>
      <c r="B1" s="84"/>
    </row>
    <row r="2" spans="1:2" x14ac:dyDescent="0.25">
      <c r="A2" s="29" t="s">
        <v>12</v>
      </c>
      <c r="B2" s="29" t="s">
        <v>13</v>
      </c>
    </row>
    <row r="3" spans="1:2" x14ac:dyDescent="0.25">
      <c r="A3" s="50"/>
      <c r="B3" s="8" t="s">
        <v>14</v>
      </c>
    </row>
    <row r="4" spans="1:2" x14ac:dyDescent="0.25">
      <c r="A4" s="8"/>
      <c r="B4" s="8"/>
    </row>
    <row r="5" spans="1:2" x14ac:dyDescent="0.25">
      <c r="A5" s="42"/>
      <c r="B5" s="30"/>
    </row>
    <row r="6" spans="1:2" x14ac:dyDescent="0.25">
      <c r="A6" s="42"/>
      <c r="B6" s="30"/>
    </row>
    <row r="7" spans="1:2" x14ac:dyDescent="0.25">
      <c r="A7" s="42"/>
      <c r="B7" s="30"/>
    </row>
    <row r="8" spans="1:2" x14ac:dyDescent="0.25">
      <c r="A8" s="42"/>
      <c r="B8" s="30"/>
    </row>
    <row r="9" spans="1:2" x14ac:dyDescent="0.25">
      <c r="A9" s="26"/>
      <c r="B9" s="8"/>
    </row>
    <row r="10" spans="1:2" x14ac:dyDescent="0.25">
      <c r="A10" s="26"/>
      <c r="B10" s="8"/>
    </row>
    <row r="11" spans="1:2" x14ac:dyDescent="0.25">
      <c r="A11" s="26"/>
      <c r="B11" s="8"/>
    </row>
    <row r="12" spans="1:2" x14ac:dyDescent="0.25">
      <c r="A12" s="26"/>
      <c r="B12" s="8"/>
    </row>
  </sheetData>
  <mergeCells count="1">
    <mergeCell ref="A1:B1"/>
  </mergeCells>
  <pageMargins left="0.7" right="0.7" top="0.75" bottom="0.75" header="0.3" footer="0.3"/>
  <pageSetup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FDD8-A34B-4AA4-9353-2689F8E33E7B}">
  <sheetPr>
    <pageSetUpPr fitToPage="1"/>
  </sheetPr>
  <dimension ref="A1:J11"/>
  <sheetViews>
    <sheetView zoomScale="55" zoomScaleNormal="55" workbookViewId="0">
      <selection activeCell="B85" sqref="B85"/>
    </sheetView>
  </sheetViews>
  <sheetFormatPr defaultColWidth="8.85546875" defaultRowHeight="15.75" x14ac:dyDescent="0.25"/>
  <cols>
    <col min="1" max="1" width="32.7109375" style="17" customWidth="1"/>
    <col min="2" max="2" width="23.42578125" style="28" customWidth="1"/>
    <col min="3" max="3" width="20.85546875" style="9" bestFit="1" customWidth="1"/>
    <col min="4" max="4" width="22.7109375" style="17" bestFit="1" customWidth="1"/>
    <col min="5" max="5" width="21.140625" style="17" customWidth="1"/>
    <col min="6" max="6" width="16.7109375" style="28" customWidth="1"/>
    <col min="7" max="7" width="16.7109375" style="9" customWidth="1"/>
    <col min="8" max="8" width="16.7109375" style="28" customWidth="1"/>
    <col min="9" max="9" width="15.140625" style="28" customWidth="1"/>
    <col min="10" max="10" width="32.7109375" style="17" customWidth="1"/>
    <col min="11" max="16384" width="8.85546875" style="17"/>
  </cols>
  <sheetData>
    <row r="1" spans="1:10" x14ac:dyDescent="0.25">
      <c r="A1" s="84" t="s">
        <v>18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s="22" customFormat="1" ht="56.45" customHeight="1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25">
      <c r="A3" s="40" t="s">
        <v>20</v>
      </c>
      <c r="B3" s="40" t="s">
        <v>21</v>
      </c>
      <c r="C3" s="40">
        <v>50</v>
      </c>
      <c r="D3" s="40" t="s">
        <v>22</v>
      </c>
      <c r="E3" s="40" t="s">
        <v>23</v>
      </c>
      <c r="F3" s="40">
        <f>ROUNDUP(C3/10, 0)</f>
        <v>5</v>
      </c>
      <c r="G3" s="40">
        <f>ROUNDUP(F3/5, 0)</f>
        <v>1</v>
      </c>
      <c r="H3" s="8"/>
      <c r="I3" s="8"/>
      <c r="J3" s="7" t="s">
        <v>24</v>
      </c>
    </row>
    <row r="4" spans="1:10" x14ac:dyDescent="0.25">
      <c r="A4" s="41"/>
      <c r="B4" s="40"/>
      <c r="C4" s="40"/>
      <c r="D4" s="41"/>
      <c r="E4" s="41"/>
      <c r="F4" s="40"/>
      <c r="G4" s="40"/>
      <c r="H4" s="8"/>
      <c r="I4" s="8"/>
      <c r="J4" s="26"/>
    </row>
    <row r="5" spans="1:10" x14ac:dyDescent="0.25">
      <c r="A5" s="41"/>
      <c r="B5" s="40"/>
      <c r="C5" s="40"/>
      <c r="D5" s="41"/>
      <c r="E5" s="41"/>
      <c r="F5" s="40"/>
      <c r="G5" s="40"/>
      <c r="H5" s="8"/>
      <c r="I5" s="8"/>
      <c r="J5" s="26"/>
    </row>
    <row r="6" spans="1:10" x14ac:dyDescent="0.25">
      <c r="A6" s="41"/>
      <c r="B6" s="40"/>
      <c r="C6" s="40"/>
      <c r="D6" s="41"/>
      <c r="E6" s="41"/>
      <c r="F6" s="40"/>
      <c r="G6" s="40"/>
      <c r="H6" s="8"/>
      <c r="I6" s="8"/>
      <c r="J6" s="26"/>
    </row>
    <row r="7" spans="1:10" x14ac:dyDescent="0.25">
      <c r="A7" s="41"/>
      <c r="B7" s="40"/>
      <c r="C7" s="40"/>
      <c r="D7" s="41"/>
      <c r="E7" s="41"/>
      <c r="F7" s="40"/>
      <c r="G7" s="40"/>
      <c r="H7" s="8"/>
      <c r="I7" s="8"/>
      <c r="J7" s="26"/>
    </row>
    <row r="8" spans="1:10" x14ac:dyDescent="0.25">
      <c r="A8" s="41"/>
      <c r="B8" s="40"/>
      <c r="C8" s="40"/>
      <c r="D8" s="41"/>
      <c r="E8" s="41"/>
      <c r="F8" s="40"/>
      <c r="G8" s="40"/>
      <c r="H8" s="8"/>
      <c r="I8" s="8"/>
      <c r="J8" s="26"/>
    </row>
    <row r="9" spans="1:10" x14ac:dyDescent="0.25">
      <c r="A9" s="26"/>
      <c r="B9" s="8"/>
      <c r="C9" s="7"/>
      <c r="D9" s="26"/>
      <c r="E9" s="26"/>
      <c r="F9" s="8"/>
      <c r="G9" s="7"/>
      <c r="H9" s="8"/>
      <c r="I9" s="8"/>
      <c r="J9" s="26"/>
    </row>
    <row r="10" spans="1:10" x14ac:dyDescent="0.25">
      <c r="A10" s="26"/>
      <c r="B10" s="8"/>
      <c r="C10" s="7"/>
      <c r="D10" s="26"/>
      <c r="E10" s="26"/>
      <c r="F10" s="8"/>
      <c r="G10" s="7"/>
      <c r="H10" s="8"/>
      <c r="I10" s="8"/>
      <c r="J10" s="26"/>
    </row>
    <row r="11" spans="1:10" x14ac:dyDescent="0.25">
      <c r="A11" s="26"/>
      <c r="B11" s="8"/>
      <c r="C11" s="7"/>
      <c r="E11" s="26"/>
      <c r="F11" s="8"/>
      <c r="G11" s="7"/>
      <c r="H11" s="8"/>
      <c r="I11" s="8"/>
      <c r="J11" s="26"/>
    </row>
  </sheetData>
  <mergeCells count="1">
    <mergeCell ref="A1:J1"/>
  </mergeCells>
  <pageMargins left="0.7" right="0.7" top="0.75" bottom="0.75" header="0.3" footer="0.3"/>
  <pageSetup scale="5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5F5E-53EB-4298-AD34-EC8A9E1FA22A}">
  <dimension ref="A1:J7"/>
  <sheetViews>
    <sheetView zoomScale="87" zoomScaleNormal="87" workbookViewId="0">
      <selection activeCell="B85" sqref="B85"/>
    </sheetView>
  </sheetViews>
  <sheetFormatPr defaultColWidth="8.85546875" defaultRowHeight="15.75" x14ac:dyDescent="0.25"/>
  <cols>
    <col min="1" max="1" width="15.7109375" style="17" bestFit="1" customWidth="1"/>
    <col min="2" max="2" width="19.28515625" style="9" bestFit="1" customWidth="1"/>
    <col min="3" max="3" width="12.5703125" style="9" customWidth="1"/>
    <col min="4" max="4" width="12.7109375" style="17" bestFit="1" customWidth="1"/>
    <col min="5" max="5" width="17.5703125" style="17" bestFit="1" customWidth="1"/>
    <col min="6" max="6" width="12.5703125" style="28" customWidth="1"/>
    <col min="7" max="7" width="8.85546875" style="28" customWidth="1"/>
    <col min="8" max="9" width="20" style="28" customWidth="1"/>
    <col min="10" max="10" width="33.5703125" style="17" bestFit="1" customWidth="1"/>
    <col min="11" max="16384" width="8.85546875" style="17"/>
  </cols>
  <sheetData>
    <row r="1" spans="1:10" x14ac:dyDescent="0.25">
      <c r="A1" s="84" t="s">
        <v>25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s="22" customFormat="1" ht="63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25">
      <c r="A3" s="12" t="s">
        <v>10</v>
      </c>
      <c r="B3" s="13" t="s">
        <v>26</v>
      </c>
      <c r="C3" s="13">
        <v>100</v>
      </c>
      <c r="D3" s="13" t="s">
        <v>27</v>
      </c>
      <c r="E3" s="13" t="s">
        <v>28</v>
      </c>
      <c r="F3" s="8">
        <f>ROUNDUP(C3/10, 0)</f>
        <v>10</v>
      </c>
      <c r="G3" s="8">
        <f>ROUNDUP(F3/5, 0)</f>
        <v>2</v>
      </c>
      <c r="H3" s="12" t="s">
        <v>29</v>
      </c>
      <c r="I3" s="12" t="s">
        <v>29</v>
      </c>
      <c r="J3" s="12" t="s">
        <v>30</v>
      </c>
    </row>
    <row r="4" spans="1:10" x14ac:dyDescent="0.25">
      <c r="A4" s="14" t="s">
        <v>10</v>
      </c>
      <c r="B4" s="15" t="s">
        <v>26</v>
      </c>
      <c r="C4" s="15">
        <v>80</v>
      </c>
      <c r="D4" s="15" t="s">
        <v>27</v>
      </c>
      <c r="E4" s="15" t="s">
        <v>31</v>
      </c>
      <c r="F4" s="8">
        <f>ROUNDUP(C4/10, 0)</f>
        <v>8</v>
      </c>
      <c r="G4" s="8">
        <f>ROUNDUP(F4/5, 0)</f>
        <v>2</v>
      </c>
      <c r="H4" s="14" t="s">
        <v>29</v>
      </c>
      <c r="I4" s="14" t="s">
        <v>29</v>
      </c>
      <c r="J4" s="14" t="s">
        <v>30</v>
      </c>
    </row>
    <row r="5" spans="1:10" x14ac:dyDescent="0.25">
      <c r="A5" s="26"/>
      <c r="B5" s="7"/>
      <c r="C5" s="7"/>
      <c r="D5" s="26"/>
      <c r="E5" s="26"/>
      <c r="F5" s="8"/>
      <c r="G5" s="8"/>
      <c r="H5" s="8"/>
      <c r="I5" s="8"/>
      <c r="J5" s="26"/>
    </row>
    <row r="6" spans="1:10" x14ac:dyDescent="0.25">
      <c r="A6" s="26"/>
      <c r="B6" s="7"/>
      <c r="C6" s="7"/>
      <c r="D6" s="26"/>
      <c r="E6" s="26"/>
      <c r="F6" s="8"/>
      <c r="G6" s="8"/>
      <c r="H6" s="8"/>
      <c r="I6" s="8"/>
      <c r="J6" s="26"/>
    </row>
    <row r="7" spans="1:10" x14ac:dyDescent="0.25">
      <c r="A7" s="26"/>
      <c r="B7" s="7"/>
      <c r="C7" s="7"/>
      <c r="D7" s="26"/>
      <c r="E7" s="26"/>
      <c r="F7" s="8"/>
      <c r="G7" s="8"/>
      <c r="H7" s="8"/>
      <c r="I7" s="8"/>
      <c r="J7" s="26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36BB-FEC0-4449-AE66-DBEC3F8464E0}">
  <dimension ref="A1:J10"/>
  <sheetViews>
    <sheetView zoomScaleNormal="100" workbookViewId="0">
      <selection activeCell="B85" sqref="B85"/>
    </sheetView>
  </sheetViews>
  <sheetFormatPr defaultColWidth="8.85546875" defaultRowHeight="15.75" x14ac:dyDescent="0.25"/>
  <cols>
    <col min="1" max="1" width="15.7109375" style="17" bestFit="1" customWidth="1"/>
    <col min="2" max="2" width="19.28515625" style="28" bestFit="1" customWidth="1"/>
    <col min="3" max="3" width="29.85546875" style="9" customWidth="1"/>
    <col min="4" max="4" width="23.7109375" style="28" customWidth="1"/>
    <col min="5" max="5" width="20.42578125" style="17" customWidth="1"/>
    <col min="6" max="7" width="20.42578125" style="28" hidden="1" customWidth="1"/>
    <col min="8" max="8" width="20.42578125" style="28" customWidth="1"/>
    <col min="9" max="9" width="20.42578125" style="28" hidden="1" customWidth="1"/>
    <col min="10" max="10" width="33.5703125" style="17" bestFit="1" customWidth="1"/>
    <col min="11" max="16384" width="8.85546875" style="17"/>
  </cols>
  <sheetData>
    <row r="1" spans="1:10" x14ac:dyDescent="0.25">
      <c r="A1" s="84" t="s">
        <v>32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s="22" customFormat="1" ht="31.5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25">
      <c r="A3" s="10" t="s">
        <v>33</v>
      </c>
      <c r="B3" s="11" t="s">
        <v>34</v>
      </c>
      <c r="C3" s="7">
        <v>100</v>
      </c>
      <c r="D3" s="7" t="s">
        <v>35</v>
      </c>
      <c r="E3" s="11" t="s">
        <v>36</v>
      </c>
      <c r="F3" s="11"/>
      <c r="G3" s="11"/>
      <c r="H3" s="7" t="s">
        <v>37</v>
      </c>
      <c r="I3" s="11" t="s">
        <v>38</v>
      </c>
      <c r="J3" s="11" t="s">
        <v>38</v>
      </c>
    </row>
    <row r="4" spans="1:10" x14ac:dyDescent="0.25">
      <c r="A4" s="10" t="s">
        <v>33</v>
      </c>
      <c r="B4" s="11" t="s">
        <v>39</v>
      </c>
      <c r="C4" s="11">
        <v>50</v>
      </c>
      <c r="D4" s="7" t="s">
        <v>35</v>
      </c>
      <c r="E4" s="11" t="s">
        <v>40</v>
      </c>
      <c r="F4" s="11"/>
      <c r="G4" s="11"/>
      <c r="H4" s="7" t="s">
        <v>37</v>
      </c>
      <c r="I4" s="11" t="s">
        <v>38</v>
      </c>
      <c r="J4" s="11" t="s">
        <v>38</v>
      </c>
    </row>
    <row r="5" spans="1:10" x14ac:dyDescent="0.25">
      <c r="A5" s="11" t="s">
        <v>41</v>
      </c>
      <c r="B5" s="11" t="s">
        <v>39</v>
      </c>
      <c r="C5" s="11">
        <v>200</v>
      </c>
      <c r="D5" s="7" t="s">
        <v>42</v>
      </c>
      <c r="E5" s="11" t="s">
        <v>43</v>
      </c>
      <c r="F5" s="11"/>
      <c r="G5" s="11"/>
      <c r="H5" s="7" t="s">
        <v>37</v>
      </c>
      <c r="I5" s="11" t="s">
        <v>38</v>
      </c>
      <c r="J5" s="11" t="s">
        <v>38</v>
      </c>
    </row>
    <row r="6" spans="1:10" x14ac:dyDescent="0.25">
      <c r="A6" s="11" t="s">
        <v>44</v>
      </c>
      <c r="B6" s="11" t="s">
        <v>39</v>
      </c>
      <c r="C6" s="11">
        <v>50</v>
      </c>
      <c r="D6" s="7" t="s">
        <v>45</v>
      </c>
      <c r="E6" s="11" t="s">
        <v>46</v>
      </c>
      <c r="F6" s="11"/>
      <c r="G6" s="11"/>
      <c r="H6" s="7" t="s">
        <v>37</v>
      </c>
      <c r="I6" s="11" t="s">
        <v>38</v>
      </c>
      <c r="J6" s="11" t="s">
        <v>38</v>
      </c>
    </row>
    <row r="7" spans="1:10" x14ac:dyDescent="0.25">
      <c r="A7" s="49" t="s">
        <v>47</v>
      </c>
      <c r="B7" s="49" t="s">
        <v>48</v>
      </c>
      <c r="C7" s="49">
        <v>10</v>
      </c>
      <c r="D7" s="45" t="s">
        <v>49</v>
      </c>
      <c r="E7" s="49" t="s">
        <v>50</v>
      </c>
      <c r="F7" s="49"/>
      <c r="G7" s="49"/>
      <c r="H7" s="45" t="s">
        <v>37</v>
      </c>
      <c r="I7" s="49" t="s">
        <v>38</v>
      </c>
      <c r="J7" s="11" t="s">
        <v>38</v>
      </c>
    </row>
    <row r="8" spans="1:10" x14ac:dyDescent="0.25">
      <c r="A8" s="49" t="s">
        <v>47</v>
      </c>
      <c r="B8" s="49" t="s">
        <v>51</v>
      </c>
      <c r="C8" s="49">
        <v>60</v>
      </c>
      <c r="D8" s="45" t="s">
        <v>49</v>
      </c>
      <c r="E8" s="49" t="s">
        <v>52</v>
      </c>
      <c r="F8" s="49"/>
      <c r="G8" s="49"/>
      <c r="H8" s="45" t="s">
        <v>37</v>
      </c>
      <c r="I8" s="49" t="s">
        <v>38</v>
      </c>
      <c r="J8" s="11" t="s">
        <v>38</v>
      </c>
    </row>
    <row r="9" spans="1:10" x14ac:dyDescent="0.25">
      <c r="A9" s="49" t="s">
        <v>47</v>
      </c>
      <c r="B9" s="49" t="s">
        <v>53</v>
      </c>
      <c r="C9" s="49">
        <v>10</v>
      </c>
      <c r="D9" s="45" t="s">
        <v>49</v>
      </c>
      <c r="E9" s="49" t="s">
        <v>54</v>
      </c>
      <c r="F9" s="49"/>
      <c r="G9" s="49"/>
      <c r="H9" s="45" t="s">
        <v>37</v>
      </c>
      <c r="I9" s="49" t="s">
        <v>38</v>
      </c>
      <c r="J9" s="11" t="s">
        <v>38</v>
      </c>
    </row>
    <row r="10" spans="1:10" x14ac:dyDescent="0.25">
      <c r="A10" s="39"/>
      <c r="B10" s="11"/>
      <c r="C10" s="11"/>
      <c r="D10" s="7"/>
      <c r="E10" s="11"/>
      <c r="F10" s="11"/>
      <c r="G10" s="11"/>
      <c r="H10" s="7"/>
      <c r="I10" s="7"/>
      <c r="J10" s="39"/>
    </row>
  </sheetData>
  <mergeCells count="1">
    <mergeCell ref="A1:J1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6989-48EF-4306-9675-31DE131D5B86}">
  <dimension ref="A1:M31"/>
  <sheetViews>
    <sheetView zoomScale="55" zoomScaleNormal="55" workbookViewId="0">
      <selection activeCell="B85" sqref="B85"/>
    </sheetView>
  </sheetViews>
  <sheetFormatPr defaultColWidth="8.85546875" defaultRowHeight="15.75" x14ac:dyDescent="0.25"/>
  <cols>
    <col min="1" max="1" width="11.42578125" style="17" customWidth="1"/>
    <col min="2" max="2" width="26.140625" style="17" bestFit="1" customWidth="1"/>
    <col min="3" max="3" width="23.7109375" style="9" bestFit="1" customWidth="1"/>
    <col min="4" max="4" width="15.7109375" style="28" customWidth="1"/>
    <col min="5" max="5" width="17.5703125" style="17" bestFit="1" customWidth="1"/>
    <col min="6" max="7" width="8.85546875" style="28" customWidth="1"/>
    <col min="8" max="8" width="15.140625" style="28" bestFit="1" customWidth="1"/>
    <col min="9" max="9" width="15.140625" style="28" customWidth="1"/>
    <col min="10" max="10" width="34.28515625" style="17" customWidth="1"/>
    <col min="11" max="16384" width="8.85546875" style="17"/>
  </cols>
  <sheetData>
    <row r="1" spans="1:12" x14ac:dyDescent="0.25">
      <c r="A1" s="84" t="s">
        <v>55</v>
      </c>
      <c r="B1" s="84"/>
      <c r="C1" s="84"/>
      <c r="D1" s="84"/>
      <c r="E1" s="84"/>
      <c r="F1" s="84"/>
      <c r="G1" s="84"/>
      <c r="H1" s="84"/>
      <c r="I1" s="84"/>
      <c r="J1" s="84"/>
    </row>
    <row r="2" spans="1:12" s="22" customFormat="1" ht="63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2" x14ac:dyDescent="0.25">
      <c r="A3" s="43" t="s">
        <v>56</v>
      </c>
      <c r="B3" s="43" t="s">
        <v>57</v>
      </c>
      <c r="C3" s="43">
        <v>711</v>
      </c>
      <c r="D3" s="32" t="s">
        <v>58</v>
      </c>
      <c r="E3" s="46" t="s">
        <v>59</v>
      </c>
      <c r="F3" s="16">
        <f>ROUNDUP(C3/10, 0)</f>
        <v>72</v>
      </c>
      <c r="G3" s="8">
        <f>ROUNDUP(F3/5, 0)</f>
        <v>15</v>
      </c>
      <c r="H3" s="8"/>
      <c r="I3" s="8"/>
      <c r="J3" s="43" t="s">
        <v>60</v>
      </c>
    </row>
    <row r="4" spans="1:12" x14ac:dyDescent="0.25">
      <c r="A4" s="43" t="s">
        <v>61</v>
      </c>
      <c r="B4" s="44" t="s">
        <v>62</v>
      </c>
      <c r="C4" s="43">
        <v>678</v>
      </c>
      <c r="D4" s="32" t="s">
        <v>58</v>
      </c>
      <c r="E4" s="46" t="s">
        <v>63</v>
      </c>
      <c r="F4" s="16">
        <f t="shared" ref="F4:F9" si="0">ROUNDUP(C4/10, 0)</f>
        <v>68</v>
      </c>
      <c r="G4" s="8">
        <f t="shared" ref="G4:G9" si="1">ROUNDUP(F4/5, 0)</f>
        <v>14</v>
      </c>
      <c r="H4" s="8"/>
      <c r="I4" s="8"/>
      <c r="J4" s="43" t="s">
        <v>60</v>
      </c>
    </row>
    <row r="5" spans="1:12" x14ac:dyDescent="0.25">
      <c r="A5" s="43" t="s">
        <v>64</v>
      </c>
      <c r="B5" s="43" t="s">
        <v>65</v>
      </c>
      <c r="C5" s="43">
        <v>657</v>
      </c>
      <c r="D5" s="32" t="s">
        <v>58</v>
      </c>
      <c r="E5" s="46" t="s">
        <v>66</v>
      </c>
      <c r="F5" s="16">
        <f t="shared" si="0"/>
        <v>66</v>
      </c>
      <c r="G5" s="8">
        <f t="shared" si="1"/>
        <v>14</v>
      </c>
      <c r="H5" s="8"/>
      <c r="I5" s="8"/>
      <c r="J5" s="43" t="s">
        <v>60</v>
      </c>
    </row>
    <row r="6" spans="1:12" x14ac:dyDescent="0.25">
      <c r="A6" s="44" t="s">
        <v>67</v>
      </c>
      <c r="B6" s="44" t="s">
        <v>68</v>
      </c>
      <c r="C6" s="45">
        <v>494</v>
      </c>
      <c r="D6" s="32" t="s">
        <v>58</v>
      </c>
      <c r="E6" s="47" t="s">
        <v>69</v>
      </c>
      <c r="F6" s="16">
        <f t="shared" si="0"/>
        <v>50</v>
      </c>
      <c r="G6" s="8">
        <f t="shared" si="1"/>
        <v>10</v>
      </c>
      <c r="H6" s="8"/>
      <c r="I6" s="8"/>
      <c r="J6" s="43" t="s">
        <v>60</v>
      </c>
    </row>
    <row r="7" spans="1:12" x14ac:dyDescent="0.25">
      <c r="A7" s="44" t="s">
        <v>70</v>
      </c>
      <c r="B7" s="44" t="s">
        <v>57</v>
      </c>
      <c r="C7" s="45">
        <v>100</v>
      </c>
      <c r="D7" s="32" t="s">
        <v>58</v>
      </c>
      <c r="E7" s="47" t="s">
        <v>71</v>
      </c>
      <c r="F7" s="16">
        <f t="shared" si="0"/>
        <v>10</v>
      </c>
      <c r="G7" s="8">
        <f t="shared" si="1"/>
        <v>2</v>
      </c>
      <c r="H7" s="8"/>
      <c r="I7" s="8"/>
      <c r="J7" s="43" t="s">
        <v>60</v>
      </c>
    </row>
    <row r="8" spans="1:12" x14ac:dyDescent="0.25">
      <c r="A8" s="44" t="s">
        <v>9</v>
      </c>
      <c r="B8" s="44" t="s">
        <v>65</v>
      </c>
      <c r="C8" s="45">
        <v>50</v>
      </c>
      <c r="D8" s="32" t="s">
        <v>58</v>
      </c>
      <c r="E8" s="48" t="s">
        <v>72</v>
      </c>
      <c r="F8" s="16">
        <f t="shared" si="0"/>
        <v>5</v>
      </c>
      <c r="G8" s="8">
        <f t="shared" si="1"/>
        <v>1</v>
      </c>
      <c r="H8" s="8"/>
      <c r="I8" s="8"/>
      <c r="J8" s="43" t="s">
        <v>60</v>
      </c>
    </row>
    <row r="9" spans="1:12" x14ac:dyDescent="0.25">
      <c r="A9" s="44" t="s">
        <v>70</v>
      </c>
      <c r="B9" s="44" t="s">
        <v>73</v>
      </c>
      <c r="C9" s="45">
        <v>250</v>
      </c>
      <c r="D9" s="32" t="s">
        <v>58</v>
      </c>
      <c r="E9" s="48" t="s">
        <v>74</v>
      </c>
      <c r="F9" s="16">
        <f t="shared" si="0"/>
        <v>25</v>
      </c>
      <c r="G9" s="8">
        <f t="shared" si="1"/>
        <v>5</v>
      </c>
      <c r="H9" s="8"/>
      <c r="I9" s="8"/>
      <c r="J9" s="43" t="s">
        <v>60</v>
      </c>
    </row>
    <row r="10" spans="1:12" x14ac:dyDescent="0.25">
      <c r="A10" s="26"/>
      <c r="B10" s="8"/>
      <c r="C10" s="7"/>
      <c r="D10" s="32"/>
      <c r="E10" s="33"/>
      <c r="F10" s="34"/>
      <c r="G10" s="8"/>
      <c r="H10" s="8"/>
      <c r="I10" s="8"/>
      <c r="J10" s="26"/>
    </row>
    <row r="11" spans="1:12" x14ac:dyDescent="0.25">
      <c r="A11" s="26"/>
      <c r="B11" s="8"/>
      <c r="C11" s="7"/>
      <c r="D11" s="32"/>
      <c r="E11" s="33"/>
      <c r="F11" s="34"/>
      <c r="G11" s="8"/>
      <c r="H11" s="8"/>
      <c r="I11" s="8"/>
      <c r="J11" s="26"/>
    </row>
    <row r="12" spans="1:12" x14ac:dyDescent="0.25">
      <c r="A12" s="26"/>
      <c r="B12" s="8"/>
      <c r="C12" s="7"/>
      <c r="D12" s="32"/>
      <c r="E12" s="35"/>
      <c r="F12" s="34"/>
      <c r="G12" s="8"/>
      <c r="H12" s="8"/>
      <c r="I12" s="8"/>
      <c r="J12" s="26"/>
    </row>
    <row r="15" spans="1:12" x14ac:dyDescent="0.25">
      <c r="L15" s="36"/>
    </row>
    <row r="16" spans="1:12" x14ac:dyDescent="0.25">
      <c r="L16" s="37"/>
    </row>
    <row r="17" spans="12:13" x14ac:dyDescent="0.25">
      <c r="L17" s="1"/>
    </row>
    <row r="20" spans="12:13" x14ac:dyDescent="0.25">
      <c r="M20" s="38"/>
    </row>
    <row r="21" spans="12:13" x14ac:dyDescent="0.25">
      <c r="M21" s="38"/>
    </row>
    <row r="22" spans="12:13" x14ac:dyDescent="0.25">
      <c r="M22" s="38"/>
    </row>
    <row r="23" spans="12:13" x14ac:dyDescent="0.25">
      <c r="M23" s="38"/>
    </row>
    <row r="24" spans="12:13" x14ac:dyDescent="0.25">
      <c r="M24" s="38"/>
    </row>
    <row r="25" spans="12:13" x14ac:dyDescent="0.25">
      <c r="M25" s="38"/>
    </row>
    <row r="26" spans="12:13" x14ac:dyDescent="0.25">
      <c r="L26" s="36"/>
    </row>
    <row r="27" spans="12:13" x14ac:dyDescent="0.25">
      <c r="L27" s="37"/>
    </row>
    <row r="28" spans="12:13" x14ac:dyDescent="0.25">
      <c r="L28" s="36"/>
    </row>
    <row r="29" spans="12:13" x14ac:dyDescent="0.25">
      <c r="L29" s="37"/>
    </row>
    <row r="30" spans="12:13" x14ac:dyDescent="0.25">
      <c r="L30" s="37"/>
    </row>
    <row r="31" spans="12:13" x14ac:dyDescent="0.25">
      <c r="L31" s="37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94E2-A575-4349-A76B-93569CD3F63C}">
  <dimension ref="A1:J50"/>
  <sheetViews>
    <sheetView zoomScale="55" zoomScaleNormal="55" workbookViewId="0">
      <selection activeCell="B85" sqref="B85"/>
    </sheetView>
  </sheetViews>
  <sheetFormatPr defaultColWidth="8.85546875" defaultRowHeight="15.75" x14ac:dyDescent="0.25"/>
  <cols>
    <col min="1" max="1" width="18.28515625" style="17" customWidth="1"/>
    <col min="2" max="2" width="8.28515625" style="31" bestFit="1" customWidth="1"/>
    <col min="3" max="3" width="22.28515625" style="9" customWidth="1"/>
    <col min="4" max="4" width="27" style="27" customWidth="1"/>
    <col min="5" max="5" width="22.85546875" style="17" bestFit="1" customWidth="1"/>
    <col min="6" max="9" width="18.85546875" style="28" customWidth="1"/>
    <col min="10" max="10" width="37.28515625" style="17" bestFit="1" customWidth="1"/>
    <col min="11" max="16384" width="8.85546875" style="17"/>
  </cols>
  <sheetData>
    <row r="1" spans="1:10" x14ac:dyDescent="0.25">
      <c r="A1" s="85" t="s">
        <v>75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s="22" customFormat="1" ht="31.5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9" t="s">
        <v>7</v>
      </c>
      <c r="J2" s="29" t="s">
        <v>8</v>
      </c>
    </row>
    <row r="3" spans="1:10" s="22" customFormat="1" ht="30" x14ac:dyDescent="0.25">
      <c r="A3" s="2" t="s">
        <v>76</v>
      </c>
      <c r="B3" s="2" t="s">
        <v>77</v>
      </c>
      <c r="C3" s="2">
        <v>950</v>
      </c>
      <c r="D3" s="2" t="s">
        <v>78</v>
      </c>
      <c r="E3" s="2" t="s">
        <v>79</v>
      </c>
      <c r="F3" s="2">
        <f>ROUNDUP((C3/10), 0)</f>
        <v>95</v>
      </c>
      <c r="G3" s="2">
        <f>ROUNDUP((F3/5), 0)</f>
        <v>19</v>
      </c>
      <c r="H3" s="2" t="s">
        <v>37</v>
      </c>
      <c r="I3" s="2"/>
      <c r="J3" s="2" t="s">
        <v>80</v>
      </c>
    </row>
    <row r="4" spans="1:10" ht="30" x14ac:dyDescent="0.25">
      <c r="A4" s="2" t="s">
        <v>76</v>
      </c>
      <c r="B4" s="2" t="s">
        <v>77</v>
      </c>
      <c r="C4" s="2">
        <v>950</v>
      </c>
      <c r="D4" s="2" t="s">
        <v>78</v>
      </c>
      <c r="E4" s="3" t="s">
        <v>81</v>
      </c>
      <c r="F4" s="2">
        <f>ROUNDUP((C4/10), 0)</f>
        <v>95</v>
      </c>
      <c r="G4" s="2">
        <f>ROUNDUP((F4/5), 0)</f>
        <v>19</v>
      </c>
      <c r="H4" s="4" t="s">
        <v>37</v>
      </c>
      <c r="I4" s="4"/>
      <c r="J4" s="2" t="s">
        <v>80</v>
      </c>
    </row>
    <row r="5" spans="1:10" ht="30.75" x14ac:dyDescent="0.25">
      <c r="A5" s="2" t="s">
        <v>76</v>
      </c>
      <c r="B5" s="2" t="s">
        <v>77</v>
      </c>
      <c r="C5" s="2">
        <v>350</v>
      </c>
      <c r="D5" s="2" t="s">
        <v>82</v>
      </c>
      <c r="E5" s="5" t="s">
        <v>83</v>
      </c>
      <c r="F5" s="2">
        <f>ROUNDUP((C5/10), 0)</f>
        <v>35</v>
      </c>
      <c r="G5" s="2">
        <f>ROUNDUP((F5/5), 0)</f>
        <v>7</v>
      </c>
      <c r="H5" s="4" t="s">
        <v>37</v>
      </c>
      <c r="I5" s="4"/>
      <c r="J5" s="2" t="s">
        <v>80</v>
      </c>
    </row>
    <row r="6" spans="1:10" ht="30.75" x14ac:dyDescent="0.25">
      <c r="A6" s="2" t="s">
        <v>76</v>
      </c>
      <c r="B6" s="2" t="s">
        <v>77</v>
      </c>
      <c r="C6" s="2">
        <v>850</v>
      </c>
      <c r="D6" s="6" t="s">
        <v>84</v>
      </c>
      <c r="E6" s="5" t="s">
        <v>85</v>
      </c>
      <c r="F6" s="2">
        <f>ROUNDUP((C6/10), 0)</f>
        <v>85</v>
      </c>
      <c r="G6" s="2">
        <f>ROUNDUP((F6/5), 0)</f>
        <v>17</v>
      </c>
      <c r="H6" s="4" t="s">
        <v>37</v>
      </c>
      <c r="I6" s="4"/>
      <c r="J6" s="2" t="s">
        <v>80</v>
      </c>
    </row>
    <row r="7" spans="1:10" x14ac:dyDescent="0.25">
      <c r="A7" s="23"/>
      <c r="B7" s="4"/>
      <c r="C7" s="4"/>
      <c r="D7" s="4"/>
      <c r="E7" s="3"/>
      <c r="F7" s="4"/>
      <c r="G7" s="4"/>
      <c r="H7" s="4"/>
      <c r="I7" s="4"/>
      <c r="J7" s="23"/>
    </row>
    <row r="8" spans="1:10" x14ac:dyDescent="0.25">
      <c r="A8" s="23"/>
      <c r="B8" s="4"/>
      <c r="C8" s="4"/>
      <c r="D8" s="4"/>
      <c r="E8" s="4"/>
      <c r="F8" s="4"/>
      <c r="G8" s="4"/>
      <c r="H8" s="4"/>
      <c r="I8" s="4"/>
      <c r="J8" s="23"/>
    </row>
    <row r="9" spans="1:10" x14ac:dyDescent="0.25">
      <c r="A9" s="23"/>
      <c r="B9" s="4"/>
      <c r="C9" s="4"/>
      <c r="D9" s="4"/>
      <c r="E9" s="4"/>
      <c r="F9" s="4"/>
      <c r="G9" s="4"/>
      <c r="H9" s="4"/>
      <c r="I9" s="4"/>
      <c r="J9" s="23"/>
    </row>
    <row r="10" spans="1:10" x14ac:dyDescent="0.25">
      <c r="A10" s="23"/>
      <c r="B10" s="4"/>
      <c r="C10" s="4"/>
      <c r="D10" s="4"/>
      <c r="E10" s="4"/>
      <c r="F10" s="4"/>
      <c r="G10" s="4"/>
      <c r="H10" s="4"/>
      <c r="I10" s="4"/>
      <c r="J10" s="23"/>
    </row>
    <row r="29" spans="1:10" s="25" customFormat="1" x14ac:dyDescent="0.25">
      <c r="A29" s="17"/>
      <c r="B29" s="31"/>
      <c r="C29" s="9"/>
      <c r="D29" s="27"/>
      <c r="E29" s="17"/>
      <c r="F29" s="28"/>
      <c r="G29" s="28"/>
      <c r="H29" s="28"/>
      <c r="I29" s="28"/>
      <c r="J29" s="17"/>
    </row>
    <row r="32" spans="1:10" s="25" customFormat="1" x14ac:dyDescent="0.25">
      <c r="A32" s="17"/>
      <c r="B32" s="31"/>
      <c r="C32" s="9"/>
      <c r="D32" s="27"/>
      <c r="E32" s="17"/>
      <c r="F32" s="28"/>
      <c r="G32" s="28"/>
      <c r="H32" s="28"/>
      <c r="I32" s="28"/>
      <c r="J32" s="17"/>
    </row>
    <row r="41" spans="1:10" s="25" customFormat="1" x14ac:dyDescent="0.25">
      <c r="A41" s="17"/>
      <c r="B41" s="31"/>
      <c r="C41" s="9"/>
      <c r="D41" s="27"/>
      <c r="E41" s="17"/>
      <c r="F41" s="28"/>
      <c r="G41" s="28"/>
      <c r="H41" s="28"/>
      <c r="I41" s="28"/>
      <c r="J41" s="17"/>
    </row>
    <row r="50" spans="1:10" s="25" customFormat="1" x14ac:dyDescent="0.25">
      <c r="A50" s="17"/>
      <c r="B50" s="31"/>
      <c r="C50" s="9"/>
      <c r="D50" s="27"/>
      <c r="E50" s="17"/>
      <c r="F50" s="28"/>
      <c r="G50" s="28"/>
      <c r="H50" s="28"/>
      <c r="I50" s="28"/>
      <c r="J50" s="17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4BCA-157C-4702-82D8-C769B4DCF274}">
  <dimension ref="A1:L49"/>
  <sheetViews>
    <sheetView zoomScale="83" workbookViewId="0">
      <selection activeCell="B85" sqref="B85"/>
    </sheetView>
  </sheetViews>
  <sheetFormatPr defaultColWidth="8.85546875" defaultRowHeight="15.75" x14ac:dyDescent="0.25"/>
  <cols>
    <col min="1" max="1" width="13.5703125" style="17" bestFit="1" customWidth="1"/>
    <col min="2" max="2" width="19.140625" style="27" bestFit="1" customWidth="1"/>
    <col min="3" max="3" width="26.140625" style="9" customWidth="1"/>
    <col min="4" max="4" width="25.140625" style="27" customWidth="1"/>
    <col min="5" max="5" width="21.42578125" style="17" customWidth="1"/>
    <col min="6" max="9" width="21.42578125" style="28" customWidth="1"/>
    <col min="10" max="10" width="37.28515625" style="17" bestFit="1" customWidth="1"/>
    <col min="11" max="16384" width="8.85546875" style="17"/>
  </cols>
  <sheetData>
    <row r="1" spans="1:12" x14ac:dyDescent="0.25">
      <c r="A1" s="84" t="s">
        <v>86</v>
      </c>
      <c r="B1" s="84"/>
      <c r="C1" s="84"/>
      <c r="D1" s="84"/>
      <c r="E1" s="84"/>
      <c r="F1" s="84"/>
      <c r="G1" s="84"/>
      <c r="H1" s="84"/>
      <c r="I1" s="84"/>
      <c r="J1" s="84"/>
    </row>
    <row r="2" spans="1:12" s="22" customFormat="1" ht="31.5" x14ac:dyDescent="0.25">
      <c r="A2" s="18" t="s">
        <v>0</v>
      </c>
      <c r="B2" s="19" t="s">
        <v>1</v>
      </c>
      <c r="C2" s="20" t="s">
        <v>2</v>
      </c>
      <c r="D2" s="19" t="s">
        <v>3</v>
      </c>
      <c r="E2" s="21" t="s">
        <v>4</v>
      </c>
      <c r="F2" s="21" t="s">
        <v>5</v>
      </c>
      <c r="G2" s="21" t="s">
        <v>6</v>
      </c>
      <c r="H2" s="21" t="s">
        <v>19</v>
      </c>
      <c r="I2" s="21" t="s">
        <v>7</v>
      </c>
      <c r="J2" s="21" t="s">
        <v>8</v>
      </c>
    </row>
    <row r="3" spans="1:12" x14ac:dyDescent="0.25">
      <c r="A3" s="4" t="s">
        <v>87</v>
      </c>
      <c r="B3" s="4" t="s">
        <v>65</v>
      </c>
      <c r="C3" s="4">
        <v>40</v>
      </c>
      <c r="D3" s="4" t="s">
        <v>58</v>
      </c>
      <c r="E3" s="3"/>
      <c r="F3" s="4">
        <f>ROUNDUP(C3/10, 0)</f>
        <v>4</v>
      </c>
      <c r="G3" s="4">
        <f>ROUNDUP(F3/5, 0)</f>
        <v>1</v>
      </c>
      <c r="H3" s="4"/>
      <c r="I3" s="4"/>
      <c r="J3" s="23"/>
      <c r="L3" s="24"/>
    </row>
    <row r="4" spans="1:12" x14ac:dyDescent="0.25">
      <c r="A4" s="4" t="s">
        <v>87</v>
      </c>
      <c r="B4" s="4" t="s">
        <v>88</v>
      </c>
      <c r="C4" s="4">
        <v>40</v>
      </c>
      <c r="D4" s="4" t="s">
        <v>58</v>
      </c>
      <c r="E4" s="3"/>
      <c r="F4" s="4">
        <f>ROUNDUP(C4/10, 0)</f>
        <v>4</v>
      </c>
      <c r="G4" s="4">
        <f>ROUNDUP(F4/5, 0)</f>
        <v>1</v>
      </c>
      <c r="H4" s="4"/>
      <c r="I4" s="4"/>
      <c r="J4" s="23"/>
    </row>
    <row r="5" spans="1:12" x14ac:dyDescent="0.25">
      <c r="A5" s="4" t="s">
        <v>87</v>
      </c>
      <c r="B5" s="4" t="s">
        <v>57</v>
      </c>
      <c r="C5" s="4">
        <v>40</v>
      </c>
      <c r="D5" s="4" t="s">
        <v>58</v>
      </c>
      <c r="E5" s="3"/>
      <c r="F5" s="4">
        <f>ROUNDUP(C5/10, 0)</f>
        <v>4</v>
      </c>
      <c r="G5" s="4">
        <f>ROUNDUP(F5/5, 0)</f>
        <v>1</v>
      </c>
      <c r="H5" s="4"/>
      <c r="I5" s="4"/>
      <c r="J5" s="23"/>
    </row>
    <row r="6" spans="1:12" x14ac:dyDescent="0.25">
      <c r="A6" s="4" t="s">
        <v>87</v>
      </c>
      <c r="B6" s="4" t="s">
        <v>89</v>
      </c>
      <c r="C6" s="4">
        <v>150</v>
      </c>
      <c r="D6" s="4" t="s">
        <v>90</v>
      </c>
      <c r="E6" s="3"/>
      <c r="F6" s="4">
        <f>ROUNDUP(C6/10, 0)</f>
        <v>15</v>
      </c>
      <c r="G6" s="4">
        <f>ROUNDUP(F6/5, 0)</f>
        <v>3</v>
      </c>
      <c r="H6" s="4"/>
      <c r="I6" s="4"/>
      <c r="J6" s="23"/>
    </row>
    <row r="7" spans="1:12" x14ac:dyDescent="0.25">
      <c r="A7" s="4" t="s">
        <v>87</v>
      </c>
      <c r="B7" s="4" t="s">
        <v>91</v>
      </c>
      <c r="C7" s="4">
        <v>50</v>
      </c>
      <c r="D7" s="4" t="s">
        <v>58</v>
      </c>
      <c r="E7" s="4"/>
      <c r="F7" s="4">
        <f>ROUNDUP(C7/10, 0)</f>
        <v>5</v>
      </c>
      <c r="G7" s="4">
        <f>ROUNDUP(F7/5, 0)</f>
        <v>1</v>
      </c>
      <c r="H7" s="4"/>
      <c r="I7" s="4"/>
      <c r="J7" s="23"/>
    </row>
    <row r="8" spans="1:12" x14ac:dyDescent="0.25">
      <c r="A8" s="23"/>
      <c r="B8" s="4"/>
      <c r="C8" s="4"/>
      <c r="D8" s="4"/>
      <c r="E8" s="4"/>
      <c r="F8" s="4"/>
      <c r="G8" s="4"/>
      <c r="H8" s="4"/>
      <c r="I8" s="4"/>
      <c r="J8" s="23"/>
    </row>
    <row r="9" spans="1:12" x14ac:dyDescent="0.25">
      <c r="A9" s="23"/>
      <c r="B9" s="4"/>
      <c r="C9" s="4"/>
      <c r="D9" s="4"/>
      <c r="E9" s="4"/>
      <c r="F9" s="4"/>
      <c r="G9" s="4"/>
      <c r="H9" s="4"/>
      <c r="I9" s="4"/>
      <c r="J9" s="23"/>
    </row>
    <row r="10" spans="1:12" x14ac:dyDescent="0.25">
      <c r="A10" s="23"/>
      <c r="B10" s="4"/>
      <c r="C10" s="4"/>
      <c r="D10" s="4"/>
      <c r="E10" s="4"/>
      <c r="F10" s="4"/>
      <c r="G10" s="4"/>
      <c r="H10" s="4"/>
      <c r="I10" s="4"/>
      <c r="J10" s="23"/>
    </row>
    <row r="11" spans="1:12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2" x14ac:dyDescent="0.25">
      <c r="B12" s="17"/>
      <c r="C12" s="17"/>
      <c r="D12" s="17"/>
      <c r="F12" s="17"/>
      <c r="G12" s="17"/>
      <c r="H12" s="17"/>
      <c r="I12" s="17"/>
    </row>
    <row r="13" spans="1:12" x14ac:dyDescent="0.25">
      <c r="B13" s="17"/>
      <c r="C13" s="17"/>
      <c r="D13" s="17"/>
      <c r="F13" s="17"/>
      <c r="G13" s="17"/>
      <c r="H13" s="17"/>
      <c r="I13" s="17"/>
    </row>
    <row r="14" spans="1:12" x14ac:dyDescent="0.25">
      <c r="B14" s="17"/>
      <c r="C14" s="17"/>
      <c r="D14" s="17"/>
      <c r="F14" s="17"/>
      <c r="G14" s="17"/>
      <c r="H14" s="17"/>
      <c r="I14" s="17"/>
    </row>
    <row r="15" spans="1:12" x14ac:dyDescent="0.25">
      <c r="B15" s="17"/>
      <c r="C15" s="17"/>
      <c r="D15" s="17"/>
      <c r="F15" s="17"/>
      <c r="G15" s="17"/>
      <c r="H15" s="17"/>
      <c r="I15" s="17"/>
    </row>
    <row r="16" spans="1:12" x14ac:dyDescent="0.25">
      <c r="B16" s="17"/>
      <c r="C16" s="17"/>
      <c r="D16" s="17"/>
      <c r="F16" s="17"/>
      <c r="G16" s="17"/>
      <c r="H16" s="17"/>
      <c r="I16" s="17"/>
    </row>
    <row r="17" spans="1:10" x14ac:dyDescent="0.25">
      <c r="B17" s="17"/>
      <c r="C17" s="17"/>
      <c r="D17" s="17"/>
      <c r="F17" s="17"/>
      <c r="G17" s="17"/>
      <c r="H17" s="17"/>
      <c r="I17" s="17"/>
    </row>
    <row r="18" spans="1:10" x14ac:dyDescent="0.25">
      <c r="B18" s="17"/>
      <c r="C18" s="17"/>
      <c r="D18" s="17"/>
      <c r="F18" s="17"/>
      <c r="G18" s="17"/>
      <c r="H18" s="17"/>
      <c r="I18" s="17"/>
    </row>
    <row r="19" spans="1:10" x14ac:dyDescent="0.25">
      <c r="B19" s="17"/>
      <c r="C19" s="17"/>
      <c r="D19" s="17"/>
      <c r="F19" s="17"/>
      <c r="G19" s="17"/>
      <c r="H19" s="17"/>
      <c r="I19" s="17"/>
    </row>
    <row r="20" spans="1:10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spans="1:10" x14ac:dyDescent="0.25">
      <c r="B21" s="17"/>
      <c r="C21" s="17"/>
      <c r="D21" s="17"/>
      <c r="F21" s="17"/>
      <c r="G21" s="17"/>
      <c r="H21" s="17"/>
      <c r="I21" s="17"/>
    </row>
    <row r="22" spans="1:10" x14ac:dyDescent="0.25">
      <c r="B22" s="17"/>
      <c r="C22" s="17"/>
      <c r="D22" s="17"/>
      <c r="F22" s="17"/>
      <c r="G22" s="17"/>
      <c r="H22" s="17"/>
      <c r="I22" s="17"/>
    </row>
    <row r="23" spans="1:10" x14ac:dyDescent="0.25">
      <c r="B23" s="17"/>
      <c r="C23" s="17"/>
      <c r="D23" s="17"/>
      <c r="F23" s="17"/>
      <c r="G23" s="17"/>
      <c r="H23" s="17"/>
      <c r="I23" s="17"/>
    </row>
    <row r="24" spans="1:10" x14ac:dyDescent="0.25">
      <c r="B24" s="17"/>
      <c r="C24" s="17"/>
      <c r="D24" s="17"/>
      <c r="F24" s="17"/>
      <c r="G24" s="17"/>
      <c r="H24" s="17"/>
      <c r="I24" s="17"/>
    </row>
    <row r="25" spans="1:10" x14ac:dyDescent="0.25">
      <c r="B25" s="17"/>
      <c r="C25" s="17"/>
      <c r="D25" s="17"/>
      <c r="F25" s="17"/>
      <c r="G25" s="17"/>
      <c r="H25" s="17"/>
      <c r="I25" s="17"/>
    </row>
    <row r="26" spans="1:10" x14ac:dyDescent="0.25">
      <c r="B26" s="17"/>
      <c r="C26" s="17"/>
      <c r="D26" s="17"/>
      <c r="F26" s="17"/>
      <c r="G26" s="17"/>
      <c r="H26" s="17"/>
      <c r="I26" s="17"/>
    </row>
    <row r="27" spans="1:10" x14ac:dyDescent="0.25">
      <c r="B27" s="17"/>
      <c r="C27" s="17"/>
      <c r="D27" s="17"/>
      <c r="F27" s="17"/>
      <c r="G27" s="17"/>
      <c r="H27" s="17"/>
      <c r="I27" s="17"/>
    </row>
    <row r="28" spans="1:10" s="25" customForma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x14ac:dyDescent="0.25">
      <c r="B29" s="17"/>
      <c r="C29" s="17"/>
      <c r="D29" s="17"/>
      <c r="F29" s="17"/>
      <c r="G29" s="17"/>
      <c r="H29" s="17"/>
      <c r="I29" s="17"/>
    </row>
    <row r="30" spans="1:10" x14ac:dyDescent="0.25">
      <c r="B30" s="17"/>
      <c r="C30" s="17"/>
      <c r="D30" s="17"/>
      <c r="F30" s="17"/>
      <c r="G30" s="17"/>
      <c r="H30" s="17"/>
      <c r="I30" s="17"/>
    </row>
    <row r="31" spans="1:10" s="25" customForma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0" x14ac:dyDescent="0.25">
      <c r="B32" s="17"/>
      <c r="C32" s="17"/>
      <c r="D32" s="17"/>
      <c r="F32" s="17"/>
      <c r="G32" s="17"/>
      <c r="H32" s="17"/>
      <c r="I32" s="17"/>
    </row>
    <row r="33" spans="1:10" x14ac:dyDescent="0.25">
      <c r="B33" s="17"/>
      <c r="C33" s="17"/>
      <c r="D33" s="17"/>
      <c r="F33" s="17"/>
      <c r="G33" s="17"/>
      <c r="H33" s="17"/>
      <c r="I33" s="17"/>
    </row>
    <row r="34" spans="1:10" x14ac:dyDescent="0.25">
      <c r="B34" s="17"/>
      <c r="C34" s="17"/>
      <c r="D34" s="17"/>
      <c r="F34" s="17"/>
      <c r="G34" s="17"/>
      <c r="H34" s="17"/>
      <c r="I34" s="17"/>
    </row>
    <row r="35" spans="1:10" x14ac:dyDescent="0.25">
      <c r="B35" s="17"/>
      <c r="C35" s="17"/>
      <c r="D35" s="17"/>
      <c r="F35" s="17"/>
      <c r="G35" s="17"/>
      <c r="H35" s="17"/>
      <c r="I35" s="17"/>
    </row>
    <row r="36" spans="1:10" x14ac:dyDescent="0.25">
      <c r="B36" s="17"/>
      <c r="C36" s="17"/>
      <c r="D36" s="17"/>
      <c r="F36" s="17"/>
      <c r="G36" s="17"/>
      <c r="H36" s="17"/>
      <c r="I36" s="17"/>
    </row>
    <row r="37" spans="1:10" x14ac:dyDescent="0.25">
      <c r="B37" s="17"/>
      <c r="C37" s="17"/>
      <c r="D37" s="17"/>
      <c r="F37" s="17"/>
      <c r="G37" s="17"/>
      <c r="H37" s="17"/>
      <c r="I37" s="17"/>
    </row>
    <row r="38" spans="1:10" x14ac:dyDescent="0.25">
      <c r="B38" s="17"/>
      <c r="C38" s="17"/>
      <c r="D38" s="17"/>
      <c r="F38" s="17"/>
      <c r="G38" s="17"/>
      <c r="H38" s="17"/>
      <c r="I38" s="17"/>
    </row>
    <row r="39" spans="1:10" x14ac:dyDescent="0.25">
      <c r="B39" s="17"/>
      <c r="C39" s="17"/>
      <c r="D39" s="17"/>
      <c r="F39" s="17"/>
      <c r="G39" s="17"/>
      <c r="H39" s="17"/>
      <c r="I39" s="17"/>
    </row>
    <row r="40" spans="1:10" s="25" customForma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spans="1:10" x14ac:dyDescent="0.25">
      <c r="B41" s="17"/>
      <c r="C41" s="17"/>
      <c r="D41" s="17"/>
      <c r="F41" s="17"/>
      <c r="G41" s="17"/>
      <c r="H41" s="17"/>
      <c r="I41" s="17"/>
    </row>
    <row r="42" spans="1:10" x14ac:dyDescent="0.25">
      <c r="B42" s="17"/>
      <c r="C42" s="17"/>
      <c r="D42" s="17"/>
      <c r="F42" s="17"/>
      <c r="G42" s="17"/>
      <c r="H42" s="17"/>
      <c r="I42" s="17"/>
    </row>
    <row r="43" spans="1:10" x14ac:dyDescent="0.25">
      <c r="B43" s="17"/>
      <c r="C43" s="17"/>
      <c r="D43" s="17"/>
      <c r="F43" s="17"/>
      <c r="G43" s="17"/>
      <c r="H43" s="17"/>
      <c r="I43" s="17"/>
    </row>
    <row r="49" spans="1:10" s="25" customFormat="1" x14ac:dyDescent="0.25">
      <c r="A49" s="17"/>
      <c r="B49" s="27"/>
      <c r="C49" s="9"/>
      <c r="D49" s="27"/>
      <c r="E49" s="17"/>
      <c r="F49" s="28"/>
      <c r="G49" s="28"/>
      <c r="H49" s="28"/>
      <c r="I49" s="28"/>
      <c r="J49" s="17"/>
    </row>
  </sheetData>
  <mergeCells count="1">
    <mergeCell ref="A1:J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71E832FA9A4381FCD827512AB20E" ma:contentTypeVersion="5" ma:contentTypeDescription="Create a new document." ma:contentTypeScope="" ma:versionID="3c7c8f3e2a4f93a5ce944589ee8726a1">
  <xsd:schema xmlns:xsd="http://www.w3.org/2001/XMLSchema" xmlns:xs="http://www.w3.org/2001/XMLSchema" xmlns:p="http://schemas.microsoft.com/office/2006/metadata/properties" xmlns:ns1="http://schemas.microsoft.com/sharepoint/v3" xmlns:ns2="f9a4812b-64d5-495a-a610-121844ffcbc8" targetNamespace="http://schemas.microsoft.com/office/2006/metadata/properties" ma:root="true" ma:fieldsID="17adbddcccd46a0524d8c044a58b7a14" ns1:_="" ns2:_="">
    <xsd:import namespace="http://schemas.microsoft.com/sharepoint/v3"/>
    <xsd:import namespace="f9a4812b-64d5-495a-a610-121844ffcb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4812b-64d5-495a-a610-121844ffc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1FA0E4-FC2A-4744-B98C-819972EF97B7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sharepoint/v3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9a4812b-64d5-495a-a610-121844ffcbc8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3866C77-F448-4E22-B0A4-209E0D5A52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7A96BE-56FC-463A-9631-6691C8758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9a4812b-64d5-495a-a610-121844ffcb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CLINs</vt:lpstr>
      <vt:lpstr>HQ (R)</vt:lpstr>
      <vt:lpstr>DSB (R)</vt:lpstr>
      <vt:lpstr>DIVARTY (R)</vt:lpstr>
      <vt:lpstr>CAB (R)</vt:lpstr>
      <vt:lpstr>1BCT (R)</vt:lpstr>
      <vt:lpstr>2BCT (R)</vt:lpstr>
      <vt:lpstr>3BCT (r)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Manning, Ronald S MAJ USA MIL FORSCOM</dc:creator>
  <cp:keywords/>
  <dc:description/>
  <cp:lastModifiedBy>Mckinney, Catherine R SFC USARMY ACC MICC (USA)</cp:lastModifiedBy>
  <cp:revision/>
  <dcterms:created xsi:type="dcterms:W3CDTF">2023-07-18T21:51:59Z</dcterms:created>
  <dcterms:modified xsi:type="dcterms:W3CDTF">2026-04-10T00:51:45Z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0x010100803471E832FA9A4381FCD827512AB20E</vt:lpwstr>
  </property>
</Properties>
</file>